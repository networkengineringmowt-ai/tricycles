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ing Folder\EDMP\Analysed Data\MCC-OD\C-1 Analysis Complete\STN-C1-RD-1A-SALAMA ROAD\MCC DATA\"/>
    </mc:Choice>
  </mc:AlternateContent>
  <xr:revisionPtr revIDLastSave="0" documentId="13_ncr:1_{B8F39818-F1D2-4897-8892-3538889F86B7}" xr6:coauthVersionLast="45" xr6:coauthVersionMax="45" xr10:uidLastSave="{00000000-0000-0000-0000-000000000000}"/>
  <bookViews>
    <workbookView xWindow="-120" yWindow="-120" windowWidth="20730" windowHeight="11160" tabRatio="940" firstSheet="12" activeTab="16" xr2:uid="{00000000-000D-0000-FFFF-FFFF00000000}"/>
  </bookViews>
  <sheets>
    <sheet name="22.07 Kibuye-Munyonyo" sheetId="93" r:id="rId1"/>
    <sheet name="22.07 Munyonyo-Kibuye" sheetId="94" r:id="rId2"/>
    <sheet name="23.07 Kibuye-Munyonyo" sheetId="95" r:id="rId3"/>
    <sheet name="23.07 Munyonyo-Kibuye" sheetId="96" r:id="rId4"/>
    <sheet name="24.07 Kibuye-Munyonyo" sheetId="97" r:id="rId5"/>
    <sheet name="24.07 Munyonyo-Kibuye" sheetId="98" r:id="rId6"/>
    <sheet name="25.07 Kibuye-Munyonyo" sheetId="99" r:id="rId7"/>
    <sheet name="25.07 Munyonyo-Kibuye" sheetId="100" r:id="rId8"/>
    <sheet name="26.07 Kibuye-Munyonyo-24h" sheetId="101" r:id="rId9"/>
    <sheet name="26.07 Munyonyo-Kibuye-24h" sheetId="109" r:id="rId10"/>
    <sheet name="27.07 Kibuye-Munyonyo-24h" sheetId="105" r:id="rId11"/>
    <sheet name="27.07 Munyonyo-Kibuye-24h" sheetId="110" r:id="rId12"/>
    <sheet name="28.07 Kibuye-Munyonyo" sheetId="103" r:id="rId13"/>
    <sheet name="28.07 Munyonyo-Kibuye" sheetId="104" r:id="rId14"/>
    <sheet name="Avg Week Kibuye-Munyonyo" sheetId="107" r:id="rId15"/>
    <sheet name="Avg Week Munyonyo-Kibuye" sheetId="108" r:id="rId16"/>
    <sheet name="Avg Week Munyonyo-Kibuye-2Dir" sheetId="111" r:id="rId17"/>
  </sheets>
  <definedNames>
    <definedName name="_xlnm.Print_Area" localSheetId="0">'22.07 Kibuye-Munyonyo'!$A$1:$AF$60</definedName>
    <definedName name="_xlnm.Print_Area" localSheetId="1">'22.07 Munyonyo-Kibuye'!$A$1:$AF$60</definedName>
    <definedName name="_xlnm.Print_Area" localSheetId="2">'23.07 Kibuye-Munyonyo'!$A$1:$AF$60</definedName>
    <definedName name="_xlnm.Print_Area" localSheetId="3">'23.07 Munyonyo-Kibuye'!$A$1:$AF$60</definedName>
    <definedName name="_xlnm.Print_Area" localSheetId="4">'24.07 Kibuye-Munyonyo'!$A$1:$AF$60</definedName>
    <definedName name="_xlnm.Print_Area" localSheetId="5">'24.07 Munyonyo-Kibuye'!$A$1:$AF$60</definedName>
    <definedName name="_xlnm.Print_Area" localSheetId="6">'25.07 Kibuye-Munyonyo'!$A$1:$AF$60</definedName>
    <definedName name="_xlnm.Print_Area" localSheetId="7">'25.07 Munyonyo-Kibuye'!$A$1:$AF$60</definedName>
    <definedName name="_xlnm.Print_Area" localSheetId="8">'26.07 Kibuye-Munyonyo-24h'!$A$1:$AF$108</definedName>
    <definedName name="_xlnm.Print_Area" localSheetId="9">'26.07 Munyonyo-Kibuye-24h'!$A$1:$AF$108</definedName>
    <definedName name="_xlnm.Print_Area" localSheetId="10">'27.07 Kibuye-Munyonyo-24h'!$A$1:$AF$108</definedName>
    <definedName name="_xlnm.Print_Area" localSheetId="11">'27.07 Munyonyo-Kibuye-24h'!$A$1:$AF$108</definedName>
    <definedName name="_xlnm.Print_Area" localSheetId="12">'28.07 Kibuye-Munyonyo'!$A$1:$AF$60</definedName>
    <definedName name="_xlnm.Print_Area" localSheetId="13">'28.07 Munyonyo-Kibuye'!$A$1:$AF$60</definedName>
    <definedName name="_xlnm.Print_Area" localSheetId="14">'Avg Week Kibuye-Munyonyo'!$A$1:$AF$108</definedName>
    <definedName name="_xlnm.Print_Area" localSheetId="15">'Avg Week Munyonyo-Kibuye'!$A$1:$AF$108</definedName>
    <definedName name="_xlnm.Print_Area" localSheetId="16">'Avg Week Munyonyo-Kibuye-2Dir'!$A$1:$AF$108</definedName>
    <definedName name="_xlnm.Print_Titles" localSheetId="0">'22.07 Kibuye-Munyonyo'!$1:$8</definedName>
    <definedName name="_xlnm.Print_Titles" localSheetId="1">'22.07 Munyonyo-Kibuye'!$1:$8</definedName>
    <definedName name="_xlnm.Print_Titles" localSheetId="2">'23.07 Kibuye-Munyonyo'!$1:$8</definedName>
    <definedName name="_xlnm.Print_Titles" localSheetId="3">'23.07 Munyonyo-Kibuye'!$1:$8</definedName>
    <definedName name="_xlnm.Print_Titles" localSheetId="4">'24.07 Kibuye-Munyonyo'!$1:$8</definedName>
    <definedName name="_xlnm.Print_Titles" localSheetId="5">'24.07 Munyonyo-Kibuye'!$1:$8</definedName>
    <definedName name="_xlnm.Print_Titles" localSheetId="6">'25.07 Kibuye-Munyonyo'!$1:$8</definedName>
    <definedName name="_xlnm.Print_Titles" localSheetId="7">'25.07 Munyonyo-Kibuye'!$1:$8</definedName>
    <definedName name="_xlnm.Print_Titles" localSheetId="8">'26.07 Kibuye-Munyonyo-24h'!$1:$8</definedName>
    <definedName name="_xlnm.Print_Titles" localSheetId="9">'26.07 Munyonyo-Kibuye-24h'!$1:$8</definedName>
    <definedName name="_xlnm.Print_Titles" localSheetId="10">'27.07 Kibuye-Munyonyo-24h'!$1:$8</definedName>
    <definedName name="_xlnm.Print_Titles" localSheetId="11">'27.07 Munyonyo-Kibuye-24h'!$1:$8</definedName>
    <definedName name="_xlnm.Print_Titles" localSheetId="12">'28.07 Kibuye-Munyonyo'!$1:$8</definedName>
    <definedName name="_xlnm.Print_Titles" localSheetId="13">'28.07 Munyonyo-Kibuye'!$1:$8</definedName>
    <definedName name="_xlnm.Print_Titles" localSheetId="14">'Avg Week Kibuye-Munyonyo'!$1:$8</definedName>
    <definedName name="_xlnm.Print_Titles" localSheetId="15">'Avg Week Munyonyo-Kibuye'!$1:$8</definedName>
    <definedName name="_xlnm.Print_Titles" localSheetId="16">'Avg Week Munyonyo-Kibuye-2Dir'!$1:$8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36" i="111" l="1"/>
  <c r="S13" i="111"/>
  <c r="S11" i="111"/>
  <c r="T41" i="108" l="1"/>
  <c r="U41" i="108"/>
  <c r="U42" i="108" s="1"/>
  <c r="V41" i="108"/>
  <c r="V42" i="108" s="1"/>
  <c r="W41" i="108"/>
  <c r="X41" i="108"/>
  <c r="Y41" i="108"/>
  <c r="Z41" i="108"/>
  <c r="AA41" i="108"/>
  <c r="AA42" i="108" s="1"/>
  <c r="AB41" i="108"/>
  <c r="AC41" i="108"/>
  <c r="AD41" i="108"/>
  <c r="AD42" i="108" s="1"/>
  <c r="S41" i="108"/>
  <c r="S42" i="108" s="1"/>
  <c r="T41" i="107"/>
  <c r="U41" i="107"/>
  <c r="U42" i="107" s="1"/>
  <c r="V41" i="107"/>
  <c r="V42" i="107" s="1"/>
  <c r="W41" i="107"/>
  <c r="X41" i="107"/>
  <c r="Y41" i="107"/>
  <c r="Z41" i="107"/>
  <c r="AA41" i="107"/>
  <c r="AA42" i="107" s="1"/>
  <c r="AB41" i="107"/>
  <c r="AC41" i="107"/>
  <c r="AC42" i="107" s="1"/>
  <c r="AD41" i="107"/>
  <c r="AD42" i="107" s="1"/>
  <c r="S41" i="107"/>
  <c r="W22" i="111"/>
  <c r="Z22" i="111"/>
  <c r="AA22" i="111"/>
  <c r="V23" i="111"/>
  <c r="Z23" i="111"/>
  <c r="AD23" i="111"/>
  <c r="T25" i="111"/>
  <c r="AA25" i="111"/>
  <c r="AB25" i="111"/>
  <c r="V26" i="111"/>
  <c r="W26" i="111"/>
  <c r="AA26" i="111"/>
  <c r="AD26" i="111"/>
  <c r="V27" i="111"/>
  <c r="Z27" i="111"/>
  <c r="AD27" i="111"/>
  <c r="X29" i="111"/>
  <c r="AA30" i="111"/>
  <c r="V31" i="111"/>
  <c r="AD31" i="111"/>
  <c r="T33" i="111"/>
  <c r="AB33" i="111"/>
  <c r="D106" i="108"/>
  <c r="E106" i="108"/>
  <c r="F106" i="108"/>
  <c r="G106" i="108"/>
  <c r="H106" i="108"/>
  <c r="I106" i="108"/>
  <c r="J106" i="108"/>
  <c r="K106" i="108"/>
  <c r="L106" i="108"/>
  <c r="M106" i="108"/>
  <c r="N106" i="108"/>
  <c r="O106" i="108"/>
  <c r="P106" i="108"/>
  <c r="C106" i="108"/>
  <c r="D106" i="107"/>
  <c r="E106" i="107"/>
  <c r="F106" i="107"/>
  <c r="G106" i="107"/>
  <c r="H106" i="107"/>
  <c r="I106" i="107"/>
  <c r="J106" i="107"/>
  <c r="K106" i="107"/>
  <c r="L106" i="107"/>
  <c r="M106" i="107"/>
  <c r="N106" i="107"/>
  <c r="O106" i="107"/>
  <c r="P106" i="107"/>
  <c r="C106" i="107"/>
  <c r="C58" i="111"/>
  <c r="D58" i="111"/>
  <c r="T22" i="111" s="1"/>
  <c r="E58" i="111"/>
  <c r="U22" i="111" s="1"/>
  <c r="F58" i="111"/>
  <c r="V22" i="111" s="1"/>
  <c r="G58" i="111"/>
  <c r="H58" i="111"/>
  <c r="X22" i="111" s="1"/>
  <c r="I58" i="111"/>
  <c r="Y22" i="111" s="1"/>
  <c r="J58" i="111"/>
  <c r="K58" i="111"/>
  <c r="L58" i="111"/>
  <c r="AB22" i="111" s="1"/>
  <c r="M58" i="111"/>
  <c r="AC22" i="111" s="1"/>
  <c r="N58" i="111"/>
  <c r="AD22" i="111" s="1"/>
  <c r="C59" i="111"/>
  <c r="D59" i="111"/>
  <c r="E59" i="111"/>
  <c r="F59" i="111"/>
  <c r="G59" i="111"/>
  <c r="H59" i="111"/>
  <c r="I59" i="111"/>
  <c r="J59" i="111"/>
  <c r="K59" i="111"/>
  <c r="L59" i="111"/>
  <c r="M59" i="111"/>
  <c r="N59" i="111"/>
  <c r="C60" i="111"/>
  <c r="D60" i="111"/>
  <c r="E60" i="111"/>
  <c r="F60" i="111"/>
  <c r="G60" i="111"/>
  <c r="H60" i="111"/>
  <c r="I60" i="111"/>
  <c r="J60" i="111"/>
  <c r="K60" i="111"/>
  <c r="L60" i="111"/>
  <c r="M60" i="111"/>
  <c r="N60" i="111"/>
  <c r="C61" i="111"/>
  <c r="D61" i="111"/>
  <c r="E61" i="111"/>
  <c r="F61" i="111"/>
  <c r="G61" i="111"/>
  <c r="H61" i="111"/>
  <c r="I61" i="111"/>
  <c r="J61" i="111"/>
  <c r="K61" i="111"/>
  <c r="L61" i="111"/>
  <c r="M61" i="111"/>
  <c r="N61" i="111"/>
  <c r="C62" i="111"/>
  <c r="D62" i="111"/>
  <c r="T23" i="111" s="1"/>
  <c r="E62" i="111"/>
  <c r="U23" i="111" s="1"/>
  <c r="F62" i="111"/>
  <c r="G62" i="111"/>
  <c r="W23" i="111" s="1"/>
  <c r="H62" i="111"/>
  <c r="X23" i="111" s="1"/>
  <c r="I62" i="111"/>
  <c r="Y23" i="111" s="1"/>
  <c r="J62" i="111"/>
  <c r="K62" i="111"/>
  <c r="AA23" i="111" s="1"/>
  <c r="L62" i="111"/>
  <c r="AB23" i="111" s="1"/>
  <c r="M62" i="111"/>
  <c r="AC23" i="111" s="1"/>
  <c r="N62" i="111"/>
  <c r="C63" i="111"/>
  <c r="D63" i="111"/>
  <c r="E63" i="111"/>
  <c r="F63" i="111"/>
  <c r="G63" i="111"/>
  <c r="H63" i="111"/>
  <c r="I63" i="111"/>
  <c r="J63" i="111"/>
  <c r="K63" i="111"/>
  <c r="L63" i="111"/>
  <c r="M63" i="111"/>
  <c r="N63" i="111"/>
  <c r="C64" i="111"/>
  <c r="D64" i="111"/>
  <c r="E64" i="111"/>
  <c r="F64" i="111"/>
  <c r="G64" i="111"/>
  <c r="H64" i="111"/>
  <c r="I64" i="111"/>
  <c r="J64" i="111"/>
  <c r="K64" i="111"/>
  <c r="L64" i="111"/>
  <c r="M64" i="111"/>
  <c r="N64" i="111"/>
  <c r="C65" i="111"/>
  <c r="D65" i="111"/>
  <c r="E65" i="111"/>
  <c r="P65" i="111" s="1"/>
  <c r="F65" i="111"/>
  <c r="G65" i="111"/>
  <c r="H65" i="111"/>
  <c r="I65" i="111"/>
  <c r="J65" i="111"/>
  <c r="K65" i="111"/>
  <c r="L65" i="111"/>
  <c r="M65" i="111"/>
  <c r="N65" i="111"/>
  <c r="C66" i="111"/>
  <c r="D66" i="111"/>
  <c r="T24" i="111" s="1"/>
  <c r="E66" i="111"/>
  <c r="U24" i="111" s="1"/>
  <c r="F66" i="111"/>
  <c r="V24" i="111" s="1"/>
  <c r="G66" i="111"/>
  <c r="W24" i="111" s="1"/>
  <c r="H66" i="111"/>
  <c r="X24" i="111" s="1"/>
  <c r="I66" i="111"/>
  <c r="Y24" i="111" s="1"/>
  <c r="J66" i="111"/>
  <c r="Z24" i="111" s="1"/>
  <c r="K66" i="111"/>
  <c r="AA24" i="111" s="1"/>
  <c r="L66" i="111"/>
  <c r="AB24" i="111" s="1"/>
  <c r="M66" i="111"/>
  <c r="AC24" i="111" s="1"/>
  <c r="N66" i="111"/>
  <c r="AD24" i="111" s="1"/>
  <c r="C67" i="111"/>
  <c r="D67" i="111"/>
  <c r="E67" i="111"/>
  <c r="F67" i="111"/>
  <c r="G67" i="111"/>
  <c r="H67" i="111"/>
  <c r="I67" i="111"/>
  <c r="J67" i="111"/>
  <c r="K67" i="111"/>
  <c r="L67" i="111"/>
  <c r="M67" i="111"/>
  <c r="N67" i="111"/>
  <c r="C68" i="111"/>
  <c r="D68" i="111"/>
  <c r="E68" i="111"/>
  <c r="F68" i="111"/>
  <c r="G68" i="111"/>
  <c r="H68" i="111"/>
  <c r="I68" i="111"/>
  <c r="J68" i="111"/>
  <c r="K68" i="111"/>
  <c r="L68" i="111"/>
  <c r="M68" i="111"/>
  <c r="N68" i="111"/>
  <c r="C69" i="111"/>
  <c r="D69" i="111"/>
  <c r="E69" i="111"/>
  <c r="P69" i="111" s="1"/>
  <c r="F69" i="111"/>
  <c r="G69" i="111"/>
  <c r="H69" i="111"/>
  <c r="I69" i="111"/>
  <c r="J69" i="111"/>
  <c r="K69" i="111"/>
  <c r="L69" i="111"/>
  <c r="M69" i="111"/>
  <c r="N69" i="111"/>
  <c r="C70" i="111"/>
  <c r="D70" i="111"/>
  <c r="E70" i="111"/>
  <c r="U25" i="111" s="1"/>
  <c r="F70" i="111"/>
  <c r="V25" i="111" s="1"/>
  <c r="G70" i="111"/>
  <c r="W25" i="111" s="1"/>
  <c r="H70" i="111"/>
  <c r="X25" i="111" s="1"/>
  <c r="I70" i="111"/>
  <c r="Y25" i="111" s="1"/>
  <c r="J70" i="111"/>
  <c r="Z25" i="111" s="1"/>
  <c r="K70" i="111"/>
  <c r="L70" i="111"/>
  <c r="M70" i="111"/>
  <c r="AC25" i="111" s="1"/>
  <c r="N70" i="111"/>
  <c r="AD25" i="111" s="1"/>
  <c r="C71" i="111"/>
  <c r="D71" i="111"/>
  <c r="E71" i="111"/>
  <c r="F71" i="111"/>
  <c r="G71" i="111"/>
  <c r="H71" i="111"/>
  <c r="I71" i="111"/>
  <c r="J71" i="111"/>
  <c r="K71" i="111"/>
  <c r="L71" i="111"/>
  <c r="M71" i="111"/>
  <c r="N71" i="111"/>
  <c r="C72" i="111"/>
  <c r="D72" i="111"/>
  <c r="E72" i="111"/>
  <c r="F72" i="111"/>
  <c r="G72" i="111"/>
  <c r="H72" i="111"/>
  <c r="I72" i="111"/>
  <c r="J72" i="111"/>
  <c r="K72" i="111"/>
  <c r="L72" i="111"/>
  <c r="M72" i="111"/>
  <c r="N72" i="111"/>
  <c r="C73" i="111"/>
  <c r="D73" i="111"/>
  <c r="E73" i="111"/>
  <c r="P73" i="111" s="1"/>
  <c r="F73" i="111"/>
  <c r="G73" i="111"/>
  <c r="H73" i="111"/>
  <c r="I73" i="111"/>
  <c r="J73" i="111"/>
  <c r="K73" i="111"/>
  <c r="L73" i="111"/>
  <c r="M73" i="111"/>
  <c r="N73" i="111"/>
  <c r="C74" i="111"/>
  <c r="S26" i="111" s="1"/>
  <c r="D74" i="111"/>
  <c r="T26" i="111" s="1"/>
  <c r="E74" i="111"/>
  <c r="U26" i="111" s="1"/>
  <c r="F74" i="111"/>
  <c r="G74" i="111"/>
  <c r="H74" i="111"/>
  <c r="X26" i="111" s="1"/>
  <c r="I74" i="111"/>
  <c r="Y26" i="111" s="1"/>
  <c r="J74" i="111"/>
  <c r="Z26" i="111" s="1"/>
  <c r="K74" i="111"/>
  <c r="L74" i="111"/>
  <c r="AB26" i="111" s="1"/>
  <c r="M74" i="111"/>
  <c r="AC26" i="111" s="1"/>
  <c r="N74" i="111"/>
  <c r="C75" i="111"/>
  <c r="D75" i="111"/>
  <c r="E75" i="111"/>
  <c r="F75" i="111"/>
  <c r="G75" i="111"/>
  <c r="H75" i="111"/>
  <c r="I75" i="111"/>
  <c r="J75" i="111"/>
  <c r="K75" i="111"/>
  <c r="L75" i="111"/>
  <c r="M75" i="111"/>
  <c r="N75" i="111"/>
  <c r="C76" i="111"/>
  <c r="D76" i="111"/>
  <c r="E76" i="111"/>
  <c r="F76" i="111"/>
  <c r="G76" i="111"/>
  <c r="H76" i="111"/>
  <c r="I76" i="111"/>
  <c r="J76" i="111"/>
  <c r="K76" i="111"/>
  <c r="L76" i="111"/>
  <c r="M76" i="111"/>
  <c r="N76" i="111"/>
  <c r="C77" i="111"/>
  <c r="D77" i="111"/>
  <c r="P77" i="111" s="1"/>
  <c r="E77" i="111"/>
  <c r="F77" i="111"/>
  <c r="G77" i="111"/>
  <c r="H77" i="111"/>
  <c r="I77" i="111"/>
  <c r="J77" i="111"/>
  <c r="K77" i="111"/>
  <c r="L77" i="111"/>
  <c r="M77" i="111"/>
  <c r="N77" i="111"/>
  <c r="C78" i="111"/>
  <c r="D78" i="111"/>
  <c r="T27" i="111" s="1"/>
  <c r="E78" i="111"/>
  <c r="U27" i="111" s="1"/>
  <c r="F78" i="111"/>
  <c r="G78" i="111"/>
  <c r="W27" i="111" s="1"/>
  <c r="H78" i="111"/>
  <c r="X27" i="111" s="1"/>
  <c r="I78" i="111"/>
  <c r="Y27" i="111" s="1"/>
  <c r="J78" i="111"/>
  <c r="K78" i="111"/>
  <c r="AA27" i="111" s="1"/>
  <c r="L78" i="111"/>
  <c r="AB27" i="111" s="1"/>
  <c r="M78" i="111"/>
  <c r="AC27" i="111" s="1"/>
  <c r="N78" i="111"/>
  <c r="C79" i="111"/>
  <c r="D79" i="111"/>
  <c r="E79" i="111"/>
  <c r="F79" i="111"/>
  <c r="G79" i="111"/>
  <c r="H79" i="111"/>
  <c r="I79" i="111"/>
  <c r="J79" i="111"/>
  <c r="K79" i="111"/>
  <c r="L79" i="111"/>
  <c r="M79" i="111"/>
  <c r="N79" i="111"/>
  <c r="C80" i="111"/>
  <c r="D80" i="111"/>
  <c r="E80" i="111"/>
  <c r="F80" i="111"/>
  <c r="G80" i="111"/>
  <c r="H80" i="111"/>
  <c r="I80" i="111"/>
  <c r="J80" i="111"/>
  <c r="K80" i="111"/>
  <c r="L80" i="111"/>
  <c r="M80" i="111"/>
  <c r="N80" i="111"/>
  <c r="C81" i="111"/>
  <c r="D81" i="111"/>
  <c r="E81" i="111"/>
  <c r="P81" i="111" s="1"/>
  <c r="F81" i="111"/>
  <c r="G81" i="111"/>
  <c r="H81" i="111"/>
  <c r="I81" i="111"/>
  <c r="J81" i="111"/>
  <c r="K81" i="111"/>
  <c r="L81" i="111"/>
  <c r="M81" i="111"/>
  <c r="N81" i="111"/>
  <c r="C82" i="111"/>
  <c r="D82" i="111"/>
  <c r="E82" i="111"/>
  <c r="F82" i="111"/>
  <c r="V28" i="111" s="1"/>
  <c r="G82" i="111"/>
  <c r="W28" i="111" s="1"/>
  <c r="H82" i="111"/>
  <c r="X28" i="111" s="1"/>
  <c r="I82" i="111"/>
  <c r="Y28" i="111" s="1"/>
  <c r="J82" i="111"/>
  <c r="Z28" i="111" s="1"/>
  <c r="K82" i="111"/>
  <c r="AA28" i="111" s="1"/>
  <c r="L82" i="111"/>
  <c r="M82" i="111"/>
  <c r="N82" i="111"/>
  <c r="AD28" i="111" s="1"/>
  <c r="C83" i="111"/>
  <c r="D83" i="111"/>
  <c r="T28" i="111" s="1"/>
  <c r="E83" i="111"/>
  <c r="U28" i="111" s="1"/>
  <c r="F83" i="111"/>
  <c r="G83" i="111"/>
  <c r="H83" i="111"/>
  <c r="I83" i="111"/>
  <c r="J83" i="111"/>
  <c r="K83" i="111"/>
  <c r="L83" i="111"/>
  <c r="AB28" i="111" s="1"/>
  <c r="M83" i="111"/>
  <c r="AC28" i="111" s="1"/>
  <c r="N83" i="111"/>
  <c r="C84" i="111"/>
  <c r="D84" i="111"/>
  <c r="E84" i="111"/>
  <c r="F84" i="111"/>
  <c r="G84" i="111"/>
  <c r="H84" i="111"/>
  <c r="I84" i="111"/>
  <c r="J84" i="111"/>
  <c r="K84" i="111"/>
  <c r="L84" i="111"/>
  <c r="M84" i="111"/>
  <c r="N84" i="111"/>
  <c r="C85" i="111"/>
  <c r="D85" i="111"/>
  <c r="P85" i="111" s="1"/>
  <c r="E85" i="111"/>
  <c r="F85" i="111"/>
  <c r="G85" i="111"/>
  <c r="H85" i="111"/>
  <c r="I85" i="111"/>
  <c r="J85" i="111"/>
  <c r="K85" i="111"/>
  <c r="L85" i="111"/>
  <c r="M85" i="111"/>
  <c r="N85" i="111"/>
  <c r="C86" i="111"/>
  <c r="D86" i="111"/>
  <c r="E86" i="111"/>
  <c r="U29" i="111" s="1"/>
  <c r="F86" i="111"/>
  <c r="V29" i="111" s="1"/>
  <c r="G86" i="111"/>
  <c r="H86" i="111"/>
  <c r="I86" i="111"/>
  <c r="Y29" i="111" s="1"/>
  <c r="J86" i="111"/>
  <c r="Z29" i="111" s="1"/>
  <c r="K86" i="111"/>
  <c r="AA29" i="111" s="1"/>
  <c r="L86" i="111"/>
  <c r="M86" i="111"/>
  <c r="AC29" i="111" s="1"/>
  <c r="N86" i="111"/>
  <c r="AD29" i="111" s="1"/>
  <c r="C87" i="111"/>
  <c r="D87" i="111"/>
  <c r="T29" i="111" s="1"/>
  <c r="E87" i="111"/>
  <c r="F87" i="111"/>
  <c r="G87" i="111"/>
  <c r="H87" i="111"/>
  <c r="I87" i="111"/>
  <c r="J87" i="111"/>
  <c r="K87" i="111"/>
  <c r="L87" i="111"/>
  <c r="AB29" i="111" s="1"/>
  <c r="M87" i="111"/>
  <c r="N87" i="111"/>
  <c r="C88" i="111"/>
  <c r="D88" i="111"/>
  <c r="E88" i="111"/>
  <c r="F88" i="111"/>
  <c r="G88" i="111"/>
  <c r="W29" i="111" s="1"/>
  <c r="H88" i="111"/>
  <c r="I88" i="111"/>
  <c r="J88" i="111"/>
  <c r="K88" i="111"/>
  <c r="L88" i="111"/>
  <c r="M88" i="111"/>
  <c r="N88" i="111"/>
  <c r="C89" i="111"/>
  <c r="D89" i="111"/>
  <c r="E89" i="111"/>
  <c r="F89" i="111"/>
  <c r="G89" i="111"/>
  <c r="H89" i="111"/>
  <c r="I89" i="111"/>
  <c r="J89" i="111"/>
  <c r="K89" i="111"/>
  <c r="L89" i="111"/>
  <c r="M89" i="111"/>
  <c r="N89" i="111"/>
  <c r="C90" i="111"/>
  <c r="D90" i="111"/>
  <c r="T30" i="111" s="1"/>
  <c r="E90" i="111"/>
  <c r="U30" i="111" s="1"/>
  <c r="F90" i="111"/>
  <c r="V30" i="111" s="1"/>
  <c r="G90" i="111"/>
  <c r="W30" i="111" s="1"/>
  <c r="H90" i="111"/>
  <c r="X30" i="111" s="1"/>
  <c r="I90" i="111"/>
  <c r="Y30" i="111" s="1"/>
  <c r="J90" i="111"/>
  <c r="Z30" i="111" s="1"/>
  <c r="K90" i="111"/>
  <c r="L90" i="111"/>
  <c r="AB30" i="111" s="1"/>
  <c r="M90" i="111"/>
  <c r="AC30" i="111" s="1"/>
  <c r="N90" i="111"/>
  <c r="AD30" i="111" s="1"/>
  <c r="C91" i="111"/>
  <c r="D91" i="111"/>
  <c r="E91" i="111"/>
  <c r="F91" i="111"/>
  <c r="G91" i="111"/>
  <c r="H91" i="111"/>
  <c r="I91" i="111"/>
  <c r="J91" i="111"/>
  <c r="K91" i="111"/>
  <c r="L91" i="111"/>
  <c r="M91" i="111"/>
  <c r="N91" i="111"/>
  <c r="C92" i="111"/>
  <c r="D92" i="111"/>
  <c r="E92" i="111"/>
  <c r="F92" i="111"/>
  <c r="G92" i="111"/>
  <c r="H92" i="111"/>
  <c r="I92" i="111"/>
  <c r="J92" i="111"/>
  <c r="K92" i="111"/>
  <c r="L92" i="111"/>
  <c r="M92" i="111"/>
  <c r="N92" i="111"/>
  <c r="C93" i="111"/>
  <c r="D93" i="111"/>
  <c r="E93" i="111"/>
  <c r="F93" i="111"/>
  <c r="G93" i="111"/>
  <c r="H93" i="111"/>
  <c r="I93" i="111"/>
  <c r="J93" i="111"/>
  <c r="K93" i="111"/>
  <c r="L93" i="111"/>
  <c r="M93" i="111"/>
  <c r="N93" i="111"/>
  <c r="C94" i="111"/>
  <c r="D94" i="111"/>
  <c r="T31" i="111" s="1"/>
  <c r="E94" i="111"/>
  <c r="U31" i="111" s="1"/>
  <c r="F94" i="111"/>
  <c r="G94" i="111"/>
  <c r="W31" i="111" s="1"/>
  <c r="H94" i="111"/>
  <c r="X31" i="111" s="1"/>
  <c r="I94" i="111"/>
  <c r="Y31" i="111" s="1"/>
  <c r="J94" i="111"/>
  <c r="Z31" i="111" s="1"/>
  <c r="K94" i="111"/>
  <c r="AA31" i="111" s="1"/>
  <c r="L94" i="111"/>
  <c r="AB31" i="111" s="1"/>
  <c r="M94" i="111"/>
  <c r="AC31" i="111" s="1"/>
  <c r="N94" i="111"/>
  <c r="C95" i="111"/>
  <c r="D95" i="111"/>
  <c r="E95" i="111"/>
  <c r="F95" i="111"/>
  <c r="G95" i="111"/>
  <c r="H95" i="111"/>
  <c r="I95" i="111"/>
  <c r="J95" i="111"/>
  <c r="K95" i="111"/>
  <c r="L95" i="111"/>
  <c r="M95" i="111"/>
  <c r="N95" i="111"/>
  <c r="C96" i="111"/>
  <c r="D96" i="111"/>
  <c r="E96" i="111"/>
  <c r="F96" i="111"/>
  <c r="G96" i="111"/>
  <c r="H96" i="111"/>
  <c r="I96" i="111"/>
  <c r="J96" i="111"/>
  <c r="K96" i="111"/>
  <c r="L96" i="111"/>
  <c r="M96" i="111"/>
  <c r="N96" i="111"/>
  <c r="C97" i="111"/>
  <c r="D97" i="111"/>
  <c r="E97" i="111"/>
  <c r="F97" i="111"/>
  <c r="G97" i="111"/>
  <c r="H97" i="111"/>
  <c r="I97" i="111"/>
  <c r="J97" i="111"/>
  <c r="K97" i="111"/>
  <c r="L97" i="111"/>
  <c r="M97" i="111"/>
  <c r="N97" i="111"/>
  <c r="C98" i="111"/>
  <c r="D98" i="111"/>
  <c r="T32" i="111" s="1"/>
  <c r="E98" i="111"/>
  <c r="F98" i="111"/>
  <c r="V32" i="111" s="1"/>
  <c r="G98" i="111"/>
  <c r="W32" i="111" s="1"/>
  <c r="H98" i="111"/>
  <c r="X32" i="111" s="1"/>
  <c r="I98" i="111"/>
  <c r="Y32" i="111" s="1"/>
  <c r="J98" i="111"/>
  <c r="Z32" i="111" s="1"/>
  <c r="K98" i="111"/>
  <c r="AA32" i="111" s="1"/>
  <c r="L98" i="111"/>
  <c r="AB32" i="111" s="1"/>
  <c r="M98" i="111"/>
  <c r="AC32" i="111" s="1"/>
  <c r="N98" i="111"/>
  <c r="AD32" i="111" s="1"/>
  <c r="C99" i="111"/>
  <c r="D99" i="111"/>
  <c r="E99" i="111"/>
  <c r="F99" i="111"/>
  <c r="G99" i="111"/>
  <c r="H99" i="111"/>
  <c r="I99" i="111"/>
  <c r="J99" i="111"/>
  <c r="K99" i="111"/>
  <c r="L99" i="111"/>
  <c r="M99" i="111"/>
  <c r="N99" i="111"/>
  <c r="C100" i="111"/>
  <c r="D100" i="111"/>
  <c r="E100" i="111"/>
  <c r="F100" i="111"/>
  <c r="G100" i="111"/>
  <c r="H100" i="111"/>
  <c r="I100" i="111"/>
  <c r="J100" i="111"/>
  <c r="K100" i="111"/>
  <c r="L100" i="111"/>
  <c r="M100" i="111"/>
  <c r="N100" i="111"/>
  <c r="C101" i="111"/>
  <c r="D101" i="111"/>
  <c r="E101" i="111"/>
  <c r="P101" i="111" s="1"/>
  <c r="F101" i="111"/>
  <c r="G101" i="111"/>
  <c r="H101" i="111"/>
  <c r="I101" i="111"/>
  <c r="J101" i="111"/>
  <c r="K101" i="111"/>
  <c r="L101" i="111"/>
  <c r="M101" i="111"/>
  <c r="N101" i="111"/>
  <c r="C102" i="111"/>
  <c r="D102" i="111"/>
  <c r="E102" i="111"/>
  <c r="F102" i="111"/>
  <c r="V33" i="111" s="1"/>
  <c r="G102" i="111"/>
  <c r="W33" i="111" s="1"/>
  <c r="H102" i="111"/>
  <c r="X33" i="111" s="1"/>
  <c r="I102" i="111"/>
  <c r="Y33" i="111" s="1"/>
  <c r="J102" i="111"/>
  <c r="Z33" i="111" s="1"/>
  <c r="K102" i="111"/>
  <c r="AA33" i="111" s="1"/>
  <c r="L102" i="111"/>
  <c r="M102" i="111"/>
  <c r="AC33" i="111" s="1"/>
  <c r="N102" i="111"/>
  <c r="AD33" i="111" s="1"/>
  <c r="C103" i="111"/>
  <c r="D103" i="111"/>
  <c r="E103" i="111"/>
  <c r="F103" i="111"/>
  <c r="G103" i="111"/>
  <c r="H103" i="111"/>
  <c r="I103" i="111"/>
  <c r="J103" i="111"/>
  <c r="K103" i="111"/>
  <c r="L103" i="111"/>
  <c r="M103" i="111"/>
  <c r="N103" i="111"/>
  <c r="C104" i="111"/>
  <c r="D104" i="111"/>
  <c r="E104" i="111"/>
  <c r="F104" i="111"/>
  <c r="G104" i="111"/>
  <c r="H104" i="111"/>
  <c r="I104" i="111"/>
  <c r="J104" i="111"/>
  <c r="K104" i="111"/>
  <c r="L104" i="111"/>
  <c r="M104" i="111"/>
  <c r="N104" i="111"/>
  <c r="C105" i="111"/>
  <c r="D105" i="111"/>
  <c r="E105" i="111"/>
  <c r="P105" i="111" s="1"/>
  <c r="F105" i="111"/>
  <c r="G105" i="111"/>
  <c r="H105" i="111"/>
  <c r="I105" i="111"/>
  <c r="J105" i="111"/>
  <c r="K105" i="111"/>
  <c r="L105" i="111"/>
  <c r="M105" i="111"/>
  <c r="N105" i="111"/>
  <c r="Y42" i="108"/>
  <c r="AF41" i="108"/>
  <c r="AF42" i="108" s="1"/>
  <c r="AE41" i="108"/>
  <c r="AE42" i="108" s="1"/>
  <c r="AC42" i="108"/>
  <c r="AB42" i="108"/>
  <c r="Z42" i="108"/>
  <c r="X42" i="108"/>
  <c r="W42" i="108"/>
  <c r="T42" i="108"/>
  <c r="T22" i="108"/>
  <c r="U22" i="108"/>
  <c r="V22" i="108"/>
  <c r="W22" i="108"/>
  <c r="X22" i="108"/>
  <c r="Y22" i="108"/>
  <c r="Z22" i="108"/>
  <c r="AA22" i="108"/>
  <c r="AB22" i="108"/>
  <c r="AC22" i="108"/>
  <c r="AD22" i="108"/>
  <c r="AE22" i="108"/>
  <c r="AF22" i="108"/>
  <c r="T23" i="108"/>
  <c r="U23" i="108"/>
  <c r="V23" i="108"/>
  <c r="W23" i="108"/>
  <c r="X23" i="108"/>
  <c r="Y23" i="108"/>
  <c r="Z23" i="108"/>
  <c r="AA23" i="108"/>
  <c r="AB23" i="108"/>
  <c r="AC23" i="108"/>
  <c r="AD23" i="108"/>
  <c r="AE23" i="108"/>
  <c r="AF23" i="108"/>
  <c r="T24" i="108"/>
  <c r="U24" i="108"/>
  <c r="V24" i="108"/>
  <c r="W24" i="108"/>
  <c r="X24" i="108"/>
  <c r="Y24" i="108"/>
  <c r="Z24" i="108"/>
  <c r="AA24" i="108"/>
  <c r="AB24" i="108"/>
  <c r="AC24" i="108"/>
  <c r="AD24" i="108"/>
  <c r="AE24" i="108"/>
  <c r="AF24" i="108"/>
  <c r="T25" i="108"/>
  <c r="U25" i="108"/>
  <c r="V25" i="108"/>
  <c r="W25" i="108"/>
  <c r="X25" i="108"/>
  <c r="Y25" i="108"/>
  <c r="Z25" i="108"/>
  <c r="AA25" i="108"/>
  <c r="AB25" i="108"/>
  <c r="AC25" i="108"/>
  <c r="AD25" i="108"/>
  <c r="AE25" i="108"/>
  <c r="AF25" i="108"/>
  <c r="T26" i="108"/>
  <c r="U26" i="108"/>
  <c r="V26" i="108"/>
  <c r="W26" i="108"/>
  <c r="X26" i="108"/>
  <c r="Y26" i="108"/>
  <c r="Z26" i="108"/>
  <c r="AA26" i="108"/>
  <c r="AB26" i="108"/>
  <c r="AC26" i="108"/>
  <c r="AD26" i="108"/>
  <c r="AE26" i="108"/>
  <c r="AF26" i="108"/>
  <c r="T27" i="108"/>
  <c r="U27" i="108"/>
  <c r="V27" i="108"/>
  <c r="W27" i="108"/>
  <c r="X27" i="108"/>
  <c r="Y27" i="108"/>
  <c r="Z27" i="108"/>
  <c r="AA27" i="108"/>
  <c r="AB27" i="108"/>
  <c r="AC27" i="108"/>
  <c r="AD27" i="108"/>
  <c r="AE27" i="108"/>
  <c r="AF27" i="108"/>
  <c r="T28" i="108"/>
  <c r="U28" i="108"/>
  <c r="V28" i="108"/>
  <c r="W28" i="108"/>
  <c r="X28" i="108"/>
  <c r="Y28" i="108"/>
  <c r="Z28" i="108"/>
  <c r="AA28" i="108"/>
  <c r="AB28" i="108"/>
  <c r="AC28" i="108"/>
  <c r="AD28" i="108"/>
  <c r="AE28" i="108"/>
  <c r="AF28" i="108"/>
  <c r="T29" i="108"/>
  <c r="U29" i="108"/>
  <c r="V29" i="108"/>
  <c r="W29" i="108"/>
  <c r="X29" i="108"/>
  <c r="Y29" i="108"/>
  <c r="Z29" i="108"/>
  <c r="AA29" i="108"/>
  <c r="AB29" i="108"/>
  <c r="AC29" i="108"/>
  <c r="AD29" i="108"/>
  <c r="AE29" i="108"/>
  <c r="AF29" i="108"/>
  <c r="T30" i="108"/>
  <c r="U30" i="108"/>
  <c r="V30" i="108"/>
  <c r="W30" i="108"/>
  <c r="X30" i="108"/>
  <c r="Y30" i="108"/>
  <c r="Z30" i="108"/>
  <c r="AA30" i="108"/>
  <c r="AB30" i="108"/>
  <c r="AC30" i="108"/>
  <c r="AD30" i="108"/>
  <c r="AE30" i="108"/>
  <c r="AF30" i="108"/>
  <c r="T31" i="108"/>
  <c r="U31" i="108"/>
  <c r="V31" i="108"/>
  <c r="W31" i="108"/>
  <c r="X31" i="108"/>
  <c r="Y31" i="108"/>
  <c r="Z31" i="108"/>
  <c r="AA31" i="108"/>
  <c r="AB31" i="108"/>
  <c r="AC31" i="108"/>
  <c r="AD31" i="108"/>
  <c r="AE31" i="108"/>
  <c r="AF31" i="108"/>
  <c r="T32" i="108"/>
  <c r="U32" i="108"/>
  <c r="V32" i="108"/>
  <c r="W32" i="108"/>
  <c r="X32" i="108"/>
  <c r="Y32" i="108"/>
  <c r="Z32" i="108"/>
  <c r="AA32" i="108"/>
  <c r="AB32" i="108"/>
  <c r="AC32" i="108"/>
  <c r="AD32" i="108"/>
  <c r="AE32" i="108"/>
  <c r="AF32" i="108"/>
  <c r="T33" i="108"/>
  <c r="U33" i="108"/>
  <c r="V33" i="108"/>
  <c r="W33" i="108"/>
  <c r="X33" i="108"/>
  <c r="Y33" i="108"/>
  <c r="Z33" i="108"/>
  <c r="AA33" i="108"/>
  <c r="AB33" i="108"/>
  <c r="AC33" i="108"/>
  <c r="AD33" i="108"/>
  <c r="AE33" i="108"/>
  <c r="AF33" i="108"/>
  <c r="S33" i="108"/>
  <c r="S32" i="108"/>
  <c r="S31" i="108"/>
  <c r="S30" i="108"/>
  <c r="S29" i="108"/>
  <c r="S28" i="108"/>
  <c r="S27" i="108"/>
  <c r="S26" i="108"/>
  <c r="S25" i="108"/>
  <c r="S24" i="108"/>
  <c r="S23" i="108"/>
  <c r="S22" i="108"/>
  <c r="C59" i="108"/>
  <c r="D59" i="108"/>
  <c r="E59" i="108"/>
  <c r="O59" i="108" s="1"/>
  <c r="F59" i="108"/>
  <c r="G59" i="108"/>
  <c r="H59" i="108"/>
  <c r="I59" i="108"/>
  <c r="J59" i="108"/>
  <c r="K59" i="108"/>
  <c r="L59" i="108"/>
  <c r="M59" i="108"/>
  <c r="N59" i="108"/>
  <c r="C60" i="108"/>
  <c r="D60" i="108"/>
  <c r="E60" i="108"/>
  <c r="P60" i="108" s="1"/>
  <c r="F60" i="108"/>
  <c r="O60" i="108" s="1"/>
  <c r="G60" i="108"/>
  <c r="H60" i="108"/>
  <c r="I60" i="108"/>
  <c r="J60" i="108"/>
  <c r="K60" i="108"/>
  <c r="L60" i="108"/>
  <c r="M60" i="108"/>
  <c r="N60" i="108"/>
  <c r="C61" i="108"/>
  <c r="D61" i="108"/>
  <c r="E61" i="108"/>
  <c r="O61" i="108" s="1"/>
  <c r="F61" i="108"/>
  <c r="G61" i="108"/>
  <c r="H61" i="108"/>
  <c r="I61" i="108"/>
  <c r="J61" i="108"/>
  <c r="K61" i="108"/>
  <c r="L61" i="108"/>
  <c r="M61" i="108"/>
  <c r="N61" i="108"/>
  <c r="C62" i="108"/>
  <c r="D62" i="108"/>
  <c r="E62" i="108"/>
  <c r="F62" i="108"/>
  <c r="O62" i="108" s="1"/>
  <c r="G62" i="108"/>
  <c r="H62" i="108"/>
  <c r="I62" i="108"/>
  <c r="J62" i="108"/>
  <c r="K62" i="108"/>
  <c r="L62" i="108"/>
  <c r="M62" i="108"/>
  <c r="N62" i="108"/>
  <c r="C63" i="108"/>
  <c r="D63" i="108"/>
  <c r="E63" i="108"/>
  <c r="O63" i="108" s="1"/>
  <c r="F63" i="108"/>
  <c r="G63" i="108"/>
  <c r="H63" i="108"/>
  <c r="I63" i="108"/>
  <c r="J63" i="108"/>
  <c r="K63" i="108"/>
  <c r="L63" i="108"/>
  <c r="M63" i="108"/>
  <c r="N63" i="108"/>
  <c r="C64" i="108"/>
  <c r="D64" i="108"/>
  <c r="E64" i="108"/>
  <c r="P64" i="108" s="1"/>
  <c r="F64" i="108"/>
  <c r="O64" i="108" s="1"/>
  <c r="G64" i="108"/>
  <c r="H64" i="108"/>
  <c r="I64" i="108"/>
  <c r="J64" i="108"/>
  <c r="K64" i="108"/>
  <c r="L64" i="108"/>
  <c r="M64" i="108"/>
  <c r="N64" i="108"/>
  <c r="C65" i="108"/>
  <c r="D65" i="108"/>
  <c r="E65" i="108"/>
  <c r="O65" i="108" s="1"/>
  <c r="F65" i="108"/>
  <c r="G65" i="108"/>
  <c r="H65" i="108"/>
  <c r="I65" i="108"/>
  <c r="J65" i="108"/>
  <c r="K65" i="108"/>
  <c r="L65" i="108"/>
  <c r="M65" i="108"/>
  <c r="N65" i="108"/>
  <c r="C66" i="108"/>
  <c r="D66" i="108"/>
  <c r="E66" i="108"/>
  <c r="F66" i="108"/>
  <c r="O66" i="108" s="1"/>
  <c r="G66" i="108"/>
  <c r="H66" i="108"/>
  <c r="I66" i="108"/>
  <c r="J66" i="108"/>
  <c r="K66" i="108"/>
  <c r="L66" i="108"/>
  <c r="M66" i="108"/>
  <c r="N66" i="108"/>
  <c r="C67" i="108"/>
  <c r="D67" i="108"/>
  <c r="E67" i="108"/>
  <c r="O67" i="108" s="1"/>
  <c r="F67" i="108"/>
  <c r="G67" i="108"/>
  <c r="H67" i="108"/>
  <c r="I67" i="108"/>
  <c r="J67" i="108"/>
  <c r="K67" i="108"/>
  <c r="L67" i="108"/>
  <c r="M67" i="108"/>
  <c r="N67" i="108"/>
  <c r="C68" i="108"/>
  <c r="D68" i="108"/>
  <c r="E68" i="108"/>
  <c r="P68" i="108" s="1"/>
  <c r="F68" i="108"/>
  <c r="O68" i="108" s="1"/>
  <c r="G68" i="108"/>
  <c r="H68" i="108"/>
  <c r="I68" i="108"/>
  <c r="J68" i="108"/>
  <c r="K68" i="108"/>
  <c r="L68" i="108"/>
  <c r="M68" i="108"/>
  <c r="N68" i="108"/>
  <c r="C69" i="108"/>
  <c r="D69" i="108"/>
  <c r="E69" i="108"/>
  <c r="O69" i="108" s="1"/>
  <c r="F69" i="108"/>
  <c r="G69" i="108"/>
  <c r="H69" i="108"/>
  <c r="I69" i="108"/>
  <c r="J69" i="108"/>
  <c r="K69" i="108"/>
  <c r="L69" i="108"/>
  <c r="M69" i="108"/>
  <c r="N69" i="108"/>
  <c r="C70" i="108"/>
  <c r="D70" i="108"/>
  <c r="E70" i="108"/>
  <c r="F70" i="108"/>
  <c r="O70" i="108" s="1"/>
  <c r="G70" i="108"/>
  <c r="H70" i="108"/>
  <c r="I70" i="108"/>
  <c r="J70" i="108"/>
  <c r="K70" i="108"/>
  <c r="L70" i="108"/>
  <c r="M70" i="108"/>
  <c r="N70" i="108"/>
  <c r="C71" i="108"/>
  <c r="D71" i="108"/>
  <c r="E71" i="108"/>
  <c r="O71" i="108" s="1"/>
  <c r="F71" i="108"/>
  <c r="G71" i="108"/>
  <c r="H71" i="108"/>
  <c r="I71" i="108"/>
  <c r="J71" i="108"/>
  <c r="K71" i="108"/>
  <c r="L71" i="108"/>
  <c r="M71" i="108"/>
  <c r="N71" i="108"/>
  <c r="C72" i="108"/>
  <c r="D72" i="108"/>
  <c r="E72" i="108"/>
  <c r="P72" i="108" s="1"/>
  <c r="F72" i="108"/>
  <c r="O72" i="108" s="1"/>
  <c r="G72" i="108"/>
  <c r="H72" i="108"/>
  <c r="I72" i="108"/>
  <c r="J72" i="108"/>
  <c r="K72" i="108"/>
  <c r="L72" i="108"/>
  <c r="M72" i="108"/>
  <c r="N72" i="108"/>
  <c r="C73" i="108"/>
  <c r="D73" i="108"/>
  <c r="E73" i="108"/>
  <c r="O73" i="108" s="1"/>
  <c r="F73" i="108"/>
  <c r="G73" i="108"/>
  <c r="H73" i="108"/>
  <c r="I73" i="108"/>
  <c r="J73" i="108"/>
  <c r="K73" i="108"/>
  <c r="L73" i="108"/>
  <c r="M73" i="108"/>
  <c r="N73" i="108"/>
  <c r="C74" i="108"/>
  <c r="D74" i="108"/>
  <c r="E74" i="108"/>
  <c r="F74" i="108"/>
  <c r="O74" i="108" s="1"/>
  <c r="G74" i="108"/>
  <c r="H74" i="108"/>
  <c r="I74" i="108"/>
  <c r="J74" i="108"/>
  <c r="K74" i="108"/>
  <c r="L74" i="108"/>
  <c r="M74" i="108"/>
  <c r="N74" i="108"/>
  <c r="C75" i="108"/>
  <c r="D75" i="108"/>
  <c r="E75" i="108"/>
  <c r="O75" i="108" s="1"/>
  <c r="F75" i="108"/>
  <c r="G75" i="108"/>
  <c r="H75" i="108"/>
  <c r="I75" i="108"/>
  <c r="J75" i="108"/>
  <c r="K75" i="108"/>
  <c r="L75" i="108"/>
  <c r="M75" i="108"/>
  <c r="N75" i="108"/>
  <c r="C76" i="108"/>
  <c r="D76" i="108"/>
  <c r="E76" i="108"/>
  <c r="P76" i="108" s="1"/>
  <c r="F76" i="108"/>
  <c r="O76" i="108" s="1"/>
  <c r="G76" i="108"/>
  <c r="H76" i="108"/>
  <c r="I76" i="108"/>
  <c r="J76" i="108"/>
  <c r="K76" i="108"/>
  <c r="L76" i="108"/>
  <c r="M76" i="108"/>
  <c r="N76" i="108"/>
  <c r="C77" i="108"/>
  <c r="D77" i="108"/>
  <c r="E77" i="108"/>
  <c r="O77" i="108" s="1"/>
  <c r="F77" i="108"/>
  <c r="G77" i="108"/>
  <c r="H77" i="108"/>
  <c r="I77" i="108"/>
  <c r="J77" i="108"/>
  <c r="K77" i="108"/>
  <c r="L77" i="108"/>
  <c r="M77" i="108"/>
  <c r="N77" i="108"/>
  <c r="C78" i="108"/>
  <c r="D78" i="108"/>
  <c r="E78" i="108"/>
  <c r="F78" i="108"/>
  <c r="O78" i="108" s="1"/>
  <c r="G78" i="108"/>
  <c r="H78" i="108"/>
  <c r="I78" i="108"/>
  <c r="J78" i="108"/>
  <c r="K78" i="108"/>
  <c r="L78" i="108"/>
  <c r="M78" i="108"/>
  <c r="N78" i="108"/>
  <c r="C79" i="108"/>
  <c r="D79" i="108"/>
  <c r="E79" i="108"/>
  <c r="O79" i="108" s="1"/>
  <c r="F79" i="108"/>
  <c r="G79" i="108"/>
  <c r="H79" i="108"/>
  <c r="I79" i="108"/>
  <c r="J79" i="108"/>
  <c r="K79" i="108"/>
  <c r="L79" i="108"/>
  <c r="M79" i="108"/>
  <c r="N79" i="108"/>
  <c r="C80" i="108"/>
  <c r="D80" i="108"/>
  <c r="E80" i="108"/>
  <c r="P80" i="108" s="1"/>
  <c r="F80" i="108"/>
  <c r="O80" i="108" s="1"/>
  <c r="G80" i="108"/>
  <c r="H80" i="108"/>
  <c r="I80" i="108"/>
  <c r="J80" i="108"/>
  <c r="K80" i="108"/>
  <c r="L80" i="108"/>
  <c r="M80" i="108"/>
  <c r="N80" i="108"/>
  <c r="C81" i="108"/>
  <c r="D81" i="108"/>
  <c r="E81" i="108"/>
  <c r="O81" i="108" s="1"/>
  <c r="F81" i="108"/>
  <c r="G81" i="108"/>
  <c r="H81" i="108"/>
  <c r="I81" i="108"/>
  <c r="J81" i="108"/>
  <c r="K81" i="108"/>
  <c r="L81" i="108"/>
  <c r="M81" i="108"/>
  <c r="N81" i="108"/>
  <c r="C82" i="108"/>
  <c r="D82" i="108"/>
  <c r="E82" i="108"/>
  <c r="F82" i="108"/>
  <c r="O82" i="108" s="1"/>
  <c r="G82" i="108"/>
  <c r="H82" i="108"/>
  <c r="I82" i="108"/>
  <c r="J82" i="108"/>
  <c r="K82" i="108"/>
  <c r="L82" i="108"/>
  <c r="M82" i="108"/>
  <c r="N82" i="108"/>
  <c r="C83" i="108"/>
  <c r="D83" i="108"/>
  <c r="E83" i="108"/>
  <c r="O83" i="108" s="1"/>
  <c r="F83" i="108"/>
  <c r="G83" i="108"/>
  <c r="H83" i="108"/>
  <c r="I83" i="108"/>
  <c r="J83" i="108"/>
  <c r="K83" i="108"/>
  <c r="L83" i="108"/>
  <c r="M83" i="108"/>
  <c r="N83" i="108"/>
  <c r="C84" i="108"/>
  <c r="D84" i="108"/>
  <c r="E84" i="108"/>
  <c r="P84" i="108" s="1"/>
  <c r="F84" i="108"/>
  <c r="O84" i="108" s="1"/>
  <c r="G84" i="108"/>
  <c r="H84" i="108"/>
  <c r="I84" i="108"/>
  <c r="J84" i="108"/>
  <c r="K84" i="108"/>
  <c r="L84" i="108"/>
  <c r="M84" i="108"/>
  <c r="N84" i="108"/>
  <c r="C85" i="108"/>
  <c r="D85" i="108"/>
  <c r="E85" i="108"/>
  <c r="O85" i="108" s="1"/>
  <c r="F85" i="108"/>
  <c r="G85" i="108"/>
  <c r="H85" i="108"/>
  <c r="I85" i="108"/>
  <c r="J85" i="108"/>
  <c r="K85" i="108"/>
  <c r="L85" i="108"/>
  <c r="M85" i="108"/>
  <c r="N85" i="108"/>
  <c r="C86" i="108"/>
  <c r="D86" i="108"/>
  <c r="E86" i="108"/>
  <c r="F86" i="108"/>
  <c r="O86" i="108" s="1"/>
  <c r="G86" i="108"/>
  <c r="H86" i="108"/>
  <c r="I86" i="108"/>
  <c r="J86" i="108"/>
  <c r="K86" i="108"/>
  <c r="L86" i="108"/>
  <c r="M86" i="108"/>
  <c r="N86" i="108"/>
  <c r="C87" i="108"/>
  <c r="D87" i="108"/>
  <c r="E87" i="108"/>
  <c r="O87" i="108" s="1"/>
  <c r="F87" i="108"/>
  <c r="G87" i="108"/>
  <c r="H87" i="108"/>
  <c r="I87" i="108"/>
  <c r="J87" i="108"/>
  <c r="K87" i="108"/>
  <c r="L87" i="108"/>
  <c r="M87" i="108"/>
  <c r="N87" i="108"/>
  <c r="C88" i="108"/>
  <c r="D88" i="108"/>
  <c r="E88" i="108"/>
  <c r="P88" i="108" s="1"/>
  <c r="F88" i="108"/>
  <c r="O88" i="108" s="1"/>
  <c r="G88" i="108"/>
  <c r="H88" i="108"/>
  <c r="I88" i="108"/>
  <c r="J88" i="108"/>
  <c r="K88" i="108"/>
  <c r="L88" i="108"/>
  <c r="M88" i="108"/>
  <c r="N88" i="108"/>
  <c r="C89" i="108"/>
  <c r="D89" i="108"/>
  <c r="E89" i="108"/>
  <c r="O89" i="108" s="1"/>
  <c r="F89" i="108"/>
  <c r="G89" i="108"/>
  <c r="H89" i="108"/>
  <c r="I89" i="108"/>
  <c r="J89" i="108"/>
  <c r="K89" i="108"/>
  <c r="L89" i="108"/>
  <c r="M89" i="108"/>
  <c r="N89" i="108"/>
  <c r="C90" i="108"/>
  <c r="D90" i="108"/>
  <c r="E90" i="108"/>
  <c r="F90" i="108"/>
  <c r="O90" i="108" s="1"/>
  <c r="G90" i="108"/>
  <c r="H90" i="108"/>
  <c r="I90" i="108"/>
  <c r="J90" i="108"/>
  <c r="K90" i="108"/>
  <c r="L90" i="108"/>
  <c r="M90" i="108"/>
  <c r="N90" i="108"/>
  <c r="C91" i="108"/>
  <c r="D91" i="108"/>
  <c r="E91" i="108"/>
  <c r="O91" i="108" s="1"/>
  <c r="F91" i="108"/>
  <c r="G91" i="108"/>
  <c r="H91" i="108"/>
  <c r="I91" i="108"/>
  <c r="J91" i="108"/>
  <c r="K91" i="108"/>
  <c r="L91" i="108"/>
  <c r="M91" i="108"/>
  <c r="N91" i="108"/>
  <c r="C92" i="108"/>
  <c r="D92" i="108"/>
  <c r="E92" i="108"/>
  <c r="P92" i="108" s="1"/>
  <c r="F92" i="108"/>
  <c r="O92" i="108" s="1"/>
  <c r="G92" i="108"/>
  <c r="H92" i="108"/>
  <c r="I92" i="108"/>
  <c r="J92" i="108"/>
  <c r="K92" i="108"/>
  <c r="L92" i="108"/>
  <c r="M92" i="108"/>
  <c r="N92" i="108"/>
  <c r="C93" i="108"/>
  <c r="D93" i="108"/>
  <c r="E93" i="108"/>
  <c r="O93" i="108" s="1"/>
  <c r="F93" i="108"/>
  <c r="G93" i="108"/>
  <c r="H93" i="108"/>
  <c r="I93" i="108"/>
  <c r="J93" i="108"/>
  <c r="K93" i="108"/>
  <c r="L93" i="108"/>
  <c r="M93" i="108"/>
  <c r="N93" i="108"/>
  <c r="C94" i="108"/>
  <c r="D94" i="108"/>
  <c r="E94" i="108"/>
  <c r="F94" i="108"/>
  <c r="O94" i="108" s="1"/>
  <c r="G94" i="108"/>
  <c r="H94" i="108"/>
  <c r="I94" i="108"/>
  <c r="J94" i="108"/>
  <c r="K94" i="108"/>
  <c r="L94" i="108"/>
  <c r="M94" i="108"/>
  <c r="N94" i="108"/>
  <c r="C95" i="108"/>
  <c r="D95" i="108"/>
  <c r="E95" i="108"/>
  <c r="O95" i="108" s="1"/>
  <c r="F95" i="108"/>
  <c r="G95" i="108"/>
  <c r="H95" i="108"/>
  <c r="I95" i="108"/>
  <c r="J95" i="108"/>
  <c r="K95" i="108"/>
  <c r="L95" i="108"/>
  <c r="M95" i="108"/>
  <c r="N95" i="108"/>
  <c r="C96" i="108"/>
  <c r="D96" i="108"/>
  <c r="E96" i="108"/>
  <c r="P96" i="108" s="1"/>
  <c r="F96" i="108"/>
  <c r="O96" i="108" s="1"/>
  <c r="G96" i="108"/>
  <c r="H96" i="108"/>
  <c r="I96" i="108"/>
  <c r="J96" i="108"/>
  <c r="K96" i="108"/>
  <c r="L96" i="108"/>
  <c r="M96" i="108"/>
  <c r="N96" i="108"/>
  <c r="C97" i="108"/>
  <c r="D97" i="108"/>
  <c r="E97" i="108"/>
  <c r="O97" i="108" s="1"/>
  <c r="F97" i="108"/>
  <c r="G97" i="108"/>
  <c r="H97" i="108"/>
  <c r="I97" i="108"/>
  <c r="J97" i="108"/>
  <c r="K97" i="108"/>
  <c r="L97" i="108"/>
  <c r="M97" i="108"/>
  <c r="N97" i="108"/>
  <c r="C98" i="108"/>
  <c r="D98" i="108"/>
  <c r="E98" i="108"/>
  <c r="F98" i="108"/>
  <c r="O98" i="108" s="1"/>
  <c r="G98" i="108"/>
  <c r="H98" i="108"/>
  <c r="I98" i="108"/>
  <c r="J98" i="108"/>
  <c r="K98" i="108"/>
  <c r="L98" i="108"/>
  <c r="M98" i="108"/>
  <c r="N98" i="108"/>
  <c r="C99" i="108"/>
  <c r="D99" i="108"/>
  <c r="E99" i="108"/>
  <c r="O99" i="108" s="1"/>
  <c r="F99" i="108"/>
  <c r="G99" i="108"/>
  <c r="H99" i="108"/>
  <c r="I99" i="108"/>
  <c r="J99" i="108"/>
  <c r="K99" i="108"/>
  <c r="L99" i="108"/>
  <c r="M99" i="108"/>
  <c r="N99" i="108"/>
  <c r="C100" i="108"/>
  <c r="D100" i="108"/>
  <c r="E100" i="108"/>
  <c r="P100" i="108" s="1"/>
  <c r="F100" i="108"/>
  <c r="O100" i="108" s="1"/>
  <c r="G100" i="108"/>
  <c r="H100" i="108"/>
  <c r="I100" i="108"/>
  <c r="J100" i="108"/>
  <c r="K100" i="108"/>
  <c r="L100" i="108"/>
  <c r="M100" i="108"/>
  <c r="N100" i="108"/>
  <c r="C101" i="108"/>
  <c r="D101" i="108"/>
  <c r="E101" i="108"/>
  <c r="O101" i="108" s="1"/>
  <c r="F101" i="108"/>
  <c r="G101" i="108"/>
  <c r="H101" i="108"/>
  <c r="I101" i="108"/>
  <c r="J101" i="108"/>
  <c r="K101" i="108"/>
  <c r="L101" i="108"/>
  <c r="M101" i="108"/>
  <c r="N101" i="108"/>
  <c r="C102" i="108"/>
  <c r="D102" i="108"/>
  <c r="E102" i="108"/>
  <c r="F102" i="108"/>
  <c r="O102" i="108" s="1"/>
  <c r="G102" i="108"/>
  <c r="H102" i="108"/>
  <c r="I102" i="108"/>
  <c r="J102" i="108"/>
  <c r="K102" i="108"/>
  <c r="L102" i="108"/>
  <c r="M102" i="108"/>
  <c r="N102" i="108"/>
  <c r="C103" i="108"/>
  <c r="D103" i="108"/>
  <c r="E103" i="108"/>
  <c r="O103" i="108" s="1"/>
  <c r="F103" i="108"/>
  <c r="G103" i="108"/>
  <c r="H103" i="108"/>
  <c r="I103" i="108"/>
  <c r="J103" i="108"/>
  <c r="K103" i="108"/>
  <c r="L103" i="108"/>
  <c r="M103" i="108"/>
  <c r="N103" i="108"/>
  <c r="C104" i="108"/>
  <c r="D104" i="108"/>
  <c r="E104" i="108"/>
  <c r="P104" i="108" s="1"/>
  <c r="F104" i="108"/>
  <c r="O104" i="108" s="1"/>
  <c r="G104" i="108"/>
  <c r="H104" i="108"/>
  <c r="I104" i="108"/>
  <c r="J104" i="108"/>
  <c r="K104" i="108"/>
  <c r="L104" i="108"/>
  <c r="M104" i="108"/>
  <c r="N104" i="108"/>
  <c r="C105" i="108"/>
  <c r="D105" i="108"/>
  <c r="E105" i="108"/>
  <c r="O105" i="108" s="1"/>
  <c r="F105" i="108"/>
  <c r="G105" i="108"/>
  <c r="H105" i="108"/>
  <c r="I105" i="108"/>
  <c r="J105" i="108"/>
  <c r="K105" i="108"/>
  <c r="L105" i="108"/>
  <c r="M105" i="108"/>
  <c r="N105" i="108"/>
  <c r="D58" i="108"/>
  <c r="E58" i="108"/>
  <c r="O58" i="108" s="1"/>
  <c r="F58" i="108"/>
  <c r="G58" i="108"/>
  <c r="H58" i="108"/>
  <c r="I58" i="108"/>
  <c r="J58" i="108"/>
  <c r="K58" i="108"/>
  <c r="L58" i="108"/>
  <c r="M58" i="108"/>
  <c r="N58" i="108"/>
  <c r="C58" i="108"/>
  <c r="P62" i="108"/>
  <c r="P66" i="108"/>
  <c r="P70" i="108"/>
  <c r="P74" i="108"/>
  <c r="P78" i="108"/>
  <c r="P82" i="108"/>
  <c r="P86" i="108"/>
  <c r="P90" i="108"/>
  <c r="P94" i="108"/>
  <c r="P98" i="108"/>
  <c r="P102" i="108"/>
  <c r="T42" i="107"/>
  <c r="W42" i="107"/>
  <c r="X42" i="107"/>
  <c r="Y42" i="107"/>
  <c r="Z42" i="107"/>
  <c r="AB42" i="107"/>
  <c r="AE42" i="107"/>
  <c r="AF42" i="107"/>
  <c r="S42" i="107"/>
  <c r="AF41" i="107"/>
  <c r="AE41" i="107"/>
  <c r="AE22" i="107"/>
  <c r="AF22" i="107"/>
  <c r="AE23" i="107"/>
  <c r="AF23" i="107"/>
  <c r="AE24" i="107"/>
  <c r="AF24" i="107"/>
  <c r="AE25" i="107"/>
  <c r="AF25" i="107"/>
  <c r="AE26" i="107"/>
  <c r="AF26" i="107"/>
  <c r="AE27" i="107"/>
  <c r="AF27" i="107"/>
  <c r="AE28" i="107"/>
  <c r="AF28" i="107"/>
  <c r="AE29" i="107"/>
  <c r="AF29" i="107"/>
  <c r="AE30" i="107"/>
  <c r="AF30" i="107"/>
  <c r="AE31" i="107"/>
  <c r="AF31" i="107"/>
  <c r="AE32" i="107"/>
  <c r="AF32" i="107"/>
  <c r="AE33" i="107"/>
  <c r="AF33" i="107"/>
  <c r="T22" i="107"/>
  <c r="U22" i="107"/>
  <c r="V22" i="107"/>
  <c r="W22" i="107"/>
  <c r="X22" i="107"/>
  <c r="Y22" i="107"/>
  <c r="Z22" i="107"/>
  <c r="AA22" i="107"/>
  <c r="AB22" i="107"/>
  <c r="AC22" i="107"/>
  <c r="AD22" i="107"/>
  <c r="T23" i="107"/>
  <c r="U23" i="107"/>
  <c r="V23" i="107"/>
  <c r="W23" i="107"/>
  <c r="X23" i="107"/>
  <c r="Y23" i="107"/>
  <c r="Z23" i="107"/>
  <c r="AA23" i="107"/>
  <c r="AB23" i="107"/>
  <c r="AC23" i="107"/>
  <c r="AD23" i="107"/>
  <c r="T24" i="107"/>
  <c r="U24" i="107"/>
  <c r="V24" i="107"/>
  <c r="W24" i="107"/>
  <c r="X24" i="107"/>
  <c r="Y24" i="107"/>
  <c r="Z24" i="107"/>
  <c r="AA24" i="107"/>
  <c r="AB24" i="107"/>
  <c r="AC24" i="107"/>
  <c r="AD24" i="107"/>
  <c r="T25" i="107"/>
  <c r="U25" i="107"/>
  <c r="V25" i="107"/>
  <c r="W25" i="107"/>
  <c r="X25" i="107"/>
  <c r="Y25" i="107"/>
  <c r="Z25" i="107"/>
  <c r="AA25" i="107"/>
  <c r="AB25" i="107"/>
  <c r="AC25" i="107"/>
  <c r="AD25" i="107"/>
  <c r="T26" i="107"/>
  <c r="U26" i="107"/>
  <c r="V26" i="107"/>
  <c r="W26" i="107"/>
  <c r="X26" i="107"/>
  <c r="Y26" i="107"/>
  <c r="Z26" i="107"/>
  <c r="AA26" i="107"/>
  <c r="AB26" i="107"/>
  <c r="AC26" i="107"/>
  <c r="AD26" i="107"/>
  <c r="T27" i="107"/>
  <c r="U27" i="107"/>
  <c r="V27" i="107"/>
  <c r="W27" i="107"/>
  <c r="X27" i="107"/>
  <c r="Y27" i="107"/>
  <c r="Z27" i="107"/>
  <c r="AA27" i="107"/>
  <c r="AB27" i="107"/>
  <c r="AC27" i="107"/>
  <c r="AD27" i="107"/>
  <c r="T28" i="107"/>
  <c r="U28" i="107"/>
  <c r="V28" i="107"/>
  <c r="W28" i="107"/>
  <c r="X28" i="107"/>
  <c r="Y28" i="107"/>
  <c r="Z28" i="107"/>
  <c r="AA28" i="107"/>
  <c r="AB28" i="107"/>
  <c r="AC28" i="107"/>
  <c r="AD28" i="107"/>
  <c r="T29" i="107"/>
  <c r="U29" i="107"/>
  <c r="V29" i="107"/>
  <c r="W29" i="107"/>
  <c r="X29" i="107"/>
  <c r="Y29" i="107"/>
  <c r="Z29" i="107"/>
  <c r="AA29" i="107"/>
  <c r="AB29" i="107"/>
  <c r="AC29" i="107"/>
  <c r="AD29" i="107"/>
  <c r="T30" i="107"/>
  <c r="U30" i="107"/>
  <c r="V30" i="107"/>
  <c r="W30" i="107"/>
  <c r="X30" i="107"/>
  <c r="Y30" i="107"/>
  <c r="Z30" i="107"/>
  <c r="AA30" i="107"/>
  <c r="AB30" i="107"/>
  <c r="AC30" i="107"/>
  <c r="AD30" i="107"/>
  <c r="T31" i="107"/>
  <c r="U31" i="107"/>
  <c r="V31" i="107"/>
  <c r="W31" i="107"/>
  <c r="X31" i="107"/>
  <c r="Y31" i="107"/>
  <c r="Z31" i="107"/>
  <c r="AA31" i="107"/>
  <c r="AB31" i="107"/>
  <c r="AC31" i="107"/>
  <c r="AD31" i="107"/>
  <c r="T32" i="107"/>
  <c r="U32" i="107"/>
  <c r="V32" i="107"/>
  <c r="W32" i="107"/>
  <c r="X32" i="107"/>
  <c r="Y32" i="107"/>
  <c r="Z32" i="107"/>
  <c r="AA32" i="107"/>
  <c r="AB32" i="107"/>
  <c r="AC32" i="107"/>
  <c r="AD32" i="107"/>
  <c r="T33" i="107"/>
  <c r="U33" i="107"/>
  <c r="V33" i="107"/>
  <c r="W33" i="107"/>
  <c r="X33" i="107"/>
  <c r="Y33" i="107"/>
  <c r="Z33" i="107"/>
  <c r="AA33" i="107"/>
  <c r="AB33" i="107"/>
  <c r="AC33" i="107"/>
  <c r="AD33" i="107"/>
  <c r="S33" i="107"/>
  <c r="S32" i="107"/>
  <c r="S31" i="107"/>
  <c r="S30" i="107"/>
  <c r="S29" i="107"/>
  <c r="S28" i="107"/>
  <c r="S27" i="107"/>
  <c r="S26" i="107"/>
  <c r="S25" i="107"/>
  <c r="S24" i="107"/>
  <c r="S23" i="107"/>
  <c r="S22" i="107"/>
  <c r="C59" i="107"/>
  <c r="D59" i="107"/>
  <c r="E59" i="107"/>
  <c r="F59" i="107"/>
  <c r="G59" i="107"/>
  <c r="H59" i="107"/>
  <c r="I59" i="107"/>
  <c r="J59" i="107"/>
  <c r="O59" i="107" s="1"/>
  <c r="K59" i="107"/>
  <c r="L59" i="107"/>
  <c r="M59" i="107"/>
  <c r="N59" i="107"/>
  <c r="C60" i="107"/>
  <c r="D60" i="107"/>
  <c r="E60" i="107"/>
  <c r="O60" i="107" s="1"/>
  <c r="F60" i="107"/>
  <c r="G60" i="107"/>
  <c r="H60" i="107"/>
  <c r="I60" i="107"/>
  <c r="J60" i="107"/>
  <c r="K60" i="107"/>
  <c r="L60" i="107"/>
  <c r="M60" i="107"/>
  <c r="N60" i="107"/>
  <c r="C61" i="107"/>
  <c r="D61" i="107"/>
  <c r="E61" i="107"/>
  <c r="P61" i="107" s="1"/>
  <c r="F61" i="107"/>
  <c r="G61" i="107"/>
  <c r="H61" i="107"/>
  <c r="I61" i="107"/>
  <c r="J61" i="107"/>
  <c r="O61" i="107" s="1"/>
  <c r="K61" i="107"/>
  <c r="L61" i="107"/>
  <c r="M61" i="107"/>
  <c r="N61" i="107"/>
  <c r="C62" i="107"/>
  <c r="D62" i="107"/>
  <c r="E62" i="107"/>
  <c r="O62" i="107" s="1"/>
  <c r="F62" i="107"/>
  <c r="G62" i="107"/>
  <c r="H62" i="107"/>
  <c r="I62" i="107"/>
  <c r="J62" i="107"/>
  <c r="K62" i="107"/>
  <c r="L62" i="107"/>
  <c r="M62" i="107"/>
  <c r="N62" i="107"/>
  <c r="C63" i="107"/>
  <c r="D63" i="107"/>
  <c r="E63" i="107"/>
  <c r="F63" i="107"/>
  <c r="G63" i="107"/>
  <c r="H63" i="107"/>
  <c r="I63" i="107"/>
  <c r="J63" i="107"/>
  <c r="O63" i="107" s="1"/>
  <c r="K63" i="107"/>
  <c r="L63" i="107"/>
  <c r="M63" i="107"/>
  <c r="N63" i="107"/>
  <c r="C64" i="107"/>
  <c r="D64" i="107"/>
  <c r="E64" i="107"/>
  <c r="O64" i="107" s="1"/>
  <c r="F64" i="107"/>
  <c r="G64" i="107"/>
  <c r="H64" i="107"/>
  <c r="I64" i="107"/>
  <c r="J64" i="107"/>
  <c r="K64" i="107"/>
  <c r="L64" i="107"/>
  <c r="M64" i="107"/>
  <c r="N64" i="107"/>
  <c r="C65" i="107"/>
  <c r="D65" i="107"/>
  <c r="E65" i="107"/>
  <c r="P65" i="107" s="1"/>
  <c r="F65" i="107"/>
  <c r="G65" i="107"/>
  <c r="H65" i="107"/>
  <c r="I65" i="107"/>
  <c r="J65" i="107"/>
  <c r="O65" i="107" s="1"/>
  <c r="K65" i="107"/>
  <c r="L65" i="107"/>
  <c r="M65" i="107"/>
  <c r="N65" i="107"/>
  <c r="C66" i="107"/>
  <c r="D66" i="107"/>
  <c r="E66" i="107"/>
  <c r="O66" i="107" s="1"/>
  <c r="F66" i="107"/>
  <c r="G66" i="107"/>
  <c r="H66" i="107"/>
  <c r="I66" i="107"/>
  <c r="J66" i="107"/>
  <c r="K66" i="107"/>
  <c r="L66" i="107"/>
  <c r="M66" i="107"/>
  <c r="N66" i="107"/>
  <c r="C67" i="107"/>
  <c r="D67" i="107"/>
  <c r="E67" i="107"/>
  <c r="F67" i="107"/>
  <c r="G67" i="107"/>
  <c r="H67" i="107"/>
  <c r="I67" i="107"/>
  <c r="J67" i="107"/>
  <c r="O67" i="107" s="1"/>
  <c r="K67" i="107"/>
  <c r="L67" i="107"/>
  <c r="M67" i="107"/>
  <c r="N67" i="107"/>
  <c r="C68" i="107"/>
  <c r="D68" i="107"/>
  <c r="E68" i="107"/>
  <c r="O68" i="107" s="1"/>
  <c r="F68" i="107"/>
  <c r="G68" i="107"/>
  <c r="H68" i="107"/>
  <c r="I68" i="107"/>
  <c r="J68" i="107"/>
  <c r="K68" i="107"/>
  <c r="L68" i="107"/>
  <c r="M68" i="107"/>
  <c r="N68" i="107"/>
  <c r="C69" i="107"/>
  <c r="D69" i="107"/>
  <c r="E69" i="107"/>
  <c r="P69" i="107" s="1"/>
  <c r="F69" i="107"/>
  <c r="G69" i="107"/>
  <c r="H69" i="107"/>
  <c r="I69" i="107"/>
  <c r="J69" i="107"/>
  <c r="O69" i="107" s="1"/>
  <c r="K69" i="107"/>
  <c r="L69" i="107"/>
  <c r="M69" i="107"/>
  <c r="N69" i="107"/>
  <c r="C70" i="107"/>
  <c r="D70" i="107"/>
  <c r="E70" i="107"/>
  <c r="O70" i="107" s="1"/>
  <c r="F70" i="107"/>
  <c r="G70" i="107"/>
  <c r="H70" i="107"/>
  <c r="I70" i="107"/>
  <c r="J70" i="107"/>
  <c r="K70" i="107"/>
  <c r="L70" i="107"/>
  <c r="M70" i="107"/>
  <c r="N70" i="107"/>
  <c r="C71" i="107"/>
  <c r="D71" i="107"/>
  <c r="E71" i="107"/>
  <c r="F71" i="107"/>
  <c r="G71" i="107"/>
  <c r="H71" i="107"/>
  <c r="I71" i="107"/>
  <c r="J71" i="107"/>
  <c r="O71" i="107" s="1"/>
  <c r="K71" i="107"/>
  <c r="L71" i="107"/>
  <c r="M71" i="107"/>
  <c r="N71" i="107"/>
  <c r="C72" i="107"/>
  <c r="D72" i="107"/>
  <c r="E72" i="107"/>
  <c r="O72" i="107" s="1"/>
  <c r="F72" i="107"/>
  <c r="G72" i="107"/>
  <c r="H72" i="107"/>
  <c r="I72" i="107"/>
  <c r="J72" i="107"/>
  <c r="K72" i="107"/>
  <c r="L72" i="107"/>
  <c r="M72" i="107"/>
  <c r="N72" i="107"/>
  <c r="C73" i="107"/>
  <c r="D73" i="107"/>
  <c r="E73" i="107"/>
  <c r="P73" i="107" s="1"/>
  <c r="F73" i="107"/>
  <c r="G73" i="107"/>
  <c r="H73" i="107"/>
  <c r="I73" i="107"/>
  <c r="J73" i="107"/>
  <c r="O73" i="107" s="1"/>
  <c r="K73" i="107"/>
  <c r="L73" i="107"/>
  <c r="M73" i="107"/>
  <c r="N73" i="107"/>
  <c r="C74" i="107"/>
  <c r="D74" i="107"/>
  <c r="E74" i="107"/>
  <c r="O74" i="107" s="1"/>
  <c r="F74" i="107"/>
  <c r="G74" i="107"/>
  <c r="H74" i="107"/>
  <c r="I74" i="107"/>
  <c r="J74" i="107"/>
  <c r="K74" i="107"/>
  <c r="L74" i="107"/>
  <c r="M74" i="107"/>
  <c r="N74" i="107"/>
  <c r="C75" i="107"/>
  <c r="D75" i="107"/>
  <c r="E75" i="107"/>
  <c r="F75" i="107"/>
  <c r="G75" i="107"/>
  <c r="H75" i="107"/>
  <c r="I75" i="107"/>
  <c r="J75" i="107"/>
  <c r="O75" i="107" s="1"/>
  <c r="K75" i="107"/>
  <c r="L75" i="107"/>
  <c r="M75" i="107"/>
  <c r="N75" i="107"/>
  <c r="C76" i="107"/>
  <c r="D76" i="107"/>
  <c r="E76" i="107"/>
  <c r="O76" i="107" s="1"/>
  <c r="F76" i="107"/>
  <c r="G76" i="107"/>
  <c r="H76" i="107"/>
  <c r="I76" i="107"/>
  <c r="J76" i="107"/>
  <c r="K76" i="107"/>
  <c r="L76" i="107"/>
  <c r="M76" i="107"/>
  <c r="N76" i="107"/>
  <c r="C77" i="107"/>
  <c r="D77" i="107"/>
  <c r="E77" i="107"/>
  <c r="P77" i="107" s="1"/>
  <c r="F77" i="107"/>
  <c r="G77" i="107"/>
  <c r="H77" i="107"/>
  <c r="I77" i="107"/>
  <c r="J77" i="107"/>
  <c r="O77" i="107" s="1"/>
  <c r="K77" i="107"/>
  <c r="L77" i="107"/>
  <c r="M77" i="107"/>
  <c r="N77" i="107"/>
  <c r="C78" i="107"/>
  <c r="D78" i="107"/>
  <c r="E78" i="107"/>
  <c r="O78" i="107" s="1"/>
  <c r="F78" i="107"/>
  <c r="G78" i="107"/>
  <c r="H78" i="107"/>
  <c r="I78" i="107"/>
  <c r="J78" i="107"/>
  <c r="K78" i="107"/>
  <c r="L78" i="107"/>
  <c r="M78" i="107"/>
  <c r="N78" i="107"/>
  <c r="C79" i="107"/>
  <c r="D79" i="107"/>
  <c r="E79" i="107"/>
  <c r="F79" i="107"/>
  <c r="G79" i="107"/>
  <c r="H79" i="107"/>
  <c r="I79" i="107"/>
  <c r="J79" i="107"/>
  <c r="O79" i="107" s="1"/>
  <c r="K79" i="107"/>
  <c r="L79" i="107"/>
  <c r="M79" i="107"/>
  <c r="N79" i="107"/>
  <c r="C80" i="107"/>
  <c r="D80" i="107"/>
  <c r="E80" i="107"/>
  <c r="O80" i="107" s="1"/>
  <c r="F80" i="107"/>
  <c r="G80" i="107"/>
  <c r="H80" i="107"/>
  <c r="I80" i="107"/>
  <c r="J80" i="107"/>
  <c r="K80" i="107"/>
  <c r="L80" i="107"/>
  <c r="M80" i="107"/>
  <c r="N80" i="107"/>
  <c r="C81" i="107"/>
  <c r="D81" i="107"/>
  <c r="E81" i="107"/>
  <c r="P81" i="107" s="1"/>
  <c r="F81" i="107"/>
  <c r="G81" i="107"/>
  <c r="H81" i="107"/>
  <c r="I81" i="107"/>
  <c r="J81" i="107"/>
  <c r="O81" i="107" s="1"/>
  <c r="K81" i="107"/>
  <c r="L81" i="107"/>
  <c r="M81" i="107"/>
  <c r="N81" i="107"/>
  <c r="C82" i="107"/>
  <c r="D82" i="107"/>
  <c r="E82" i="107"/>
  <c r="O82" i="107" s="1"/>
  <c r="F82" i="107"/>
  <c r="G82" i="107"/>
  <c r="H82" i="107"/>
  <c r="I82" i="107"/>
  <c r="J82" i="107"/>
  <c r="K82" i="107"/>
  <c r="L82" i="107"/>
  <c r="M82" i="107"/>
  <c r="N82" i="107"/>
  <c r="C83" i="107"/>
  <c r="D83" i="107"/>
  <c r="E83" i="107"/>
  <c r="F83" i="107"/>
  <c r="G83" i="107"/>
  <c r="H83" i="107"/>
  <c r="I83" i="107"/>
  <c r="J83" i="107"/>
  <c r="O83" i="107" s="1"/>
  <c r="K83" i="107"/>
  <c r="L83" i="107"/>
  <c r="M83" i="107"/>
  <c r="N83" i="107"/>
  <c r="C84" i="107"/>
  <c r="D84" i="107"/>
  <c r="E84" i="107"/>
  <c r="O84" i="107" s="1"/>
  <c r="F84" i="107"/>
  <c r="G84" i="107"/>
  <c r="H84" i="107"/>
  <c r="I84" i="107"/>
  <c r="J84" i="107"/>
  <c r="K84" i="107"/>
  <c r="L84" i="107"/>
  <c r="M84" i="107"/>
  <c r="N84" i="107"/>
  <c r="C85" i="107"/>
  <c r="D85" i="107"/>
  <c r="E85" i="107"/>
  <c r="P85" i="107" s="1"/>
  <c r="F85" i="107"/>
  <c r="G85" i="107"/>
  <c r="H85" i="107"/>
  <c r="I85" i="107"/>
  <c r="J85" i="107"/>
  <c r="O85" i="107" s="1"/>
  <c r="K85" i="107"/>
  <c r="L85" i="107"/>
  <c r="M85" i="107"/>
  <c r="N85" i="107"/>
  <c r="C86" i="107"/>
  <c r="D86" i="107"/>
  <c r="E86" i="107"/>
  <c r="O86" i="107" s="1"/>
  <c r="F86" i="107"/>
  <c r="G86" i="107"/>
  <c r="H86" i="107"/>
  <c r="I86" i="107"/>
  <c r="J86" i="107"/>
  <c r="K86" i="107"/>
  <c r="L86" i="107"/>
  <c r="M86" i="107"/>
  <c r="N86" i="107"/>
  <c r="C87" i="107"/>
  <c r="D87" i="107"/>
  <c r="E87" i="107"/>
  <c r="F87" i="107"/>
  <c r="G87" i="107"/>
  <c r="H87" i="107"/>
  <c r="I87" i="107"/>
  <c r="J87" i="107"/>
  <c r="O87" i="107" s="1"/>
  <c r="K87" i="107"/>
  <c r="L87" i="107"/>
  <c r="M87" i="107"/>
  <c r="N87" i="107"/>
  <c r="C88" i="107"/>
  <c r="D88" i="107"/>
  <c r="E88" i="107"/>
  <c r="O88" i="107" s="1"/>
  <c r="F88" i="107"/>
  <c r="G88" i="107"/>
  <c r="H88" i="107"/>
  <c r="I88" i="107"/>
  <c r="J88" i="107"/>
  <c r="K88" i="107"/>
  <c r="L88" i="107"/>
  <c r="M88" i="107"/>
  <c r="N88" i="107"/>
  <c r="C89" i="107"/>
  <c r="D89" i="107"/>
  <c r="E89" i="107"/>
  <c r="P89" i="107" s="1"/>
  <c r="F89" i="107"/>
  <c r="G89" i="107"/>
  <c r="H89" i="107"/>
  <c r="I89" i="107"/>
  <c r="J89" i="107"/>
  <c r="O89" i="107" s="1"/>
  <c r="K89" i="107"/>
  <c r="L89" i="107"/>
  <c r="M89" i="107"/>
  <c r="N89" i="107"/>
  <c r="C90" i="107"/>
  <c r="D90" i="107"/>
  <c r="E90" i="107"/>
  <c r="O90" i="107" s="1"/>
  <c r="F90" i="107"/>
  <c r="G90" i="107"/>
  <c r="H90" i="107"/>
  <c r="I90" i="107"/>
  <c r="J90" i="107"/>
  <c r="K90" i="107"/>
  <c r="L90" i="107"/>
  <c r="M90" i="107"/>
  <c r="N90" i="107"/>
  <c r="C91" i="107"/>
  <c r="D91" i="107"/>
  <c r="E91" i="107"/>
  <c r="F91" i="107"/>
  <c r="G91" i="107"/>
  <c r="H91" i="107"/>
  <c r="I91" i="107"/>
  <c r="J91" i="107"/>
  <c r="O91" i="107" s="1"/>
  <c r="K91" i="107"/>
  <c r="L91" i="107"/>
  <c r="M91" i="107"/>
  <c r="N91" i="107"/>
  <c r="C92" i="107"/>
  <c r="D92" i="107"/>
  <c r="E92" i="107"/>
  <c r="O92" i="107" s="1"/>
  <c r="F92" i="107"/>
  <c r="G92" i="107"/>
  <c r="H92" i="107"/>
  <c r="I92" i="107"/>
  <c r="J92" i="107"/>
  <c r="K92" i="107"/>
  <c r="L92" i="107"/>
  <c r="M92" i="107"/>
  <c r="N92" i="107"/>
  <c r="C93" i="107"/>
  <c r="D93" i="107"/>
  <c r="E93" i="107"/>
  <c r="P93" i="107" s="1"/>
  <c r="F93" i="107"/>
  <c r="G93" i="107"/>
  <c r="H93" i="107"/>
  <c r="I93" i="107"/>
  <c r="J93" i="107"/>
  <c r="O93" i="107" s="1"/>
  <c r="K93" i="107"/>
  <c r="L93" i="107"/>
  <c r="M93" i="107"/>
  <c r="N93" i="107"/>
  <c r="C94" i="107"/>
  <c r="D94" i="107"/>
  <c r="E94" i="107"/>
  <c r="O94" i="107" s="1"/>
  <c r="F94" i="107"/>
  <c r="G94" i="107"/>
  <c r="H94" i="107"/>
  <c r="I94" i="107"/>
  <c r="J94" i="107"/>
  <c r="K94" i="107"/>
  <c r="L94" i="107"/>
  <c r="M94" i="107"/>
  <c r="N94" i="107"/>
  <c r="C95" i="107"/>
  <c r="D95" i="107"/>
  <c r="E95" i="107"/>
  <c r="F95" i="107"/>
  <c r="G95" i="107"/>
  <c r="H95" i="107"/>
  <c r="I95" i="107"/>
  <c r="J95" i="107"/>
  <c r="O95" i="107" s="1"/>
  <c r="K95" i="107"/>
  <c r="L95" i="107"/>
  <c r="M95" i="107"/>
  <c r="N95" i="107"/>
  <c r="C96" i="107"/>
  <c r="D96" i="107"/>
  <c r="E96" i="107"/>
  <c r="O96" i="107" s="1"/>
  <c r="F96" i="107"/>
  <c r="G96" i="107"/>
  <c r="H96" i="107"/>
  <c r="I96" i="107"/>
  <c r="J96" i="107"/>
  <c r="K96" i="107"/>
  <c r="L96" i="107"/>
  <c r="M96" i="107"/>
  <c r="N96" i="107"/>
  <c r="C97" i="107"/>
  <c r="D97" i="107"/>
  <c r="E97" i="107"/>
  <c r="P97" i="107" s="1"/>
  <c r="F97" i="107"/>
  <c r="G97" i="107"/>
  <c r="H97" i="107"/>
  <c r="I97" i="107"/>
  <c r="J97" i="107"/>
  <c r="O97" i="107" s="1"/>
  <c r="K97" i="107"/>
  <c r="L97" i="107"/>
  <c r="M97" i="107"/>
  <c r="N97" i="107"/>
  <c r="C98" i="107"/>
  <c r="D98" i="107"/>
  <c r="E98" i="107"/>
  <c r="O98" i="107" s="1"/>
  <c r="F98" i="107"/>
  <c r="G98" i="107"/>
  <c r="H98" i="107"/>
  <c r="I98" i="107"/>
  <c r="J98" i="107"/>
  <c r="K98" i="107"/>
  <c r="L98" i="107"/>
  <c r="M98" i="107"/>
  <c r="N98" i="107"/>
  <c r="C99" i="107"/>
  <c r="D99" i="107"/>
  <c r="E99" i="107"/>
  <c r="F99" i="107"/>
  <c r="G99" i="107"/>
  <c r="H99" i="107"/>
  <c r="I99" i="107"/>
  <c r="J99" i="107"/>
  <c r="O99" i="107" s="1"/>
  <c r="K99" i="107"/>
  <c r="L99" i="107"/>
  <c r="M99" i="107"/>
  <c r="N99" i="107"/>
  <c r="C100" i="107"/>
  <c r="D100" i="107"/>
  <c r="E100" i="107"/>
  <c r="O100" i="107" s="1"/>
  <c r="F100" i="107"/>
  <c r="G100" i="107"/>
  <c r="H100" i="107"/>
  <c r="I100" i="107"/>
  <c r="J100" i="107"/>
  <c r="K100" i="107"/>
  <c r="L100" i="107"/>
  <c r="M100" i="107"/>
  <c r="N100" i="107"/>
  <c r="C101" i="107"/>
  <c r="D101" i="107"/>
  <c r="E101" i="107"/>
  <c r="P101" i="107" s="1"/>
  <c r="F101" i="107"/>
  <c r="G101" i="107"/>
  <c r="H101" i="107"/>
  <c r="I101" i="107"/>
  <c r="J101" i="107"/>
  <c r="O101" i="107" s="1"/>
  <c r="K101" i="107"/>
  <c r="L101" i="107"/>
  <c r="M101" i="107"/>
  <c r="N101" i="107"/>
  <c r="C102" i="107"/>
  <c r="D102" i="107"/>
  <c r="E102" i="107"/>
  <c r="O102" i="107" s="1"/>
  <c r="F102" i="107"/>
  <c r="G102" i="107"/>
  <c r="H102" i="107"/>
  <c r="I102" i="107"/>
  <c r="J102" i="107"/>
  <c r="K102" i="107"/>
  <c r="L102" i="107"/>
  <c r="M102" i="107"/>
  <c r="N102" i="107"/>
  <c r="C103" i="107"/>
  <c r="D103" i="107"/>
  <c r="E103" i="107"/>
  <c r="F103" i="107"/>
  <c r="G103" i="107"/>
  <c r="H103" i="107"/>
  <c r="I103" i="107"/>
  <c r="J103" i="107"/>
  <c r="O103" i="107" s="1"/>
  <c r="K103" i="107"/>
  <c r="L103" i="107"/>
  <c r="M103" i="107"/>
  <c r="N103" i="107"/>
  <c r="C104" i="107"/>
  <c r="D104" i="107"/>
  <c r="E104" i="107"/>
  <c r="O104" i="107" s="1"/>
  <c r="F104" i="107"/>
  <c r="G104" i="107"/>
  <c r="H104" i="107"/>
  <c r="I104" i="107"/>
  <c r="J104" i="107"/>
  <c r="K104" i="107"/>
  <c r="L104" i="107"/>
  <c r="M104" i="107"/>
  <c r="N104" i="107"/>
  <c r="C105" i="107"/>
  <c r="D105" i="107"/>
  <c r="E105" i="107"/>
  <c r="P105" i="107" s="1"/>
  <c r="F105" i="107"/>
  <c r="G105" i="107"/>
  <c r="H105" i="107"/>
  <c r="I105" i="107"/>
  <c r="J105" i="107"/>
  <c r="O105" i="107" s="1"/>
  <c r="K105" i="107"/>
  <c r="L105" i="107"/>
  <c r="M105" i="107"/>
  <c r="N105" i="107"/>
  <c r="O58" i="107"/>
  <c r="P58" i="107"/>
  <c r="P59" i="107"/>
  <c r="P63" i="107"/>
  <c r="P67" i="107"/>
  <c r="P71" i="107"/>
  <c r="P75" i="107"/>
  <c r="P79" i="107"/>
  <c r="P83" i="107"/>
  <c r="P87" i="107"/>
  <c r="P91" i="107"/>
  <c r="P95" i="107"/>
  <c r="P99" i="107"/>
  <c r="P103" i="107"/>
  <c r="D58" i="107"/>
  <c r="E58" i="107"/>
  <c r="F58" i="107"/>
  <c r="G58" i="107"/>
  <c r="H58" i="107"/>
  <c r="I58" i="107"/>
  <c r="J58" i="107"/>
  <c r="K58" i="107"/>
  <c r="L58" i="107"/>
  <c r="M58" i="107"/>
  <c r="N58" i="107"/>
  <c r="C58" i="107"/>
  <c r="S33" i="111" l="1"/>
  <c r="S32" i="111"/>
  <c r="S31" i="111"/>
  <c r="P93" i="111"/>
  <c r="S30" i="111"/>
  <c r="P89" i="111"/>
  <c r="S29" i="111"/>
  <c r="S25" i="111"/>
  <c r="S24" i="111"/>
  <c r="S23" i="111"/>
  <c r="P61" i="111"/>
  <c r="S22" i="111"/>
  <c r="O100" i="111"/>
  <c r="O98" i="111"/>
  <c r="O96" i="111"/>
  <c r="O94" i="111"/>
  <c r="AE31" i="111" s="1"/>
  <c r="O92" i="111"/>
  <c r="O86" i="111"/>
  <c r="O84" i="111"/>
  <c r="O82" i="111"/>
  <c r="U32" i="111"/>
  <c r="O102" i="111"/>
  <c r="P97" i="111"/>
  <c r="O104" i="111"/>
  <c r="O88" i="111"/>
  <c r="S28" i="111"/>
  <c r="S27" i="111"/>
  <c r="O90" i="111"/>
  <c r="U33" i="111"/>
  <c r="O105" i="111"/>
  <c r="O103" i="111"/>
  <c r="O101" i="111"/>
  <c r="O99" i="111"/>
  <c r="O97" i="111"/>
  <c r="O95" i="111"/>
  <c r="O93" i="111"/>
  <c r="O91" i="111"/>
  <c r="O89" i="111"/>
  <c r="O87" i="111"/>
  <c r="O85" i="111"/>
  <c r="O83" i="111"/>
  <c r="O81" i="111"/>
  <c r="O79" i="111"/>
  <c r="O77" i="111"/>
  <c r="O75" i="111"/>
  <c r="O73" i="111"/>
  <c r="O71" i="111"/>
  <c r="O69" i="111"/>
  <c r="O67" i="111"/>
  <c r="O65" i="111"/>
  <c r="O63" i="111"/>
  <c r="O61" i="111"/>
  <c r="O59" i="111"/>
  <c r="P103" i="111"/>
  <c r="P99" i="111"/>
  <c r="P95" i="111"/>
  <c r="P91" i="111"/>
  <c r="P87" i="111"/>
  <c r="P83" i="111"/>
  <c r="P79" i="111"/>
  <c r="P75" i="111"/>
  <c r="P71" i="111"/>
  <c r="P67" i="111"/>
  <c r="P63" i="111"/>
  <c r="P59" i="111"/>
  <c r="O80" i="111"/>
  <c r="O78" i="111"/>
  <c r="AE27" i="111" s="1"/>
  <c r="O76" i="111"/>
  <c r="O74" i="111"/>
  <c r="AE26" i="111" s="1"/>
  <c r="O72" i="111"/>
  <c r="O70" i="111"/>
  <c r="AE25" i="111" s="1"/>
  <c r="O68" i="111"/>
  <c r="O66" i="111"/>
  <c r="AE24" i="111" s="1"/>
  <c r="O64" i="111"/>
  <c r="O62" i="111"/>
  <c r="AE23" i="111" s="1"/>
  <c r="O60" i="111"/>
  <c r="O58" i="111"/>
  <c r="AE22" i="111" s="1"/>
  <c r="P104" i="111"/>
  <c r="P100" i="111"/>
  <c r="P96" i="111"/>
  <c r="P92" i="111"/>
  <c r="P88" i="111"/>
  <c r="P84" i="111"/>
  <c r="P80" i="111"/>
  <c r="P76" i="111"/>
  <c r="P72" i="111"/>
  <c r="P68" i="111"/>
  <c r="P64" i="111"/>
  <c r="P60" i="111"/>
  <c r="P102" i="111"/>
  <c r="P98" i="111"/>
  <c r="P94" i="111"/>
  <c r="P90" i="111"/>
  <c r="P86" i="111"/>
  <c r="AF29" i="111" s="1"/>
  <c r="P82" i="111"/>
  <c r="AF28" i="111" s="1"/>
  <c r="P78" i="111"/>
  <c r="AF27" i="111" s="1"/>
  <c r="P74" i="111"/>
  <c r="AF26" i="111" s="1"/>
  <c r="P70" i="111"/>
  <c r="P66" i="111"/>
  <c r="P62" i="111"/>
  <c r="P58" i="111"/>
  <c r="P105" i="108"/>
  <c r="P101" i="108"/>
  <c r="P97" i="108"/>
  <c r="P93" i="108"/>
  <c r="P89" i="108"/>
  <c r="P85" i="108"/>
  <c r="P81" i="108"/>
  <c r="P77" i="108"/>
  <c r="P73" i="108"/>
  <c r="P69" i="108"/>
  <c r="P65" i="108"/>
  <c r="P61" i="108"/>
  <c r="P103" i="108"/>
  <c r="P99" i="108"/>
  <c r="P95" i="108"/>
  <c r="P91" i="108"/>
  <c r="P87" i="108"/>
  <c r="P83" i="108"/>
  <c r="P79" i="108"/>
  <c r="P75" i="108"/>
  <c r="P71" i="108"/>
  <c r="P67" i="108"/>
  <c r="P63" i="108"/>
  <c r="P59" i="108"/>
  <c r="P58" i="108"/>
  <c r="P102" i="107"/>
  <c r="P98" i="107"/>
  <c r="P94" i="107"/>
  <c r="P90" i="107"/>
  <c r="P86" i="107"/>
  <c r="P82" i="107"/>
  <c r="P78" i="107"/>
  <c r="P74" i="107"/>
  <c r="P70" i="107"/>
  <c r="P66" i="107"/>
  <c r="P62" i="107"/>
  <c r="P104" i="107"/>
  <c r="P100" i="107"/>
  <c r="P96" i="107"/>
  <c r="P92" i="107"/>
  <c r="P88" i="107"/>
  <c r="P84" i="107"/>
  <c r="P80" i="107"/>
  <c r="P76" i="107"/>
  <c r="P72" i="107"/>
  <c r="P68" i="107"/>
  <c r="P64" i="107"/>
  <c r="P60" i="107"/>
  <c r="P49" i="103"/>
  <c r="AE33" i="111" l="1"/>
  <c r="AE32" i="111"/>
  <c r="AF31" i="111"/>
  <c r="AE30" i="111"/>
  <c r="AE28" i="111"/>
  <c r="AF30" i="111"/>
  <c r="AF32" i="111"/>
  <c r="AF22" i="111"/>
  <c r="AF23" i="111"/>
  <c r="AF24" i="111"/>
  <c r="AF25" i="111"/>
  <c r="AF33" i="111"/>
  <c r="AE29" i="111"/>
  <c r="C3" i="96"/>
  <c r="C3" i="95"/>
  <c r="O41" i="109" l="1"/>
  <c r="P41" i="109"/>
  <c r="O13" i="100" l="1"/>
  <c r="P13" i="100"/>
  <c r="S13" i="100"/>
  <c r="U13" i="100"/>
  <c r="W25" i="98"/>
  <c r="C3" i="94" l="1"/>
  <c r="K6" i="98" l="1"/>
  <c r="K6" i="99" s="1"/>
  <c r="K5" i="103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D6" i="104"/>
  <c r="D6" i="108" s="1"/>
  <c r="D6" i="110"/>
  <c r="D6" i="109"/>
  <c r="D6" i="100"/>
  <c r="D6" i="98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6" i="100" l="1"/>
  <c r="K6" i="101" s="1"/>
  <c r="K6" i="109" s="1"/>
  <c r="K6" i="105" s="1"/>
  <c r="K6" i="110" s="1"/>
  <c r="K6" i="103" s="1"/>
  <c r="K5" i="104"/>
  <c r="K5" i="108" s="1"/>
  <c r="K5" i="111" s="1"/>
  <c r="K5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Z19" i="105"/>
  <c r="Y19" i="105"/>
  <c r="X19" i="105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C19" i="103"/>
  <c r="AB19" i="103"/>
  <c r="AB27" i="103" s="1"/>
  <c r="AA19" i="103"/>
  <c r="AA27" i="103" s="1"/>
  <c r="Z19" i="103"/>
  <c r="Z27" i="103" s="1"/>
  <c r="Y19" i="103"/>
  <c r="X19" i="103"/>
  <c r="X27" i="103" s="1"/>
  <c r="W19" i="103"/>
  <c r="V19" i="103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AA27" i="99" s="1"/>
  <c r="Z19" i="99"/>
  <c r="Y19" i="99"/>
  <c r="X19" i="99"/>
  <c r="W19" i="99"/>
  <c r="V19" i="99"/>
  <c r="V27" i="99" s="1"/>
  <c r="U19" i="99"/>
  <c r="T19" i="99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C19" i="97"/>
  <c r="AB19" i="97"/>
  <c r="AB27" i="97" s="1"/>
  <c r="AA19" i="97"/>
  <c r="Z19" i="97"/>
  <c r="Z27" i="97" s="1"/>
  <c r="Y19" i="97"/>
  <c r="X19" i="97"/>
  <c r="X27" i="97" s="1"/>
  <c r="W19" i="97"/>
  <c r="V19" i="97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K6" i="104" l="1"/>
  <c r="K6" i="108" s="1"/>
  <c r="K6" i="111" s="1"/>
  <c r="K6" i="107"/>
  <c r="X39" i="105"/>
  <c r="U39" i="109"/>
  <c r="V39" i="101"/>
  <c r="W27" i="103"/>
  <c r="AA39" i="105"/>
  <c r="Y39" i="109"/>
  <c r="AD27" i="97"/>
  <c r="T27" i="99"/>
  <c r="AD27" i="103"/>
  <c r="X26" i="98"/>
  <c r="V27" i="97"/>
  <c r="V27" i="103"/>
  <c r="Z39" i="105"/>
  <c r="W27" i="99"/>
  <c r="AD38" i="101"/>
  <c r="Y27" i="103"/>
  <c r="AC39" i="109"/>
  <c r="AA26" i="95"/>
  <c r="AA39" i="101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S38" i="110" s="1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AF32" i="101" s="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X26" i="103" s="1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X13" i="103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7" i="98"/>
  <c r="O28" i="98"/>
  <c r="O29" i="98"/>
  <c r="O30" i="98"/>
  <c r="O31" i="98"/>
  <c r="O32" i="98"/>
  <c r="O33" i="98"/>
  <c r="O35" i="98"/>
  <c r="O36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6" i="98"/>
  <c r="P27" i="98"/>
  <c r="P28" i="98"/>
  <c r="P29" i="98"/>
  <c r="P30" i="98"/>
  <c r="P31" i="98"/>
  <c r="P32" i="98"/>
  <c r="P33" i="98"/>
  <c r="P34" i="98"/>
  <c r="P35" i="98"/>
  <c r="P36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AF25" i="101" l="1"/>
  <c r="T19" i="108"/>
  <c r="Y38" i="105"/>
  <c r="X23" i="103"/>
  <c r="AF33" i="101"/>
  <c r="T26" i="103"/>
  <c r="U38" i="109"/>
  <c r="AF28" i="101"/>
  <c r="S38" i="105"/>
  <c r="AD26" i="97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V36" i="108" s="1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B38" i="105"/>
  <c r="T38" i="105"/>
  <c r="AD10" i="107"/>
  <c r="V10" i="107"/>
  <c r="AA10" i="107"/>
  <c r="P10" i="107"/>
  <c r="S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2" i="98"/>
  <c r="S28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C60" i="98" s="1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T13" i="111" l="1"/>
  <c r="N106" i="111"/>
  <c r="H106" i="111"/>
  <c r="F106" i="111"/>
  <c r="E106" i="111"/>
  <c r="G106" i="111"/>
  <c r="I106" i="111"/>
  <c r="K106" i="111"/>
  <c r="M106" i="111"/>
  <c r="D106" i="111"/>
  <c r="C106" i="111"/>
  <c r="J106" i="111"/>
  <c r="L106" i="111"/>
  <c r="T12" i="111"/>
  <c r="U39" i="107"/>
  <c r="AD39" i="107"/>
  <c r="S36" i="107"/>
  <c r="U36" i="107"/>
  <c r="Y34" i="108"/>
  <c r="S42" i="110"/>
  <c r="AE24" i="98"/>
  <c r="AA42" i="110"/>
  <c r="AD12" i="111"/>
  <c r="V39" i="107"/>
  <c r="AF10" i="108"/>
  <c r="T11" i="111"/>
  <c r="V17" i="111"/>
  <c r="AA12" i="111"/>
  <c r="X14" i="111"/>
  <c r="AD11" i="111"/>
  <c r="T17" i="111"/>
  <c r="AB19" i="111"/>
  <c r="AB39" i="111" s="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AA11" i="111"/>
  <c r="S12" i="111"/>
  <c r="W12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W38" i="111" s="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T10" i="111"/>
  <c r="AB10" i="111"/>
  <c r="Z11" i="111"/>
  <c r="AB11" i="111"/>
  <c r="V12" i="111"/>
  <c r="AB13" i="111"/>
  <c r="AB38" i="111" s="1"/>
  <c r="Z13" i="111"/>
  <c r="V14" i="111"/>
  <c r="AD14" i="111"/>
  <c r="Z15" i="111"/>
  <c r="V16" i="111"/>
  <c r="AD16" i="111"/>
  <c r="Z17" i="111"/>
  <c r="V18" i="111"/>
  <c r="AD18" i="111"/>
  <c r="Z19" i="111"/>
  <c r="Z39" i="111" s="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AA10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H108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H107" i="108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H108" i="107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Y37" i="111" l="1"/>
  <c r="Y41" i="111"/>
  <c r="Y42" i="111" s="1"/>
  <c r="Y40" i="111"/>
  <c r="W40" i="111"/>
  <c r="W37" i="111"/>
  <c r="W41" i="111"/>
  <c r="W39" i="111"/>
  <c r="AA38" i="111"/>
  <c r="AA41" i="111"/>
  <c r="AA40" i="111"/>
  <c r="AA37" i="111"/>
  <c r="AB41" i="111"/>
  <c r="AB40" i="111"/>
  <c r="AB37" i="111"/>
  <c r="Z37" i="111"/>
  <c r="Z41" i="111"/>
  <c r="Z40" i="111"/>
  <c r="S38" i="111"/>
  <c r="V38" i="111"/>
  <c r="T38" i="111"/>
  <c r="X39" i="111"/>
  <c r="AD38" i="111"/>
  <c r="AC39" i="111"/>
  <c r="AC38" i="111"/>
  <c r="AC41" i="111"/>
  <c r="AC40" i="111"/>
  <c r="AC37" i="111"/>
  <c r="T41" i="111"/>
  <c r="T40" i="111"/>
  <c r="T37" i="111"/>
  <c r="V39" i="111"/>
  <c r="U38" i="111"/>
  <c r="U41" i="111"/>
  <c r="U40" i="111"/>
  <c r="U37" i="111"/>
  <c r="V40" i="111"/>
  <c r="V37" i="111"/>
  <c r="V41" i="111"/>
  <c r="X38" i="111"/>
  <c r="Y38" i="111"/>
  <c r="Z38" i="111"/>
  <c r="S41" i="111"/>
  <c r="S37" i="111"/>
  <c r="S40" i="111"/>
  <c r="T39" i="111"/>
  <c r="AD39" i="111"/>
  <c r="AD40" i="111"/>
  <c r="AD37" i="111"/>
  <c r="AD41" i="111"/>
  <c r="AD42" i="111" s="1"/>
  <c r="AA39" i="111"/>
  <c r="X40" i="111"/>
  <c r="X37" i="111"/>
  <c r="X41" i="111"/>
  <c r="X42" i="111" s="1"/>
  <c r="S39" i="111"/>
  <c r="Y39" i="111"/>
  <c r="U39" i="111"/>
  <c r="O106" i="111"/>
  <c r="K108" i="111" s="1"/>
  <c r="P106" i="111"/>
  <c r="N107" i="111" s="1"/>
  <c r="X34" i="111"/>
  <c r="T34" i="111"/>
  <c r="X36" i="111"/>
  <c r="AA35" i="111"/>
  <c r="AF12" i="111"/>
  <c r="S34" i="111"/>
  <c r="AC34" i="111"/>
  <c r="AD34" i="111"/>
  <c r="AE15" i="111"/>
  <c r="AF19" i="111"/>
  <c r="AE12" i="111"/>
  <c r="AA36" i="111"/>
  <c r="AF14" i="111"/>
  <c r="AE14" i="111"/>
  <c r="AF11" i="111"/>
  <c r="AE18" i="111"/>
  <c r="AF10" i="111"/>
  <c r="W36" i="111"/>
  <c r="U36" i="111"/>
  <c r="Z36" i="111"/>
  <c r="V35" i="111"/>
  <c r="AB36" i="111"/>
  <c r="AE20" i="111"/>
  <c r="AE10" i="111"/>
  <c r="X35" i="111"/>
  <c r="AE13" i="111"/>
  <c r="V34" i="111"/>
  <c r="W35" i="111"/>
  <c r="AC35" i="111"/>
  <c r="W34" i="111"/>
  <c r="AF15" i="111"/>
  <c r="AF13" i="111"/>
  <c r="AF38" i="111" s="1"/>
  <c r="AE21" i="111"/>
  <c r="AF20" i="111"/>
  <c r="AE11" i="111"/>
  <c r="Z35" i="111"/>
  <c r="T36" i="111"/>
  <c r="AB35" i="111"/>
  <c r="V36" i="111"/>
  <c r="AD35" i="111"/>
  <c r="U35" i="111"/>
  <c r="AD36" i="111"/>
  <c r="AE19" i="111"/>
  <c r="Z34" i="111"/>
  <c r="T35" i="111"/>
  <c r="AB34" i="111"/>
  <c r="U34" i="111"/>
  <c r="AF17" i="111"/>
  <c r="AC36" i="111"/>
  <c r="Y36" i="111"/>
  <c r="AF16" i="111"/>
  <c r="AF21" i="111"/>
  <c r="AE17" i="111"/>
  <c r="AE16" i="111"/>
  <c r="Y35" i="111"/>
  <c r="S35" i="111"/>
  <c r="AF18" i="111"/>
  <c r="Y34" i="111"/>
  <c r="AA34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S42" i="111" l="1"/>
  <c r="AC42" i="111"/>
  <c r="AA42" i="111"/>
  <c r="Z42" i="111"/>
  <c r="AE40" i="111"/>
  <c r="AE41" i="111"/>
  <c r="AE42" i="111" s="1"/>
  <c r="AE37" i="111"/>
  <c r="U42" i="111"/>
  <c r="AE39" i="111"/>
  <c r="V42" i="111"/>
  <c r="W42" i="111"/>
  <c r="AE38" i="111"/>
  <c r="AF39" i="111"/>
  <c r="T42" i="111"/>
  <c r="AB42" i="111"/>
  <c r="AF40" i="111"/>
  <c r="AF41" i="111"/>
  <c r="AF42" i="111" s="1"/>
  <c r="AF37" i="111"/>
  <c r="AF34" i="111"/>
  <c r="K107" i="111"/>
  <c r="E108" i="111"/>
  <c r="AE34" i="111"/>
  <c r="F108" i="111"/>
  <c r="H107" i="111"/>
  <c r="F107" i="111"/>
  <c r="E107" i="111"/>
  <c r="C107" i="111"/>
  <c r="I107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J108" i="111"/>
  <c r="I108" i="111"/>
  <c r="D108" i="111"/>
  <c r="L108" i="111"/>
  <c r="G108" i="111"/>
  <c r="AF35" i="111"/>
</calcChain>
</file>

<file path=xl/sharedStrings.xml><?xml version="1.0" encoding="utf-8"?>
<sst xmlns="http://schemas.openxmlformats.org/spreadsheetml/2006/main" count="2340" uniqueCount="179">
  <si>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</si>
  <si>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</si>
  <si>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</si>
  <si>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</si>
  <si>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</si>
  <si>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</si>
  <si>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</si>
  <si>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</si>
  <si>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</si>
  <si>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</si>
  <si>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</si>
  <si>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</si>
  <si>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</si>
  <si>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</si>
  <si>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</si>
  <si>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</si>
  <si>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</si>
  <si>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</si>
  <si>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</si>
  <si>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</si>
  <si>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</si>
  <si>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</si>
  <si>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</si>
  <si>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</si>
  <si>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</si>
  <si>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</si>
  <si>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</si>
  <si>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</si>
  <si>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</si>
  <si>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</si>
  <si>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</si>
  <si>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</si>
  <si>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</si>
  <si>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</si>
  <si>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</si>
  <si>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</si>
  <si>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</si>
  <si>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</si>
  <si>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</si>
  <si>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</si>
  <si>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</si>
  <si>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</si>
  <si>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</si>
  <si>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</si>
  <si>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</si>
  <si>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</si>
  <si>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</si>
  <si>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</si>
  <si>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</si>
  <si>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</si>
  <si>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</si>
  <si>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</si>
  <si>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</si>
  <si>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</si>
  <si>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</si>
  <si>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</si>
  <si>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</si>
  <si>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</si>
  <si>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</si>
  <si>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</si>
  <si>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</si>
  <si>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</si>
  <si>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</si>
  <si>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</si>
  <si>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</si>
  <si>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</si>
  <si>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</si>
  <si>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</si>
  <si>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</si>
  <si>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</si>
  <si>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</si>
  <si>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</si>
  <si>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</si>
  <si>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</si>
  <si>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</si>
  <si>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</si>
  <si>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</si>
  <si>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</si>
  <si>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</si>
  <si>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</si>
  <si>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</si>
  <si>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</si>
  <si>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</si>
  <si>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</si>
  <si>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</si>
  <si>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</si>
  <si>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</si>
  <si>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</si>
  <si>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</si>
  <si>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</si>
  <si>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</si>
  <si>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</si>
  <si>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</si>
  <si>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</si>
  <si>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</si>
  <si>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</si>
  <si>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</si>
  <si>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</si>
  <si>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</si>
  <si>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</si>
  <si>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</si>
  <si>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</si>
  <si>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</si>
  <si>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</si>
  <si>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</si>
  <si>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</si>
  <si>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</si>
  <si>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</si>
  <si>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</si>
  <si>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</si>
  <si>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</si>
  <si>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</si>
  <si>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</si>
  <si>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</si>
  <si>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</si>
  <si>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</si>
  <si>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</si>
  <si>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</si>
  <si>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</si>
  <si>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</si>
  <si>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</si>
  <si>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</si>
  <si>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</si>
  <si>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</si>
  <si>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</si>
  <si>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</si>
  <si>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</si>
  <si>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</si>
  <si>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</si>
  <si>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</si>
  <si>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</si>
  <si>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</si>
  <si>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</si>
  <si>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</si>
  <si>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</si>
  <si>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</si>
  <si>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</si>
  <si>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</si>
  <si>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</si>
  <si>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</si>
  <si>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</si>
  <si>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</si>
  <si>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</si>
  <si>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</si>
  <si>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</si>
  <si>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</si>
  <si>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</si>
  <si>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</si>
  <si>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</si>
  <si>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</si>
  <si>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</si>
  <si>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</si>
  <si>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</si>
  <si>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</si>
  <si>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</si>
  <si>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</si>
  <si>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</si>
  <si>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</si>
  <si>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</si>
  <si>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</si>
  <si>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</si>
  <si>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</si>
  <si>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22.07.19</t>
  </si>
  <si>
    <t>Kibuye</t>
  </si>
  <si>
    <t>23.07.19</t>
  </si>
  <si>
    <t>24.07.19</t>
  </si>
  <si>
    <t>25.07.19</t>
  </si>
  <si>
    <t>26.07.19</t>
  </si>
  <si>
    <t>27.07.19</t>
  </si>
  <si>
    <t>28.07.19</t>
  </si>
  <si>
    <t>AVERAGE WEEK</t>
  </si>
  <si>
    <t>Munyonyo</t>
  </si>
  <si>
    <t>Racheal</t>
  </si>
  <si>
    <t>Emma</t>
  </si>
  <si>
    <t>Gerald</t>
  </si>
  <si>
    <t>Racheal &amp; Richard</t>
  </si>
  <si>
    <t>Salama road 1A</t>
  </si>
  <si>
    <t>MCC - C1 - STN01A - SALAMA ROAD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</si>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</sst>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0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/>
    </xf>
    <xf numFmtId="41" fontId="1" fillId="0" borderId="8" xfId="2" applyFont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Kibuye-Munyonyo'!$AE$9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Kibuye-Munyonyo'!$R$10:$R$21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Kibuye-Munyonyo'!$AE$10:$AE$21</c:f>
              <c:numCache>
                <c:formatCode>0</c:formatCode>
                <c:ptCount val="12"/>
                <c:pt idx="0">
                  <c:v>68</c:v>
                </c:pt>
                <c:pt idx="1">
                  <c:v>305</c:v>
                </c:pt>
                <c:pt idx="2">
                  <c:v>252</c:v>
                </c:pt>
                <c:pt idx="3">
                  <c:v>200</c:v>
                </c:pt>
                <c:pt idx="4">
                  <c:v>249</c:v>
                </c:pt>
                <c:pt idx="5">
                  <c:v>220</c:v>
                </c:pt>
                <c:pt idx="6">
                  <c:v>238</c:v>
                </c:pt>
                <c:pt idx="7">
                  <c:v>233</c:v>
                </c:pt>
                <c:pt idx="8">
                  <c:v>128</c:v>
                </c:pt>
                <c:pt idx="9">
                  <c:v>327</c:v>
                </c:pt>
                <c:pt idx="10">
                  <c:v>331</c:v>
                </c:pt>
                <c:pt idx="11">
                  <c:v>344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'22.07 Kibuye-Munyonyo'!$AF$9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Kibuye-Munyonyo'!$R$10:$R$21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Kibuye-Munyonyo'!$AF$10:$AF$21</c:f>
              <c:numCache>
                <c:formatCode>0</c:formatCode>
                <c:ptCount val="12"/>
                <c:pt idx="0">
                  <c:v>199</c:v>
                </c:pt>
                <c:pt idx="1">
                  <c:v>945</c:v>
                </c:pt>
                <c:pt idx="2">
                  <c:v>871</c:v>
                </c:pt>
                <c:pt idx="3">
                  <c:v>705</c:v>
                </c:pt>
                <c:pt idx="4">
                  <c:v>808</c:v>
                </c:pt>
                <c:pt idx="5">
                  <c:v>710</c:v>
                </c:pt>
                <c:pt idx="6">
                  <c:v>742</c:v>
                </c:pt>
                <c:pt idx="7">
                  <c:v>644</c:v>
                </c:pt>
                <c:pt idx="8">
                  <c:v>201</c:v>
                </c:pt>
                <c:pt idx="9">
                  <c:v>763</c:v>
                </c:pt>
                <c:pt idx="10">
                  <c:v>751</c:v>
                </c:pt>
                <c:pt idx="11">
                  <c:v>894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0336976"/>
        <c:axId val="660344592"/>
      </c:lineChart>
      <c:catAx>
        <c:axId val="6603369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60344592"/>
        <c:crosses val="autoZero"/>
        <c:auto val="1"/>
        <c:lblAlgn val="ctr"/>
        <c:lblOffset val="100"/>
        <c:noMultiLvlLbl val="0"/>
      </c:catAx>
      <c:valAx>
        <c:axId val="660344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6033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Kibuye-Munyonyo'!$C$9:$N$9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Kibuye-Munyonyo'!$C$59:$N$59</c:f>
              <c:numCache>
                <c:formatCode>0.0%</c:formatCode>
                <c:ptCount val="12"/>
                <c:pt idx="0">
                  <c:v>9.0975343131300859E-2</c:v>
                </c:pt>
                <c:pt idx="1">
                  <c:v>4.9921049435199809E-2</c:v>
                </c:pt>
                <c:pt idx="2">
                  <c:v>1.2024778331106522E-2</c:v>
                </c:pt>
                <c:pt idx="3">
                  <c:v>0.17235515607919349</c:v>
                </c:pt>
                <c:pt idx="4">
                  <c:v>1.7004737033888011E-3</c:v>
                </c:pt>
                <c:pt idx="5">
                  <c:v>4.8584962953965749E-4</c:v>
                </c:pt>
                <c:pt idx="6">
                  <c:v>2.1984695736669502E-2</c:v>
                </c:pt>
                <c:pt idx="7">
                  <c:v>1.8219361107737156E-3</c:v>
                </c:pt>
                <c:pt idx="8">
                  <c:v>3.6438722215474309E-4</c:v>
                </c:pt>
                <c:pt idx="9">
                  <c:v>0</c:v>
                </c:pt>
                <c:pt idx="10">
                  <c:v>0.64836633062067295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Kibuye-Munyonyo'!$C$9:$N$9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Kibuye-Munyonyo'!$C$60:$N$60</c:f>
              <c:numCache>
                <c:formatCode>0.00%</c:formatCode>
                <c:ptCount val="12"/>
                <c:pt idx="0">
                  <c:v>0.25872193436960278</c:v>
                </c:pt>
                <c:pt idx="1">
                  <c:v>0.14196891191709846</c:v>
                </c:pt>
                <c:pt idx="2">
                  <c:v>3.4196891191709843E-2</c:v>
                </c:pt>
                <c:pt idx="3">
                  <c:v>0.49015544041450776</c:v>
                </c:pt>
                <c:pt idx="4">
                  <c:v>4.8359240069084626E-3</c:v>
                </c:pt>
                <c:pt idx="5">
                  <c:v>1.3816925734024179E-3</c:v>
                </c:pt>
                <c:pt idx="6">
                  <c:v>6.2521588946459414E-2</c:v>
                </c:pt>
                <c:pt idx="7">
                  <c:v>5.1813471502590676E-3</c:v>
                </c:pt>
                <c:pt idx="8">
                  <c:v>1.0362694300518134E-3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Munyonyo-Kibuye'!$AE$9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Munyonyo-Kibuye'!$R$10:$R$21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Munyonyo-Kibuye'!$AE$10:$AE$21</c:f>
              <c:numCache>
                <c:formatCode>0</c:formatCode>
                <c:ptCount val="12"/>
                <c:pt idx="0">
                  <c:v>70</c:v>
                </c:pt>
                <c:pt idx="1">
                  <c:v>476</c:v>
                </c:pt>
                <c:pt idx="2">
                  <c:v>429</c:v>
                </c:pt>
                <c:pt idx="3">
                  <c:v>315</c:v>
                </c:pt>
                <c:pt idx="4">
                  <c:v>314</c:v>
                </c:pt>
                <c:pt idx="5">
                  <c:v>253</c:v>
                </c:pt>
                <c:pt idx="6">
                  <c:v>192</c:v>
                </c:pt>
                <c:pt idx="7">
                  <c:v>205</c:v>
                </c:pt>
                <c:pt idx="8">
                  <c:v>164</c:v>
                </c:pt>
                <c:pt idx="9">
                  <c:v>266</c:v>
                </c:pt>
                <c:pt idx="10">
                  <c:v>265</c:v>
                </c:pt>
                <c:pt idx="11">
                  <c:v>217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'22.07 Munyonyo-Kibuye'!$AF$9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Munyonyo-Kibuye'!$R$10:$R$21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Munyonyo-Kibuye'!$AF$10:$AF$21</c:f>
              <c:numCache>
                <c:formatCode>0</c:formatCode>
                <c:ptCount val="12"/>
                <c:pt idx="0">
                  <c:v>263</c:v>
                </c:pt>
                <c:pt idx="1">
                  <c:v>1390</c:v>
                </c:pt>
                <c:pt idx="2">
                  <c:v>1323</c:v>
                </c:pt>
                <c:pt idx="3">
                  <c:v>1019</c:v>
                </c:pt>
                <c:pt idx="4">
                  <c:v>871</c:v>
                </c:pt>
                <c:pt idx="5">
                  <c:v>706</c:v>
                </c:pt>
                <c:pt idx="6">
                  <c:v>481</c:v>
                </c:pt>
                <c:pt idx="7">
                  <c:v>569</c:v>
                </c:pt>
                <c:pt idx="8">
                  <c:v>280</c:v>
                </c:pt>
                <c:pt idx="9">
                  <c:v>749</c:v>
                </c:pt>
                <c:pt idx="10">
                  <c:v>822</c:v>
                </c:pt>
                <c:pt idx="11">
                  <c:v>729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0340784"/>
        <c:axId val="660341328"/>
      </c:lineChart>
      <c:catAx>
        <c:axId val="6603407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60341328"/>
        <c:crosses val="autoZero"/>
        <c:auto val="1"/>
        <c:lblAlgn val="ctr"/>
        <c:lblOffset val="100"/>
        <c:noMultiLvlLbl val="0"/>
      </c:catAx>
      <c:valAx>
        <c:axId val="6603413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6034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Munyonyo-Kibuye'!$C$9:$N$9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Munyonyo-Kibuye'!$C$59:$N$59</c:f>
              <c:numCache>
                <c:formatCode>0.0%</c:formatCode>
                <c:ptCount val="12"/>
                <c:pt idx="0">
                  <c:v>0.11149750054336013</c:v>
                </c:pt>
                <c:pt idx="1">
                  <c:v>4.0969354488154752E-2</c:v>
                </c:pt>
                <c:pt idx="2">
                  <c:v>1.7170180395566181E-2</c:v>
                </c:pt>
                <c:pt idx="3">
                  <c:v>0.15301021517061508</c:v>
                </c:pt>
                <c:pt idx="4">
                  <c:v>1.6300804173005868E-3</c:v>
                </c:pt>
                <c:pt idx="5">
                  <c:v>1.0867202782003912E-4</c:v>
                </c:pt>
                <c:pt idx="6">
                  <c:v>1.7170180395566181E-2</c:v>
                </c:pt>
                <c:pt idx="7">
                  <c:v>1.847424472940665E-3</c:v>
                </c:pt>
                <c:pt idx="8">
                  <c:v>6.5203216692023478E-4</c:v>
                </c:pt>
                <c:pt idx="9">
                  <c:v>0</c:v>
                </c:pt>
                <c:pt idx="10">
                  <c:v>0.65594435992175615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Munyonyo-Kibuye'!$S$9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'22.07 Munyonyo-Kibuye'!$R$10:$R$21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Munyonyo-Kibuye'!$S$10:$S$21</c:f>
              <c:numCache>
                <c:formatCode>0</c:formatCode>
                <c:ptCount val="12"/>
                <c:pt idx="0">
                  <c:v>17</c:v>
                </c:pt>
                <c:pt idx="1">
                  <c:v>126</c:v>
                </c:pt>
                <c:pt idx="2">
                  <c:v>131</c:v>
                </c:pt>
                <c:pt idx="3">
                  <c:v>86</c:v>
                </c:pt>
                <c:pt idx="4">
                  <c:v>114</c:v>
                </c:pt>
                <c:pt idx="5">
                  <c:v>84</c:v>
                </c:pt>
                <c:pt idx="6">
                  <c:v>59</c:v>
                </c:pt>
                <c:pt idx="7">
                  <c:v>77</c:v>
                </c:pt>
                <c:pt idx="8">
                  <c:v>63</c:v>
                </c:pt>
                <c:pt idx="9">
                  <c:v>107</c:v>
                </c:pt>
                <c:pt idx="10">
                  <c:v>102</c:v>
                </c:pt>
                <c:pt idx="11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'22.07 Munyonyo-Kibuye'!$T$9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'22.07 Munyonyo-Kibuye'!$R$10:$R$21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Munyonyo-Kibuye'!$T$10:$T$21</c:f>
              <c:numCache>
                <c:formatCode>0</c:formatCode>
                <c:ptCount val="12"/>
                <c:pt idx="0">
                  <c:v>4</c:v>
                </c:pt>
                <c:pt idx="1">
                  <c:v>51</c:v>
                </c:pt>
                <c:pt idx="2">
                  <c:v>61</c:v>
                </c:pt>
                <c:pt idx="3">
                  <c:v>45</c:v>
                </c:pt>
                <c:pt idx="4">
                  <c:v>32</c:v>
                </c:pt>
                <c:pt idx="5">
                  <c:v>30</c:v>
                </c:pt>
                <c:pt idx="6">
                  <c:v>28</c:v>
                </c:pt>
                <c:pt idx="7">
                  <c:v>21</c:v>
                </c:pt>
                <c:pt idx="8">
                  <c:v>19</c:v>
                </c:pt>
                <c:pt idx="9">
                  <c:v>35</c:v>
                </c:pt>
                <c:pt idx="10">
                  <c:v>26</c:v>
                </c:pt>
                <c:pt idx="11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'22.07 Munyonyo-Kibuye'!$U$9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'22.07 Munyonyo-Kibuye'!$U$10:$U$21</c:f>
              <c:numCache>
                <c:formatCode>0</c:formatCode>
                <c:ptCount val="12"/>
                <c:pt idx="0">
                  <c:v>2</c:v>
                </c:pt>
                <c:pt idx="1">
                  <c:v>24</c:v>
                </c:pt>
                <c:pt idx="2">
                  <c:v>21</c:v>
                </c:pt>
                <c:pt idx="3">
                  <c:v>10</c:v>
                </c:pt>
                <c:pt idx="4">
                  <c:v>21</c:v>
                </c:pt>
                <c:pt idx="5">
                  <c:v>10</c:v>
                </c:pt>
                <c:pt idx="6">
                  <c:v>18</c:v>
                </c:pt>
                <c:pt idx="7">
                  <c:v>14</c:v>
                </c:pt>
                <c:pt idx="8">
                  <c:v>11</c:v>
                </c:pt>
                <c:pt idx="9">
                  <c:v>9</c:v>
                </c:pt>
                <c:pt idx="10">
                  <c:v>12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'22.07 Munyonyo-Kibuye'!$V$9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'22.07 Munyonyo-Kibuye'!$V$10:$V$21</c:f>
              <c:numCache>
                <c:formatCode>0</c:formatCode>
                <c:ptCount val="12"/>
                <c:pt idx="0">
                  <c:v>46</c:v>
                </c:pt>
                <c:pt idx="1">
                  <c:v>247</c:v>
                </c:pt>
                <c:pt idx="2">
                  <c:v>200</c:v>
                </c:pt>
                <c:pt idx="3">
                  <c:v>158</c:v>
                </c:pt>
                <c:pt idx="4">
                  <c:v>124</c:v>
                </c:pt>
                <c:pt idx="5">
                  <c:v>111</c:v>
                </c:pt>
                <c:pt idx="6">
                  <c:v>78</c:v>
                </c:pt>
                <c:pt idx="7">
                  <c:v>81</c:v>
                </c:pt>
                <c:pt idx="8">
                  <c:v>60</c:v>
                </c:pt>
                <c:pt idx="9">
                  <c:v>88</c:v>
                </c:pt>
                <c:pt idx="10">
                  <c:v>107</c:v>
                </c:pt>
                <c:pt idx="11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'22.07 Munyonyo-Kibuye'!$W$9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'22.07 Munyonyo-Kibuye'!$W$10:$W$21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'22.07 Munyonyo-Kibuye'!$X$9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'22.07 Munyonyo-Kibuye'!$X$10:$X$21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'22.07 Munyonyo-Kibuye'!$Y$9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Munyonyo-Kibuye'!$Y$10:$Y$21</c:f>
              <c:numCache>
                <c:formatCode>0</c:formatCode>
                <c:ptCount val="12"/>
                <c:pt idx="0">
                  <c:v>1</c:v>
                </c:pt>
                <c:pt idx="1">
                  <c:v>24</c:v>
                </c:pt>
                <c:pt idx="2">
                  <c:v>10</c:v>
                </c:pt>
                <c:pt idx="3">
                  <c:v>14</c:v>
                </c:pt>
                <c:pt idx="4">
                  <c:v>21</c:v>
                </c:pt>
                <c:pt idx="5">
                  <c:v>15</c:v>
                </c:pt>
                <c:pt idx="6">
                  <c:v>7</c:v>
                </c:pt>
                <c:pt idx="7">
                  <c:v>11</c:v>
                </c:pt>
                <c:pt idx="8">
                  <c:v>11</c:v>
                </c:pt>
                <c:pt idx="9">
                  <c:v>23</c:v>
                </c:pt>
                <c:pt idx="10">
                  <c:v>13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'22.07 Munyonyo-Kibuye'!$Z$9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Munyonyo-Kibuye'!$Z$10:$Z$21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'22.07 Munyonyo-Kibuye'!$AA$9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Munyonyo-Kibuye'!$AA$10:$AA$21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'22.07 Munyonyo-Kibuye'!$AB$9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Munyonyo-Kibuye'!$AB$10:$AB$21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'22.07 Munyonyo-Kibuye'!$AC$9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Munyonyo-Kibuye'!$AC$10:$AC$21</c:f>
              <c:numCache>
                <c:formatCode>0</c:formatCode>
                <c:ptCount val="12"/>
                <c:pt idx="0">
                  <c:v>193</c:v>
                </c:pt>
                <c:pt idx="1">
                  <c:v>914</c:v>
                </c:pt>
                <c:pt idx="2">
                  <c:v>894</c:v>
                </c:pt>
                <c:pt idx="3">
                  <c:v>704</c:v>
                </c:pt>
                <c:pt idx="4">
                  <c:v>557</c:v>
                </c:pt>
                <c:pt idx="5">
                  <c:v>453</c:v>
                </c:pt>
                <c:pt idx="6">
                  <c:v>289</c:v>
                </c:pt>
                <c:pt idx="7">
                  <c:v>364</c:v>
                </c:pt>
                <c:pt idx="8">
                  <c:v>116</c:v>
                </c:pt>
                <c:pt idx="9">
                  <c:v>483</c:v>
                </c:pt>
                <c:pt idx="10">
                  <c:v>557</c:v>
                </c:pt>
                <c:pt idx="11">
                  <c:v>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'22.07 Munyonyo-Kibuye'!$AD$9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Munyonyo-Kibuye'!$AD$10:$AD$21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346224"/>
        <c:axId val="660347312"/>
      </c:lineChart>
      <c:catAx>
        <c:axId val="66034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60347312"/>
        <c:crosses val="autoZero"/>
        <c:auto val="1"/>
        <c:lblAlgn val="ctr"/>
        <c:lblOffset val="100"/>
        <c:noMultiLvlLbl val="0"/>
      </c:catAx>
      <c:valAx>
        <c:axId val="6603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6034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Munyonyo-Kibuye'!$C$9:$N$9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Munyonyo-Kibuye'!$C$60:$N$60</c:f>
              <c:numCache>
                <c:formatCode>0.00%</c:formatCode>
                <c:ptCount val="12"/>
                <c:pt idx="0">
                  <c:v>0.32406822488945042</c:v>
                </c:pt>
                <c:pt idx="1">
                  <c:v>0.11907770056854075</c:v>
                </c:pt>
                <c:pt idx="2">
                  <c:v>4.9905243209096652E-2</c:v>
                </c:pt>
                <c:pt idx="3">
                  <c:v>0.44472520530638027</c:v>
                </c:pt>
                <c:pt idx="4">
                  <c:v>4.737839545167404E-3</c:v>
                </c:pt>
                <c:pt idx="5">
                  <c:v>3.1585596967782689E-4</c:v>
                </c:pt>
                <c:pt idx="6">
                  <c:v>4.9905243209096652E-2</c:v>
                </c:pt>
                <c:pt idx="7">
                  <c:v>5.3695514845230573E-3</c:v>
                </c:pt>
                <c:pt idx="8">
                  <c:v>1.8951358180669614E-3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Kibuye-Munyonyo'!$AE$9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Kibuye-Munyonyo'!$R$10:$R$21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Kibuye-Munyonyo'!$AE$10:$AE$21</c:f>
              <c:numCache>
                <c:formatCode>0</c:formatCode>
                <c:ptCount val="12"/>
                <c:pt idx="0">
                  <c:v>372</c:v>
                </c:pt>
                <c:pt idx="1">
                  <c:v>385</c:v>
                </c:pt>
                <c:pt idx="2">
                  <c:v>413</c:v>
                </c:pt>
                <c:pt idx="3">
                  <c:v>250</c:v>
                </c:pt>
                <c:pt idx="4">
                  <c:v>250</c:v>
                </c:pt>
                <c:pt idx="5">
                  <c:v>201</c:v>
                </c:pt>
                <c:pt idx="6">
                  <c:v>194</c:v>
                </c:pt>
                <c:pt idx="7">
                  <c:v>220</c:v>
                </c:pt>
                <c:pt idx="8">
                  <c:v>252</c:v>
                </c:pt>
                <c:pt idx="9">
                  <c:v>271</c:v>
                </c:pt>
                <c:pt idx="10">
                  <c:v>366</c:v>
                </c:pt>
                <c:pt idx="11">
                  <c:v>366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'23.07 Kibuye-Munyonyo'!$AF$9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Kibuye-Munyonyo'!$R$10:$R$21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Kibuye-Munyonyo'!$AF$10:$AF$21</c:f>
              <c:numCache>
                <c:formatCode>0</c:formatCode>
                <c:ptCount val="12"/>
                <c:pt idx="0">
                  <c:v>909</c:v>
                </c:pt>
                <c:pt idx="1">
                  <c:v>1100</c:v>
                </c:pt>
                <c:pt idx="2">
                  <c:v>1143</c:v>
                </c:pt>
                <c:pt idx="3">
                  <c:v>922</c:v>
                </c:pt>
                <c:pt idx="4">
                  <c:v>806</c:v>
                </c:pt>
                <c:pt idx="5">
                  <c:v>726</c:v>
                </c:pt>
                <c:pt idx="6">
                  <c:v>584</c:v>
                </c:pt>
                <c:pt idx="7">
                  <c:v>637</c:v>
                </c:pt>
                <c:pt idx="8">
                  <c:v>692</c:v>
                </c:pt>
                <c:pt idx="9">
                  <c:v>729</c:v>
                </c:pt>
                <c:pt idx="10">
                  <c:v>871</c:v>
                </c:pt>
                <c:pt idx="11">
                  <c:v>911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390080"/>
        <c:axId val="759385184"/>
      </c:lineChart>
      <c:catAx>
        <c:axId val="7593900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59385184"/>
        <c:crosses val="autoZero"/>
        <c:auto val="1"/>
        <c:lblAlgn val="ctr"/>
        <c:lblOffset val="100"/>
        <c:noMultiLvlLbl val="0"/>
      </c:catAx>
      <c:valAx>
        <c:axId val="7593851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5939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Kibuye-Munyonyo'!$C$9:$N$9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Kibuye-Munyonyo'!$C$59:$N$59</c:f>
              <c:numCache>
                <c:formatCode>0.0%</c:formatCode>
                <c:ptCount val="12"/>
                <c:pt idx="0">
                  <c:v>8.2352941176470587E-2</c:v>
                </c:pt>
                <c:pt idx="1">
                  <c:v>5.5433698903290127E-2</c:v>
                </c:pt>
                <c:pt idx="2">
                  <c:v>8.8733798604187439E-3</c:v>
                </c:pt>
                <c:pt idx="3">
                  <c:v>0.18165503489531407</c:v>
                </c:pt>
                <c:pt idx="4">
                  <c:v>1.3958125623130609E-3</c:v>
                </c:pt>
                <c:pt idx="5">
                  <c:v>0</c:v>
                </c:pt>
                <c:pt idx="6">
                  <c:v>1.7746759720837488E-2</c:v>
                </c:pt>
                <c:pt idx="7">
                  <c:v>3.7886340977068794E-3</c:v>
                </c:pt>
                <c:pt idx="8">
                  <c:v>1.6949152542372881E-3</c:v>
                </c:pt>
                <c:pt idx="9">
                  <c:v>0</c:v>
                </c:pt>
                <c:pt idx="10">
                  <c:v>0.6470588235294118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Kibuye-Munyonyo'!$S$9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Kibuye-Munyonyo'!$R$10:$R$21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Kibuye-Munyonyo'!$S$10:$S$21</c:f>
              <c:numCache>
                <c:formatCode>0</c:formatCode>
                <c:ptCount val="12"/>
                <c:pt idx="0">
                  <c:v>48</c:v>
                </c:pt>
                <c:pt idx="1">
                  <c:v>41</c:v>
                </c:pt>
                <c:pt idx="2">
                  <c:v>59</c:v>
                </c:pt>
                <c:pt idx="3">
                  <c:v>51</c:v>
                </c:pt>
                <c:pt idx="4">
                  <c:v>58</c:v>
                </c:pt>
                <c:pt idx="5">
                  <c:v>55</c:v>
                </c:pt>
                <c:pt idx="6">
                  <c:v>54</c:v>
                </c:pt>
                <c:pt idx="7">
                  <c:v>67</c:v>
                </c:pt>
                <c:pt idx="8">
                  <c:v>71</c:v>
                </c:pt>
                <c:pt idx="9">
                  <c:v>91</c:v>
                </c:pt>
                <c:pt idx="10">
                  <c:v>109</c:v>
                </c:pt>
                <c:pt idx="11">
                  <c:v>122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'23.07 Kibuye-Munyonyo'!$T$9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Kibuye-Munyonyo'!$R$10:$R$21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Kibuye-Munyonyo'!$T$10:$T$21</c:f>
              <c:numCache>
                <c:formatCode>0</c:formatCode>
                <c:ptCount val="12"/>
                <c:pt idx="0">
                  <c:v>35</c:v>
                </c:pt>
                <c:pt idx="1">
                  <c:v>28</c:v>
                </c:pt>
                <c:pt idx="2">
                  <c:v>31</c:v>
                </c:pt>
                <c:pt idx="3">
                  <c:v>27</c:v>
                </c:pt>
                <c:pt idx="4">
                  <c:v>41</c:v>
                </c:pt>
                <c:pt idx="5">
                  <c:v>34</c:v>
                </c:pt>
                <c:pt idx="6">
                  <c:v>38</c:v>
                </c:pt>
                <c:pt idx="7">
                  <c:v>38</c:v>
                </c:pt>
                <c:pt idx="8">
                  <c:v>49</c:v>
                </c:pt>
                <c:pt idx="9">
                  <c:v>62</c:v>
                </c:pt>
                <c:pt idx="10">
                  <c:v>106</c:v>
                </c:pt>
                <c:pt idx="11">
                  <c:v>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'23.07 Kibuye-Munyonyo'!$U$9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Kibuye-Munyonyo'!$U$10:$U$21</c:f>
              <c:numCache>
                <c:formatCode>0</c:formatCode>
                <c:ptCount val="12"/>
                <c:pt idx="0">
                  <c:v>8</c:v>
                </c:pt>
                <c:pt idx="1">
                  <c:v>6</c:v>
                </c:pt>
                <c:pt idx="2">
                  <c:v>7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3</c:v>
                </c:pt>
                <c:pt idx="7">
                  <c:v>9</c:v>
                </c:pt>
                <c:pt idx="8">
                  <c:v>8</c:v>
                </c:pt>
                <c:pt idx="9">
                  <c:v>12</c:v>
                </c:pt>
                <c:pt idx="10">
                  <c:v>11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'23.07 Kibuye-Munyonyo'!$V$9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Kibuye-Munyonyo'!$V$10:$V$21</c:f>
              <c:numCache>
                <c:formatCode>0</c:formatCode>
                <c:ptCount val="12"/>
                <c:pt idx="0">
                  <c:v>266</c:v>
                </c:pt>
                <c:pt idx="1">
                  <c:v>284</c:v>
                </c:pt>
                <c:pt idx="2">
                  <c:v>301</c:v>
                </c:pt>
                <c:pt idx="3">
                  <c:v>144</c:v>
                </c:pt>
                <c:pt idx="4">
                  <c:v>126</c:v>
                </c:pt>
                <c:pt idx="5">
                  <c:v>88</c:v>
                </c:pt>
                <c:pt idx="6">
                  <c:v>84</c:v>
                </c:pt>
                <c:pt idx="7">
                  <c:v>84</c:v>
                </c:pt>
                <c:pt idx="8">
                  <c:v>94</c:v>
                </c:pt>
                <c:pt idx="9">
                  <c:v>86</c:v>
                </c:pt>
                <c:pt idx="10">
                  <c:v>120</c:v>
                </c:pt>
                <c:pt idx="11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'23.07 Kibuye-Munyonyo'!$W$9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Kibuye-Munyonyo'!$W$10:$W$21</c:f>
              <c:numCache>
                <c:formatCode>0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'23.07 Kibuye-Munyonyo'!$X$9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Kibuye-Munyonyo'!$X$10:$X$21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'23.07 Kibuye-Munyonyo'!$Y$9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Kibuye-Munyonyo'!$Y$10:$Y$21</c:f>
              <c:numCache>
                <c:formatCode>0</c:formatCode>
                <c:ptCount val="12"/>
                <c:pt idx="0">
                  <c:v>7</c:v>
                </c:pt>
                <c:pt idx="1">
                  <c:v>16</c:v>
                </c:pt>
                <c:pt idx="2">
                  <c:v>12</c:v>
                </c:pt>
                <c:pt idx="3">
                  <c:v>11</c:v>
                </c:pt>
                <c:pt idx="4">
                  <c:v>17</c:v>
                </c:pt>
                <c:pt idx="5">
                  <c:v>13</c:v>
                </c:pt>
                <c:pt idx="6">
                  <c:v>11</c:v>
                </c:pt>
                <c:pt idx="7">
                  <c:v>16</c:v>
                </c:pt>
                <c:pt idx="8">
                  <c:v>23</c:v>
                </c:pt>
                <c:pt idx="9">
                  <c:v>14</c:v>
                </c:pt>
                <c:pt idx="10">
                  <c:v>17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'23.07 Kibuye-Munyonyo'!$Z$9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Kibuye-Munyonyo'!$Z$10:$Z$21</c:f>
              <c:numCache>
                <c:formatCode>0</c:formatCode>
                <c:ptCount val="12"/>
                <c:pt idx="0">
                  <c:v>4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5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'23.07 Kibuye-Munyonyo'!$AA$9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Kibuye-Munyonyo'!$AA$10:$AA$21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'23.07 Kibuye-Munyonyo'!$AB$9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Kibuye-Munyonyo'!$AB$10:$AB$21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'23.07 Kibuye-Munyonyo'!$AC$9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Kibuye-Munyonyo'!$AC$10:$AC$21</c:f>
              <c:numCache>
                <c:formatCode>0</c:formatCode>
                <c:ptCount val="12"/>
                <c:pt idx="0">
                  <c:v>537</c:v>
                </c:pt>
                <c:pt idx="1">
                  <c:v>715</c:v>
                </c:pt>
                <c:pt idx="2">
                  <c:v>730</c:v>
                </c:pt>
                <c:pt idx="3">
                  <c:v>672</c:v>
                </c:pt>
                <c:pt idx="4">
                  <c:v>556</c:v>
                </c:pt>
                <c:pt idx="5">
                  <c:v>525</c:v>
                </c:pt>
                <c:pt idx="6">
                  <c:v>390</c:v>
                </c:pt>
                <c:pt idx="7">
                  <c:v>417</c:v>
                </c:pt>
                <c:pt idx="8">
                  <c:v>440</c:v>
                </c:pt>
                <c:pt idx="9">
                  <c:v>458</c:v>
                </c:pt>
                <c:pt idx="10">
                  <c:v>505</c:v>
                </c:pt>
                <c:pt idx="11">
                  <c:v>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'23.07 Kibuye-Munyonyo'!$AD$9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Kibuye-Munyonyo'!$AD$10:$AD$21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386272"/>
        <c:axId val="759394432"/>
      </c:lineChart>
      <c:catAx>
        <c:axId val="75938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59394432"/>
        <c:crosses val="autoZero"/>
        <c:auto val="1"/>
        <c:lblAlgn val="ctr"/>
        <c:lblOffset val="100"/>
        <c:noMultiLvlLbl val="0"/>
      </c:catAx>
      <c:valAx>
        <c:axId val="75939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5938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Kibuye-Munyonyo'!$C$9:$N$9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Kibuye-Munyonyo'!$C$60:$N$60</c:f>
              <c:numCache>
                <c:formatCode>0.00%</c:formatCode>
                <c:ptCount val="12"/>
                <c:pt idx="0">
                  <c:v>0.23333333333333334</c:v>
                </c:pt>
                <c:pt idx="1">
                  <c:v>0.15706214689265538</c:v>
                </c:pt>
                <c:pt idx="2">
                  <c:v>2.5141242937853109E-2</c:v>
                </c:pt>
                <c:pt idx="3">
                  <c:v>0.51468926553672312</c:v>
                </c:pt>
                <c:pt idx="4">
                  <c:v>3.9548022598870055E-3</c:v>
                </c:pt>
                <c:pt idx="5">
                  <c:v>0</c:v>
                </c:pt>
                <c:pt idx="6">
                  <c:v>5.0282485875706218E-2</c:v>
                </c:pt>
                <c:pt idx="7">
                  <c:v>1.0734463276836158E-2</c:v>
                </c:pt>
                <c:pt idx="8">
                  <c:v>4.80225988700565E-3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Munyonyo-Kibuye'!$AE$9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Munyonyo-Kibuye'!$R$10:$R$21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Munyonyo-Kibuye'!$AE$10:$AE$21</c:f>
              <c:numCache>
                <c:formatCode>0</c:formatCode>
                <c:ptCount val="12"/>
                <c:pt idx="0">
                  <c:v>493</c:v>
                </c:pt>
                <c:pt idx="1">
                  <c:v>409</c:v>
                </c:pt>
                <c:pt idx="2">
                  <c:v>364</c:v>
                </c:pt>
                <c:pt idx="3">
                  <c:v>363</c:v>
                </c:pt>
                <c:pt idx="4">
                  <c:v>284</c:v>
                </c:pt>
                <c:pt idx="5">
                  <c:v>219</c:v>
                </c:pt>
                <c:pt idx="6">
                  <c:v>249</c:v>
                </c:pt>
                <c:pt idx="7">
                  <c:v>232</c:v>
                </c:pt>
                <c:pt idx="8">
                  <c:v>224</c:v>
                </c:pt>
                <c:pt idx="9">
                  <c:v>277</c:v>
                </c:pt>
                <c:pt idx="10">
                  <c:v>232</c:v>
                </c:pt>
                <c:pt idx="11">
                  <c:v>224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'23.07 Munyonyo-Kibuye'!$AF$9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Munyonyo-Kibuye'!$R$10:$R$21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Munyonyo-Kibuye'!$AF$10:$AF$21</c:f>
              <c:numCache>
                <c:formatCode>0</c:formatCode>
                <c:ptCount val="12"/>
                <c:pt idx="0">
                  <c:v>1359</c:v>
                </c:pt>
                <c:pt idx="1">
                  <c:v>1249</c:v>
                </c:pt>
                <c:pt idx="2">
                  <c:v>992</c:v>
                </c:pt>
                <c:pt idx="3">
                  <c:v>969</c:v>
                </c:pt>
                <c:pt idx="4">
                  <c:v>840</c:v>
                </c:pt>
                <c:pt idx="5">
                  <c:v>647</c:v>
                </c:pt>
                <c:pt idx="6">
                  <c:v>741</c:v>
                </c:pt>
                <c:pt idx="7">
                  <c:v>794</c:v>
                </c:pt>
                <c:pt idx="8">
                  <c:v>664</c:v>
                </c:pt>
                <c:pt idx="9">
                  <c:v>876</c:v>
                </c:pt>
                <c:pt idx="10">
                  <c:v>822</c:v>
                </c:pt>
                <c:pt idx="11">
                  <c:v>807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395520"/>
        <c:axId val="759397696"/>
      </c:lineChart>
      <c:catAx>
        <c:axId val="7593955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59397696"/>
        <c:crosses val="autoZero"/>
        <c:auto val="1"/>
        <c:lblAlgn val="ctr"/>
        <c:lblOffset val="100"/>
        <c:noMultiLvlLbl val="0"/>
      </c:catAx>
      <c:valAx>
        <c:axId val="7593976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5939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Munyonyo-Kibuye'!$C$9:$N$9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Munyonyo-Kibuye'!$C$59:$N$59</c:f>
              <c:numCache>
                <c:formatCode>0.0%</c:formatCode>
                <c:ptCount val="12"/>
                <c:pt idx="0">
                  <c:v>9.5539033457249067E-2</c:v>
                </c:pt>
                <c:pt idx="1">
                  <c:v>5.1765799256505575E-2</c:v>
                </c:pt>
                <c:pt idx="2">
                  <c:v>1.6078066914498142E-2</c:v>
                </c:pt>
                <c:pt idx="3">
                  <c:v>0.14702602230483272</c:v>
                </c:pt>
                <c:pt idx="4">
                  <c:v>1.3940520446096654E-3</c:v>
                </c:pt>
                <c:pt idx="5">
                  <c:v>9.2936802973977694E-5</c:v>
                </c:pt>
                <c:pt idx="6">
                  <c:v>1.6449814126394052E-2</c:v>
                </c:pt>
                <c:pt idx="7">
                  <c:v>2.7881040892193307E-3</c:v>
                </c:pt>
                <c:pt idx="8">
                  <c:v>6.5055762081784381E-4</c:v>
                </c:pt>
                <c:pt idx="9">
                  <c:v>0</c:v>
                </c:pt>
                <c:pt idx="10">
                  <c:v>0.66821561338289959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Munyonyo-Kibuye'!$S$9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Munyonyo-Kibuye'!$R$10:$R$21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Munyonyo-Kibuye'!$S$10:$S$21</c:f>
              <c:numCache>
                <c:formatCode>0</c:formatCode>
                <c:ptCount val="12"/>
                <c:pt idx="0">
                  <c:v>142</c:v>
                </c:pt>
                <c:pt idx="1">
                  <c:v>110</c:v>
                </c:pt>
                <c:pt idx="2">
                  <c:v>90</c:v>
                </c:pt>
                <c:pt idx="3">
                  <c:v>100</c:v>
                </c:pt>
                <c:pt idx="4">
                  <c:v>77</c:v>
                </c:pt>
                <c:pt idx="5">
                  <c:v>59</c:v>
                </c:pt>
                <c:pt idx="6">
                  <c:v>70</c:v>
                </c:pt>
                <c:pt idx="7">
                  <c:v>73</c:v>
                </c:pt>
                <c:pt idx="8">
                  <c:v>84</c:v>
                </c:pt>
                <c:pt idx="9">
                  <c:v>83</c:v>
                </c:pt>
                <c:pt idx="10">
                  <c:v>75</c:v>
                </c:pt>
                <c:pt idx="11">
                  <c:v>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'23.07 Munyonyo-Kibuye'!$T$9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Munyonyo-Kibuye'!$R$10:$R$21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Munyonyo-Kibuye'!$T$10:$T$21</c:f>
              <c:numCache>
                <c:formatCode>0</c:formatCode>
                <c:ptCount val="12"/>
                <c:pt idx="0">
                  <c:v>62</c:v>
                </c:pt>
                <c:pt idx="1">
                  <c:v>54</c:v>
                </c:pt>
                <c:pt idx="2">
                  <c:v>56</c:v>
                </c:pt>
                <c:pt idx="3">
                  <c:v>67</c:v>
                </c:pt>
                <c:pt idx="4">
                  <c:v>45</c:v>
                </c:pt>
                <c:pt idx="5">
                  <c:v>44</c:v>
                </c:pt>
                <c:pt idx="6">
                  <c:v>42</c:v>
                </c:pt>
                <c:pt idx="7">
                  <c:v>32</c:v>
                </c:pt>
                <c:pt idx="8">
                  <c:v>34</c:v>
                </c:pt>
                <c:pt idx="9">
                  <c:v>51</c:v>
                </c:pt>
                <c:pt idx="10">
                  <c:v>35</c:v>
                </c:pt>
                <c:pt idx="11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'23.07 Munyonyo-Kibuye'!$U$9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Munyonyo-Kibuye'!$U$10:$U$21</c:f>
              <c:numCache>
                <c:formatCode>0</c:formatCode>
                <c:ptCount val="12"/>
                <c:pt idx="0">
                  <c:v>19</c:v>
                </c:pt>
                <c:pt idx="1">
                  <c:v>13</c:v>
                </c:pt>
                <c:pt idx="2">
                  <c:v>22</c:v>
                </c:pt>
                <c:pt idx="3">
                  <c:v>4</c:v>
                </c:pt>
                <c:pt idx="4">
                  <c:v>17</c:v>
                </c:pt>
                <c:pt idx="5">
                  <c:v>9</c:v>
                </c:pt>
                <c:pt idx="6">
                  <c:v>17</c:v>
                </c:pt>
                <c:pt idx="7">
                  <c:v>13</c:v>
                </c:pt>
                <c:pt idx="8">
                  <c:v>16</c:v>
                </c:pt>
                <c:pt idx="9">
                  <c:v>16</c:v>
                </c:pt>
                <c:pt idx="10">
                  <c:v>13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'23.07 Munyonyo-Kibuye'!$V$9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Munyonyo-Kibuye'!$V$10:$V$21</c:f>
              <c:numCache>
                <c:formatCode>0</c:formatCode>
                <c:ptCount val="12"/>
                <c:pt idx="0">
                  <c:v>245</c:v>
                </c:pt>
                <c:pt idx="1">
                  <c:v>219</c:v>
                </c:pt>
                <c:pt idx="2">
                  <c:v>177</c:v>
                </c:pt>
                <c:pt idx="3">
                  <c:v>167</c:v>
                </c:pt>
                <c:pt idx="4">
                  <c:v>128</c:v>
                </c:pt>
                <c:pt idx="5">
                  <c:v>92</c:v>
                </c:pt>
                <c:pt idx="6">
                  <c:v>97</c:v>
                </c:pt>
                <c:pt idx="7">
                  <c:v>98</c:v>
                </c:pt>
                <c:pt idx="8">
                  <c:v>74</c:v>
                </c:pt>
                <c:pt idx="9">
                  <c:v>102</c:v>
                </c:pt>
                <c:pt idx="10">
                  <c:v>93</c:v>
                </c:pt>
                <c:pt idx="11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'23.07 Munyonyo-Kibuye'!$W$9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Munyonyo-Kibuye'!$W$10:$W$21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'23.07 Munyonyo-Kibuye'!$X$9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Munyonyo-Kibuye'!$X$10:$X$21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'23.07 Munyonyo-Kibuye'!$Y$9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Munyonyo-Kibuye'!$Y$10:$Y$21</c:f>
              <c:numCache>
                <c:formatCode>0</c:formatCode>
                <c:ptCount val="12"/>
                <c:pt idx="0">
                  <c:v>19</c:v>
                </c:pt>
                <c:pt idx="1">
                  <c:v>11</c:v>
                </c:pt>
                <c:pt idx="2">
                  <c:v>15</c:v>
                </c:pt>
                <c:pt idx="3">
                  <c:v>19</c:v>
                </c:pt>
                <c:pt idx="4">
                  <c:v>14</c:v>
                </c:pt>
                <c:pt idx="5">
                  <c:v>9</c:v>
                </c:pt>
                <c:pt idx="6">
                  <c:v>21</c:v>
                </c:pt>
                <c:pt idx="7">
                  <c:v>14</c:v>
                </c:pt>
                <c:pt idx="8">
                  <c:v>10</c:v>
                </c:pt>
                <c:pt idx="9">
                  <c:v>19</c:v>
                </c:pt>
                <c:pt idx="10">
                  <c:v>12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'23.07 Munyonyo-Kibuye'!$Z$9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Munyonyo-Kibuye'!$Z$10:$Z$21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5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'23.07 Munyonyo-Kibuye'!$AA$9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Munyonyo-Kibuye'!$AA$10:$AA$21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'23.07 Munyonyo-Kibuye'!$AB$9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Munyonyo-Kibuye'!$AB$10:$AB$21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'23.07 Munyonyo-Kibuye'!$AC$9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Munyonyo-Kibuye'!$AC$10:$AC$21</c:f>
              <c:numCache>
                <c:formatCode>0</c:formatCode>
                <c:ptCount val="12"/>
                <c:pt idx="0">
                  <c:v>866</c:v>
                </c:pt>
                <c:pt idx="1">
                  <c:v>840</c:v>
                </c:pt>
                <c:pt idx="2">
                  <c:v>628</c:v>
                </c:pt>
                <c:pt idx="3">
                  <c:v>606</c:v>
                </c:pt>
                <c:pt idx="4">
                  <c:v>556</c:v>
                </c:pt>
                <c:pt idx="5">
                  <c:v>428</c:v>
                </c:pt>
                <c:pt idx="6">
                  <c:v>492</c:v>
                </c:pt>
                <c:pt idx="7">
                  <c:v>562</c:v>
                </c:pt>
                <c:pt idx="8">
                  <c:v>440</c:v>
                </c:pt>
                <c:pt idx="9">
                  <c:v>599</c:v>
                </c:pt>
                <c:pt idx="10">
                  <c:v>590</c:v>
                </c:pt>
                <c:pt idx="11">
                  <c:v>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'23.07 Munyonyo-Kibuye'!$AD$9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Munyonyo-Kibuye'!$AD$10:$AD$21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391168"/>
        <c:axId val="759387360"/>
      </c:lineChart>
      <c:catAx>
        <c:axId val="75939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59387360"/>
        <c:crosses val="autoZero"/>
        <c:auto val="1"/>
        <c:lblAlgn val="ctr"/>
        <c:lblOffset val="100"/>
        <c:noMultiLvlLbl val="0"/>
      </c:catAx>
      <c:valAx>
        <c:axId val="75938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5939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Munyonyo-Kibuye'!$C$9:$N$9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Munyonyo-Kibuye'!$C$60:$N$60</c:f>
              <c:numCache>
                <c:formatCode>0.00%</c:formatCode>
                <c:ptCount val="12"/>
                <c:pt idx="0">
                  <c:v>0.28795518207282911</c:v>
                </c:pt>
                <c:pt idx="1">
                  <c:v>0.15602240896358543</c:v>
                </c:pt>
                <c:pt idx="2">
                  <c:v>4.8459383753501402E-2</c:v>
                </c:pt>
                <c:pt idx="3">
                  <c:v>0.44313725490196076</c:v>
                </c:pt>
                <c:pt idx="4">
                  <c:v>4.2016806722689074E-3</c:v>
                </c:pt>
                <c:pt idx="5">
                  <c:v>2.8011204481792715E-4</c:v>
                </c:pt>
                <c:pt idx="6">
                  <c:v>4.9579831932773107E-2</c:v>
                </c:pt>
                <c:pt idx="7">
                  <c:v>8.4033613445378148E-3</c:v>
                </c:pt>
                <c:pt idx="8">
                  <c:v>1.9607843137254902E-3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Kibuye-Munyonyo'!$AE$9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Kibuye-Munyonyo'!$R$10:$R$21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Kibuye-Munyonyo'!$AE$10:$AE$21</c:f>
              <c:numCache>
                <c:formatCode>0</c:formatCode>
                <c:ptCount val="12"/>
                <c:pt idx="0">
                  <c:v>360</c:v>
                </c:pt>
                <c:pt idx="1">
                  <c:v>350</c:v>
                </c:pt>
                <c:pt idx="2">
                  <c:v>295</c:v>
                </c:pt>
                <c:pt idx="3">
                  <c:v>292</c:v>
                </c:pt>
                <c:pt idx="4">
                  <c:v>221</c:v>
                </c:pt>
                <c:pt idx="5">
                  <c:v>236</c:v>
                </c:pt>
                <c:pt idx="6">
                  <c:v>152</c:v>
                </c:pt>
                <c:pt idx="7">
                  <c:v>221</c:v>
                </c:pt>
                <c:pt idx="8">
                  <c:v>273</c:v>
                </c:pt>
                <c:pt idx="9">
                  <c:v>298</c:v>
                </c:pt>
                <c:pt idx="10">
                  <c:v>337</c:v>
                </c:pt>
                <c:pt idx="11">
                  <c:v>388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'24.07 Kibuye-Munyonyo'!$AF$9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Kibuye-Munyonyo'!$R$10:$R$21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Kibuye-Munyonyo'!$AF$10:$AF$21</c:f>
              <c:numCache>
                <c:formatCode>0</c:formatCode>
                <c:ptCount val="12"/>
                <c:pt idx="0">
                  <c:v>838</c:v>
                </c:pt>
                <c:pt idx="1">
                  <c:v>989</c:v>
                </c:pt>
                <c:pt idx="2">
                  <c:v>735</c:v>
                </c:pt>
                <c:pt idx="3">
                  <c:v>912</c:v>
                </c:pt>
                <c:pt idx="4">
                  <c:v>682</c:v>
                </c:pt>
                <c:pt idx="5">
                  <c:v>604</c:v>
                </c:pt>
                <c:pt idx="6">
                  <c:v>440</c:v>
                </c:pt>
                <c:pt idx="7">
                  <c:v>673</c:v>
                </c:pt>
                <c:pt idx="8">
                  <c:v>753</c:v>
                </c:pt>
                <c:pt idx="9">
                  <c:v>775</c:v>
                </c:pt>
                <c:pt idx="10">
                  <c:v>867</c:v>
                </c:pt>
                <c:pt idx="11">
                  <c:v>953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392800"/>
        <c:axId val="759393344"/>
      </c:lineChart>
      <c:catAx>
        <c:axId val="759392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59393344"/>
        <c:crosses val="autoZero"/>
        <c:auto val="1"/>
        <c:lblAlgn val="ctr"/>
        <c:lblOffset val="100"/>
        <c:noMultiLvlLbl val="0"/>
      </c:catAx>
      <c:valAx>
        <c:axId val="7593933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5939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Kibuye-Munyonyo'!$C$9:$N$9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Kibuye-Munyonyo'!$C$59:$N$59</c:f>
              <c:numCache>
                <c:formatCode>0.0%</c:formatCode>
                <c:ptCount val="12"/>
                <c:pt idx="0">
                  <c:v>8.6216245526515564E-2</c:v>
                </c:pt>
                <c:pt idx="1">
                  <c:v>5.0645266240104111E-2</c:v>
                </c:pt>
                <c:pt idx="2">
                  <c:v>1.518273506127318E-2</c:v>
                </c:pt>
                <c:pt idx="3">
                  <c:v>0.19585728229042404</c:v>
                </c:pt>
                <c:pt idx="4">
                  <c:v>1.9520659364494089E-3</c:v>
                </c:pt>
                <c:pt idx="5">
                  <c:v>7.5913675306365906E-4</c:v>
                </c:pt>
                <c:pt idx="6">
                  <c:v>1.8002385858366773E-2</c:v>
                </c:pt>
                <c:pt idx="7">
                  <c:v>4.0125799804793406E-3</c:v>
                </c:pt>
                <c:pt idx="8">
                  <c:v>2.4943064743520225E-3</c:v>
                </c:pt>
                <c:pt idx="9">
                  <c:v>1.0844810758052273E-4</c:v>
                </c:pt>
                <c:pt idx="10">
                  <c:v>0.63789176878863463</c:v>
                </c:pt>
                <c:pt idx="11">
                  <c:v>1.0844810758052273E-4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Kibuye-Munyonyo'!$S$9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'24.07 Kibuye-Munyonyo'!$R$10:$R$21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Kibuye-Munyonyo'!$S$10:$S$21</c:f>
              <c:numCache>
                <c:formatCode>0</c:formatCode>
                <c:ptCount val="12"/>
                <c:pt idx="0">
                  <c:v>45</c:v>
                </c:pt>
                <c:pt idx="1">
                  <c:v>42</c:v>
                </c:pt>
                <c:pt idx="2">
                  <c:v>53</c:v>
                </c:pt>
                <c:pt idx="3">
                  <c:v>24</c:v>
                </c:pt>
                <c:pt idx="4">
                  <c:v>45</c:v>
                </c:pt>
                <c:pt idx="5">
                  <c:v>46</c:v>
                </c:pt>
                <c:pt idx="6">
                  <c:v>41</c:v>
                </c:pt>
                <c:pt idx="7">
                  <c:v>58</c:v>
                </c:pt>
                <c:pt idx="8">
                  <c:v>85</c:v>
                </c:pt>
                <c:pt idx="9">
                  <c:v>103</c:v>
                </c:pt>
                <c:pt idx="10">
                  <c:v>109</c:v>
                </c:pt>
                <c:pt idx="11">
                  <c:v>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'24.07 Kibuye-Munyonyo'!$T$9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'24.07 Kibuye-Munyonyo'!$R$10:$R$21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Kibuye-Munyonyo'!$T$10:$T$21</c:f>
              <c:numCache>
                <c:formatCode>0</c:formatCode>
                <c:ptCount val="12"/>
                <c:pt idx="0">
                  <c:v>32</c:v>
                </c:pt>
                <c:pt idx="1">
                  <c:v>22</c:v>
                </c:pt>
                <c:pt idx="2">
                  <c:v>27</c:v>
                </c:pt>
                <c:pt idx="3">
                  <c:v>22</c:v>
                </c:pt>
                <c:pt idx="4">
                  <c:v>26</c:v>
                </c:pt>
                <c:pt idx="5">
                  <c:v>47</c:v>
                </c:pt>
                <c:pt idx="6">
                  <c:v>25</c:v>
                </c:pt>
                <c:pt idx="7">
                  <c:v>46</c:v>
                </c:pt>
                <c:pt idx="8">
                  <c:v>43</c:v>
                </c:pt>
                <c:pt idx="9">
                  <c:v>59</c:v>
                </c:pt>
                <c:pt idx="10">
                  <c:v>65</c:v>
                </c:pt>
                <c:pt idx="11">
                  <c:v>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'24.07 Kibuye-Munyonyo'!$U$9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'24.07 Kibuye-Munyonyo'!$U$10:$U$21</c:f>
              <c:numCache>
                <c:formatCode>0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7</c:v>
                </c:pt>
                <c:pt idx="3">
                  <c:v>4</c:v>
                </c:pt>
                <c:pt idx="4">
                  <c:v>7</c:v>
                </c:pt>
                <c:pt idx="5">
                  <c:v>15</c:v>
                </c:pt>
                <c:pt idx="6">
                  <c:v>18</c:v>
                </c:pt>
                <c:pt idx="7">
                  <c:v>12</c:v>
                </c:pt>
                <c:pt idx="8">
                  <c:v>15</c:v>
                </c:pt>
                <c:pt idx="9">
                  <c:v>18</c:v>
                </c:pt>
                <c:pt idx="10">
                  <c:v>18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'24.07 Kibuye-Munyonyo'!$V$9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'24.07 Kibuye-Munyonyo'!$V$10:$V$21</c:f>
              <c:numCache>
                <c:formatCode>0</c:formatCode>
                <c:ptCount val="12"/>
                <c:pt idx="0">
                  <c:v>263</c:v>
                </c:pt>
                <c:pt idx="1">
                  <c:v>263</c:v>
                </c:pt>
                <c:pt idx="2">
                  <c:v>188</c:v>
                </c:pt>
                <c:pt idx="3">
                  <c:v>228</c:v>
                </c:pt>
                <c:pt idx="4">
                  <c:v>123</c:v>
                </c:pt>
                <c:pt idx="5">
                  <c:v>108</c:v>
                </c:pt>
                <c:pt idx="6">
                  <c:v>90</c:v>
                </c:pt>
                <c:pt idx="7">
                  <c:v>84</c:v>
                </c:pt>
                <c:pt idx="8">
                  <c:v>97</c:v>
                </c:pt>
                <c:pt idx="9">
                  <c:v>93</c:v>
                </c:pt>
                <c:pt idx="10">
                  <c:v>117</c:v>
                </c:pt>
                <c:pt idx="11">
                  <c:v>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'24.07 Kibuye-Munyonyo'!$W$9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'24.07 Kibuye-Munyonyo'!$W$10:$W$21</c:f>
              <c:numCache>
                <c:formatCode>0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'24.07 Kibuye-Munyonyo'!$X$9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'24.07 Kibuye-Munyonyo'!$X$10:$X$21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'24.07 Kibuye-Munyonyo'!$Y$9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Kibuye-Munyonyo'!$Y$10:$Y$21</c:f>
              <c:numCache>
                <c:formatCode>0</c:formatCode>
                <c:ptCount val="12"/>
                <c:pt idx="0">
                  <c:v>6</c:v>
                </c:pt>
                <c:pt idx="1">
                  <c:v>9</c:v>
                </c:pt>
                <c:pt idx="2">
                  <c:v>11</c:v>
                </c:pt>
                <c:pt idx="3">
                  <c:v>6</c:v>
                </c:pt>
                <c:pt idx="4">
                  <c:v>15</c:v>
                </c:pt>
                <c:pt idx="5">
                  <c:v>12</c:v>
                </c:pt>
                <c:pt idx="6">
                  <c:v>10</c:v>
                </c:pt>
                <c:pt idx="7">
                  <c:v>16</c:v>
                </c:pt>
                <c:pt idx="8">
                  <c:v>25</c:v>
                </c:pt>
                <c:pt idx="9">
                  <c:v>20</c:v>
                </c:pt>
                <c:pt idx="10">
                  <c:v>22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'24.07 Kibuye-Munyonyo'!$Z$9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Kibuye-Munyonyo'!$Z$10:$Z$21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8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'24.07 Kibuye-Munyonyo'!$AA$9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Kibuye-Munyonyo'!$AA$10:$AA$21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'24.07 Kibuye-Munyonyo'!$AB$9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Kibuye-Munyonyo'!$AB$10:$AB$21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'24.07 Kibuye-Munyonyo'!$AC$9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Kibuye-Munyonyo'!$AC$10:$AC$21</c:f>
              <c:numCache>
                <c:formatCode>0</c:formatCode>
                <c:ptCount val="12"/>
                <c:pt idx="0">
                  <c:v>478</c:v>
                </c:pt>
                <c:pt idx="1">
                  <c:v>639</c:v>
                </c:pt>
                <c:pt idx="2">
                  <c:v>440</c:v>
                </c:pt>
                <c:pt idx="3">
                  <c:v>620</c:v>
                </c:pt>
                <c:pt idx="4">
                  <c:v>461</c:v>
                </c:pt>
                <c:pt idx="5">
                  <c:v>368</c:v>
                </c:pt>
                <c:pt idx="6">
                  <c:v>372</c:v>
                </c:pt>
                <c:pt idx="7">
                  <c:v>452</c:v>
                </c:pt>
                <c:pt idx="8">
                  <c:v>480</c:v>
                </c:pt>
                <c:pt idx="9">
                  <c:v>477</c:v>
                </c:pt>
                <c:pt idx="10">
                  <c:v>530</c:v>
                </c:pt>
                <c:pt idx="11">
                  <c:v>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'24.07 Kibuye-Munyonyo'!$AD$9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Kibuye-Munyonyo'!$AD$10:$AD$21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151552"/>
        <c:axId val="758152096"/>
      </c:lineChart>
      <c:catAx>
        <c:axId val="75815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58152096"/>
        <c:crosses val="autoZero"/>
        <c:auto val="1"/>
        <c:lblAlgn val="ctr"/>
        <c:lblOffset val="100"/>
        <c:noMultiLvlLbl val="0"/>
      </c:catAx>
      <c:valAx>
        <c:axId val="75815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5815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Kibuye-Munyonyo'!$C$9:$N$9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Kibuye-Munyonyo'!$C$60:$N$60</c:f>
              <c:numCache>
                <c:formatCode>0.00%</c:formatCode>
                <c:ptCount val="12"/>
                <c:pt idx="0">
                  <c:v>0.2322524101665206</c:v>
                </c:pt>
                <c:pt idx="1">
                  <c:v>0.1364300321355536</c:v>
                </c:pt>
                <c:pt idx="2">
                  <c:v>4.0899795501022497E-2</c:v>
                </c:pt>
                <c:pt idx="3">
                  <c:v>0.52760736196319014</c:v>
                </c:pt>
                <c:pt idx="4">
                  <c:v>5.2585451358457495E-3</c:v>
                </c:pt>
                <c:pt idx="5">
                  <c:v>2.0449897750511249E-3</c:v>
                </c:pt>
                <c:pt idx="6">
                  <c:v>4.8495471808355242E-2</c:v>
                </c:pt>
                <c:pt idx="7">
                  <c:v>1.0809231668127374E-2</c:v>
                </c:pt>
                <c:pt idx="8">
                  <c:v>6.7192521180251237E-3</c:v>
                </c:pt>
                <c:pt idx="9">
                  <c:v>2.9214139643587495E-4</c:v>
                </c:pt>
                <c:pt idx="11">
                  <c:v>2.9214139643587495E-4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Munyonyo-Kibuye'!$AE$9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Munyonyo-Kibuye'!$R$10:$R$21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Munyonyo-Kibuye'!$AE$10:$AE$21</c:f>
              <c:numCache>
                <c:formatCode>0</c:formatCode>
                <c:ptCount val="12"/>
                <c:pt idx="0">
                  <c:v>499</c:v>
                </c:pt>
                <c:pt idx="1">
                  <c:v>446</c:v>
                </c:pt>
                <c:pt idx="2">
                  <c:v>334</c:v>
                </c:pt>
                <c:pt idx="3">
                  <c:v>276</c:v>
                </c:pt>
                <c:pt idx="4">
                  <c:v>290</c:v>
                </c:pt>
                <c:pt idx="5">
                  <c:v>250</c:v>
                </c:pt>
                <c:pt idx="6">
                  <c:v>210</c:v>
                </c:pt>
                <c:pt idx="7">
                  <c:v>214</c:v>
                </c:pt>
                <c:pt idx="8">
                  <c:v>252</c:v>
                </c:pt>
                <c:pt idx="9">
                  <c:v>279</c:v>
                </c:pt>
                <c:pt idx="10">
                  <c:v>262</c:v>
                </c:pt>
                <c:pt idx="11">
                  <c:v>253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'24.07 Munyonyo-Kibuye'!$AF$9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Munyonyo-Kibuye'!$R$10:$R$21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Munyonyo-Kibuye'!$AF$10:$AF$21</c:f>
              <c:numCache>
                <c:formatCode>0</c:formatCode>
                <c:ptCount val="12"/>
                <c:pt idx="0">
                  <c:v>1466</c:v>
                </c:pt>
                <c:pt idx="1">
                  <c:v>1483</c:v>
                </c:pt>
                <c:pt idx="2">
                  <c:v>1083</c:v>
                </c:pt>
                <c:pt idx="3">
                  <c:v>959</c:v>
                </c:pt>
                <c:pt idx="4">
                  <c:v>923</c:v>
                </c:pt>
                <c:pt idx="5">
                  <c:v>752</c:v>
                </c:pt>
                <c:pt idx="6">
                  <c:v>585</c:v>
                </c:pt>
                <c:pt idx="7">
                  <c:v>699</c:v>
                </c:pt>
                <c:pt idx="8">
                  <c:v>835</c:v>
                </c:pt>
                <c:pt idx="9">
                  <c:v>904</c:v>
                </c:pt>
                <c:pt idx="10">
                  <c:v>1011</c:v>
                </c:pt>
                <c:pt idx="11">
                  <c:v>1047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8152640"/>
        <c:axId val="758148832"/>
      </c:lineChart>
      <c:catAx>
        <c:axId val="7581526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58148832"/>
        <c:crosses val="autoZero"/>
        <c:auto val="1"/>
        <c:lblAlgn val="ctr"/>
        <c:lblOffset val="100"/>
        <c:noMultiLvlLbl val="0"/>
      </c:catAx>
      <c:valAx>
        <c:axId val="7581488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5815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Munyonyo-Kibuye'!$C$9:$N$9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Munyonyo-Kibuye'!$C$59:$N$59</c:f>
              <c:numCache>
                <c:formatCode>0.0%</c:formatCode>
                <c:ptCount val="12"/>
                <c:pt idx="0">
                  <c:v>8.81927300587384E-2</c:v>
                </c:pt>
                <c:pt idx="1">
                  <c:v>4.9544564569677367E-2</c:v>
                </c:pt>
                <c:pt idx="2">
                  <c:v>1.7451264152549589E-2</c:v>
                </c:pt>
                <c:pt idx="3">
                  <c:v>0.13671575721460799</c:v>
                </c:pt>
                <c:pt idx="4">
                  <c:v>1.4471780028943559E-3</c:v>
                </c:pt>
                <c:pt idx="5">
                  <c:v>2.5538435345194517E-4</c:v>
                </c:pt>
                <c:pt idx="6">
                  <c:v>1.6599982974376436E-2</c:v>
                </c:pt>
                <c:pt idx="7">
                  <c:v>1.9579467097982466E-3</c:v>
                </c:pt>
                <c:pt idx="8">
                  <c:v>7.6615306035583556E-4</c:v>
                </c:pt>
                <c:pt idx="9">
                  <c:v>8.5128117817315056E-5</c:v>
                </c:pt>
                <c:pt idx="10">
                  <c:v>0.71286285860219634</c:v>
                </c:pt>
                <c:pt idx="11">
                  <c:v>1.7025623563463011E-3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Munyonyo-Kibuye'!$C$9:$N$9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Munyonyo-Kibuye'!$C$60:$N$60</c:f>
              <c:numCache>
                <c:formatCode>0.00%</c:formatCode>
                <c:ptCount val="12"/>
                <c:pt idx="0">
                  <c:v>0.29060308555399722</c:v>
                </c:pt>
                <c:pt idx="1">
                  <c:v>0.1632538569424965</c:v>
                </c:pt>
                <c:pt idx="2">
                  <c:v>5.7503506311360447E-2</c:v>
                </c:pt>
                <c:pt idx="3">
                  <c:v>0.45049088359046285</c:v>
                </c:pt>
                <c:pt idx="4">
                  <c:v>4.7685834502103784E-3</c:v>
                </c:pt>
                <c:pt idx="5">
                  <c:v>8.4151472650771393E-4</c:v>
                </c:pt>
                <c:pt idx="6">
                  <c:v>5.4698457223001401E-2</c:v>
                </c:pt>
                <c:pt idx="7">
                  <c:v>6.4516129032258064E-3</c:v>
                </c:pt>
                <c:pt idx="8">
                  <c:v>2.5245441795231417E-3</c:v>
                </c:pt>
                <c:pt idx="9">
                  <c:v>2.8050490883590464E-4</c:v>
                </c:pt>
                <c:pt idx="11">
                  <c:v>5.6100981767180924E-3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Kibuye-Munyonyo'!$AE$9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Kibuye-Munyonyo'!$R$10:$R$21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Kibuye-Munyonyo'!$AE$10:$AE$21</c:f>
              <c:numCache>
                <c:formatCode>0</c:formatCode>
                <c:ptCount val="12"/>
                <c:pt idx="0">
                  <c:v>371</c:v>
                </c:pt>
                <c:pt idx="1">
                  <c:v>343</c:v>
                </c:pt>
                <c:pt idx="2">
                  <c:v>281</c:v>
                </c:pt>
                <c:pt idx="3">
                  <c:v>264</c:v>
                </c:pt>
                <c:pt idx="4">
                  <c:v>255</c:v>
                </c:pt>
                <c:pt idx="5">
                  <c:v>174</c:v>
                </c:pt>
                <c:pt idx="6">
                  <c:v>192</c:v>
                </c:pt>
                <c:pt idx="7">
                  <c:v>188</c:v>
                </c:pt>
                <c:pt idx="8">
                  <c:v>230</c:v>
                </c:pt>
                <c:pt idx="9">
                  <c:v>259</c:v>
                </c:pt>
                <c:pt idx="10">
                  <c:v>419</c:v>
                </c:pt>
                <c:pt idx="11">
                  <c:v>362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'25.07 Kibuye-Munyonyo'!$AF$9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Kibuye-Munyonyo'!$R$10:$R$21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Kibuye-Munyonyo'!$AF$10:$AF$21</c:f>
              <c:numCache>
                <c:formatCode>0</c:formatCode>
                <c:ptCount val="12"/>
                <c:pt idx="0">
                  <c:v>951</c:v>
                </c:pt>
                <c:pt idx="1">
                  <c:v>1158</c:v>
                </c:pt>
                <c:pt idx="2">
                  <c:v>906</c:v>
                </c:pt>
                <c:pt idx="3">
                  <c:v>917</c:v>
                </c:pt>
                <c:pt idx="4">
                  <c:v>846</c:v>
                </c:pt>
                <c:pt idx="5">
                  <c:v>599</c:v>
                </c:pt>
                <c:pt idx="6">
                  <c:v>526</c:v>
                </c:pt>
                <c:pt idx="7">
                  <c:v>530</c:v>
                </c:pt>
                <c:pt idx="8">
                  <c:v>619</c:v>
                </c:pt>
                <c:pt idx="9">
                  <c:v>694</c:v>
                </c:pt>
                <c:pt idx="10">
                  <c:v>848</c:v>
                </c:pt>
                <c:pt idx="11">
                  <c:v>847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097232"/>
        <c:axId val="802086896"/>
      </c:lineChart>
      <c:catAx>
        <c:axId val="8020972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86896"/>
        <c:crosses val="autoZero"/>
        <c:auto val="1"/>
        <c:lblAlgn val="ctr"/>
        <c:lblOffset val="100"/>
        <c:noMultiLvlLbl val="0"/>
      </c:catAx>
      <c:valAx>
        <c:axId val="802086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9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Kibuye-Munyonyo'!$C$9:$N$9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Kibuye-Munyonyo'!$C$59:$N$59</c:f>
              <c:numCache>
                <c:formatCode>0.0%</c:formatCode>
                <c:ptCount val="12"/>
                <c:pt idx="0">
                  <c:v>9.3210464993115139E-2</c:v>
                </c:pt>
                <c:pt idx="1">
                  <c:v>4.6287469547717404E-2</c:v>
                </c:pt>
                <c:pt idx="2">
                  <c:v>1.2074992055926279E-2</c:v>
                </c:pt>
                <c:pt idx="3">
                  <c:v>0.1797479080605868</c:v>
                </c:pt>
                <c:pt idx="4">
                  <c:v>7.4144688062705217E-4</c:v>
                </c:pt>
                <c:pt idx="5">
                  <c:v>2.1184196589344348E-4</c:v>
                </c:pt>
                <c:pt idx="6">
                  <c:v>1.7159199237368923E-2</c:v>
                </c:pt>
                <c:pt idx="7">
                  <c:v>2.6480245736680437E-3</c:v>
                </c:pt>
                <c:pt idx="8">
                  <c:v>1.3769727783073827E-3</c:v>
                </c:pt>
                <c:pt idx="9">
                  <c:v>1.0592098294672174E-4</c:v>
                </c:pt>
                <c:pt idx="10">
                  <c:v>0.64643575892384286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Kibuye-Munyonyo'!$S$9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Kibuye-Munyonyo'!$R$10:$R$21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Kibuye-Munyonyo'!$S$10:$S$21</c:f>
              <c:numCache>
                <c:formatCode>0</c:formatCode>
                <c:ptCount val="12"/>
                <c:pt idx="0">
                  <c:v>56</c:v>
                </c:pt>
                <c:pt idx="1">
                  <c:v>47</c:v>
                </c:pt>
                <c:pt idx="2">
                  <c:v>42</c:v>
                </c:pt>
                <c:pt idx="3">
                  <c:v>62</c:v>
                </c:pt>
                <c:pt idx="4">
                  <c:v>69</c:v>
                </c:pt>
                <c:pt idx="5">
                  <c:v>41</c:v>
                </c:pt>
                <c:pt idx="6">
                  <c:v>51</c:v>
                </c:pt>
                <c:pt idx="7">
                  <c:v>63</c:v>
                </c:pt>
                <c:pt idx="8">
                  <c:v>75</c:v>
                </c:pt>
                <c:pt idx="9">
                  <c:v>89</c:v>
                </c:pt>
                <c:pt idx="10">
                  <c:v>162</c:v>
                </c:pt>
                <c:pt idx="11">
                  <c:v>123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'25.07 Kibuye-Munyonyo'!$T$9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Kibuye-Munyonyo'!$R$10:$R$21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Kibuye-Munyonyo'!$T$10:$T$21</c:f>
              <c:numCache>
                <c:formatCode>0</c:formatCode>
                <c:ptCount val="12"/>
                <c:pt idx="0">
                  <c:v>14</c:v>
                </c:pt>
                <c:pt idx="1">
                  <c:v>19</c:v>
                </c:pt>
                <c:pt idx="2">
                  <c:v>22</c:v>
                </c:pt>
                <c:pt idx="3">
                  <c:v>25</c:v>
                </c:pt>
                <c:pt idx="4">
                  <c:v>36</c:v>
                </c:pt>
                <c:pt idx="5">
                  <c:v>28</c:v>
                </c:pt>
                <c:pt idx="6">
                  <c:v>22</c:v>
                </c:pt>
                <c:pt idx="7">
                  <c:v>30</c:v>
                </c:pt>
                <c:pt idx="8">
                  <c:v>33</c:v>
                </c:pt>
                <c:pt idx="9">
                  <c:v>45</c:v>
                </c:pt>
                <c:pt idx="10">
                  <c:v>83</c:v>
                </c:pt>
                <c:pt idx="11">
                  <c:v>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'25.07 Kibuye-Munyonyo'!$U$9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Kibuye-Munyonyo'!$U$10:$U$21</c:f>
              <c:numCache>
                <c:formatCode>0</c:formatCode>
                <c:ptCount val="12"/>
                <c:pt idx="0">
                  <c:v>5</c:v>
                </c:pt>
                <c:pt idx="1">
                  <c:v>8</c:v>
                </c:pt>
                <c:pt idx="2">
                  <c:v>5</c:v>
                </c:pt>
                <c:pt idx="3">
                  <c:v>10</c:v>
                </c:pt>
                <c:pt idx="4">
                  <c:v>6</c:v>
                </c:pt>
                <c:pt idx="5">
                  <c:v>10</c:v>
                </c:pt>
                <c:pt idx="6">
                  <c:v>14</c:v>
                </c:pt>
                <c:pt idx="7">
                  <c:v>7</c:v>
                </c:pt>
                <c:pt idx="8">
                  <c:v>10</c:v>
                </c:pt>
                <c:pt idx="9">
                  <c:v>13</c:v>
                </c:pt>
                <c:pt idx="10">
                  <c:v>17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'25.07 Kibuye-Munyonyo'!$V$9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Kibuye-Munyonyo'!$V$10:$V$21</c:f>
              <c:numCache>
                <c:formatCode>0</c:formatCode>
                <c:ptCount val="12"/>
                <c:pt idx="0">
                  <c:v>272</c:v>
                </c:pt>
                <c:pt idx="1">
                  <c:v>259</c:v>
                </c:pt>
                <c:pt idx="2">
                  <c:v>197</c:v>
                </c:pt>
                <c:pt idx="3">
                  <c:v>149</c:v>
                </c:pt>
                <c:pt idx="4">
                  <c:v>128</c:v>
                </c:pt>
                <c:pt idx="5">
                  <c:v>82</c:v>
                </c:pt>
                <c:pt idx="6">
                  <c:v>95</c:v>
                </c:pt>
                <c:pt idx="7">
                  <c:v>61</c:v>
                </c:pt>
                <c:pt idx="8">
                  <c:v>93</c:v>
                </c:pt>
                <c:pt idx="9">
                  <c:v>90</c:v>
                </c:pt>
                <c:pt idx="10">
                  <c:v>137</c:v>
                </c:pt>
                <c:pt idx="11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'25.07 Kibuye-Munyonyo'!$W$9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Kibuye-Munyonyo'!$W$10:$W$21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'25.07 Kibuye-Munyonyo'!$X$9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Kibuye-Munyonyo'!$X$10:$X$21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'25.07 Kibuye-Munyonyo'!$Y$9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Kibuye-Munyonyo'!$Y$10:$Y$21</c:f>
              <c:numCache>
                <c:formatCode>0</c:formatCode>
                <c:ptCount val="12"/>
                <c:pt idx="0">
                  <c:v>20</c:v>
                </c:pt>
                <c:pt idx="1">
                  <c:v>7</c:v>
                </c:pt>
                <c:pt idx="2">
                  <c:v>10</c:v>
                </c:pt>
                <c:pt idx="3">
                  <c:v>9</c:v>
                </c:pt>
                <c:pt idx="4">
                  <c:v>13</c:v>
                </c:pt>
                <c:pt idx="5">
                  <c:v>9</c:v>
                </c:pt>
                <c:pt idx="6">
                  <c:v>6</c:v>
                </c:pt>
                <c:pt idx="7">
                  <c:v>26</c:v>
                </c:pt>
                <c:pt idx="8">
                  <c:v>16</c:v>
                </c:pt>
                <c:pt idx="9">
                  <c:v>20</c:v>
                </c:pt>
                <c:pt idx="10">
                  <c:v>13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'25.07 Kibuye-Munyonyo'!$Z$9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Kibuye-Munyonyo'!$Z$10:$Z$21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'25.07 Kibuye-Munyonyo'!$AA$9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Kibuye-Munyonyo'!$AA$10:$AA$21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'25.07 Kibuye-Munyonyo'!$AB$9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Kibuye-Munyonyo'!$AB$10:$AB$21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'25.07 Kibuye-Munyonyo'!$AC$9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Kibuye-Munyonyo'!$AC$10:$AC$21</c:f>
              <c:numCache>
                <c:formatCode>0</c:formatCode>
                <c:ptCount val="12"/>
                <c:pt idx="0">
                  <c:v>580</c:v>
                </c:pt>
                <c:pt idx="1">
                  <c:v>815</c:v>
                </c:pt>
                <c:pt idx="2">
                  <c:v>625</c:v>
                </c:pt>
                <c:pt idx="3">
                  <c:v>653</c:v>
                </c:pt>
                <c:pt idx="4">
                  <c:v>591</c:v>
                </c:pt>
                <c:pt idx="5">
                  <c:v>425</c:v>
                </c:pt>
                <c:pt idx="6">
                  <c:v>334</c:v>
                </c:pt>
                <c:pt idx="7">
                  <c:v>342</c:v>
                </c:pt>
                <c:pt idx="8">
                  <c:v>389</c:v>
                </c:pt>
                <c:pt idx="9">
                  <c:v>435</c:v>
                </c:pt>
                <c:pt idx="10">
                  <c:v>429</c:v>
                </c:pt>
                <c:pt idx="11">
                  <c:v>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'25.07 Kibuye-Munyonyo'!$AD$9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Kibuye-Munyonyo'!$AD$10:$AD$21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090704"/>
        <c:axId val="802092880"/>
      </c:lineChart>
      <c:catAx>
        <c:axId val="80209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92880"/>
        <c:crosses val="autoZero"/>
        <c:auto val="1"/>
        <c:lblAlgn val="ctr"/>
        <c:lblOffset val="100"/>
        <c:noMultiLvlLbl val="0"/>
      </c:catAx>
      <c:valAx>
        <c:axId val="80209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9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Kibuye-Munyonyo'!$C$9:$N$9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Kibuye-Munyonyo'!$C$60:$N$60</c:f>
              <c:numCache>
                <c:formatCode>0.00%</c:formatCode>
                <c:ptCount val="12"/>
                <c:pt idx="0">
                  <c:v>0.26363091671659677</c:v>
                </c:pt>
                <c:pt idx="1">
                  <c:v>0.13091671659676454</c:v>
                </c:pt>
                <c:pt idx="2">
                  <c:v>3.4152186938286401E-2</c:v>
                </c:pt>
                <c:pt idx="3">
                  <c:v>0.50838825644098262</c:v>
                </c:pt>
                <c:pt idx="4">
                  <c:v>2.097064110245656E-3</c:v>
                </c:pt>
                <c:pt idx="5">
                  <c:v>5.9916117435590175E-4</c:v>
                </c:pt>
                <c:pt idx="6">
                  <c:v>4.8532055122828044E-2</c:v>
                </c:pt>
                <c:pt idx="7">
                  <c:v>7.4895146794487716E-3</c:v>
                </c:pt>
                <c:pt idx="8">
                  <c:v>3.8945476333133613E-3</c:v>
                </c:pt>
                <c:pt idx="9">
                  <c:v>2.9958058717795088E-4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Munyonyo-Kibuye'!$AE$9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Munyonyo-Kibuye'!$R$10:$R$21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Munyonyo-Kibuye'!$AE$10:$AE$21</c:f>
              <c:numCache>
                <c:formatCode>0</c:formatCode>
                <c:ptCount val="12"/>
                <c:pt idx="0">
                  <c:v>447</c:v>
                </c:pt>
                <c:pt idx="1">
                  <c:v>394</c:v>
                </c:pt>
                <c:pt idx="2">
                  <c:v>362</c:v>
                </c:pt>
                <c:pt idx="3">
                  <c:v>323</c:v>
                </c:pt>
                <c:pt idx="4">
                  <c:v>240</c:v>
                </c:pt>
                <c:pt idx="5">
                  <c:v>241</c:v>
                </c:pt>
                <c:pt idx="6">
                  <c:v>250</c:v>
                </c:pt>
                <c:pt idx="7">
                  <c:v>243</c:v>
                </c:pt>
                <c:pt idx="8">
                  <c:v>225</c:v>
                </c:pt>
                <c:pt idx="9">
                  <c:v>215</c:v>
                </c:pt>
                <c:pt idx="10">
                  <c:v>256</c:v>
                </c:pt>
                <c:pt idx="11">
                  <c:v>225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'25.07 Munyonyo-Kibuye'!$AF$9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Munyonyo-Kibuye'!$R$10:$R$21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Munyonyo-Kibuye'!$AF$10:$AF$21</c:f>
              <c:numCache>
                <c:formatCode>0</c:formatCode>
                <c:ptCount val="12"/>
                <c:pt idx="0">
                  <c:v>1586</c:v>
                </c:pt>
                <c:pt idx="1">
                  <c:v>1316</c:v>
                </c:pt>
                <c:pt idx="2">
                  <c:v>1165</c:v>
                </c:pt>
                <c:pt idx="3">
                  <c:v>964</c:v>
                </c:pt>
                <c:pt idx="4">
                  <c:v>836</c:v>
                </c:pt>
                <c:pt idx="5">
                  <c:v>839</c:v>
                </c:pt>
                <c:pt idx="6">
                  <c:v>819</c:v>
                </c:pt>
                <c:pt idx="7">
                  <c:v>662</c:v>
                </c:pt>
                <c:pt idx="8">
                  <c:v>808</c:v>
                </c:pt>
                <c:pt idx="9">
                  <c:v>793</c:v>
                </c:pt>
                <c:pt idx="10">
                  <c:v>1011</c:v>
                </c:pt>
                <c:pt idx="11">
                  <c:v>863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086352"/>
        <c:axId val="802092336"/>
      </c:lineChart>
      <c:catAx>
        <c:axId val="8020863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92336"/>
        <c:crosses val="autoZero"/>
        <c:auto val="1"/>
        <c:lblAlgn val="ctr"/>
        <c:lblOffset val="100"/>
        <c:noMultiLvlLbl val="0"/>
      </c:catAx>
      <c:valAx>
        <c:axId val="802092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8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Munyonyo-Kibuye'!$C$9:$N$9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Munyonyo-Kibuye'!$C$59:$N$59</c:f>
              <c:numCache>
                <c:formatCode>0.0%</c:formatCode>
                <c:ptCount val="12"/>
                <c:pt idx="0">
                  <c:v>8.5234093637454988E-2</c:v>
                </c:pt>
                <c:pt idx="1">
                  <c:v>5.3764362888012347E-2</c:v>
                </c:pt>
                <c:pt idx="2">
                  <c:v>1.3205282112845138E-2</c:v>
                </c:pt>
                <c:pt idx="3">
                  <c:v>0.12484993997599039</c:v>
                </c:pt>
                <c:pt idx="4">
                  <c:v>1.2004801920768306E-3</c:v>
                </c:pt>
                <c:pt idx="5">
                  <c:v>1.7149717029669011E-4</c:v>
                </c:pt>
                <c:pt idx="6">
                  <c:v>1.2262047676213342E-2</c:v>
                </c:pt>
                <c:pt idx="7">
                  <c:v>1.8864688732635911E-3</c:v>
                </c:pt>
                <c:pt idx="8">
                  <c:v>2.5724575544503516E-4</c:v>
                </c:pt>
                <c:pt idx="9">
                  <c:v>5.1449151089007032E-4</c:v>
                </c:pt>
                <c:pt idx="10">
                  <c:v>0.70665409020751158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Munyonyo-Kibuye'!$S$9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Munyonyo-Kibuye'!$R$10:$R$21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Munyonyo-Kibuye'!$S$10:$S$21</c:f>
              <c:numCache>
                <c:formatCode>0</c:formatCode>
                <c:ptCount val="12"/>
                <c:pt idx="0">
                  <c:v>127</c:v>
                </c:pt>
                <c:pt idx="1">
                  <c:v>111</c:v>
                </c:pt>
                <c:pt idx="2">
                  <c:v>108</c:v>
                </c:pt>
                <c:pt idx="3">
                  <c:v>90</c:v>
                </c:pt>
                <c:pt idx="4">
                  <c:v>67</c:v>
                </c:pt>
                <c:pt idx="5">
                  <c:v>54</c:v>
                </c:pt>
                <c:pt idx="6">
                  <c:v>83</c:v>
                </c:pt>
                <c:pt idx="7">
                  <c:v>65</c:v>
                </c:pt>
                <c:pt idx="8">
                  <c:v>70</c:v>
                </c:pt>
                <c:pt idx="9">
                  <c:v>73</c:v>
                </c:pt>
                <c:pt idx="10">
                  <c:v>80</c:v>
                </c:pt>
                <c:pt idx="11">
                  <c:v>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'25.07 Munyonyo-Kibuye'!$T$9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Munyonyo-Kibuye'!$R$10:$R$21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Munyonyo-Kibuye'!$T$10:$T$21</c:f>
              <c:numCache>
                <c:formatCode>0</c:formatCode>
                <c:ptCount val="12"/>
                <c:pt idx="0">
                  <c:v>60</c:v>
                </c:pt>
                <c:pt idx="1">
                  <c:v>58</c:v>
                </c:pt>
                <c:pt idx="2">
                  <c:v>55</c:v>
                </c:pt>
                <c:pt idx="3">
                  <c:v>58</c:v>
                </c:pt>
                <c:pt idx="4">
                  <c:v>42</c:v>
                </c:pt>
                <c:pt idx="5">
                  <c:v>41</c:v>
                </c:pt>
                <c:pt idx="6">
                  <c:v>42</c:v>
                </c:pt>
                <c:pt idx="7">
                  <c:v>86</c:v>
                </c:pt>
                <c:pt idx="8">
                  <c:v>40</c:v>
                </c:pt>
                <c:pt idx="9">
                  <c:v>42</c:v>
                </c:pt>
                <c:pt idx="10">
                  <c:v>59</c:v>
                </c:pt>
                <c:pt idx="11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'25.07 Munyonyo-Kibuye'!$U$9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Munyonyo-Kibuye'!$U$10:$U$21</c:f>
              <c:numCache>
                <c:formatCode>0</c:formatCode>
                <c:ptCount val="12"/>
                <c:pt idx="0">
                  <c:v>9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8</c:v>
                </c:pt>
                <c:pt idx="5">
                  <c:v>17</c:v>
                </c:pt>
                <c:pt idx="6">
                  <c:v>9</c:v>
                </c:pt>
                <c:pt idx="7">
                  <c:v>13</c:v>
                </c:pt>
                <c:pt idx="8">
                  <c:v>11</c:v>
                </c:pt>
                <c:pt idx="9">
                  <c:v>18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'25.07 Munyonyo-Kibuye'!$V$9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Munyonyo-Kibuye'!$V$10:$V$21</c:f>
              <c:numCache>
                <c:formatCode>0</c:formatCode>
                <c:ptCount val="12"/>
                <c:pt idx="0">
                  <c:v>228</c:v>
                </c:pt>
                <c:pt idx="1">
                  <c:v>193</c:v>
                </c:pt>
                <c:pt idx="2">
                  <c:v>173</c:v>
                </c:pt>
                <c:pt idx="3">
                  <c:v>136</c:v>
                </c:pt>
                <c:pt idx="4">
                  <c:v>111</c:v>
                </c:pt>
                <c:pt idx="5">
                  <c:v>110</c:v>
                </c:pt>
                <c:pt idx="6">
                  <c:v>96</c:v>
                </c:pt>
                <c:pt idx="7">
                  <c:v>66</c:v>
                </c:pt>
                <c:pt idx="8">
                  <c:v>89</c:v>
                </c:pt>
                <c:pt idx="9">
                  <c:v>71</c:v>
                </c:pt>
                <c:pt idx="10">
                  <c:v>91</c:v>
                </c:pt>
                <c:pt idx="11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'25.07 Munyonyo-Kibuye'!$W$9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Munyonyo-Kibuye'!$W$10:$W$21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'25.07 Munyonyo-Kibuye'!$X$9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Munyonyo-Kibuye'!$X$10:$X$21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'25.07 Munyonyo-Kibuye'!$Y$9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Munyonyo-Kibuye'!$Y$10:$Y$21</c:f>
              <c:numCache>
                <c:formatCode>0</c:formatCode>
                <c:ptCount val="12"/>
                <c:pt idx="0">
                  <c:v>20</c:v>
                </c:pt>
                <c:pt idx="1">
                  <c:v>14</c:v>
                </c:pt>
                <c:pt idx="2">
                  <c:v>8</c:v>
                </c:pt>
                <c:pt idx="3">
                  <c:v>18</c:v>
                </c:pt>
                <c:pt idx="4">
                  <c:v>8</c:v>
                </c:pt>
                <c:pt idx="5">
                  <c:v>16</c:v>
                </c:pt>
                <c:pt idx="6">
                  <c:v>17</c:v>
                </c:pt>
                <c:pt idx="7">
                  <c:v>7</c:v>
                </c:pt>
                <c:pt idx="8">
                  <c:v>12</c:v>
                </c:pt>
                <c:pt idx="9">
                  <c:v>7</c:v>
                </c:pt>
                <c:pt idx="10">
                  <c:v>10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'25.07 Munyonyo-Kibuye'!$Z$9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Munyonyo-Kibuye'!$Z$10:$Z$21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'25.07 Munyonyo-Kibuye'!$AA$9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Munyonyo-Kibuye'!$AA$10:$AA$21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'25.07 Munyonyo-Kibuye'!$AB$9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Munyonyo-Kibuye'!$AB$10:$AB$21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'25.07 Munyonyo-Kibuye'!$AC$9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Munyonyo-Kibuye'!$AC$10:$AC$21</c:f>
              <c:numCache>
                <c:formatCode>0</c:formatCode>
                <c:ptCount val="12"/>
                <c:pt idx="0">
                  <c:v>1139</c:v>
                </c:pt>
                <c:pt idx="1">
                  <c:v>922</c:v>
                </c:pt>
                <c:pt idx="2">
                  <c:v>803</c:v>
                </c:pt>
                <c:pt idx="3">
                  <c:v>641</c:v>
                </c:pt>
                <c:pt idx="4">
                  <c:v>596</c:v>
                </c:pt>
                <c:pt idx="5">
                  <c:v>598</c:v>
                </c:pt>
                <c:pt idx="6">
                  <c:v>569</c:v>
                </c:pt>
                <c:pt idx="7">
                  <c:v>419</c:v>
                </c:pt>
                <c:pt idx="8">
                  <c:v>583</c:v>
                </c:pt>
                <c:pt idx="9">
                  <c:v>578</c:v>
                </c:pt>
                <c:pt idx="10">
                  <c:v>755</c:v>
                </c:pt>
                <c:pt idx="11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'25.07 Munyonyo-Kibuye'!$AD$9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Munyonyo-Kibuye'!$AD$10:$AD$21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089072"/>
        <c:axId val="802098864"/>
      </c:lineChart>
      <c:catAx>
        <c:axId val="80208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98864"/>
        <c:crosses val="autoZero"/>
        <c:auto val="1"/>
        <c:lblAlgn val="ctr"/>
        <c:lblOffset val="100"/>
        <c:noMultiLvlLbl val="0"/>
      </c:catAx>
      <c:valAx>
        <c:axId val="80209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8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Munyonyo-Kibuye'!$C$9:$N$9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Munyonyo-Kibuye'!$C$60:$N$60</c:f>
              <c:numCache>
                <c:formatCode>0.00%</c:formatCode>
                <c:ptCount val="12"/>
                <c:pt idx="0">
                  <c:v>0.29055831628178896</c:v>
                </c:pt>
                <c:pt idx="1">
                  <c:v>0.18327974276527331</c:v>
                </c:pt>
                <c:pt idx="2">
                  <c:v>4.5016077170418008E-2</c:v>
                </c:pt>
                <c:pt idx="3">
                  <c:v>0.42560654779304297</c:v>
                </c:pt>
                <c:pt idx="4">
                  <c:v>4.0923706518561824E-3</c:v>
                </c:pt>
                <c:pt idx="5">
                  <c:v>5.8462437883659746E-4</c:v>
                </c:pt>
                <c:pt idx="6">
                  <c:v>4.1800643086816719E-2</c:v>
                </c:pt>
                <c:pt idx="7">
                  <c:v>6.4308681672025723E-3</c:v>
                </c:pt>
                <c:pt idx="8">
                  <c:v>8.7693656825489619E-4</c:v>
                </c:pt>
                <c:pt idx="9">
                  <c:v>1.7538731365097924E-3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Kibuye-Munyonyo-24h'!$AE$9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Kibuye-Munyonyo-24h'!$R$10:$R$33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Kibuye-Munyonyo-24h'!$AE$10:$AE$33</c:f>
              <c:numCache>
                <c:formatCode>0</c:formatCode>
                <c:ptCount val="24"/>
                <c:pt idx="0">
                  <c:v>391</c:v>
                </c:pt>
                <c:pt idx="1">
                  <c:v>306</c:v>
                </c:pt>
                <c:pt idx="2">
                  <c:v>272</c:v>
                </c:pt>
                <c:pt idx="3">
                  <c:v>191</c:v>
                </c:pt>
                <c:pt idx="4">
                  <c:v>182</c:v>
                </c:pt>
                <c:pt idx="5">
                  <c:v>215</c:v>
                </c:pt>
                <c:pt idx="6">
                  <c:v>229</c:v>
                </c:pt>
                <c:pt idx="7">
                  <c:v>242</c:v>
                </c:pt>
                <c:pt idx="8">
                  <c:v>249</c:v>
                </c:pt>
                <c:pt idx="9">
                  <c:v>260</c:v>
                </c:pt>
                <c:pt idx="10">
                  <c:v>311</c:v>
                </c:pt>
                <c:pt idx="11">
                  <c:v>374</c:v>
                </c:pt>
                <c:pt idx="12">
                  <c:v>295</c:v>
                </c:pt>
                <c:pt idx="13">
                  <c:v>293</c:v>
                </c:pt>
                <c:pt idx="14">
                  <c:v>326</c:v>
                </c:pt>
                <c:pt idx="15">
                  <c:v>203</c:v>
                </c:pt>
                <c:pt idx="16">
                  <c:v>172</c:v>
                </c:pt>
                <c:pt idx="17">
                  <c:v>110</c:v>
                </c:pt>
                <c:pt idx="18">
                  <c:v>63</c:v>
                </c:pt>
                <c:pt idx="19">
                  <c:v>65</c:v>
                </c:pt>
                <c:pt idx="20">
                  <c:v>96</c:v>
                </c:pt>
                <c:pt idx="21">
                  <c:v>66</c:v>
                </c:pt>
                <c:pt idx="22">
                  <c:v>41</c:v>
                </c:pt>
                <c:pt idx="23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'26.07 Kibuye-Munyonyo-24h'!$AF$9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Kibuye-Munyonyo-24h'!$R$10:$R$33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Kibuye-Munyonyo-24h'!$AF$10:$AF$33</c:f>
              <c:numCache>
                <c:formatCode>0</c:formatCode>
                <c:ptCount val="24"/>
                <c:pt idx="0">
                  <c:v>874</c:v>
                </c:pt>
                <c:pt idx="1">
                  <c:v>831</c:v>
                </c:pt>
                <c:pt idx="2">
                  <c:v>852</c:v>
                </c:pt>
                <c:pt idx="3">
                  <c:v>620</c:v>
                </c:pt>
                <c:pt idx="4">
                  <c:v>772</c:v>
                </c:pt>
                <c:pt idx="5">
                  <c:v>780</c:v>
                </c:pt>
                <c:pt idx="6">
                  <c:v>729</c:v>
                </c:pt>
                <c:pt idx="7">
                  <c:v>820</c:v>
                </c:pt>
                <c:pt idx="8">
                  <c:v>553</c:v>
                </c:pt>
                <c:pt idx="9">
                  <c:v>615</c:v>
                </c:pt>
                <c:pt idx="10">
                  <c:v>646</c:v>
                </c:pt>
                <c:pt idx="11">
                  <c:v>763</c:v>
                </c:pt>
                <c:pt idx="12">
                  <c:v>560</c:v>
                </c:pt>
                <c:pt idx="13">
                  <c:v>728</c:v>
                </c:pt>
                <c:pt idx="14">
                  <c:v>591</c:v>
                </c:pt>
                <c:pt idx="15">
                  <c:v>343</c:v>
                </c:pt>
                <c:pt idx="16">
                  <c:v>277</c:v>
                </c:pt>
                <c:pt idx="17">
                  <c:v>220</c:v>
                </c:pt>
                <c:pt idx="18">
                  <c:v>158</c:v>
                </c:pt>
                <c:pt idx="19">
                  <c:v>115</c:v>
                </c:pt>
                <c:pt idx="20">
                  <c:v>211</c:v>
                </c:pt>
                <c:pt idx="21">
                  <c:v>180</c:v>
                </c:pt>
                <c:pt idx="22">
                  <c:v>171</c:v>
                </c:pt>
                <c:pt idx="23">
                  <c:v>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091792"/>
        <c:axId val="802094512"/>
      </c:lineChart>
      <c:catAx>
        <c:axId val="80209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94512"/>
        <c:crosses val="autoZero"/>
        <c:auto val="1"/>
        <c:lblAlgn val="ctr"/>
        <c:lblOffset val="100"/>
        <c:noMultiLvlLbl val="0"/>
      </c:catAx>
      <c:valAx>
        <c:axId val="802094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9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Kibuye-Munyonyo-24h'!$C$9:$N$9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Kibuye-Munyonyo-24h'!$C$107:$N$107</c:f>
              <c:numCache>
                <c:formatCode>0.0%</c:formatCode>
                <c:ptCount val="12"/>
                <c:pt idx="0">
                  <c:v>0.12761889588146261</c:v>
                </c:pt>
                <c:pt idx="1">
                  <c:v>4.469051222815263E-2</c:v>
                </c:pt>
                <c:pt idx="2">
                  <c:v>1.93579224089859E-2</c:v>
                </c:pt>
                <c:pt idx="3">
                  <c:v>0.1828248227515335</c:v>
                </c:pt>
                <c:pt idx="4">
                  <c:v>2.0712180355293556E-3</c:v>
                </c:pt>
                <c:pt idx="5">
                  <c:v>7.9662232135744448E-5</c:v>
                </c:pt>
                <c:pt idx="6">
                  <c:v>1.3861228391619533E-2</c:v>
                </c:pt>
                <c:pt idx="7">
                  <c:v>3.3458137497012668E-3</c:v>
                </c:pt>
                <c:pt idx="8">
                  <c:v>3.744124910379989E-3</c:v>
                </c:pt>
                <c:pt idx="9">
                  <c:v>0</c:v>
                </c:pt>
                <c:pt idx="10">
                  <c:v>0.60224647494622796</c:v>
                </c:pt>
                <c:pt idx="11">
                  <c:v>1.593244642714889E-4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Kibuye-Munyonyo-24h'!$C$9:$N$9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Kibuye-Munyonyo-24h'!$C$108:$N$108</c:f>
              <c:numCache>
                <c:formatCode>0.00%</c:formatCode>
                <c:ptCount val="12"/>
                <c:pt idx="0">
                  <c:v>0.32084918886441016</c:v>
                </c:pt>
                <c:pt idx="1">
                  <c:v>0.11235730022030843</c:v>
                </c:pt>
                <c:pt idx="2">
                  <c:v>4.8668135389545363E-2</c:v>
                </c:pt>
                <c:pt idx="3">
                  <c:v>0.45964350090126177</c:v>
                </c:pt>
                <c:pt idx="4">
                  <c:v>5.2072902062888045E-3</c:v>
                </c:pt>
                <c:pt idx="5">
                  <c:v>2.002803925495694E-4</c:v>
                </c:pt>
                <c:pt idx="6">
                  <c:v>3.4848788303625075E-2</c:v>
                </c:pt>
                <c:pt idx="7">
                  <c:v>8.411776487081914E-3</c:v>
                </c:pt>
                <c:pt idx="8">
                  <c:v>9.4131784498297615E-3</c:v>
                </c:pt>
                <c:pt idx="9">
                  <c:v>0</c:v>
                </c:pt>
                <c:pt idx="11">
                  <c:v>4.005607850991388E-4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Munyonyo-Kibuye-24h'!$AE$9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Munyonyo-Kibuye-24h'!$R$10:$R$33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Munyonyo-Kibuye-24h'!$AE$10:$AE$33</c:f>
              <c:numCache>
                <c:formatCode>0</c:formatCode>
                <c:ptCount val="24"/>
                <c:pt idx="0">
                  <c:v>458</c:v>
                </c:pt>
                <c:pt idx="1">
                  <c:v>405</c:v>
                </c:pt>
                <c:pt idx="2">
                  <c:v>301</c:v>
                </c:pt>
                <c:pt idx="3">
                  <c:v>239</c:v>
                </c:pt>
                <c:pt idx="4">
                  <c:v>208</c:v>
                </c:pt>
                <c:pt idx="5">
                  <c:v>175</c:v>
                </c:pt>
                <c:pt idx="6">
                  <c:v>182</c:v>
                </c:pt>
                <c:pt idx="7">
                  <c:v>203</c:v>
                </c:pt>
                <c:pt idx="8">
                  <c:v>195</c:v>
                </c:pt>
                <c:pt idx="9">
                  <c:v>230</c:v>
                </c:pt>
                <c:pt idx="10">
                  <c:v>185</c:v>
                </c:pt>
                <c:pt idx="11">
                  <c:v>328</c:v>
                </c:pt>
                <c:pt idx="12">
                  <c:v>244</c:v>
                </c:pt>
                <c:pt idx="13">
                  <c:v>229</c:v>
                </c:pt>
                <c:pt idx="14">
                  <c:v>219</c:v>
                </c:pt>
                <c:pt idx="15">
                  <c:v>213</c:v>
                </c:pt>
                <c:pt idx="16">
                  <c:v>171</c:v>
                </c:pt>
                <c:pt idx="17">
                  <c:v>104</c:v>
                </c:pt>
                <c:pt idx="18">
                  <c:v>57</c:v>
                </c:pt>
                <c:pt idx="19">
                  <c:v>65</c:v>
                </c:pt>
                <c:pt idx="20">
                  <c:v>43</c:v>
                </c:pt>
                <c:pt idx="21">
                  <c:v>66</c:v>
                </c:pt>
                <c:pt idx="22">
                  <c:v>118</c:v>
                </c:pt>
                <c:pt idx="23">
                  <c:v>230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'26.07 Munyonyo-Kibuye-24h'!$AF$9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Munyonyo-Kibuye-24h'!$R$10:$R$33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Munyonyo-Kibuye-24h'!$AF$10:$AF$33</c:f>
              <c:numCache>
                <c:formatCode>0</c:formatCode>
                <c:ptCount val="24"/>
                <c:pt idx="0">
                  <c:v>1424</c:v>
                </c:pt>
                <c:pt idx="1">
                  <c:v>1510</c:v>
                </c:pt>
                <c:pt idx="2">
                  <c:v>1117</c:v>
                </c:pt>
                <c:pt idx="3">
                  <c:v>675</c:v>
                </c:pt>
                <c:pt idx="4">
                  <c:v>665</c:v>
                </c:pt>
                <c:pt idx="5">
                  <c:v>557</c:v>
                </c:pt>
                <c:pt idx="6">
                  <c:v>573</c:v>
                </c:pt>
                <c:pt idx="7">
                  <c:v>614</c:v>
                </c:pt>
                <c:pt idx="8">
                  <c:v>577</c:v>
                </c:pt>
                <c:pt idx="9">
                  <c:v>777</c:v>
                </c:pt>
                <c:pt idx="10">
                  <c:v>709</c:v>
                </c:pt>
                <c:pt idx="11">
                  <c:v>930</c:v>
                </c:pt>
                <c:pt idx="12">
                  <c:v>1049</c:v>
                </c:pt>
                <c:pt idx="13">
                  <c:v>1120</c:v>
                </c:pt>
                <c:pt idx="14">
                  <c:v>1139</c:v>
                </c:pt>
                <c:pt idx="15">
                  <c:v>771</c:v>
                </c:pt>
                <c:pt idx="16">
                  <c:v>546</c:v>
                </c:pt>
                <c:pt idx="17">
                  <c:v>456</c:v>
                </c:pt>
                <c:pt idx="18">
                  <c:v>219</c:v>
                </c:pt>
                <c:pt idx="19">
                  <c:v>243</c:v>
                </c:pt>
                <c:pt idx="20">
                  <c:v>188</c:v>
                </c:pt>
                <c:pt idx="21">
                  <c:v>216</c:v>
                </c:pt>
                <c:pt idx="22">
                  <c:v>334</c:v>
                </c:pt>
                <c:pt idx="23">
                  <c:v>574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6097808"/>
        <c:axId val="806096176"/>
      </c:lineChart>
      <c:catAx>
        <c:axId val="8060978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6096176"/>
        <c:crosses val="autoZero"/>
        <c:auto val="1"/>
        <c:lblAlgn val="ctr"/>
        <c:lblOffset val="100"/>
        <c:noMultiLvlLbl val="0"/>
      </c:catAx>
      <c:valAx>
        <c:axId val="8060961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609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Munyonyo-Kibuye-24h'!$C$9:$N$9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Munyonyo-Kibuye-24h'!$C$107:$N$107</c:f>
              <c:numCache>
                <c:formatCode>0.0%</c:formatCode>
                <c:ptCount val="12"/>
                <c:pt idx="0">
                  <c:v>8.4201848907731261E-2</c:v>
                </c:pt>
                <c:pt idx="1">
                  <c:v>4.8754636989931106E-2</c:v>
                </c:pt>
                <c:pt idx="2">
                  <c:v>1.483836777954425E-2</c:v>
                </c:pt>
                <c:pt idx="3">
                  <c:v>0.11817700052994171</c:v>
                </c:pt>
                <c:pt idx="4">
                  <c:v>2.2964140611199434E-3</c:v>
                </c:pt>
                <c:pt idx="5">
                  <c:v>1.0598834128245894E-3</c:v>
                </c:pt>
                <c:pt idx="6">
                  <c:v>1.1658717541070483E-2</c:v>
                </c:pt>
                <c:pt idx="7">
                  <c:v>2.3552964729435318E-3</c:v>
                </c:pt>
                <c:pt idx="8">
                  <c:v>2.1197668256491787E-3</c:v>
                </c:pt>
                <c:pt idx="9">
                  <c:v>1.1187658246481775E-3</c:v>
                </c:pt>
                <c:pt idx="10">
                  <c:v>0.71336041924277216</c:v>
                </c:pt>
                <c:pt idx="11">
                  <c:v>5.8882411823588296E-5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Munyonyo-Kibuye-24h'!$C$9:$N$9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Munyonyo-Kibuye-24h'!$C$108:$N$108</c:f>
              <c:numCache>
                <c:formatCode>0.00%</c:formatCode>
                <c:ptCount val="12"/>
                <c:pt idx="0">
                  <c:v>0.29375513557929334</c:v>
                </c:pt>
                <c:pt idx="1">
                  <c:v>0.17009038619556285</c:v>
                </c:pt>
                <c:pt idx="2">
                  <c:v>5.1766639276910435E-2</c:v>
                </c:pt>
                <c:pt idx="3">
                  <c:v>0.41228430566967955</c:v>
                </c:pt>
                <c:pt idx="4">
                  <c:v>8.0115036976170905E-3</c:v>
                </c:pt>
                <c:pt idx="5">
                  <c:v>3.6976170912078883E-3</c:v>
                </c:pt>
                <c:pt idx="6">
                  <c:v>4.0673788003286769E-2</c:v>
                </c:pt>
                <c:pt idx="7">
                  <c:v>8.2169268693508633E-3</c:v>
                </c:pt>
                <c:pt idx="8">
                  <c:v>7.3952341824157766E-3</c:v>
                </c:pt>
                <c:pt idx="9">
                  <c:v>3.9030402629416597E-3</c:v>
                </c:pt>
                <c:pt idx="11">
                  <c:v>2.0542317173377156E-4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Kibuye-Munyonyo-24h'!$AE$9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Kibuye-Munyonyo-24h'!$R$10:$R$33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Kibuye-Munyonyo-24h'!$AE$10:$AE$33</c:f>
              <c:numCache>
                <c:formatCode>0</c:formatCode>
                <c:ptCount val="24"/>
                <c:pt idx="0">
                  <c:v>84</c:v>
                </c:pt>
                <c:pt idx="1">
                  <c:v>373</c:v>
                </c:pt>
                <c:pt idx="2">
                  <c:v>289</c:v>
                </c:pt>
                <c:pt idx="3">
                  <c:v>261</c:v>
                </c:pt>
                <c:pt idx="4">
                  <c:v>277</c:v>
                </c:pt>
                <c:pt idx="5">
                  <c:v>244</c:v>
                </c:pt>
                <c:pt idx="6">
                  <c:v>298</c:v>
                </c:pt>
                <c:pt idx="7">
                  <c:v>274</c:v>
                </c:pt>
                <c:pt idx="8">
                  <c:v>340</c:v>
                </c:pt>
                <c:pt idx="9">
                  <c:v>460</c:v>
                </c:pt>
                <c:pt idx="10">
                  <c:v>402</c:v>
                </c:pt>
                <c:pt idx="11">
                  <c:v>364</c:v>
                </c:pt>
                <c:pt idx="12">
                  <c:v>343</c:v>
                </c:pt>
                <c:pt idx="13">
                  <c:v>536</c:v>
                </c:pt>
                <c:pt idx="14">
                  <c:v>316</c:v>
                </c:pt>
                <c:pt idx="15">
                  <c:v>429</c:v>
                </c:pt>
                <c:pt idx="16">
                  <c:v>258</c:v>
                </c:pt>
                <c:pt idx="17">
                  <c:v>384</c:v>
                </c:pt>
                <c:pt idx="18">
                  <c:v>280</c:v>
                </c:pt>
                <c:pt idx="19">
                  <c:v>109</c:v>
                </c:pt>
                <c:pt idx="20">
                  <c:v>86</c:v>
                </c:pt>
                <c:pt idx="21">
                  <c:v>85</c:v>
                </c:pt>
                <c:pt idx="22">
                  <c:v>69</c:v>
                </c:pt>
                <c:pt idx="23">
                  <c:v>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'27.07 Kibuye-Munyonyo-24h'!$AF$9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Kibuye-Munyonyo-24h'!$R$10:$R$33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Kibuye-Munyonyo-24h'!$AF$10:$AF$33</c:f>
              <c:numCache>
                <c:formatCode>0</c:formatCode>
                <c:ptCount val="24"/>
                <c:pt idx="0">
                  <c:v>194</c:v>
                </c:pt>
                <c:pt idx="1">
                  <c:v>961</c:v>
                </c:pt>
                <c:pt idx="2">
                  <c:v>958</c:v>
                </c:pt>
                <c:pt idx="3">
                  <c:v>813</c:v>
                </c:pt>
                <c:pt idx="4">
                  <c:v>682</c:v>
                </c:pt>
                <c:pt idx="5">
                  <c:v>714</c:v>
                </c:pt>
                <c:pt idx="6">
                  <c:v>683</c:v>
                </c:pt>
                <c:pt idx="7">
                  <c:v>744</c:v>
                </c:pt>
                <c:pt idx="8">
                  <c:v>808</c:v>
                </c:pt>
                <c:pt idx="9">
                  <c:v>833</c:v>
                </c:pt>
                <c:pt idx="10">
                  <c:v>727</c:v>
                </c:pt>
                <c:pt idx="11">
                  <c:v>735</c:v>
                </c:pt>
                <c:pt idx="12">
                  <c:v>693</c:v>
                </c:pt>
                <c:pt idx="13">
                  <c:v>1056</c:v>
                </c:pt>
                <c:pt idx="14">
                  <c:v>763</c:v>
                </c:pt>
                <c:pt idx="15">
                  <c:v>794</c:v>
                </c:pt>
                <c:pt idx="16">
                  <c:v>508</c:v>
                </c:pt>
                <c:pt idx="17">
                  <c:v>592</c:v>
                </c:pt>
                <c:pt idx="18">
                  <c:v>460</c:v>
                </c:pt>
                <c:pt idx="19">
                  <c:v>249</c:v>
                </c:pt>
                <c:pt idx="20">
                  <c:v>234</c:v>
                </c:pt>
                <c:pt idx="21">
                  <c:v>259</c:v>
                </c:pt>
                <c:pt idx="22">
                  <c:v>205</c:v>
                </c:pt>
                <c:pt idx="23">
                  <c:v>128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6106512"/>
        <c:axId val="806104880"/>
      </c:lineChart>
      <c:catAx>
        <c:axId val="8061065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6104880"/>
        <c:crosses val="autoZero"/>
        <c:auto val="1"/>
        <c:lblAlgn val="ctr"/>
        <c:lblOffset val="100"/>
        <c:noMultiLvlLbl val="0"/>
      </c:catAx>
      <c:valAx>
        <c:axId val="8061048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610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Kibuye-Munyonyo-24h'!$C$9:$N$9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Kibuye-Munyonyo-24h'!$C$107:$N$107</c:f>
              <c:numCache>
                <c:formatCode>0.0%</c:formatCode>
                <c:ptCount val="12"/>
                <c:pt idx="0">
                  <c:v>0.18630433313053471</c:v>
                </c:pt>
                <c:pt idx="1">
                  <c:v>4.6846481443926183E-2</c:v>
                </c:pt>
                <c:pt idx="2">
                  <c:v>1.433110254850267E-2</c:v>
                </c:pt>
                <c:pt idx="3">
                  <c:v>0.17467721219495708</c:v>
                </c:pt>
                <c:pt idx="4">
                  <c:v>2.6363820726019063E-3</c:v>
                </c:pt>
                <c:pt idx="5">
                  <c:v>4.0559724193875484E-4</c:v>
                </c:pt>
                <c:pt idx="6">
                  <c:v>1.4533901169472048E-2</c:v>
                </c:pt>
                <c:pt idx="7">
                  <c:v>4.0559724193875478E-3</c:v>
                </c:pt>
                <c:pt idx="8">
                  <c:v>3.3123774758331641E-3</c:v>
                </c:pt>
                <c:pt idx="9">
                  <c:v>0</c:v>
                </c:pt>
                <c:pt idx="10">
                  <c:v>0.55289664030284591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Kibuye-Munyonyo-24h'!$C$9:$N$9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Kibuye-Munyonyo-24h'!$C$108:$N$108</c:f>
              <c:numCache>
                <c:formatCode>0.00%</c:formatCode>
                <c:ptCount val="12"/>
                <c:pt idx="0">
                  <c:v>0.41669186573934081</c:v>
                </c:pt>
                <c:pt idx="1">
                  <c:v>0.10477774417901421</c:v>
                </c:pt>
                <c:pt idx="2">
                  <c:v>3.2053220441487756E-2</c:v>
                </c:pt>
                <c:pt idx="3">
                  <c:v>0.39068642273964316</c:v>
                </c:pt>
                <c:pt idx="4">
                  <c:v>5.8965830057453889E-3</c:v>
                </c:pt>
                <c:pt idx="5">
                  <c:v>9.0716661626852129E-4</c:v>
                </c:pt>
                <c:pt idx="6">
                  <c:v>3.2506803749622011E-2</c:v>
                </c:pt>
                <c:pt idx="7">
                  <c:v>9.0716661626852133E-3</c:v>
                </c:pt>
                <c:pt idx="8">
                  <c:v>7.4085273661929239E-3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Munyonyo-Kibuye-24h'!$AE$9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Munyonyo-Kibuye-24h'!$R$10:$R$33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Munyonyo-Kibuye-24h'!$AE$10:$AE$33</c:f>
              <c:numCache>
                <c:formatCode>0</c:formatCode>
                <c:ptCount val="24"/>
                <c:pt idx="0">
                  <c:v>238</c:v>
                </c:pt>
                <c:pt idx="1">
                  <c:v>453</c:v>
                </c:pt>
                <c:pt idx="2">
                  <c:v>351</c:v>
                </c:pt>
                <c:pt idx="3">
                  <c:v>386</c:v>
                </c:pt>
                <c:pt idx="4">
                  <c:v>303</c:v>
                </c:pt>
                <c:pt idx="5">
                  <c:v>319</c:v>
                </c:pt>
                <c:pt idx="6">
                  <c:v>264</c:v>
                </c:pt>
                <c:pt idx="7">
                  <c:v>249</c:v>
                </c:pt>
                <c:pt idx="8">
                  <c:v>272</c:v>
                </c:pt>
                <c:pt idx="9">
                  <c:v>379</c:v>
                </c:pt>
                <c:pt idx="10">
                  <c:v>257</c:v>
                </c:pt>
                <c:pt idx="11">
                  <c:v>251</c:v>
                </c:pt>
                <c:pt idx="12">
                  <c:v>588</c:v>
                </c:pt>
                <c:pt idx="13">
                  <c:v>1111</c:v>
                </c:pt>
                <c:pt idx="14">
                  <c:v>868</c:v>
                </c:pt>
                <c:pt idx="15">
                  <c:v>726</c:v>
                </c:pt>
                <c:pt idx="16">
                  <c:v>432</c:v>
                </c:pt>
                <c:pt idx="17">
                  <c:v>182</c:v>
                </c:pt>
                <c:pt idx="18">
                  <c:v>145</c:v>
                </c:pt>
                <c:pt idx="19">
                  <c:v>35</c:v>
                </c:pt>
                <c:pt idx="20">
                  <c:v>37</c:v>
                </c:pt>
                <c:pt idx="21">
                  <c:v>36</c:v>
                </c:pt>
                <c:pt idx="22">
                  <c:v>405</c:v>
                </c:pt>
                <c:pt idx="23">
                  <c:v>1005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'27.07 Munyonyo-Kibuye-24h'!$AF$9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Munyonyo-Kibuye-24h'!$R$10:$R$33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Munyonyo-Kibuye-24h'!$AF$10:$AF$33</c:f>
              <c:numCache>
                <c:formatCode>0</c:formatCode>
                <c:ptCount val="24"/>
                <c:pt idx="0">
                  <c:v>723</c:v>
                </c:pt>
                <c:pt idx="1">
                  <c:v>1383</c:v>
                </c:pt>
                <c:pt idx="2">
                  <c:v>1079</c:v>
                </c:pt>
                <c:pt idx="3">
                  <c:v>1085</c:v>
                </c:pt>
                <c:pt idx="4">
                  <c:v>839</c:v>
                </c:pt>
                <c:pt idx="5">
                  <c:v>959</c:v>
                </c:pt>
                <c:pt idx="6">
                  <c:v>773</c:v>
                </c:pt>
                <c:pt idx="7">
                  <c:v>738</c:v>
                </c:pt>
                <c:pt idx="8">
                  <c:v>977</c:v>
                </c:pt>
                <c:pt idx="9">
                  <c:v>1102</c:v>
                </c:pt>
                <c:pt idx="10">
                  <c:v>879</c:v>
                </c:pt>
                <c:pt idx="11">
                  <c:v>862</c:v>
                </c:pt>
                <c:pt idx="12">
                  <c:v>1616</c:v>
                </c:pt>
                <c:pt idx="13">
                  <c:v>2221</c:v>
                </c:pt>
                <c:pt idx="14">
                  <c:v>1948</c:v>
                </c:pt>
                <c:pt idx="15">
                  <c:v>1828</c:v>
                </c:pt>
                <c:pt idx="16">
                  <c:v>1462</c:v>
                </c:pt>
                <c:pt idx="17">
                  <c:v>1040</c:v>
                </c:pt>
                <c:pt idx="18">
                  <c:v>608</c:v>
                </c:pt>
                <c:pt idx="19">
                  <c:v>351</c:v>
                </c:pt>
                <c:pt idx="20">
                  <c:v>454</c:v>
                </c:pt>
                <c:pt idx="21">
                  <c:v>254</c:v>
                </c:pt>
                <c:pt idx="22">
                  <c:v>1046</c:v>
                </c:pt>
                <c:pt idx="23">
                  <c:v>1754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6107056"/>
        <c:axId val="806102160"/>
      </c:lineChart>
      <c:catAx>
        <c:axId val="8061070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6102160"/>
        <c:crosses val="autoZero"/>
        <c:auto val="1"/>
        <c:lblAlgn val="ctr"/>
        <c:lblOffset val="100"/>
        <c:noMultiLvlLbl val="0"/>
      </c:catAx>
      <c:valAx>
        <c:axId val="8061021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610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Munyonyo-Kibuye-24h'!$C$9:$N$9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Munyonyo-Kibuye-24h'!$C$107:$N$107</c:f>
              <c:numCache>
                <c:formatCode>0.0%</c:formatCode>
                <c:ptCount val="12"/>
                <c:pt idx="0">
                  <c:v>0.14237327277625958</c:v>
                </c:pt>
                <c:pt idx="1">
                  <c:v>4.7688695585235363E-2</c:v>
                </c:pt>
                <c:pt idx="2">
                  <c:v>1.2085754974789269E-2</c:v>
                </c:pt>
                <c:pt idx="3">
                  <c:v>0.14398983872830146</c:v>
                </c:pt>
                <c:pt idx="4">
                  <c:v>1.4241176244178437E-3</c:v>
                </c:pt>
                <c:pt idx="5">
                  <c:v>4.618759862976791E-4</c:v>
                </c:pt>
                <c:pt idx="6">
                  <c:v>8.352257418883029E-3</c:v>
                </c:pt>
                <c:pt idx="7">
                  <c:v>7.3130364497132525E-4</c:v>
                </c:pt>
                <c:pt idx="8">
                  <c:v>4.618759862976791E-4</c:v>
                </c:pt>
                <c:pt idx="9">
                  <c:v>7.6979331049613174E-5</c:v>
                </c:pt>
                <c:pt idx="10">
                  <c:v>0.64235402794349716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Munyonyo-Kibuye-24h'!$C$9:$N$9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Munyonyo-Kibuye-24h'!$C$108:$N$108</c:f>
              <c:numCache>
                <c:formatCode>0.00%</c:formatCode>
                <c:ptCount val="12"/>
                <c:pt idx="0">
                  <c:v>0.3980843736547568</c:v>
                </c:pt>
                <c:pt idx="1">
                  <c:v>0.13334050796383987</c:v>
                </c:pt>
                <c:pt idx="2">
                  <c:v>3.3792509685751183E-2</c:v>
                </c:pt>
                <c:pt idx="3">
                  <c:v>0.40260439087387001</c:v>
                </c:pt>
                <c:pt idx="4">
                  <c:v>3.9819199311235468E-3</c:v>
                </c:pt>
                <c:pt idx="5">
                  <c:v>1.2914334911752045E-3</c:v>
                </c:pt>
                <c:pt idx="6">
                  <c:v>2.3353422298751616E-2</c:v>
                </c:pt>
                <c:pt idx="7">
                  <c:v>2.0447696943607404E-3</c:v>
                </c:pt>
                <c:pt idx="8">
                  <c:v>1.2914334911752045E-3</c:v>
                </c:pt>
                <c:pt idx="9">
                  <c:v>2.1523891519586742E-4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Kibuye-Munyonyo'!$AE$9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Kibuye-Munyonyo'!$R$10:$R$21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Kibuye-Munyonyo'!$AE$10:$AE$21</c:f>
              <c:numCache>
                <c:formatCode>0</c:formatCode>
                <c:ptCount val="12"/>
                <c:pt idx="0">
                  <c:v>208</c:v>
                </c:pt>
                <c:pt idx="1">
                  <c:v>244</c:v>
                </c:pt>
                <c:pt idx="2">
                  <c:v>277</c:v>
                </c:pt>
                <c:pt idx="3">
                  <c:v>259</c:v>
                </c:pt>
                <c:pt idx="4">
                  <c:v>270</c:v>
                </c:pt>
                <c:pt idx="5">
                  <c:v>228</c:v>
                </c:pt>
                <c:pt idx="6">
                  <c:v>298</c:v>
                </c:pt>
                <c:pt idx="7">
                  <c:v>356</c:v>
                </c:pt>
                <c:pt idx="8">
                  <c:v>383</c:v>
                </c:pt>
                <c:pt idx="9">
                  <c:v>419</c:v>
                </c:pt>
                <c:pt idx="10">
                  <c:v>475</c:v>
                </c:pt>
                <c:pt idx="11">
                  <c:v>326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'28.07 Kibuye-Munyonyo'!$AF$9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Kibuye-Munyonyo'!$R$10:$R$21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Kibuye-Munyonyo'!$AF$10:$AF$21</c:f>
              <c:numCache>
                <c:formatCode>0</c:formatCode>
                <c:ptCount val="12"/>
                <c:pt idx="0">
                  <c:v>615</c:v>
                </c:pt>
                <c:pt idx="1">
                  <c:v>546</c:v>
                </c:pt>
                <c:pt idx="2">
                  <c:v>746</c:v>
                </c:pt>
                <c:pt idx="3">
                  <c:v>750</c:v>
                </c:pt>
                <c:pt idx="4">
                  <c:v>850</c:v>
                </c:pt>
                <c:pt idx="5">
                  <c:v>726</c:v>
                </c:pt>
                <c:pt idx="6">
                  <c:v>737</c:v>
                </c:pt>
                <c:pt idx="7">
                  <c:v>1062</c:v>
                </c:pt>
                <c:pt idx="8">
                  <c:v>1253</c:v>
                </c:pt>
                <c:pt idx="9">
                  <c:v>1234</c:v>
                </c:pt>
                <c:pt idx="10">
                  <c:v>1135</c:v>
                </c:pt>
                <c:pt idx="11">
                  <c:v>905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6109232"/>
        <c:axId val="809581328"/>
      </c:lineChart>
      <c:catAx>
        <c:axId val="8061092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9581328"/>
        <c:crosses val="autoZero"/>
        <c:auto val="1"/>
        <c:lblAlgn val="ctr"/>
        <c:lblOffset val="100"/>
        <c:noMultiLvlLbl val="0"/>
      </c:catAx>
      <c:valAx>
        <c:axId val="8095813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610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Kibuye-Munyonyo'!$C$9:$N$9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Kibuye-Munyonyo'!$C$59:$N$59</c:f>
              <c:numCache>
                <c:formatCode>0.0%</c:formatCode>
                <c:ptCount val="12"/>
                <c:pt idx="0">
                  <c:v>0.14935126432427312</c:v>
                </c:pt>
                <c:pt idx="1">
                  <c:v>4.3848849322852546E-2</c:v>
                </c:pt>
                <c:pt idx="2">
                  <c:v>1.221706601003883E-2</c:v>
                </c:pt>
                <c:pt idx="3">
                  <c:v>0.13154654796855764</c:v>
                </c:pt>
                <c:pt idx="4">
                  <c:v>1.7047068851216971E-3</c:v>
                </c:pt>
                <c:pt idx="5">
                  <c:v>1.8941187612463303E-4</c:v>
                </c:pt>
                <c:pt idx="6">
                  <c:v>1.4205890709347475E-2</c:v>
                </c:pt>
                <c:pt idx="7">
                  <c:v>7.5764750449853211E-4</c:v>
                </c:pt>
                <c:pt idx="8">
                  <c:v>5.6823562837389908E-4</c:v>
                </c:pt>
                <c:pt idx="9">
                  <c:v>9.4705938062316513E-5</c:v>
                </c:pt>
                <c:pt idx="10">
                  <c:v>0.64551567383274933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Kibuye-Munyonyo'!$S$9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Kibuye-Munyonyo'!$R$10:$R$21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Kibuye-Munyonyo'!$S$10:$S$21</c:f>
              <c:numCache>
                <c:formatCode>0</c:formatCode>
                <c:ptCount val="12"/>
                <c:pt idx="0">
                  <c:v>42</c:v>
                </c:pt>
                <c:pt idx="1">
                  <c:v>48</c:v>
                </c:pt>
                <c:pt idx="2">
                  <c:v>78</c:v>
                </c:pt>
                <c:pt idx="3">
                  <c:v>88</c:v>
                </c:pt>
                <c:pt idx="4">
                  <c:v>90</c:v>
                </c:pt>
                <c:pt idx="5">
                  <c:v>103</c:v>
                </c:pt>
                <c:pt idx="6">
                  <c:v>141</c:v>
                </c:pt>
                <c:pt idx="7">
                  <c:v>181</c:v>
                </c:pt>
                <c:pt idx="8">
                  <c:v>201</c:v>
                </c:pt>
                <c:pt idx="9">
                  <c:v>217</c:v>
                </c:pt>
                <c:pt idx="10">
                  <c:v>235</c:v>
                </c:pt>
                <c:pt idx="11">
                  <c:v>153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'28.07 Kibuye-Munyonyo'!$T$9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Kibuye-Munyonyo'!$R$10:$R$21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Kibuye-Munyonyo'!$T$10:$T$21</c:f>
              <c:numCache>
                <c:formatCode>0</c:formatCode>
                <c:ptCount val="12"/>
                <c:pt idx="0">
                  <c:v>12</c:v>
                </c:pt>
                <c:pt idx="1">
                  <c:v>12</c:v>
                </c:pt>
                <c:pt idx="2">
                  <c:v>23</c:v>
                </c:pt>
                <c:pt idx="3">
                  <c:v>24</c:v>
                </c:pt>
                <c:pt idx="4">
                  <c:v>37</c:v>
                </c:pt>
                <c:pt idx="5">
                  <c:v>20</c:v>
                </c:pt>
                <c:pt idx="6">
                  <c:v>27</c:v>
                </c:pt>
                <c:pt idx="7">
                  <c:v>44</c:v>
                </c:pt>
                <c:pt idx="8">
                  <c:v>59</c:v>
                </c:pt>
                <c:pt idx="9">
                  <c:v>68</c:v>
                </c:pt>
                <c:pt idx="10">
                  <c:v>90</c:v>
                </c:pt>
                <c:pt idx="11">
                  <c:v>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'28.07 Kibuye-Munyonyo'!$U$9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Kibuye-Munyonyo'!$U$10:$U$21</c:f>
              <c:numCache>
                <c:formatCode>0</c:formatCode>
                <c:ptCount val="12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14</c:v>
                </c:pt>
                <c:pt idx="5">
                  <c:v>34</c:v>
                </c:pt>
                <c:pt idx="6">
                  <c:v>6</c:v>
                </c:pt>
                <c:pt idx="7">
                  <c:v>12</c:v>
                </c:pt>
                <c:pt idx="8">
                  <c:v>12</c:v>
                </c:pt>
                <c:pt idx="9">
                  <c:v>10</c:v>
                </c:pt>
                <c:pt idx="10">
                  <c:v>14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'28.07 Kibuye-Munyonyo'!$V$9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Kibuye-Munyonyo'!$V$10:$V$21</c:f>
              <c:numCache>
                <c:formatCode>0</c:formatCode>
                <c:ptCount val="12"/>
                <c:pt idx="0">
                  <c:v>138</c:v>
                </c:pt>
                <c:pt idx="1">
                  <c:v>172</c:v>
                </c:pt>
                <c:pt idx="2">
                  <c:v>158</c:v>
                </c:pt>
                <c:pt idx="3">
                  <c:v>125</c:v>
                </c:pt>
                <c:pt idx="4">
                  <c:v>122</c:v>
                </c:pt>
                <c:pt idx="5">
                  <c:v>62</c:v>
                </c:pt>
                <c:pt idx="6">
                  <c:v>103</c:v>
                </c:pt>
                <c:pt idx="7">
                  <c:v>90</c:v>
                </c:pt>
                <c:pt idx="8">
                  <c:v>94</c:v>
                </c:pt>
                <c:pt idx="9">
                  <c:v>102</c:v>
                </c:pt>
                <c:pt idx="10">
                  <c:v>123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'28.07 Kibuye-Munyonyo'!$W$9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Kibuye-Munyonyo'!$W$10:$W$21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'28.07 Kibuye-Munyonyo'!$X$9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Kibuye-Munyonyo'!$X$10:$X$21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'28.07 Kibuye-Munyonyo'!$Y$9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Kibuye-Munyonyo'!$Y$10:$Y$21</c:f>
              <c:numCache>
                <c:formatCode>0</c:formatCode>
                <c:ptCount val="12"/>
                <c:pt idx="0">
                  <c:v>6</c:v>
                </c:pt>
                <c:pt idx="1">
                  <c:v>2</c:v>
                </c:pt>
                <c:pt idx="2">
                  <c:v>8</c:v>
                </c:pt>
                <c:pt idx="3">
                  <c:v>13</c:v>
                </c:pt>
                <c:pt idx="4">
                  <c:v>6</c:v>
                </c:pt>
                <c:pt idx="5">
                  <c:v>9</c:v>
                </c:pt>
                <c:pt idx="6">
                  <c:v>15</c:v>
                </c:pt>
                <c:pt idx="7">
                  <c:v>29</c:v>
                </c:pt>
                <c:pt idx="8">
                  <c:v>14</c:v>
                </c:pt>
                <c:pt idx="9">
                  <c:v>18</c:v>
                </c:pt>
                <c:pt idx="10">
                  <c:v>12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'28.07 Kibuye-Munyonyo'!$Z$9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Kibuye-Munyonyo'!$Z$10:$Z$21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'28.07 Kibuye-Munyonyo'!$AA$9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Kibuye-Munyonyo'!$AA$10:$AA$21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'28.07 Kibuye-Munyonyo'!$AB$9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Kibuye-Munyonyo'!$AB$10:$AB$21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'28.07 Kibuye-Munyonyo'!$AC$9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Kibuye-Munyonyo'!$AC$10:$AC$21</c:f>
              <c:numCache>
                <c:formatCode>0</c:formatCode>
                <c:ptCount val="12"/>
                <c:pt idx="0">
                  <c:v>407</c:v>
                </c:pt>
                <c:pt idx="1">
                  <c:v>302</c:v>
                </c:pt>
                <c:pt idx="2">
                  <c:v>469</c:v>
                </c:pt>
                <c:pt idx="3">
                  <c:v>491</c:v>
                </c:pt>
                <c:pt idx="4">
                  <c:v>580</c:v>
                </c:pt>
                <c:pt idx="5">
                  <c:v>498</c:v>
                </c:pt>
                <c:pt idx="6">
                  <c:v>439</c:v>
                </c:pt>
                <c:pt idx="7">
                  <c:v>706</c:v>
                </c:pt>
                <c:pt idx="8">
                  <c:v>870</c:v>
                </c:pt>
                <c:pt idx="9">
                  <c:v>815</c:v>
                </c:pt>
                <c:pt idx="10">
                  <c:v>660</c:v>
                </c:pt>
                <c:pt idx="11">
                  <c:v>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'28.07 Kibuye-Munyonyo'!$AD$9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Kibuye-Munyonyo'!$AD$10:$AD$21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573712"/>
        <c:axId val="809580240"/>
      </c:lineChart>
      <c:catAx>
        <c:axId val="80957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9580240"/>
        <c:crosses val="autoZero"/>
        <c:auto val="1"/>
        <c:lblAlgn val="ctr"/>
        <c:lblOffset val="100"/>
        <c:noMultiLvlLbl val="0"/>
      </c:catAx>
      <c:valAx>
        <c:axId val="80958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957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Kibuye-Munyonyo'!$C$9:$N$9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Kibuye-Munyonyo'!$C$60:$N$60</c:f>
              <c:numCache>
                <c:formatCode>0.00%</c:formatCode>
                <c:ptCount val="12"/>
                <c:pt idx="0">
                  <c:v>0.42131979695431471</c:v>
                </c:pt>
                <c:pt idx="1">
                  <c:v>0.12369756879508416</c:v>
                </c:pt>
                <c:pt idx="2">
                  <c:v>3.4464333422388457E-2</c:v>
                </c:pt>
                <c:pt idx="3">
                  <c:v>0.37109270638525249</c:v>
                </c:pt>
                <c:pt idx="4">
                  <c:v>4.8089767566123426E-3</c:v>
                </c:pt>
                <c:pt idx="5">
                  <c:v>5.3433075073470483E-4</c:v>
                </c:pt>
                <c:pt idx="6">
                  <c:v>4.0074806305102857E-2</c:v>
                </c:pt>
                <c:pt idx="7">
                  <c:v>2.1373230029388193E-3</c:v>
                </c:pt>
                <c:pt idx="8">
                  <c:v>1.6029922522041143E-3</c:v>
                </c:pt>
                <c:pt idx="9">
                  <c:v>2.6716537536735242E-4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Munyonyo-Kibuye'!$AE$9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Munyonyo-Kibuye'!$R$10:$R$21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Munyonyo-Kibuye'!$AE$10:$AE$21</c:f>
              <c:numCache>
                <c:formatCode>0</c:formatCode>
                <c:ptCount val="12"/>
                <c:pt idx="0">
                  <c:v>290</c:v>
                </c:pt>
                <c:pt idx="1">
                  <c:v>351</c:v>
                </c:pt>
                <c:pt idx="2">
                  <c:v>391</c:v>
                </c:pt>
                <c:pt idx="3">
                  <c:v>396</c:v>
                </c:pt>
                <c:pt idx="4">
                  <c:v>312</c:v>
                </c:pt>
                <c:pt idx="5">
                  <c:v>317</c:v>
                </c:pt>
                <c:pt idx="6">
                  <c:v>323</c:v>
                </c:pt>
                <c:pt idx="7">
                  <c:v>338</c:v>
                </c:pt>
                <c:pt idx="8">
                  <c:v>361</c:v>
                </c:pt>
                <c:pt idx="9">
                  <c:v>344</c:v>
                </c:pt>
                <c:pt idx="10">
                  <c:v>313</c:v>
                </c:pt>
                <c:pt idx="11">
                  <c:v>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'28.07 Munyonyo-Kibuye'!$AF$9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Munyonyo-Kibuye'!$R$10:$R$21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Munyonyo-Kibuye'!$AF$10:$AF$21</c:f>
              <c:numCache>
                <c:formatCode>0</c:formatCode>
                <c:ptCount val="12"/>
                <c:pt idx="0">
                  <c:v>825</c:v>
                </c:pt>
                <c:pt idx="1">
                  <c:v>1056</c:v>
                </c:pt>
                <c:pt idx="2">
                  <c:v>1151</c:v>
                </c:pt>
                <c:pt idx="3">
                  <c:v>1177</c:v>
                </c:pt>
                <c:pt idx="4">
                  <c:v>1001</c:v>
                </c:pt>
                <c:pt idx="5">
                  <c:v>952</c:v>
                </c:pt>
                <c:pt idx="6">
                  <c:v>962</c:v>
                </c:pt>
                <c:pt idx="7">
                  <c:v>1064</c:v>
                </c:pt>
                <c:pt idx="8">
                  <c:v>1092</c:v>
                </c:pt>
                <c:pt idx="9">
                  <c:v>1069</c:v>
                </c:pt>
                <c:pt idx="10">
                  <c:v>1076</c:v>
                </c:pt>
                <c:pt idx="11">
                  <c:v>925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9582960"/>
        <c:axId val="809571536"/>
      </c:lineChart>
      <c:catAx>
        <c:axId val="8095829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9571536"/>
        <c:crosses val="autoZero"/>
        <c:auto val="1"/>
        <c:lblAlgn val="ctr"/>
        <c:lblOffset val="100"/>
        <c:noMultiLvlLbl val="0"/>
      </c:catAx>
      <c:valAx>
        <c:axId val="8095715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958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Munyonyo-Kibuye'!$C$9:$N$9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Munyonyo-Kibuye'!$C$59:$N$59</c:f>
              <c:numCache>
                <c:formatCode>0.0%</c:formatCode>
                <c:ptCount val="12"/>
                <c:pt idx="0">
                  <c:v>0.11587044534412956</c:v>
                </c:pt>
                <c:pt idx="1">
                  <c:v>6.161943319838057E-2</c:v>
                </c:pt>
                <c:pt idx="2">
                  <c:v>1.5222672064777327E-2</c:v>
                </c:pt>
                <c:pt idx="3">
                  <c:v>0.11975708502024292</c:v>
                </c:pt>
                <c:pt idx="4">
                  <c:v>1.0526315789473684E-3</c:v>
                </c:pt>
                <c:pt idx="5">
                  <c:v>0</c:v>
                </c:pt>
                <c:pt idx="6">
                  <c:v>1.2064777327935223E-2</c:v>
                </c:pt>
                <c:pt idx="7">
                  <c:v>4.8582995951417006E-4</c:v>
                </c:pt>
                <c:pt idx="8">
                  <c:v>5.6680161943319833E-4</c:v>
                </c:pt>
                <c:pt idx="9">
                  <c:v>1.6194331983805668E-4</c:v>
                </c:pt>
                <c:pt idx="10">
                  <c:v>0.67319838056680159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Munyonyo-Kibuye'!$S$9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Munyonyo-Kibuye'!$R$10:$R$21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Munyonyo-Kibuye'!$S$10:$S$21</c:f>
              <c:numCache>
                <c:formatCode>0</c:formatCode>
                <c:ptCount val="12"/>
                <c:pt idx="0">
                  <c:v>66</c:v>
                </c:pt>
                <c:pt idx="1">
                  <c:v>93</c:v>
                </c:pt>
                <c:pt idx="2">
                  <c:v>124</c:v>
                </c:pt>
                <c:pt idx="3">
                  <c:v>150</c:v>
                </c:pt>
                <c:pt idx="4">
                  <c:v>106</c:v>
                </c:pt>
                <c:pt idx="5">
                  <c:v>108</c:v>
                </c:pt>
                <c:pt idx="6">
                  <c:v>120</c:v>
                </c:pt>
                <c:pt idx="7">
                  <c:v>146</c:v>
                </c:pt>
                <c:pt idx="8">
                  <c:v>145</c:v>
                </c:pt>
                <c:pt idx="9">
                  <c:v>137</c:v>
                </c:pt>
                <c:pt idx="10">
                  <c:v>121</c:v>
                </c:pt>
                <c:pt idx="11">
                  <c:v>115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'28.07 Munyonyo-Kibuye'!$T$9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Munyonyo-Kibuye'!$R$10:$R$21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Munyonyo-Kibuye'!$T$10:$T$21</c:f>
              <c:numCache>
                <c:formatCode>0</c:formatCode>
                <c:ptCount val="12"/>
                <c:pt idx="0">
                  <c:v>33</c:v>
                </c:pt>
                <c:pt idx="1">
                  <c:v>46</c:v>
                </c:pt>
                <c:pt idx="2">
                  <c:v>73</c:v>
                </c:pt>
                <c:pt idx="3">
                  <c:v>57</c:v>
                </c:pt>
                <c:pt idx="4">
                  <c:v>58</c:v>
                </c:pt>
                <c:pt idx="5">
                  <c:v>73</c:v>
                </c:pt>
                <c:pt idx="6">
                  <c:v>69</c:v>
                </c:pt>
                <c:pt idx="7">
                  <c:v>71</c:v>
                </c:pt>
                <c:pt idx="8">
                  <c:v>67</c:v>
                </c:pt>
                <c:pt idx="9">
                  <c:v>84</c:v>
                </c:pt>
                <c:pt idx="10">
                  <c:v>71</c:v>
                </c:pt>
                <c:pt idx="11">
                  <c:v>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'28.07 Munyonyo-Kibuye'!$U$9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Munyonyo-Kibuye'!$U$10:$U$21</c:f>
              <c:numCache>
                <c:formatCode>0</c:formatCode>
                <c:ptCount val="12"/>
                <c:pt idx="0">
                  <c:v>9</c:v>
                </c:pt>
                <c:pt idx="1">
                  <c:v>15</c:v>
                </c:pt>
                <c:pt idx="2">
                  <c:v>21</c:v>
                </c:pt>
                <c:pt idx="3">
                  <c:v>21</c:v>
                </c:pt>
                <c:pt idx="4">
                  <c:v>18</c:v>
                </c:pt>
                <c:pt idx="5">
                  <c:v>9</c:v>
                </c:pt>
                <c:pt idx="6">
                  <c:v>13</c:v>
                </c:pt>
                <c:pt idx="7">
                  <c:v>18</c:v>
                </c:pt>
                <c:pt idx="8">
                  <c:v>20</c:v>
                </c:pt>
                <c:pt idx="9">
                  <c:v>12</c:v>
                </c:pt>
                <c:pt idx="10">
                  <c:v>20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'28.07 Munyonyo-Kibuye'!$V$9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Munyonyo-Kibuye'!$V$10:$V$21</c:f>
              <c:numCache>
                <c:formatCode>0</c:formatCode>
                <c:ptCount val="12"/>
                <c:pt idx="0">
                  <c:v>164</c:v>
                </c:pt>
                <c:pt idx="1">
                  <c:v>186</c:v>
                </c:pt>
                <c:pt idx="2">
                  <c:v>159</c:v>
                </c:pt>
                <c:pt idx="3">
                  <c:v>153</c:v>
                </c:pt>
                <c:pt idx="4">
                  <c:v>118</c:v>
                </c:pt>
                <c:pt idx="5">
                  <c:v>114</c:v>
                </c:pt>
                <c:pt idx="6">
                  <c:v>105</c:v>
                </c:pt>
                <c:pt idx="7">
                  <c:v>88</c:v>
                </c:pt>
                <c:pt idx="8">
                  <c:v>113</c:v>
                </c:pt>
                <c:pt idx="9">
                  <c:v>98</c:v>
                </c:pt>
                <c:pt idx="10">
                  <c:v>90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'28.07 Munyonyo-Kibuye'!$W$9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Munyonyo-Kibuye'!$W$10:$W$21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'28.07 Munyonyo-Kibuye'!$X$9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Munyonyo-Kibuye'!$X$10:$X$21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'28.07 Munyonyo-Kibuye'!$Y$9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Munyonyo-Kibuye'!$Y$10:$Y$21</c:f>
              <c:numCache>
                <c:formatCode>0</c:formatCode>
                <c:ptCount val="12"/>
                <c:pt idx="0">
                  <c:v>15</c:v>
                </c:pt>
                <c:pt idx="1">
                  <c:v>10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11</c:v>
                </c:pt>
                <c:pt idx="10">
                  <c:v>7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'28.07 Munyonyo-Kibuye'!$Z$9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Munyonyo-Kibuye'!$Z$10:$Z$21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'28.07 Munyonyo-Kibuye'!$AA$9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Munyonyo-Kibuye'!$AA$10:$AA$21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'28.07 Munyonyo-Kibuye'!$AB$9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Munyonyo-Kibuye'!$AB$10:$AB$21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'28.07 Munyonyo-Kibuye'!$AC$9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Munyonyo-Kibuye'!$AC$10:$AC$21</c:f>
              <c:numCache>
                <c:formatCode>0</c:formatCode>
                <c:ptCount val="12"/>
                <c:pt idx="0">
                  <c:v>535</c:v>
                </c:pt>
                <c:pt idx="1">
                  <c:v>705</c:v>
                </c:pt>
                <c:pt idx="2">
                  <c:v>760</c:v>
                </c:pt>
                <c:pt idx="3">
                  <c:v>781</c:v>
                </c:pt>
                <c:pt idx="4">
                  <c:v>689</c:v>
                </c:pt>
                <c:pt idx="5">
                  <c:v>635</c:v>
                </c:pt>
                <c:pt idx="6">
                  <c:v>639</c:v>
                </c:pt>
                <c:pt idx="7">
                  <c:v>726</c:v>
                </c:pt>
                <c:pt idx="8">
                  <c:v>731</c:v>
                </c:pt>
                <c:pt idx="9">
                  <c:v>725</c:v>
                </c:pt>
                <c:pt idx="10">
                  <c:v>763</c:v>
                </c:pt>
                <c:pt idx="11">
                  <c:v>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'28.07 Munyonyo-Kibuye'!$AD$9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Munyonyo-Kibuye'!$AD$10:$AD$21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585136"/>
        <c:axId val="809575344"/>
      </c:lineChart>
      <c:catAx>
        <c:axId val="80958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9575344"/>
        <c:crosses val="autoZero"/>
        <c:auto val="1"/>
        <c:lblAlgn val="ctr"/>
        <c:lblOffset val="100"/>
        <c:noMultiLvlLbl val="0"/>
      </c:catAx>
      <c:valAx>
        <c:axId val="80957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958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Munyonyo-Kibuye'!$C$9:$N$9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Munyonyo-Kibuye'!$C$60:$N$60</c:f>
              <c:numCache>
                <c:formatCode>0.00%</c:formatCode>
                <c:ptCount val="12"/>
                <c:pt idx="0">
                  <c:v>0.35455896927651137</c:v>
                </c:pt>
                <c:pt idx="1">
                  <c:v>0.18855302279484637</c:v>
                </c:pt>
                <c:pt idx="2">
                  <c:v>4.6580773042616451E-2</c:v>
                </c:pt>
                <c:pt idx="3">
                  <c:v>0.36645193260654113</c:v>
                </c:pt>
                <c:pt idx="4">
                  <c:v>3.2210109018830525E-3</c:v>
                </c:pt>
                <c:pt idx="5">
                  <c:v>0</c:v>
                </c:pt>
                <c:pt idx="6">
                  <c:v>3.6917740336967292E-2</c:v>
                </c:pt>
                <c:pt idx="7">
                  <c:v>1.4866204162537165E-3</c:v>
                </c:pt>
                <c:pt idx="8">
                  <c:v>1.7343904856293359E-3</c:v>
                </c:pt>
                <c:pt idx="9">
                  <c:v>4.9554013875123884E-4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Kibuye-Munyonyo'!$AE$9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Kibuye-Munyonyo'!$R$10:$R$33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Kibuye-Munyonyo'!$AE$10:$AE$33</c:f>
              <c:numCache>
                <c:formatCode>0</c:formatCode>
                <c:ptCount val="24"/>
                <c:pt idx="0">
                  <c:v>264.85714285714289</c:v>
                </c:pt>
                <c:pt idx="1">
                  <c:v>329.42857142857144</c:v>
                </c:pt>
                <c:pt idx="2">
                  <c:v>297</c:v>
                </c:pt>
                <c:pt idx="3">
                  <c:v>245.28571428571428</c:v>
                </c:pt>
                <c:pt idx="4">
                  <c:v>243.42857142857144</c:v>
                </c:pt>
                <c:pt idx="5">
                  <c:v>216.85714285714286</c:v>
                </c:pt>
                <c:pt idx="6">
                  <c:v>234.14285714285714</c:v>
                </c:pt>
                <c:pt idx="7">
                  <c:v>247.71428571428572</c:v>
                </c:pt>
                <c:pt idx="8">
                  <c:v>265</c:v>
                </c:pt>
                <c:pt idx="9">
                  <c:v>327.71428571428572</c:v>
                </c:pt>
                <c:pt idx="10">
                  <c:v>377.28571428571428</c:v>
                </c:pt>
                <c:pt idx="11">
                  <c:v>360.57142857142856</c:v>
                </c:pt>
                <c:pt idx="12">
                  <c:v>319</c:v>
                </c:pt>
                <c:pt idx="13">
                  <c:v>414.5</c:v>
                </c:pt>
                <c:pt idx="14">
                  <c:v>321</c:v>
                </c:pt>
                <c:pt idx="15">
                  <c:v>316</c:v>
                </c:pt>
                <c:pt idx="16">
                  <c:v>215</c:v>
                </c:pt>
                <c:pt idx="17">
                  <c:v>247</c:v>
                </c:pt>
                <c:pt idx="18">
                  <c:v>171.5</c:v>
                </c:pt>
                <c:pt idx="19">
                  <c:v>87</c:v>
                </c:pt>
                <c:pt idx="20">
                  <c:v>91</c:v>
                </c:pt>
                <c:pt idx="21">
                  <c:v>75.5</c:v>
                </c:pt>
                <c:pt idx="22">
                  <c:v>55</c:v>
                </c:pt>
                <c:pt idx="23">
                  <c:v>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Kibuye-Munyonyo'!$AF$9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Kibuye-Munyonyo'!$R$10:$R$33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Kibuye-Munyonyo'!$AF$10:$AF$33</c:f>
              <c:numCache>
                <c:formatCode>0</c:formatCode>
                <c:ptCount val="24"/>
                <c:pt idx="0">
                  <c:v>654.28571428571433</c:v>
                </c:pt>
                <c:pt idx="1">
                  <c:v>932.85714285714289</c:v>
                </c:pt>
                <c:pt idx="2">
                  <c:v>887.28571428571433</c:v>
                </c:pt>
                <c:pt idx="3">
                  <c:v>805.57142857142856</c:v>
                </c:pt>
                <c:pt idx="4">
                  <c:v>778</c:v>
                </c:pt>
                <c:pt idx="5">
                  <c:v>694.14285714285711</c:v>
                </c:pt>
                <c:pt idx="6">
                  <c:v>651.85714285714289</c:v>
                </c:pt>
                <c:pt idx="7">
                  <c:v>730</c:v>
                </c:pt>
                <c:pt idx="8">
                  <c:v>697</c:v>
                </c:pt>
                <c:pt idx="9">
                  <c:v>806.14285714285711</c:v>
                </c:pt>
                <c:pt idx="10">
                  <c:v>835</c:v>
                </c:pt>
                <c:pt idx="11">
                  <c:v>858.28571428571422</c:v>
                </c:pt>
                <c:pt idx="12">
                  <c:v>626.5</c:v>
                </c:pt>
                <c:pt idx="13">
                  <c:v>892</c:v>
                </c:pt>
                <c:pt idx="14">
                  <c:v>677</c:v>
                </c:pt>
                <c:pt idx="15">
                  <c:v>568.5</c:v>
                </c:pt>
                <c:pt idx="16">
                  <c:v>392.5</c:v>
                </c:pt>
                <c:pt idx="17">
                  <c:v>406</c:v>
                </c:pt>
                <c:pt idx="18">
                  <c:v>309</c:v>
                </c:pt>
                <c:pt idx="19">
                  <c:v>182</c:v>
                </c:pt>
                <c:pt idx="20">
                  <c:v>222.5</c:v>
                </c:pt>
                <c:pt idx="21">
                  <c:v>219.5</c:v>
                </c:pt>
                <c:pt idx="22">
                  <c:v>188</c:v>
                </c:pt>
                <c:pt idx="23">
                  <c:v>136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9570992"/>
        <c:axId val="809579152"/>
      </c:lineChart>
      <c:catAx>
        <c:axId val="8095709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9579152"/>
        <c:crosses val="autoZero"/>
        <c:auto val="1"/>
        <c:lblAlgn val="ctr"/>
        <c:lblOffset val="100"/>
        <c:noMultiLvlLbl val="0"/>
      </c:catAx>
      <c:valAx>
        <c:axId val="8095791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957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8257402329501074E-3"/>
          <c:y val="0.10719209049917712"/>
          <c:w val="0.8187702447737164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Kibuye-Munyonyo'!$C$9:$N$9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Kibuye-Munyonyo'!$C$107:$N$107</c:f>
              <c:numCache>
                <c:formatCode>0.0%</c:formatCode>
                <c:ptCount val="12"/>
                <c:pt idx="0">
                  <c:v>0.14790584505726934</c:v>
                </c:pt>
                <c:pt idx="1">
                  <c:v>4.7430830039525695E-2</c:v>
                </c:pt>
                <c:pt idx="2">
                  <c:v>1.4447321793648632E-2</c:v>
                </c:pt>
                <c:pt idx="3">
                  <c:v>0.17518513470537456</c:v>
                </c:pt>
                <c:pt idx="4">
                  <c:v>1.751649427811347E-3</c:v>
                </c:pt>
                <c:pt idx="5">
                  <c:v>2.9783088253852865E-4</c:v>
                </c:pt>
                <c:pt idx="6">
                  <c:v>1.3841564066451624E-2</c:v>
                </c:pt>
                <c:pt idx="7">
                  <c:v>3.4578670260829183E-3</c:v>
                </c:pt>
                <c:pt idx="8">
                  <c:v>3.2862356700437663E-3</c:v>
                </c:pt>
                <c:pt idx="9">
                  <c:v>3.0287886359850377E-5</c:v>
                </c:pt>
                <c:pt idx="10">
                  <c:v>0.59230990565323383</c:v>
                </c:pt>
                <c:pt idx="11">
                  <c:v>5.5527791659725695E-5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949074982648443"/>
          <c:y val="0.24705223035931698"/>
          <c:w val="0.82150482253548096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Kibuye-Munyonyo'!$C$9:$N$9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Kibuye-Munyonyo'!$C$108:$N$108</c:f>
              <c:numCache>
                <c:formatCode>0.00%</c:formatCode>
                <c:ptCount val="12"/>
                <c:pt idx="0">
                  <c:v>0.36278989141067075</c:v>
                </c:pt>
                <c:pt idx="1">
                  <c:v>0.1163404034025482</c:v>
                </c:pt>
                <c:pt idx="2">
                  <c:v>3.543701942721296E-2</c:v>
                </c:pt>
                <c:pt idx="3">
                  <c:v>0.42970171984695954</c:v>
                </c:pt>
                <c:pt idx="4">
                  <c:v>4.2965219221673297E-3</c:v>
                </c:pt>
                <c:pt idx="5">
                  <c:v>7.3053254584401267E-4</c:v>
                </c:pt>
                <c:pt idx="6">
                  <c:v>3.3951190520411581E-2</c:v>
                </c:pt>
                <c:pt idx="7">
                  <c:v>8.4816066763245563E-3</c:v>
                </c:pt>
                <c:pt idx="8">
                  <c:v>8.0606218193974965E-3</c:v>
                </c:pt>
                <c:pt idx="9">
                  <c:v>7.42914453400691E-5</c:v>
                </c:pt>
                <c:pt idx="11">
                  <c:v>1.3620098312346E-4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Munyonyo-Kibuye'!$AE$9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Munyonyo-Kibuye'!$R$10:$R$33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Munyonyo-Kibuye'!$AE$10:$AE$33</c:f>
              <c:numCache>
                <c:formatCode>0</c:formatCode>
                <c:ptCount val="24"/>
                <c:pt idx="0">
                  <c:v>356.42857142857144</c:v>
                </c:pt>
                <c:pt idx="1">
                  <c:v>419.14285714285717</c:v>
                </c:pt>
                <c:pt idx="2">
                  <c:v>361.71428571428567</c:v>
                </c:pt>
                <c:pt idx="3">
                  <c:v>336.28571428571428</c:v>
                </c:pt>
                <c:pt idx="4">
                  <c:v>278.78571428571433</c:v>
                </c:pt>
                <c:pt idx="5">
                  <c:v>253.42857142857144</c:v>
                </c:pt>
                <c:pt idx="6">
                  <c:v>249.42857142857144</c:v>
                </c:pt>
                <c:pt idx="7">
                  <c:v>240.57142857142858</c:v>
                </c:pt>
                <c:pt idx="8">
                  <c:v>241.85714285714289</c:v>
                </c:pt>
                <c:pt idx="9">
                  <c:v>284.28571428571428</c:v>
                </c:pt>
                <c:pt idx="10">
                  <c:v>252.85714285714286</c:v>
                </c:pt>
                <c:pt idx="11">
                  <c:v>256.85714285714283</c:v>
                </c:pt>
                <c:pt idx="12">
                  <c:v>416</c:v>
                </c:pt>
                <c:pt idx="13">
                  <c:v>670</c:v>
                </c:pt>
                <c:pt idx="14">
                  <c:v>543.5</c:v>
                </c:pt>
                <c:pt idx="15">
                  <c:v>469.5</c:v>
                </c:pt>
                <c:pt idx="16">
                  <c:v>301.5</c:v>
                </c:pt>
                <c:pt idx="17">
                  <c:v>143</c:v>
                </c:pt>
                <c:pt idx="18">
                  <c:v>101</c:v>
                </c:pt>
                <c:pt idx="19">
                  <c:v>50</c:v>
                </c:pt>
                <c:pt idx="20">
                  <c:v>40</c:v>
                </c:pt>
                <c:pt idx="21">
                  <c:v>51</c:v>
                </c:pt>
                <c:pt idx="22">
                  <c:v>261.5</c:v>
                </c:pt>
                <c:pt idx="23">
                  <c:v>617.5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Munyonyo-Kibuye'!$AF$9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Munyonyo-Kibuye'!$R$10:$R$33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Munyonyo-Kibuye'!$AF$10:$AF$33</c:f>
              <c:numCache>
                <c:formatCode>0</c:formatCode>
                <c:ptCount val="24"/>
                <c:pt idx="0">
                  <c:v>1092.2857142857144</c:v>
                </c:pt>
                <c:pt idx="1">
                  <c:v>1341</c:v>
                </c:pt>
                <c:pt idx="2">
                  <c:v>1130</c:v>
                </c:pt>
                <c:pt idx="3">
                  <c:v>996.14285714285711</c:v>
                </c:pt>
                <c:pt idx="4">
                  <c:v>853.64285714285711</c:v>
                </c:pt>
                <c:pt idx="5">
                  <c:v>773.14285714285711</c:v>
                </c:pt>
                <c:pt idx="6">
                  <c:v>733.28571428571422</c:v>
                </c:pt>
                <c:pt idx="7">
                  <c:v>734.28571428571422</c:v>
                </c:pt>
                <c:pt idx="8">
                  <c:v>747.57142857142867</c:v>
                </c:pt>
                <c:pt idx="9">
                  <c:v>895.71428571428578</c:v>
                </c:pt>
                <c:pt idx="10">
                  <c:v>904.28571428571433</c:v>
                </c:pt>
                <c:pt idx="11">
                  <c:v>880.42857142857133</c:v>
                </c:pt>
                <c:pt idx="12">
                  <c:v>1332.5</c:v>
                </c:pt>
                <c:pt idx="13">
                  <c:v>1670.5</c:v>
                </c:pt>
                <c:pt idx="14">
                  <c:v>1543.5</c:v>
                </c:pt>
                <c:pt idx="15">
                  <c:v>1299.5</c:v>
                </c:pt>
                <c:pt idx="16">
                  <c:v>1004</c:v>
                </c:pt>
                <c:pt idx="17">
                  <c:v>748</c:v>
                </c:pt>
                <c:pt idx="18">
                  <c:v>413.5</c:v>
                </c:pt>
                <c:pt idx="19">
                  <c:v>297</c:v>
                </c:pt>
                <c:pt idx="20">
                  <c:v>321</c:v>
                </c:pt>
                <c:pt idx="21">
                  <c:v>235</c:v>
                </c:pt>
                <c:pt idx="22">
                  <c:v>690</c:v>
                </c:pt>
                <c:pt idx="23">
                  <c:v>1164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0912"/>
        <c:axId val="811247104"/>
      </c:lineChart>
      <c:catAx>
        <c:axId val="8112509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47104"/>
        <c:crosses val="autoZero"/>
        <c:auto val="1"/>
        <c:lblAlgn val="ctr"/>
        <c:lblOffset val="100"/>
        <c:noMultiLvlLbl val="0"/>
      </c:catAx>
      <c:valAx>
        <c:axId val="811247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Munyonyo-Kibuye'!$C$9:$N$9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Munyonyo-Kibuye'!$C$107:$N$107</c:f>
              <c:numCache>
                <c:formatCode>0.0%</c:formatCode>
                <c:ptCount val="12"/>
                <c:pt idx="0">
                  <c:v>0.11722651079278124</c:v>
                </c:pt>
                <c:pt idx="1">
                  <c:v>4.8351266693752379E-2</c:v>
                </c:pt>
                <c:pt idx="2">
                  <c:v>1.2722637973290001E-2</c:v>
                </c:pt>
                <c:pt idx="3">
                  <c:v>0.13757355735835708</c:v>
                </c:pt>
                <c:pt idx="4">
                  <c:v>1.5891010602744398E-3</c:v>
                </c:pt>
                <c:pt idx="5">
                  <c:v>3.5713817643281222E-4</c:v>
                </c:pt>
                <c:pt idx="6">
                  <c:v>9.7606846568197014E-3</c:v>
                </c:pt>
                <c:pt idx="7">
                  <c:v>1.2450688719676021E-3</c:v>
                </c:pt>
                <c:pt idx="8">
                  <c:v>9.0103668366076474E-4</c:v>
                </c:pt>
                <c:pt idx="9">
                  <c:v>2.1297230704708984E-4</c:v>
                </c:pt>
                <c:pt idx="10">
                  <c:v>0.66990603006513683</c:v>
                </c:pt>
                <c:pt idx="11">
                  <c:v>1.5399536048020345E-4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Munyonyo-Kibuye'!$C$9:$N$9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Munyonyo-Kibuye'!$C$108:$N$108</c:f>
              <c:numCache>
                <c:formatCode>0.00%</c:formatCode>
                <c:ptCount val="12"/>
                <c:pt idx="0">
                  <c:v>0.35513072479304386</c:v>
                </c:pt>
                <c:pt idx="1">
                  <c:v>0.1464772794949675</c:v>
                </c:pt>
                <c:pt idx="2">
                  <c:v>3.8542473150298774E-2</c:v>
                </c:pt>
                <c:pt idx="3">
                  <c:v>0.41677088916681554</c:v>
                </c:pt>
                <c:pt idx="4">
                  <c:v>4.8140869116391717E-3</c:v>
                </c:pt>
                <c:pt idx="5">
                  <c:v>1.0819288110694219E-3</c:v>
                </c:pt>
                <c:pt idx="6">
                  <c:v>2.9569412185099151E-2</c:v>
                </c:pt>
                <c:pt idx="7">
                  <c:v>3.7718619101502781E-3</c:v>
                </c:pt>
                <c:pt idx="8">
                  <c:v>2.7296369086613858E-3</c:v>
                </c:pt>
                <c:pt idx="9">
                  <c:v>6.4518690568360023E-4</c:v>
                </c:pt>
                <c:pt idx="11">
                  <c:v>4.6651976257121866E-4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Munyonyo-Kibuye-2Dir'!$AE$9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Munyonyo-Kibuye-2Dir'!$R$10:$R$33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Munyonyo-Kibuye-2Dir'!$AE$10:$AE$33</c:f>
              <c:numCache>
                <c:formatCode>0</c:formatCode>
                <c:ptCount val="24"/>
                <c:pt idx="0">
                  <c:v>621.28571428571422</c:v>
                </c:pt>
                <c:pt idx="1">
                  <c:v>748.57142857142844</c:v>
                </c:pt>
                <c:pt idx="2">
                  <c:v>658.71428571428578</c:v>
                </c:pt>
                <c:pt idx="3">
                  <c:v>581.57142857142844</c:v>
                </c:pt>
                <c:pt idx="4">
                  <c:v>522.21428571428567</c:v>
                </c:pt>
                <c:pt idx="5">
                  <c:v>470.28571428571433</c:v>
                </c:pt>
                <c:pt idx="6">
                  <c:v>483.57142857142867</c:v>
                </c:pt>
                <c:pt idx="7">
                  <c:v>488.28571428571433</c:v>
                </c:pt>
                <c:pt idx="8">
                  <c:v>506.85714285714283</c:v>
                </c:pt>
                <c:pt idx="9">
                  <c:v>611.99999999999989</c:v>
                </c:pt>
                <c:pt idx="10">
                  <c:v>630.14285714285711</c:v>
                </c:pt>
                <c:pt idx="11">
                  <c:v>617.42857142857156</c:v>
                </c:pt>
                <c:pt idx="12">
                  <c:v>735</c:v>
                </c:pt>
                <c:pt idx="13">
                  <c:v>1084.5</c:v>
                </c:pt>
                <c:pt idx="14">
                  <c:v>864.5</c:v>
                </c:pt>
                <c:pt idx="15">
                  <c:v>785.5</c:v>
                </c:pt>
                <c:pt idx="16">
                  <c:v>516.5</c:v>
                </c:pt>
                <c:pt idx="17">
                  <c:v>390</c:v>
                </c:pt>
                <c:pt idx="18">
                  <c:v>272.5</c:v>
                </c:pt>
                <c:pt idx="19">
                  <c:v>137</c:v>
                </c:pt>
                <c:pt idx="20">
                  <c:v>131</c:v>
                </c:pt>
                <c:pt idx="21">
                  <c:v>126.5</c:v>
                </c:pt>
                <c:pt idx="22">
                  <c:v>316.5</c:v>
                </c:pt>
                <c:pt idx="23">
                  <c:v>664.5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89-4DCF-B882-877A22CF008F}"/>
            </c:ext>
          </c:extLst>
        </c:ser>
        <c:ser>
          <c:idx val="1"/>
          <c:order val="1"/>
          <c:tx>
            <c:strRef>
              <c:f>'Avg Week Munyonyo-Kibuye-2Dir'!$AF$9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Munyonyo-Kibuye-2Dir'!$R$10:$R$33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Munyonyo-Kibuye-2Dir'!$AF$10:$AF$33</c:f>
              <c:numCache>
                <c:formatCode>0</c:formatCode>
                <c:ptCount val="24"/>
                <c:pt idx="0">
                  <c:v>1746.5714285714284</c:v>
                </c:pt>
                <c:pt idx="1">
                  <c:v>2273.8571428571427</c:v>
                </c:pt>
                <c:pt idx="2">
                  <c:v>2017.2857142857142</c:v>
                </c:pt>
                <c:pt idx="3">
                  <c:v>1801.7142857142858</c:v>
                </c:pt>
                <c:pt idx="4">
                  <c:v>1631.6428571428573</c:v>
                </c:pt>
                <c:pt idx="5">
                  <c:v>1467.2857142857142</c:v>
                </c:pt>
                <c:pt idx="6">
                  <c:v>1385.1428571428573</c:v>
                </c:pt>
                <c:pt idx="7">
                  <c:v>1464.2857142857142</c:v>
                </c:pt>
                <c:pt idx="8">
                  <c:v>1444.5714285714284</c:v>
                </c:pt>
                <c:pt idx="9">
                  <c:v>1701.8571428571427</c:v>
                </c:pt>
                <c:pt idx="10">
                  <c:v>1739.2857142857142</c:v>
                </c:pt>
                <c:pt idx="11">
                  <c:v>1738.7142857142858</c:v>
                </c:pt>
                <c:pt idx="12">
                  <c:v>1959</c:v>
                </c:pt>
                <c:pt idx="13">
                  <c:v>2562.5</c:v>
                </c:pt>
                <c:pt idx="14">
                  <c:v>2220.5</c:v>
                </c:pt>
                <c:pt idx="15">
                  <c:v>1868</c:v>
                </c:pt>
                <c:pt idx="16">
                  <c:v>1396.5</c:v>
                </c:pt>
                <c:pt idx="17">
                  <c:v>1154</c:v>
                </c:pt>
                <c:pt idx="18">
                  <c:v>722.5</c:v>
                </c:pt>
                <c:pt idx="19">
                  <c:v>479</c:v>
                </c:pt>
                <c:pt idx="20">
                  <c:v>543.5</c:v>
                </c:pt>
                <c:pt idx="21">
                  <c:v>454.5</c:v>
                </c:pt>
                <c:pt idx="22">
                  <c:v>878</c:v>
                </c:pt>
                <c:pt idx="23">
                  <c:v>1300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289-4DCF-B882-877A22CF008F}"/>
            </c:ext>
          </c:extLst>
        </c:ser>
        <c:ser>
          <c:idx val="5"/>
          <c:order val="2"/>
          <c:tx>
            <c:strRef>
              <c:f>'Avg Week Munyonyo-Kibuye-2Dir'!$AC$9</c:f>
              <c:strCache>
                <c:ptCount val="1"/>
                <c:pt idx="0">
                  <c:v>11. Motorcycles</c:v>
                </c:pt>
              </c:strCache>
            </c:strRef>
          </c:tx>
          <c:val>
            <c:numRef>
              <c:f>'Avg Week Munyonyo-Kibuye-2Dir'!$AC$10:$AC$33</c:f>
              <c:numCache>
                <c:formatCode>0</c:formatCode>
                <c:ptCount val="24"/>
                <c:pt idx="0">
                  <c:v>1125.2857142857142</c:v>
                </c:pt>
                <c:pt idx="1">
                  <c:v>1525.2857142857142</c:v>
                </c:pt>
                <c:pt idx="2">
                  <c:v>1358.5714285714284</c:v>
                </c:pt>
                <c:pt idx="3">
                  <c:v>1220.1428571428571</c:v>
                </c:pt>
                <c:pt idx="4">
                  <c:v>1109.4285714285716</c:v>
                </c:pt>
                <c:pt idx="5">
                  <c:v>997</c:v>
                </c:pt>
                <c:pt idx="6">
                  <c:v>901.57142857142856</c:v>
                </c:pt>
                <c:pt idx="7">
                  <c:v>976</c:v>
                </c:pt>
                <c:pt idx="8">
                  <c:v>937.71428571428578</c:v>
                </c:pt>
                <c:pt idx="9">
                  <c:v>1089.8571428571429</c:v>
                </c:pt>
                <c:pt idx="10">
                  <c:v>1109.1428571428571</c:v>
                </c:pt>
                <c:pt idx="11">
                  <c:v>1121.2857142857144</c:v>
                </c:pt>
                <c:pt idx="12">
                  <c:v>1224</c:v>
                </c:pt>
                <c:pt idx="13">
                  <c:v>1478</c:v>
                </c:pt>
                <c:pt idx="14">
                  <c:v>1356</c:v>
                </c:pt>
                <c:pt idx="15">
                  <c:v>1082.5</c:v>
                </c:pt>
                <c:pt idx="16">
                  <c:v>880</c:v>
                </c:pt>
                <c:pt idx="17">
                  <c:v>764</c:v>
                </c:pt>
                <c:pt idx="18">
                  <c:v>450</c:v>
                </c:pt>
                <c:pt idx="19">
                  <c:v>342</c:v>
                </c:pt>
                <c:pt idx="20">
                  <c:v>412.5</c:v>
                </c:pt>
                <c:pt idx="21">
                  <c:v>328</c:v>
                </c:pt>
                <c:pt idx="22">
                  <c:v>561.5</c:v>
                </c:pt>
                <c:pt idx="23">
                  <c:v>635.5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DC-4269-83A4-9C67FBDC4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Including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66"/>
      <c:depthPercent val="10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77465720024135E-2"/>
          <c:y val="8.013560502587487E-2"/>
          <c:w val="0.87655985254857882"/>
          <c:h val="0.80325343229815682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Munyonyo-Kibuye-2Dir'!$C$9:$N$9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Munyonyo-Kibuye-2Dir'!$C$107:$N$107</c:f>
              <c:numCache>
                <c:formatCode>0.0%</c:formatCode>
                <c:ptCount val="12"/>
                <c:pt idx="0">
                  <c:v>0.12930183209716614</c:v>
                </c:pt>
                <c:pt idx="1">
                  <c:v>4.7988984766631639E-2</c:v>
                </c:pt>
                <c:pt idx="2">
                  <c:v>1.3401469889907276E-2</c:v>
                </c:pt>
                <c:pt idx="3">
                  <c:v>0.15237739492909838</c:v>
                </c:pt>
                <c:pt idx="4">
                  <c:v>1.6530797551375614E-3</c:v>
                </c:pt>
                <c:pt idx="5">
                  <c:v>3.3379495055662294E-4</c:v>
                </c:pt>
                <c:pt idx="6">
                  <c:v>1.1366910191276423E-2</c:v>
                </c:pt>
                <c:pt idx="7">
                  <c:v>2.1160215615643068E-3</c:v>
                </c:pt>
                <c:pt idx="8">
                  <c:v>1.8398459774728146E-3</c:v>
                </c:pt>
                <c:pt idx="9">
                  <c:v>1.4106810410428709E-4</c:v>
                </c:pt>
                <c:pt idx="10">
                  <c:v>0.63936435904415434</c:v>
                </c:pt>
                <c:pt idx="11">
                  <c:v>1.1523873293026267E-4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Excluding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621349354452078E-2"/>
          <c:y val="0.20025731425750379"/>
          <c:w val="0.83261086583830202"/>
          <c:h val="0.76871916342946045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Munyonyo-Kibuye-2Dir'!$C$9:$N$9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Munyonyo-Kibuye-2Dir'!$C$108:$N$108</c:f>
              <c:numCache>
                <c:formatCode>0.00%</c:formatCode>
                <c:ptCount val="12"/>
                <c:pt idx="0">
                  <c:v>0.35853869505093411</c:v>
                </c:pt>
                <c:pt idx="1">
                  <c:v>0.13306778176288778</c:v>
                </c:pt>
                <c:pt idx="2">
                  <c:v>3.7160691756331646E-2</c:v>
                </c:pt>
                <c:pt idx="3">
                  <c:v>0.42252450291721066</c:v>
                </c:pt>
                <c:pt idx="4">
                  <c:v>4.5837947429604037E-3</c:v>
                </c:pt>
                <c:pt idx="5">
                  <c:v>9.2557393848238909E-4</c:v>
                </c:pt>
                <c:pt idx="6">
                  <c:v>3.1519098226534203E-2</c:v>
                </c:pt>
                <c:pt idx="7">
                  <c:v>5.8674776457365756E-3</c:v>
                </c:pt>
                <c:pt idx="8">
                  <c:v>5.1016753990160259E-3</c:v>
                </c:pt>
                <c:pt idx="9">
                  <c:v>3.9116517638243829E-4</c:v>
                </c:pt>
                <c:pt idx="11">
                  <c:v>3.1954338352368198E-4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Munyonyo-Kibuye-2Dir'!$S$9:$AF$9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Munyonyo-Kibuye-2Dir'!$S$41:$AF$41</c:f>
              <c:numCache>
                <c:formatCode>_(* #,##0_);_(* \(#,##0\);_(* "-"_);_(@_)</c:formatCode>
                <c:ptCount val="14"/>
                <c:pt idx="0">
                  <c:v>4648.4285714285716</c:v>
                </c:pt>
                <c:pt idx="1">
                  <c:v>1725.2142857142856</c:v>
                </c:pt>
                <c:pt idx="2">
                  <c:v>481.78571428571433</c:v>
                </c:pt>
                <c:pt idx="3">
                  <c:v>5478</c:v>
                </c:pt>
                <c:pt idx="4">
                  <c:v>59.428571428571423</c:v>
                </c:pt>
                <c:pt idx="5">
                  <c:v>12</c:v>
                </c:pt>
                <c:pt idx="6">
                  <c:v>408.64285714285711</c:v>
                </c:pt>
                <c:pt idx="7">
                  <c:v>76.071428571428569</c:v>
                </c:pt>
                <c:pt idx="8">
                  <c:v>66.142857142857139</c:v>
                </c:pt>
                <c:pt idx="9">
                  <c:v>5.0714285714285712</c:v>
                </c:pt>
                <c:pt idx="10">
                  <c:v>22985.285714285714</c:v>
                </c:pt>
                <c:pt idx="11">
                  <c:v>4.1428571428571423</c:v>
                </c:pt>
                <c:pt idx="12">
                  <c:v>12964.928571428572</c:v>
                </c:pt>
                <c:pt idx="13">
                  <c:v>35950.214285714283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Munyonyo-Kibuye-2Dir'!$S$9:$AF$9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Munyonyo-Kibuye-2Dir'!$S$42:$AF$42</c:f>
              <c:numCache>
                <c:formatCode>0.000</c:formatCode>
                <c:ptCount val="14"/>
                <c:pt idx="0">
                  <c:v>2.206781959986436</c:v>
                </c:pt>
                <c:pt idx="1">
                  <c:v>1.688548657718121</c:v>
                </c:pt>
                <c:pt idx="2">
                  <c:v>1.599099099099099</c:v>
                </c:pt>
                <c:pt idx="3">
                  <c:v>1.7861102054124551</c:v>
                </c:pt>
                <c:pt idx="4">
                  <c:v>1.7777777777777779</c:v>
                </c:pt>
                <c:pt idx="5">
                  <c:v>1.7142857142857142</c:v>
                </c:pt>
                <c:pt idx="6">
                  <c:v>1.2415364583333333</c:v>
                </c:pt>
                <c:pt idx="7">
                  <c:v>1.6511627906976745</c:v>
                </c:pt>
                <c:pt idx="8">
                  <c:v>3.1283783783783781</c:v>
                </c:pt>
                <c:pt idx="9">
                  <c:v>1.109375</c:v>
                </c:pt>
                <c:pt idx="10">
                  <c:v>1.7062429081962693</c:v>
                </c:pt>
                <c:pt idx="11">
                  <c:v>1.3181818181818181</c:v>
                </c:pt>
                <c:pt idx="12">
                  <c:v>1.8678954030440555</c:v>
                </c:pt>
                <c:pt idx="13">
                  <c:v>1.7612108996364222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20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17" Type="http://schemas.openxmlformats.org/officeDocument/2006/relationships/chart" Target="../charts/chart61.xml"/><Relationship Id="rId2" Type="http://schemas.openxmlformats.org/officeDocument/2006/relationships/image" Target="../media/image1.emf"/><Relationship Id="rId16" Type="http://schemas.openxmlformats.org/officeDocument/2006/relationships/chart" Target="../charts/chart60.xml"/><Relationship Id="rId1" Type="http://schemas.openxmlformats.org/officeDocument/2006/relationships/chart" Target="../charts/chart5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6348</xdr:rowOff>
    </xdr:from>
    <xdr:to>
      <xdr:col>28</xdr:col>
      <xdr:colOff>47624</xdr:colOff>
      <xdr:row>58</xdr:row>
      <xdr:rowOff>285749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15875</xdr:colOff>
      <xdr:row>59</xdr:row>
      <xdr:rowOff>279400</xdr:rowOff>
    </xdr:from>
    <xdr:to>
      <xdr:col>31</xdr:col>
      <xdr:colOff>650875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15875</xdr:colOff>
      <xdr:row>60</xdr:row>
      <xdr:rowOff>0</xdr:rowOff>
    </xdr:from>
    <xdr:to>
      <xdr:col>23</xdr:col>
      <xdr:colOff>698500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146961</xdr:colOff>
      <xdr:row>43</xdr:row>
      <xdr:rowOff>22224</xdr:rowOff>
    </xdr:from>
    <xdr:to>
      <xdr:col>28</xdr:col>
      <xdr:colOff>0</xdr:colOff>
      <xdr:row>57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</xdr:colOff>
      <xdr:row>59</xdr:row>
      <xdr:rowOff>9524</xdr:rowOff>
    </xdr:from>
    <xdr:to>
      <xdr:col>31</xdr:col>
      <xdr:colOff>539751</xdr:colOff>
      <xdr:row>74</xdr:row>
      <xdr:rowOff>285749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0</xdr:rowOff>
    </xdr:from>
    <xdr:to>
      <xdr:col>24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7261</xdr:colOff>
      <xdr:row>42</xdr:row>
      <xdr:rowOff>285746</xdr:rowOff>
    </xdr:from>
    <xdr:to>
      <xdr:col>28</xdr:col>
      <xdr:colOff>6350</xdr:colOff>
      <xdr:row>60</xdr:row>
      <xdr:rowOff>31749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149224</xdr:colOff>
      <xdr:row>75</xdr:row>
      <xdr:rowOff>247650</xdr:rowOff>
    </xdr:from>
    <xdr:to>
      <xdr:col>25</xdr:col>
      <xdr:colOff>1074</xdr:colOff>
      <xdr:row>91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146050</xdr:colOff>
      <xdr:row>59</xdr:row>
      <xdr:rowOff>279401</xdr:rowOff>
    </xdr:from>
    <xdr:to>
      <xdr:col>25</xdr:col>
      <xdr:colOff>4762</xdr:colOff>
      <xdr:row>75</xdr:row>
      <xdr:rowOff>276225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0</xdr:colOff>
      <xdr:row>60</xdr:row>
      <xdr:rowOff>11112</xdr:rowOff>
    </xdr:from>
    <xdr:to>
      <xdr:col>31</xdr:col>
      <xdr:colOff>644525</xdr:colOff>
      <xdr:row>76</xdr:row>
      <xdr:rowOff>9525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15876</xdr:colOff>
      <xdr:row>75</xdr:row>
      <xdr:rowOff>274637</xdr:rowOff>
    </xdr:from>
    <xdr:to>
      <xdr:col>31</xdr:col>
      <xdr:colOff>635001</xdr:colOff>
      <xdr:row>91</xdr:row>
      <xdr:rowOff>254000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1" t="s">
        <v>96</v>
      </c>
      <c r="C3" s="60" t="s">
        <v>177</v>
      </c>
      <c r="D3" s="60"/>
      <c r="E3" s="60"/>
      <c r="F3" s="60"/>
      <c r="G3" s="6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162</v>
      </c>
      <c r="E5" s="3"/>
      <c r="F5" s="41" t="s">
        <v>1</v>
      </c>
      <c r="G5" s="55" t="s">
        <v>176</v>
      </c>
      <c r="H5" s="56"/>
      <c r="I5" s="14"/>
      <c r="J5" s="2" t="s">
        <v>5</v>
      </c>
      <c r="K5" s="55" t="s">
        <v>172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">
        <v>163</v>
      </c>
      <c r="E6" s="56"/>
      <c r="F6" s="2" t="s">
        <v>2</v>
      </c>
      <c r="G6" s="55" t="s">
        <v>171</v>
      </c>
      <c r="H6" s="56"/>
      <c r="J6" s="2" t="s">
        <v>21</v>
      </c>
      <c r="K6" s="55" t="s">
        <v>173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4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0</v>
      </c>
      <c r="T10" s="17">
        <f t="shared" si="2"/>
        <v>4</v>
      </c>
      <c r="U10" s="17">
        <f t="shared" si="2"/>
        <v>2</v>
      </c>
      <c r="V10" s="17">
        <f t="shared" si="2"/>
        <v>60</v>
      </c>
      <c r="W10" s="17">
        <f t="shared" si="2"/>
        <v>0</v>
      </c>
      <c r="X10" s="17">
        <f t="shared" si="2"/>
        <v>1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131</v>
      </c>
      <c r="AD10" s="17">
        <f t="shared" si="2"/>
        <v>0</v>
      </c>
      <c r="AE10" s="31">
        <f t="shared" si="2"/>
        <v>68</v>
      </c>
      <c r="AF10" s="31">
        <f t="shared" si="2"/>
        <v>199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29</v>
      </c>
      <c r="T11" s="17">
        <f t="shared" si="3"/>
        <v>23</v>
      </c>
      <c r="U11" s="17">
        <f t="shared" si="3"/>
        <v>4</v>
      </c>
      <c r="V11" s="17">
        <f t="shared" si="3"/>
        <v>240</v>
      </c>
      <c r="W11" s="17">
        <f t="shared" si="3"/>
        <v>3</v>
      </c>
      <c r="X11" s="17">
        <f t="shared" si="3"/>
        <v>0</v>
      </c>
      <c r="Y11" s="17">
        <f t="shared" si="3"/>
        <v>5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640</v>
      </c>
      <c r="AD11" s="17">
        <f t="shared" si="3"/>
        <v>0</v>
      </c>
      <c r="AE11" s="31">
        <f t="shared" si="3"/>
        <v>305</v>
      </c>
      <c r="AF11" s="31">
        <f t="shared" si="3"/>
        <v>945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</v>
      </c>
      <c r="N12" s="50">
        <v>0</v>
      </c>
      <c r="O12" s="15">
        <f t="shared" si="0"/>
        <v>0</v>
      </c>
      <c r="P12" s="15">
        <f t="shared" si="1"/>
        <v>2</v>
      </c>
      <c r="R12" s="1" t="s">
        <v>8</v>
      </c>
      <c r="S12" s="17">
        <f t="shared" ref="S12:AF12" si="4">SUM(C18:C21)</f>
        <v>26</v>
      </c>
      <c r="T12" s="17">
        <f t="shared" si="4"/>
        <v>25</v>
      </c>
      <c r="U12" s="17">
        <f t="shared" si="4"/>
        <v>8</v>
      </c>
      <c r="V12" s="17">
        <f t="shared" si="4"/>
        <v>178</v>
      </c>
      <c r="W12" s="17">
        <f t="shared" si="4"/>
        <v>2</v>
      </c>
      <c r="X12" s="17">
        <f t="shared" si="4"/>
        <v>3</v>
      </c>
      <c r="Y12" s="17">
        <f t="shared" si="4"/>
        <v>9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619</v>
      </c>
      <c r="AD12" s="17">
        <f t="shared" si="4"/>
        <v>0</v>
      </c>
      <c r="AE12" s="31">
        <f t="shared" si="4"/>
        <v>252</v>
      </c>
      <c r="AF12" s="31">
        <f t="shared" si="4"/>
        <v>871</v>
      </c>
    </row>
    <row r="13" spans="2:32" ht="23.1" customHeight="1" x14ac:dyDescent="0.25">
      <c r="B13" s="23" t="s">
        <v>40</v>
      </c>
      <c r="C13" s="50">
        <v>0</v>
      </c>
      <c r="D13" s="50">
        <v>4</v>
      </c>
      <c r="E13" s="50">
        <v>2</v>
      </c>
      <c r="F13" s="50">
        <v>56</v>
      </c>
      <c r="G13" s="50">
        <v>0</v>
      </c>
      <c r="H13" s="50">
        <v>1</v>
      </c>
      <c r="I13" s="50">
        <v>1</v>
      </c>
      <c r="J13" s="50">
        <v>0</v>
      </c>
      <c r="K13" s="50">
        <v>0</v>
      </c>
      <c r="L13" s="50">
        <v>0</v>
      </c>
      <c r="M13" s="50">
        <v>128</v>
      </c>
      <c r="N13" s="50">
        <v>0</v>
      </c>
      <c r="O13" s="15">
        <f t="shared" si="0"/>
        <v>64</v>
      </c>
      <c r="P13" s="15">
        <f t="shared" si="1"/>
        <v>192</v>
      </c>
      <c r="R13" s="1" t="s">
        <v>9</v>
      </c>
      <c r="S13" s="17">
        <f t="shared" ref="S13:AF13" si="5">SUM(C22:C25)</f>
        <v>47</v>
      </c>
      <c r="T13" s="17">
        <f t="shared" si="5"/>
        <v>18</v>
      </c>
      <c r="U13" s="17">
        <f t="shared" si="5"/>
        <v>8</v>
      </c>
      <c r="V13" s="17">
        <f t="shared" si="5"/>
        <v>112</v>
      </c>
      <c r="W13" s="17">
        <f t="shared" si="5"/>
        <v>0</v>
      </c>
      <c r="X13" s="17">
        <f t="shared" si="5"/>
        <v>0</v>
      </c>
      <c r="Y13" s="17">
        <f t="shared" si="5"/>
        <v>15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505</v>
      </c>
      <c r="AD13" s="17">
        <f t="shared" si="5"/>
        <v>0</v>
      </c>
      <c r="AE13" s="31">
        <f t="shared" si="5"/>
        <v>200</v>
      </c>
      <c r="AF13" s="31">
        <f t="shared" si="5"/>
        <v>705</v>
      </c>
    </row>
    <row r="14" spans="2:32" ht="23.1" customHeight="1" x14ac:dyDescent="0.25">
      <c r="B14" s="23" t="s">
        <v>41</v>
      </c>
      <c r="C14" s="50">
        <v>12</v>
      </c>
      <c r="D14" s="50">
        <v>7</v>
      </c>
      <c r="E14" s="50">
        <v>1</v>
      </c>
      <c r="F14" s="50">
        <v>61</v>
      </c>
      <c r="G14" s="50">
        <v>2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135</v>
      </c>
      <c r="N14" s="50">
        <v>0</v>
      </c>
      <c r="O14" s="15">
        <f t="shared" si="0"/>
        <v>83</v>
      </c>
      <c r="P14" s="15">
        <f t="shared" si="1"/>
        <v>218</v>
      </c>
      <c r="R14" s="1" t="s">
        <v>10</v>
      </c>
      <c r="S14" s="17">
        <f t="shared" ref="S14:AF14" si="6">SUM(C26:C29)</f>
        <v>71</v>
      </c>
      <c r="T14" s="17">
        <f t="shared" si="6"/>
        <v>20</v>
      </c>
      <c r="U14" s="17">
        <f t="shared" si="6"/>
        <v>5</v>
      </c>
      <c r="V14" s="17">
        <f t="shared" si="6"/>
        <v>131</v>
      </c>
      <c r="W14" s="17">
        <f t="shared" si="6"/>
        <v>0</v>
      </c>
      <c r="X14" s="17">
        <f t="shared" si="6"/>
        <v>0</v>
      </c>
      <c r="Y14" s="17">
        <f t="shared" si="6"/>
        <v>19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559</v>
      </c>
      <c r="AD14" s="17">
        <f t="shared" si="6"/>
        <v>0</v>
      </c>
      <c r="AE14" s="31">
        <f t="shared" si="6"/>
        <v>249</v>
      </c>
      <c r="AF14" s="31">
        <f t="shared" si="6"/>
        <v>808</v>
      </c>
    </row>
    <row r="15" spans="2:32" ht="23.1" customHeight="1" x14ac:dyDescent="0.25">
      <c r="B15" s="23" t="s">
        <v>42</v>
      </c>
      <c r="C15" s="50">
        <v>6</v>
      </c>
      <c r="D15" s="50">
        <v>5</v>
      </c>
      <c r="E15" s="50">
        <v>0</v>
      </c>
      <c r="F15" s="50">
        <v>68</v>
      </c>
      <c r="G15" s="50">
        <v>0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195</v>
      </c>
      <c r="N15" s="50">
        <v>0</v>
      </c>
      <c r="O15" s="15">
        <f t="shared" si="0"/>
        <v>82</v>
      </c>
      <c r="P15" s="15">
        <f t="shared" si="1"/>
        <v>277</v>
      </c>
      <c r="R15" s="1" t="s">
        <v>11</v>
      </c>
      <c r="S15" s="17">
        <f t="shared" ref="S15:AF15" si="7">SUM(C30:C33)</f>
        <v>58</v>
      </c>
      <c r="T15" s="17">
        <f t="shared" si="7"/>
        <v>30</v>
      </c>
      <c r="U15" s="17">
        <f t="shared" si="7"/>
        <v>11</v>
      </c>
      <c r="V15" s="17">
        <f t="shared" si="7"/>
        <v>101</v>
      </c>
      <c r="W15" s="17">
        <f t="shared" si="7"/>
        <v>0</v>
      </c>
      <c r="X15" s="17">
        <f t="shared" si="7"/>
        <v>0</v>
      </c>
      <c r="Y15" s="17">
        <f t="shared" si="7"/>
        <v>19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490</v>
      </c>
      <c r="AD15" s="17">
        <f t="shared" si="7"/>
        <v>0</v>
      </c>
      <c r="AE15" s="31">
        <f t="shared" si="7"/>
        <v>220</v>
      </c>
      <c r="AF15" s="31">
        <f t="shared" si="7"/>
        <v>710</v>
      </c>
    </row>
    <row r="16" spans="2:32" ht="23.1" customHeight="1" x14ac:dyDescent="0.25">
      <c r="B16" s="23" t="s">
        <v>43</v>
      </c>
      <c r="C16" s="50">
        <v>6</v>
      </c>
      <c r="D16" s="50">
        <v>4</v>
      </c>
      <c r="E16" s="50">
        <v>2</v>
      </c>
      <c r="F16" s="50">
        <v>57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140</v>
      </c>
      <c r="N16" s="50">
        <v>0</v>
      </c>
      <c r="O16" s="15">
        <f t="shared" si="0"/>
        <v>72</v>
      </c>
      <c r="P16" s="15">
        <f t="shared" si="1"/>
        <v>212</v>
      </c>
      <c r="R16" s="1" t="s">
        <v>12</v>
      </c>
      <c r="S16" s="17">
        <f t="shared" ref="S16:AF16" si="8">SUM(C34:C37)</f>
        <v>76</v>
      </c>
      <c r="T16" s="17">
        <f t="shared" si="8"/>
        <v>32</v>
      </c>
      <c r="U16" s="17">
        <f t="shared" si="8"/>
        <v>11</v>
      </c>
      <c r="V16" s="17">
        <f t="shared" si="8"/>
        <v>100</v>
      </c>
      <c r="W16" s="17">
        <f t="shared" si="8"/>
        <v>0</v>
      </c>
      <c r="X16" s="17">
        <f t="shared" si="8"/>
        <v>0</v>
      </c>
      <c r="Y16" s="17">
        <f t="shared" si="8"/>
        <v>18</v>
      </c>
      <c r="Z16" s="17">
        <f t="shared" si="8"/>
        <v>0</v>
      </c>
      <c r="AA16" s="17">
        <f t="shared" si="8"/>
        <v>1</v>
      </c>
      <c r="AB16" s="17">
        <f t="shared" si="8"/>
        <v>0</v>
      </c>
      <c r="AC16" s="17">
        <f t="shared" si="8"/>
        <v>504</v>
      </c>
      <c r="AD16" s="17">
        <f t="shared" si="8"/>
        <v>0</v>
      </c>
      <c r="AE16" s="31">
        <f t="shared" si="8"/>
        <v>238</v>
      </c>
      <c r="AF16" s="31">
        <f t="shared" si="8"/>
        <v>742</v>
      </c>
    </row>
    <row r="17" spans="2:32" ht="23.1" customHeight="1" x14ac:dyDescent="0.25">
      <c r="B17" s="23" t="s">
        <v>44</v>
      </c>
      <c r="C17" s="50">
        <v>5</v>
      </c>
      <c r="D17" s="50">
        <v>7</v>
      </c>
      <c r="E17" s="50">
        <v>1</v>
      </c>
      <c r="F17" s="50">
        <v>54</v>
      </c>
      <c r="G17" s="50">
        <v>1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170</v>
      </c>
      <c r="N17" s="50">
        <v>0</v>
      </c>
      <c r="O17" s="15">
        <f t="shared" si="0"/>
        <v>68</v>
      </c>
      <c r="P17" s="15">
        <f t="shared" si="1"/>
        <v>238</v>
      </c>
      <c r="R17" s="1" t="s">
        <v>13</v>
      </c>
      <c r="S17" s="17">
        <f t="shared" ref="S17:AF17" si="9">SUM(C38:C41)</f>
        <v>74</v>
      </c>
      <c r="T17" s="17">
        <f t="shared" si="9"/>
        <v>37</v>
      </c>
      <c r="U17" s="17">
        <f t="shared" si="9"/>
        <v>9</v>
      </c>
      <c r="V17" s="17">
        <f t="shared" si="9"/>
        <v>87</v>
      </c>
      <c r="W17" s="17">
        <f t="shared" si="9"/>
        <v>0</v>
      </c>
      <c r="X17" s="17">
        <f t="shared" si="9"/>
        <v>0</v>
      </c>
      <c r="Y17" s="17">
        <f t="shared" si="9"/>
        <v>25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411</v>
      </c>
      <c r="AD17" s="17">
        <f t="shared" si="9"/>
        <v>0</v>
      </c>
      <c r="AE17" s="31">
        <f t="shared" si="9"/>
        <v>233</v>
      </c>
      <c r="AF17" s="31">
        <f t="shared" si="9"/>
        <v>644</v>
      </c>
    </row>
    <row r="18" spans="2:32" ht="23.1" customHeight="1" x14ac:dyDescent="0.25">
      <c r="B18" s="23" t="s">
        <v>45</v>
      </c>
      <c r="C18" s="50">
        <v>6</v>
      </c>
      <c r="D18" s="50">
        <v>9</v>
      </c>
      <c r="E18" s="50">
        <v>2</v>
      </c>
      <c r="F18" s="50">
        <v>50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161</v>
      </c>
      <c r="N18" s="50">
        <v>0</v>
      </c>
      <c r="O18" s="15">
        <f t="shared" si="0"/>
        <v>67</v>
      </c>
      <c r="P18" s="15">
        <f t="shared" si="1"/>
        <v>228</v>
      </c>
      <c r="R18" s="1" t="s">
        <v>14</v>
      </c>
      <c r="S18" s="17">
        <f t="shared" ref="S18:AF18" si="10">SUM(C42:C45)</f>
        <v>50</v>
      </c>
      <c r="T18" s="17">
        <f t="shared" si="10"/>
        <v>30</v>
      </c>
      <c r="U18" s="17">
        <f t="shared" si="10"/>
        <v>6</v>
      </c>
      <c r="V18" s="17">
        <f t="shared" si="10"/>
        <v>31</v>
      </c>
      <c r="W18" s="17">
        <f t="shared" si="10"/>
        <v>0</v>
      </c>
      <c r="X18" s="17">
        <f t="shared" si="10"/>
        <v>0</v>
      </c>
      <c r="Y18" s="17">
        <f t="shared" si="10"/>
        <v>9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73</v>
      </c>
      <c r="AD18" s="17">
        <f t="shared" si="10"/>
        <v>0</v>
      </c>
      <c r="AE18" s="31">
        <f t="shared" si="10"/>
        <v>128</v>
      </c>
      <c r="AF18" s="31">
        <f t="shared" si="10"/>
        <v>201</v>
      </c>
    </row>
    <row r="19" spans="2:32" ht="23.1" customHeight="1" x14ac:dyDescent="0.25">
      <c r="B19" s="23" t="s">
        <v>46</v>
      </c>
      <c r="C19" s="50">
        <v>6</v>
      </c>
      <c r="D19" s="50">
        <v>4</v>
      </c>
      <c r="E19" s="50">
        <v>2</v>
      </c>
      <c r="F19" s="50">
        <v>51</v>
      </c>
      <c r="G19" s="50">
        <v>1</v>
      </c>
      <c r="H19" s="50">
        <v>0</v>
      </c>
      <c r="I19" s="50">
        <v>5</v>
      </c>
      <c r="J19" s="50">
        <v>1</v>
      </c>
      <c r="K19" s="50">
        <v>0</v>
      </c>
      <c r="L19" s="50">
        <v>0</v>
      </c>
      <c r="M19" s="50">
        <v>181</v>
      </c>
      <c r="N19" s="50">
        <v>0</v>
      </c>
      <c r="O19" s="15">
        <f t="shared" si="0"/>
        <v>70</v>
      </c>
      <c r="P19" s="15">
        <f t="shared" si="1"/>
        <v>251</v>
      </c>
      <c r="R19" s="1" t="s">
        <v>15</v>
      </c>
      <c r="S19" s="17">
        <f t="shared" ref="S19:AF19" si="11">SUM(C46:C49)</f>
        <v>99</v>
      </c>
      <c r="T19" s="17">
        <f t="shared" si="11"/>
        <v>73</v>
      </c>
      <c r="U19" s="17">
        <f t="shared" si="11"/>
        <v>13</v>
      </c>
      <c r="V19" s="17">
        <f t="shared" si="11"/>
        <v>118</v>
      </c>
      <c r="W19" s="17">
        <f t="shared" si="11"/>
        <v>3</v>
      </c>
      <c r="X19" s="17">
        <f t="shared" si="11"/>
        <v>0</v>
      </c>
      <c r="Y19" s="17">
        <f t="shared" si="11"/>
        <v>17</v>
      </c>
      <c r="Z19" s="17">
        <f t="shared" si="11"/>
        <v>4</v>
      </c>
      <c r="AA19" s="17">
        <f t="shared" si="11"/>
        <v>0</v>
      </c>
      <c r="AB19" s="17">
        <f t="shared" si="11"/>
        <v>0</v>
      </c>
      <c r="AC19" s="17">
        <f t="shared" si="11"/>
        <v>436</v>
      </c>
      <c r="AD19" s="17">
        <f t="shared" si="11"/>
        <v>0</v>
      </c>
      <c r="AE19" s="31">
        <f t="shared" si="11"/>
        <v>327</v>
      </c>
      <c r="AF19" s="31">
        <f t="shared" si="11"/>
        <v>763</v>
      </c>
    </row>
    <row r="20" spans="2:32" ht="23.1" customHeight="1" x14ac:dyDescent="0.25">
      <c r="B20" s="23" t="s">
        <v>47</v>
      </c>
      <c r="C20" s="50">
        <v>7</v>
      </c>
      <c r="D20" s="50">
        <v>5</v>
      </c>
      <c r="E20" s="50">
        <v>3</v>
      </c>
      <c r="F20" s="50">
        <v>42</v>
      </c>
      <c r="G20" s="50">
        <v>0</v>
      </c>
      <c r="H20" s="50">
        <v>2</v>
      </c>
      <c r="I20" s="50">
        <v>2</v>
      </c>
      <c r="J20" s="50">
        <v>0</v>
      </c>
      <c r="K20" s="50">
        <v>0</v>
      </c>
      <c r="L20" s="50">
        <v>0</v>
      </c>
      <c r="M20" s="50">
        <v>155</v>
      </c>
      <c r="N20" s="50">
        <v>0</v>
      </c>
      <c r="O20" s="15">
        <f t="shared" si="0"/>
        <v>61</v>
      </c>
      <c r="P20" s="15">
        <f t="shared" si="1"/>
        <v>216</v>
      </c>
      <c r="R20" s="1" t="s">
        <v>16</v>
      </c>
      <c r="S20" s="17">
        <f t="shared" ref="S20:AF20" si="12">SUM(C50:C53)</f>
        <v>123</v>
      </c>
      <c r="T20" s="17">
        <f t="shared" si="12"/>
        <v>47</v>
      </c>
      <c r="U20" s="17">
        <f t="shared" si="12"/>
        <v>14</v>
      </c>
      <c r="V20" s="17">
        <f t="shared" si="12"/>
        <v>118</v>
      </c>
      <c r="W20" s="17">
        <f t="shared" si="12"/>
        <v>3</v>
      </c>
      <c r="X20" s="17">
        <f t="shared" si="12"/>
        <v>0</v>
      </c>
      <c r="Y20" s="17">
        <f t="shared" si="12"/>
        <v>24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420</v>
      </c>
      <c r="AD20" s="17">
        <f t="shared" si="12"/>
        <v>0</v>
      </c>
      <c r="AE20" s="31">
        <f t="shared" si="12"/>
        <v>331</v>
      </c>
      <c r="AF20" s="31">
        <f t="shared" si="12"/>
        <v>751</v>
      </c>
    </row>
    <row r="21" spans="2:32" ht="23.1" customHeight="1" x14ac:dyDescent="0.25">
      <c r="B21" s="23" t="s">
        <v>48</v>
      </c>
      <c r="C21" s="50">
        <v>7</v>
      </c>
      <c r="D21" s="50">
        <v>7</v>
      </c>
      <c r="E21" s="50">
        <v>1</v>
      </c>
      <c r="F21" s="50">
        <v>35</v>
      </c>
      <c r="G21" s="50">
        <v>1</v>
      </c>
      <c r="H21" s="50">
        <v>1</v>
      </c>
      <c r="I21" s="50">
        <v>2</v>
      </c>
      <c r="J21" s="50">
        <v>0</v>
      </c>
      <c r="K21" s="50">
        <v>0</v>
      </c>
      <c r="L21" s="50">
        <v>0</v>
      </c>
      <c r="M21" s="50">
        <v>122</v>
      </c>
      <c r="N21" s="50">
        <v>0</v>
      </c>
      <c r="O21" s="15">
        <f t="shared" si="0"/>
        <v>54</v>
      </c>
      <c r="P21" s="15">
        <f t="shared" si="1"/>
        <v>176</v>
      </c>
      <c r="R21" s="36" t="s">
        <v>20</v>
      </c>
      <c r="S21" s="34">
        <f t="shared" ref="S21:AF21" si="13">SUM(C54:C57)</f>
        <v>96</v>
      </c>
      <c r="T21" s="17">
        <f t="shared" si="13"/>
        <v>72</v>
      </c>
      <c r="U21" s="17">
        <f t="shared" si="13"/>
        <v>8</v>
      </c>
      <c r="V21" s="17">
        <f t="shared" si="13"/>
        <v>143</v>
      </c>
      <c r="W21" s="17">
        <f t="shared" si="13"/>
        <v>3</v>
      </c>
      <c r="X21" s="17">
        <f t="shared" si="13"/>
        <v>0</v>
      </c>
      <c r="Y21" s="17">
        <f t="shared" si="13"/>
        <v>20</v>
      </c>
      <c r="Z21" s="17">
        <f t="shared" si="13"/>
        <v>1</v>
      </c>
      <c r="AA21" s="17">
        <f t="shared" si="13"/>
        <v>1</v>
      </c>
      <c r="AB21" s="17">
        <f t="shared" si="13"/>
        <v>0</v>
      </c>
      <c r="AC21" s="17">
        <f t="shared" si="13"/>
        <v>550</v>
      </c>
      <c r="AD21" s="17">
        <f t="shared" si="13"/>
        <v>0</v>
      </c>
      <c r="AE21" s="31">
        <f t="shared" si="13"/>
        <v>344</v>
      </c>
      <c r="AF21" s="31">
        <f t="shared" si="13"/>
        <v>894</v>
      </c>
    </row>
    <row r="22" spans="2:32" ht="23.1" customHeight="1" x14ac:dyDescent="0.25">
      <c r="B22" s="23" t="s">
        <v>49</v>
      </c>
      <c r="C22" s="50">
        <v>10</v>
      </c>
      <c r="D22" s="50">
        <v>3</v>
      </c>
      <c r="E22" s="50">
        <v>1</v>
      </c>
      <c r="F22" s="50">
        <v>27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137</v>
      </c>
      <c r="N22" s="50">
        <v>0</v>
      </c>
      <c r="O22" s="15">
        <f t="shared" si="0"/>
        <v>44</v>
      </c>
      <c r="P22" s="15">
        <f t="shared" si="1"/>
        <v>181</v>
      </c>
      <c r="R22" s="38" t="s">
        <v>90</v>
      </c>
      <c r="S22" s="39">
        <f>MAX(S10:S12)</f>
        <v>29</v>
      </c>
      <c r="T22" s="39">
        <f t="shared" ref="T22:AF22" si="14">MAX(T10:T12)</f>
        <v>25</v>
      </c>
      <c r="U22" s="39">
        <f t="shared" si="14"/>
        <v>8</v>
      </c>
      <c r="V22" s="39">
        <f t="shared" si="14"/>
        <v>240</v>
      </c>
      <c r="W22" s="39">
        <f t="shared" si="14"/>
        <v>3</v>
      </c>
      <c r="X22" s="39">
        <f t="shared" si="14"/>
        <v>3</v>
      </c>
      <c r="Y22" s="39">
        <f t="shared" si="14"/>
        <v>9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640</v>
      </c>
      <c r="AD22" s="39">
        <f t="shared" si="14"/>
        <v>0</v>
      </c>
      <c r="AE22" s="40">
        <f t="shared" si="14"/>
        <v>305</v>
      </c>
      <c r="AF22" s="40">
        <f t="shared" si="14"/>
        <v>945</v>
      </c>
    </row>
    <row r="23" spans="2:32" ht="23.1" customHeight="1" x14ac:dyDescent="0.25">
      <c r="B23" s="23" t="s">
        <v>50</v>
      </c>
      <c r="C23" s="50">
        <v>12</v>
      </c>
      <c r="D23" s="50">
        <v>4</v>
      </c>
      <c r="E23" s="50">
        <v>4</v>
      </c>
      <c r="F23" s="50">
        <v>35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135</v>
      </c>
      <c r="N23" s="50">
        <v>0</v>
      </c>
      <c r="O23" s="15">
        <f t="shared" si="0"/>
        <v>55</v>
      </c>
      <c r="P23" s="15">
        <f t="shared" si="1"/>
        <v>190</v>
      </c>
      <c r="R23" s="38" t="s">
        <v>91</v>
      </c>
      <c r="S23" s="39">
        <f>MAX(S13:S18)</f>
        <v>76</v>
      </c>
      <c r="T23" s="39">
        <f t="shared" ref="T23:AF23" si="15">MAX(T13:T18)</f>
        <v>37</v>
      </c>
      <c r="U23" s="39">
        <f t="shared" si="15"/>
        <v>11</v>
      </c>
      <c r="V23" s="39">
        <f t="shared" si="15"/>
        <v>131</v>
      </c>
      <c r="W23" s="39">
        <f t="shared" si="15"/>
        <v>0</v>
      </c>
      <c r="X23" s="39">
        <f t="shared" si="15"/>
        <v>0</v>
      </c>
      <c r="Y23" s="39">
        <f t="shared" si="15"/>
        <v>25</v>
      </c>
      <c r="Z23" s="39">
        <f t="shared" si="15"/>
        <v>3</v>
      </c>
      <c r="AA23" s="39">
        <f t="shared" si="15"/>
        <v>1</v>
      </c>
      <c r="AB23" s="39">
        <f t="shared" si="15"/>
        <v>0</v>
      </c>
      <c r="AC23" s="39">
        <f t="shared" si="15"/>
        <v>559</v>
      </c>
      <c r="AD23" s="39">
        <f t="shared" si="15"/>
        <v>0</v>
      </c>
      <c r="AE23" s="40">
        <f t="shared" si="15"/>
        <v>249</v>
      </c>
      <c r="AF23" s="40">
        <f t="shared" si="15"/>
        <v>808</v>
      </c>
    </row>
    <row r="24" spans="2:32" ht="23.1" customHeight="1" x14ac:dyDescent="0.25">
      <c r="B24" s="23" t="s">
        <v>51</v>
      </c>
      <c r="C24" s="50">
        <v>14</v>
      </c>
      <c r="D24" s="50">
        <v>3</v>
      </c>
      <c r="E24" s="50">
        <v>2</v>
      </c>
      <c r="F24" s="50">
        <v>28</v>
      </c>
      <c r="G24" s="50">
        <v>0</v>
      </c>
      <c r="H24" s="50">
        <v>0</v>
      </c>
      <c r="I24" s="50">
        <v>9</v>
      </c>
      <c r="J24" s="50">
        <v>0</v>
      </c>
      <c r="K24" s="50">
        <v>0</v>
      </c>
      <c r="L24" s="50">
        <v>0</v>
      </c>
      <c r="M24" s="50">
        <v>132</v>
      </c>
      <c r="N24" s="50">
        <v>0</v>
      </c>
      <c r="O24" s="15">
        <f t="shared" si="0"/>
        <v>56</v>
      </c>
      <c r="P24" s="15">
        <f t="shared" si="1"/>
        <v>188</v>
      </c>
      <c r="R24" s="38" t="s">
        <v>92</v>
      </c>
      <c r="S24" s="39">
        <f>MAX(S19:S21)</f>
        <v>123</v>
      </c>
      <c r="T24" s="39">
        <f t="shared" ref="T24:AF24" si="16">MAX(T19:T21)</f>
        <v>73</v>
      </c>
      <c r="U24" s="39">
        <f t="shared" si="16"/>
        <v>14</v>
      </c>
      <c r="V24" s="39">
        <f t="shared" si="16"/>
        <v>143</v>
      </c>
      <c r="W24" s="39">
        <f t="shared" si="16"/>
        <v>3</v>
      </c>
      <c r="X24" s="39">
        <f t="shared" si="16"/>
        <v>0</v>
      </c>
      <c r="Y24" s="39">
        <f t="shared" si="16"/>
        <v>24</v>
      </c>
      <c r="Z24" s="39">
        <f t="shared" si="16"/>
        <v>4</v>
      </c>
      <c r="AA24" s="39">
        <f t="shared" si="16"/>
        <v>1</v>
      </c>
      <c r="AB24" s="39">
        <f t="shared" si="16"/>
        <v>0</v>
      </c>
      <c r="AC24" s="39">
        <f t="shared" si="16"/>
        <v>550</v>
      </c>
      <c r="AD24" s="39">
        <f t="shared" si="16"/>
        <v>0</v>
      </c>
      <c r="AE24" s="40">
        <f t="shared" si="16"/>
        <v>344</v>
      </c>
      <c r="AF24" s="40">
        <f t="shared" si="16"/>
        <v>894</v>
      </c>
    </row>
    <row r="25" spans="2:32" ht="23.1" customHeight="1" x14ac:dyDescent="0.25">
      <c r="B25" s="23" t="s">
        <v>52</v>
      </c>
      <c r="C25" s="50">
        <v>11</v>
      </c>
      <c r="D25" s="50">
        <v>8</v>
      </c>
      <c r="E25" s="50">
        <v>1</v>
      </c>
      <c r="F25" s="50">
        <v>22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101</v>
      </c>
      <c r="N25" s="50">
        <v>0</v>
      </c>
      <c r="O25" s="15">
        <f t="shared" si="0"/>
        <v>45</v>
      </c>
      <c r="P25" s="15">
        <f t="shared" si="1"/>
        <v>146</v>
      </c>
      <c r="R25" s="37" t="s">
        <v>85</v>
      </c>
      <c r="S25" s="35">
        <f t="shared" ref="S25:AF25" si="17">SUM(S10:S12)</f>
        <v>55</v>
      </c>
      <c r="T25" s="16">
        <f t="shared" si="17"/>
        <v>52</v>
      </c>
      <c r="U25" s="16">
        <f t="shared" si="17"/>
        <v>14</v>
      </c>
      <c r="V25" s="16">
        <f t="shared" si="17"/>
        <v>478</v>
      </c>
      <c r="W25" s="16">
        <f t="shared" si="17"/>
        <v>5</v>
      </c>
      <c r="X25" s="16">
        <f t="shared" si="17"/>
        <v>4</v>
      </c>
      <c r="Y25" s="16">
        <f t="shared" si="17"/>
        <v>15</v>
      </c>
      <c r="Z25" s="16">
        <f t="shared" si="17"/>
        <v>2</v>
      </c>
      <c r="AA25" s="16">
        <f t="shared" si="17"/>
        <v>0</v>
      </c>
      <c r="AB25" s="16">
        <f t="shared" si="17"/>
        <v>0</v>
      </c>
      <c r="AC25" s="16">
        <f t="shared" si="17"/>
        <v>1390</v>
      </c>
      <c r="AD25" s="16">
        <f t="shared" si="17"/>
        <v>0</v>
      </c>
      <c r="AE25" s="32">
        <f t="shared" si="17"/>
        <v>625</v>
      </c>
      <c r="AF25" s="32">
        <f t="shared" si="17"/>
        <v>2015</v>
      </c>
    </row>
    <row r="26" spans="2:32" ht="23.1" customHeight="1" x14ac:dyDescent="0.25">
      <c r="B26" s="23" t="s">
        <v>53</v>
      </c>
      <c r="C26" s="50">
        <v>23</v>
      </c>
      <c r="D26" s="50">
        <v>6</v>
      </c>
      <c r="E26" s="50">
        <v>1</v>
      </c>
      <c r="F26" s="50">
        <v>38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143</v>
      </c>
      <c r="N26" s="50">
        <v>0</v>
      </c>
      <c r="O26" s="15">
        <f t="shared" si="0"/>
        <v>68</v>
      </c>
      <c r="P26" s="15">
        <f t="shared" si="1"/>
        <v>211</v>
      </c>
      <c r="R26" s="28" t="s">
        <v>86</v>
      </c>
      <c r="S26" s="16">
        <f t="shared" ref="S26:AF26" si="18">SUM(S13:S18)</f>
        <v>376</v>
      </c>
      <c r="T26" s="16">
        <f t="shared" si="18"/>
        <v>167</v>
      </c>
      <c r="U26" s="16">
        <f t="shared" si="18"/>
        <v>50</v>
      </c>
      <c r="V26" s="16">
        <f t="shared" si="18"/>
        <v>562</v>
      </c>
      <c r="W26" s="16">
        <f t="shared" si="18"/>
        <v>0</v>
      </c>
      <c r="X26" s="16">
        <f t="shared" si="18"/>
        <v>0</v>
      </c>
      <c r="Y26" s="16">
        <f t="shared" si="18"/>
        <v>105</v>
      </c>
      <c r="Z26" s="16">
        <f t="shared" si="18"/>
        <v>6</v>
      </c>
      <c r="AA26" s="16">
        <f t="shared" si="18"/>
        <v>2</v>
      </c>
      <c r="AB26" s="16">
        <f t="shared" si="18"/>
        <v>0</v>
      </c>
      <c r="AC26" s="16">
        <f t="shared" si="18"/>
        <v>2542</v>
      </c>
      <c r="AD26" s="16">
        <f t="shared" si="18"/>
        <v>0</v>
      </c>
      <c r="AE26" s="32">
        <f t="shared" si="18"/>
        <v>1268</v>
      </c>
      <c r="AF26" s="32">
        <f t="shared" si="18"/>
        <v>3810</v>
      </c>
    </row>
    <row r="27" spans="2:32" ht="23.1" customHeight="1" x14ac:dyDescent="0.25">
      <c r="B27" s="23" t="s">
        <v>54</v>
      </c>
      <c r="C27" s="50">
        <v>19</v>
      </c>
      <c r="D27" s="50">
        <v>5</v>
      </c>
      <c r="E27" s="50">
        <v>1</v>
      </c>
      <c r="F27" s="50">
        <v>38</v>
      </c>
      <c r="G27" s="50">
        <v>0</v>
      </c>
      <c r="H27" s="50">
        <v>0</v>
      </c>
      <c r="I27" s="50">
        <v>8</v>
      </c>
      <c r="J27" s="50">
        <v>2</v>
      </c>
      <c r="K27" s="50">
        <v>0</v>
      </c>
      <c r="L27" s="50">
        <v>0</v>
      </c>
      <c r="M27" s="50">
        <v>140</v>
      </c>
      <c r="N27" s="50">
        <v>0</v>
      </c>
      <c r="O27" s="15">
        <f t="shared" si="0"/>
        <v>73</v>
      </c>
      <c r="P27" s="15">
        <f t="shared" si="1"/>
        <v>213</v>
      </c>
      <c r="R27" s="29" t="s">
        <v>87</v>
      </c>
      <c r="S27" s="16">
        <f t="shared" ref="S27:AF27" si="19">SUM(S19:S21)</f>
        <v>318</v>
      </c>
      <c r="T27" s="16">
        <f t="shared" si="19"/>
        <v>192</v>
      </c>
      <c r="U27" s="16">
        <f t="shared" si="19"/>
        <v>35</v>
      </c>
      <c r="V27" s="16">
        <f t="shared" si="19"/>
        <v>379</v>
      </c>
      <c r="W27" s="16">
        <f t="shared" si="19"/>
        <v>9</v>
      </c>
      <c r="X27" s="16">
        <f t="shared" si="19"/>
        <v>0</v>
      </c>
      <c r="Y27" s="16">
        <f t="shared" si="19"/>
        <v>61</v>
      </c>
      <c r="Z27" s="16">
        <f t="shared" si="19"/>
        <v>7</v>
      </c>
      <c r="AA27" s="16">
        <f t="shared" si="19"/>
        <v>1</v>
      </c>
      <c r="AB27" s="16">
        <f t="shared" si="19"/>
        <v>0</v>
      </c>
      <c r="AC27" s="16">
        <f t="shared" si="19"/>
        <v>1406</v>
      </c>
      <c r="AD27" s="16">
        <f t="shared" si="19"/>
        <v>0</v>
      </c>
      <c r="AE27" s="32">
        <f t="shared" si="19"/>
        <v>1002</v>
      </c>
      <c r="AF27" s="32">
        <f t="shared" si="19"/>
        <v>2408</v>
      </c>
    </row>
    <row r="28" spans="2:32" ht="23.1" customHeight="1" x14ac:dyDescent="0.25">
      <c r="B28" s="23" t="s">
        <v>55</v>
      </c>
      <c r="C28" s="50">
        <v>19</v>
      </c>
      <c r="D28" s="50">
        <v>6</v>
      </c>
      <c r="E28" s="50">
        <v>2</v>
      </c>
      <c r="F28" s="50">
        <v>21</v>
      </c>
      <c r="G28" s="50">
        <v>0</v>
      </c>
      <c r="H28" s="50">
        <v>0</v>
      </c>
      <c r="I28" s="50">
        <v>3</v>
      </c>
      <c r="J28" s="50">
        <v>1</v>
      </c>
      <c r="K28" s="50">
        <v>0</v>
      </c>
      <c r="L28" s="50">
        <v>0</v>
      </c>
      <c r="M28" s="50">
        <v>151</v>
      </c>
      <c r="N28" s="50">
        <v>0</v>
      </c>
      <c r="O28" s="15">
        <f t="shared" si="0"/>
        <v>52</v>
      </c>
      <c r="P28" s="15">
        <f t="shared" si="1"/>
        <v>203</v>
      </c>
      <c r="R28" s="5" t="s">
        <v>17</v>
      </c>
      <c r="S28" s="16">
        <f t="shared" ref="S28:AF28" si="20">SUM(S10:S21)</f>
        <v>749</v>
      </c>
      <c r="T28" s="16">
        <f t="shared" si="20"/>
        <v>411</v>
      </c>
      <c r="U28" s="16">
        <f t="shared" si="20"/>
        <v>99</v>
      </c>
      <c r="V28" s="16">
        <f t="shared" si="20"/>
        <v>1419</v>
      </c>
      <c r="W28" s="16">
        <f t="shared" si="20"/>
        <v>14</v>
      </c>
      <c r="X28" s="16">
        <f t="shared" si="20"/>
        <v>4</v>
      </c>
      <c r="Y28" s="16">
        <f t="shared" si="20"/>
        <v>181</v>
      </c>
      <c r="Z28" s="16">
        <f t="shared" si="20"/>
        <v>15</v>
      </c>
      <c r="AA28" s="16">
        <f t="shared" si="20"/>
        <v>3</v>
      </c>
      <c r="AB28" s="16">
        <f t="shared" si="20"/>
        <v>0</v>
      </c>
      <c r="AC28" s="16">
        <f t="shared" si="20"/>
        <v>5338</v>
      </c>
      <c r="AD28" s="16">
        <f t="shared" si="20"/>
        <v>0</v>
      </c>
      <c r="AE28" s="32">
        <f t="shared" si="20"/>
        <v>2895</v>
      </c>
      <c r="AF28" s="32">
        <f t="shared" si="20"/>
        <v>8233</v>
      </c>
    </row>
    <row r="29" spans="2:32" ht="23.1" customHeight="1" x14ac:dyDescent="0.25">
      <c r="B29" s="23" t="s">
        <v>56</v>
      </c>
      <c r="C29" s="50">
        <v>10</v>
      </c>
      <c r="D29" s="50">
        <v>3</v>
      </c>
      <c r="E29" s="50">
        <v>1</v>
      </c>
      <c r="F29" s="50">
        <v>34</v>
      </c>
      <c r="G29" s="50">
        <v>0</v>
      </c>
      <c r="H29" s="50">
        <v>0</v>
      </c>
      <c r="I29" s="50">
        <v>8</v>
      </c>
      <c r="J29" s="50">
        <v>0</v>
      </c>
      <c r="K29" s="50">
        <v>0</v>
      </c>
      <c r="L29" s="50">
        <v>0</v>
      </c>
      <c r="M29" s="50">
        <v>125</v>
      </c>
      <c r="N29" s="50">
        <v>0</v>
      </c>
      <c r="O29" s="15">
        <f t="shared" si="0"/>
        <v>56</v>
      </c>
      <c r="P29" s="15">
        <f t="shared" si="1"/>
        <v>181</v>
      </c>
      <c r="R29"/>
      <c r="S29" s="20"/>
      <c r="T29" s="19"/>
    </row>
    <row r="30" spans="2:32" ht="23.1" customHeight="1" x14ac:dyDescent="0.25">
      <c r="B30" s="23" t="s">
        <v>57</v>
      </c>
      <c r="C30" s="50">
        <v>9</v>
      </c>
      <c r="D30" s="50">
        <v>6</v>
      </c>
      <c r="E30" s="50">
        <v>3</v>
      </c>
      <c r="F30" s="50">
        <v>27</v>
      </c>
      <c r="G30" s="50">
        <v>0</v>
      </c>
      <c r="H30" s="50">
        <v>0</v>
      </c>
      <c r="I30" s="50">
        <v>5</v>
      </c>
      <c r="J30" s="50">
        <v>0</v>
      </c>
      <c r="K30" s="50">
        <v>0</v>
      </c>
      <c r="L30" s="50">
        <v>0</v>
      </c>
      <c r="M30" s="50">
        <v>125</v>
      </c>
      <c r="N30" s="50">
        <v>0</v>
      </c>
      <c r="O30" s="15">
        <f t="shared" si="0"/>
        <v>50</v>
      </c>
      <c r="P30" s="15">
        <f t="shared" si="1"/>
        <v>175</v>
      </c>
    </row>
    <row r="31" spans="2:32" ht="23.1" customHeight="1" x14ac:dyDescent="0.25">
      <c r="B31" s="24" t="s">
        <v>58</v>
      </c>
      <c r="C31" s="50">
        <v>20</v>
      </c>
      <c r="D31" s="50">
        <v>12</v>
      </c>
      <c r="E31" s="50">
        <v>3</v>
      </c>
      <c r="F31" s="50">
        <v>26</v>
      </c>
      <c r="G31" s="50">
        <v>0</v>
      </c>
      <c r="H31" s="50">
        <v>0</v>
      </c>
      <c r="I31" s="50">
        <v>6</v>
      </c>
      <c r="J31" s="50">
        <v>0</v>
      </c>
      <c r="K31" s="50">
        <v>0</v>
      </c>
      <c r="L31" s="50">
        <v>0</v>
      </c>
      <c r="M31" s="50">
        <v>164</v>
      </c>
      <c r="N31" s="50">
        <v>0</v>
      </c>
      <c r="O31" s="15">
        <f t="shared" si="0"/>
        <v>67</v>
      </c>
      <c r="P31" s="15">
        <f t="shared" si="1"/>
        <v>231</v>
      </c>
    </row>
    <row r="32" spans="2:32" ht="23.1" customHeight="1" x14ac:dyDescent="0.25">
      <c r="B32" s="24" t="s">
        <v>59</v>
      </c>
      <c r="C32" s="50">
        <v>16</v>
      </c>
      <c r="D32" s="50">
        <v>7</v>
      </c>
      <c r="E32" s="50">
        <v>1</v>
      </c>
      <c r="F32" s="50">
        <v>22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91</v>
      </c>
      <c r="N32" s="50">
        <v>0</v>
      </c>
      <c r="O32" s="15">
        <f t="shared" si="0"/>
        <v>47</v>
      </c>
      <c r="P32" s="15">
        <f t="shared" si="1"/>
        <v>138</v>
      </c>
    </row>
    <row r="33" spans="2:20" ht="23.1" customHeight="1" x14ac:dyDescent="0.25">
      <c r="B33" s="23" t="s">
        <v>60</v>
      </c>
      <c r="C33" s="50">
        <v>13</v>
      </c>
      <c r="D33" s="50">
        <v>5</v>
      </c>
      <c r="E33" s="50">
        <v>4</v>
      </c>
      <c r="F33" s="50">
        <v>26</v>
      </c>
      <c r="G33" s="50">
        <v>0</v>
      </c>
      <c r="H33" s="50">
        <v>0</v>
      </c>
      <c r="I33" s="50">
        <v>7</v>
      </c>
      <c r="J33" s="50">
        <v>0</v>
      </c>
      <c r="K33" s="50">
        <v>1</v>
      </c>
      <c r="L33" s="50">
        <v>0</v>
      </c>
      <c r="M33" s="50">
        <v>110</v>
      </c>
      <c r="N33" s="50">
        <v>0</v>
      </c>
      <c r="O33" s="15">
        <f t="shared" si="0"/>
        <v>56</v>
      </c>
      <c r="P33" s="15">
        <f t="shared" si="1"/>
        <v>166</v>
      </c>
    </row>
    <row r="34" spans="2:20" ht="23.1" customHeight="1" x14ac:dyDescent="0.25">
      <c r="B34" s="24" t="s">
        <v>61</v>
      </c>
      <c r="C34" s="50">
        <v>11</v>
      </c>
      <c r="D34" s="50">
        <v>11</v>
      </c>
      <c r="E34" s="50">
        <v>5</v>
      </c>
      <c r="F34" s="50">
        <v>21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105</v>
      </c>
      <c r="N34" s="50">
        <v>0</v>
      </c>
      <c r="O34" s="15">
        <f t="shared" si="0"/>
        <v>51</v>
      </c>
      <c r="P34" s="15">
        <f t="shared" si="1"/>
        <v>156</v>
      </c>
    </row>
    <row r="35" spans="2:20" ht="23.1" customHeight="1" x14ac:dyDescent="0.25">
      <c r="B35" s="24" t="s">
        <v>62</v>
      </c>
      <c r="C35" s="50">
        <v>25</v>
      </c>
      <c r="D35" s="50">
        <v>6</v>
      </c>
      <c r="E35" s="50">
        <v>2</v>
      </c>
      <c r="F35" s="50">
        <v>21</v>
      </c>
      <c r="G35" s="50">
        <v>0</v>
      </c>
      <c r="H35" s="50">
        <v>0</v>
      </c>
      <c r="I35" s="50">
        <v>6</v>
      </c>
      <c r="J35" s="50">
        <v>0</v>
      </c>
      <c r="K35" s="50">
        <v>0</v>
      </c>
      <c r="L35" s="50">
        <v>0</v>
      </c>
      <c r="M35" s="50">
        <v>144</v>
      </c>
      <c r="N35" s="50">
        <v>0</v>
      </c>
      <c r="O35" s="15">
        <f t="shared" si="0"/>
        <v>60</v>
      </c>
      <c r="P35" s="15">
        <f t="shared" si="1"/>
        <v>204</v>
      </c>
    </row>
    <row r="36" spans="2:20" ht="23.1" customHeight="1" x14ac:dyDescent="0.25">
      <c r="B36" s="24" t="s">
        <v>63</v>
      </c>
      <c r="C36" s="50">
        <v>24</v>
      </c>
      <c r="D36" s="50">
        <v>4</v>
      </c>
      <c r="E36" s="50">
        <v>2</v>
      </c>
      <c r="F36" s="50">
        <v>34</v>
      </c>
      <c r="G36" s="50">
        <v>0</v>
      </c>
      <c r="H36" s="50">
        <v>0</v>
      </c>
      <c r="I36" s="50">
        <v>3</v>
      </c>
      <c r="J36" s="50">
        <v>0</v>
      </c>
      <c r="K36" s="50">
        <v>1</v>
      </c>
      <c r="L36" s="50">
        <v>0</v>
      </c>
      <c r="M36" s="50">
        <v>131</v>
      </c>
      <c r="N36" s="50">
        <v>0</v>
      </c>
      <c r="O36" s="15">
        <f t="shared" si="0"/>
        <v>68</v>
      </c>
      <c r="P36" s="15">
        <f t="shared" si="1"/>
        <v>199</v>
      </c>
    </row>
    <row r="37" spans="2:20" ht="23.1" customHeight="1" x14ac:dyDescent="0.25">
      <c r="B37" s="23" t="s">
        <v>64</v>
      </c>
      <c r="C37" s="50">
        <v>16</v>
      </c>
      <c r="D37" s="50">
        <v>11</v>
      </c>
      <c r="E37" s="50">
        <v>2</v>
      </c>
      <c r="F37" s="50">
        <v>24</v>
      </c>
      <c r="G37" s="50">
        <v>0</v>
      </c>
      <c r="H37" s="50">
        <v>0</v>
      </c>
      <c r="I37" s="50">
        <v>6</v>
      </c>
      <c r="J37" s="50">
        <v>0</v>
      </c>
      <c r="K37" s="50">
        <v>0</v>
      </c>
      <c r="L37" s="50">
        <v>0</v>
      </c>
      <c r="M37" s="50">
        <v>124</v>
      </c>
      <c r="N37" s="50">
        <v>0</v>
      </c>
      <c r="O37" s="15">
        <f t="shared" si="0"/>
        <v>59</v>
      </c>
      <c r="P37" s="15">
        <f t="shared" si="1"/>
        <v>183</v>
      </c>
    </row>
    <row r="38" spans="2:20" ht="23.1" customHeight="1" x14ac:dyDescent="0.25">
      <c r="B38" s="24" t="s">
        <v>65</v>
      </c>
      <c r="C38" s="50">
        <v>27</v>
      </c>
      <c r="D38" s="50">
        <v>7</v>
      </c>
      <c r="E38" s="50">
        <v>2</v>
      </c>
      <c r="F38" s="50">
        <v>34</v>
      </c>
      <c r="G38" s="50">
        <v>0</v>
      </c>
      <c r="H38" s="50">
        <v>0</v>
      </c>
      <c r="I38" s="50">
        <v>4</v>
      </c>
      <c r="J38" s="50">
        <v>0</v>
      </c>
      <c r="K38" s="50">
        <v>0</v>
      </c>
      <c r="L38" s="50">
        <v>0</v>
      </c>
      <c r="M38" s="50">
        <v>135</v>
      </c>
      <c r="N38" s="50">
        <v>0</v>
      </c>
      <c r="O38" s="15">
        <f t="shared" si="0"/>
        <v>74</v>
      </c>
      <c r="P38" s="15">
        <f t="shared" si="1"/>
        <v>209</v>
      </c>
    </row>
    <row r="39" spans="2:20" ht="23.1" customHeight="1" x14ac:dyDescent="0.25">
      <c r="B39" s="24" t="s">
        <v>66</v>
      </c>
      <c r="C39" s="50">
        <v>15</v>
      </c>
      <c r="D39" s="50">
        <v>11</v>
      </c>
      <c r="E39" s="50">
        <v>2</v>
      </c>
      <c r="F39" s="50">
        <v>20</v>
      </c>
      <c r="G39" s="50">
        <v>0</v>
      </c>
      <c r="H39" s="50">
        <v>0</v>
      </c>
      <c r="I39" s="50">
        <v>6</v>
      </c>
      <c r="J39" s="50">
        <v>0</v>
      </c>
      <c r="K39" s="50">
        <v>0</v>
      </c>
      <c r="L39" s="50">
        <v>0</v>
      </c>
      <c r="M39" s="50">
        <v>125</v>
      </c>
      <c r="N39" s="50">
        <v>0</v>
      </c>
      <c r="O39" s="15">
        <f t="shared" si="0"/>
        <v>54</v>
      </c>
      <c r="P39" s="15">
        <f t="shared" si="1"/>
        <v>179</v>
      </c>
    </row>
    <row r="40" spans="2:20" ht="23.1" customHeight="1" x14ac:dyDescent="0.25">
      <c r="B40" s="24" t="s">
        <v>67</v>
      </c>
      <c r="C40" s="50">
        <v>17</v>
      </c>
      <c r="D40" s="50">
        <v>12</v>
      </c>
      <c r="E40" s="50">
        <v>2</v>
      </c>
      <c r="F40" s="50">
        <v>22</v>
      </c>
      <c r="G40" s="50">
        <v>0</v>
      </c>
      <c r="H40" s="50">
        <v>0</v>
      </c>
      <c r="I40" s="50">
        <v>7</v>
      </c>
      <c r="J40" s="50">
        <v>1</v>
      </c>
      <c r="K40" s="50">
        <v>0</v>
      </c>
      <c r="L40" s="50">
        <v>0</v>
      </c>
      <c r="M40" s="50">
        <v>122</v>
      </c>
      <c r="N40" s="50">
        <v>0</v>
      </c>
      <c r="O40" s="15">
        <f t="shared" si="0"/>
        <v>61</v>
      </c>
      <c r="P40" s="15">
        <f t="shared" si="1"/>
        <v>183</v>
      </c>
    </row>
    <row r="41" spans="2:20" ht="23.1" customHeight="1" x14ac:dyDescent="0.25">
      <c r="B41" s="23" t="s">
        <v>68</v>
      </c>
      <c r="C41" s="50">
        <v>15</v>
      </c>
      <c r="D41" s="50">
        <v>7</v>
      </c>
      <c r="E41" s="50">
        <v>3</v>
      </c>
      <c r="F41" s="50">
        <v>11</v>
      </c>
      <c r="G41" s="50">
        <v>0</v>
      </c>
      <c r="H41" s="50">
        <v>0</v>
      </c>
      <c r="I41" s="50">
        <v>8</v>
      </c>
      <c r="J41" s="50">
        <v>0</v>
      </c>
      <c r="K41" s="50">
        <v>0</v>
      </c>
      <c r="L41" s="50">
        <v>0</v>
      </c>
      <c r="M41" s="50">
        <v>29</v>
      </c>
      <c r="N41" s="50">
        <v>0</v>
      </c>
      <c r="O41" s="15">
        <f t="shared" si="0"/>
        <v>44</v>
      </c>
      <c r="P41" s="15">
        <f t="shared" si="1"/>
        <v>73</v>
      </c>
    </row>
    <row r="42" spans="2:20" ht="23.1" customHeight="1" x14ac:dyDescent="0.25">
      <c r="B42" s="24" t="s">
        <v>69</v>
      </c>
      <c r="C42" s="50">
        <v>12</v>
      </c>
      <c r="D42" s="50">
        <v>10</v>
      </c>
      <c r="E42" s="50">
        <v>3</v>
      </c>
      <c r="F42" s="50">
        <v>8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5</v>
      </c>
      <c r="N42" s="50">
        <v>0</v>
      </c>
      <c r="O42" s="15">
        <f t="shared" si="0"/>
        <v>36</v>
      </c>
      <c r="P42" s="15">
        <f t="shared" si="1"/>
        <v>41</v>
      </c>
    </row>
    <row r="43" spans="2:20" ht="23.1" customHeight="1" x14ac:dyDescent="0.25">
      <c r="B43" s="23" t="s">
        <v>70</v>
      </c>
      <c r="C43" s="50">
        <v>19</v>
      </c>
      <c r="D43" s="50">
        <v>11</v>
      </c>
      <c r="E43" s="50">
        <v>3</v>
      </c>
      <c r="F43" s="50">
        <v>8</v>
      </c>
      <c r="G43" s="50">
        <v>0</v>
      </c>
      <c r="H43" s="50">
        <v>0</v>
      </c>
      <c r="I43" s="50">
        <v>5</v>
      </c>
      <c r="J43" s="50">
        <v>0</v>
      </c>
      <c r="K43" s="50">
        <v>0</v>
      </c>
      <c r="L43" s="50">
        <v>0</v>
      </c>
      <c r="M43" s="50">
        <v>4</v>
      </c>
      <c r="N43" s="50">
        <v>0</v>
      </c>
      <c r="O43" s="15">
        <f t="shared" si="0"/>
        <v>46</v>
      </c>
      <c r="P43" s="15">
        <f t="shared" si="1"/>
        <v>50</v>
      </c>
    </row>
    <row r="44" spans="2:20" ht="23.1" customHeight="1" x14ac:dyDescent="0.25">
      <c r="B44" s="25" t="s">
        <v>71</v>
      </c>
      <c r="C44" s="50">
        <v>4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2</v>
      </c>
      <c r="K44" s="50">
        <v>0</v>
      </c>
      <c r="L44" s="50">
        <v>0</v>
      </c>
      <c r="M44" s="50">
        <v>1</v>
      </c>
      <c r="N44" s="50">
        <v>0</v>
      </c>
      <c r="O44" s="15">
        <f t="shared" si="0"/>
        <v>7</v>
      </c>
      <c r="P44" s="15">
        <f t="shared" si="1"/>
        <v>8</v>
      </c>
    </row>
    <row r="45" spans="2:20" ht="23.1" customHeight="1" x14ac:dyDescent="0.25">
      <c r="B45" s="23" t="s">
        <v>72</v>
      </c>
      <c r="C45" s="50">
        <v>15</v>
      </c>
      <c r="D45" s="50">
        <v>9</v>
      </c>
      <c r="E45" s="50">
        <v>0</v>
      </c>
      <c r="F45" s="50">
        <v>14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63</v>
      </c>
      <c r="N45" s="50">
        <v>0</v>
      </c>
      <c r="O45" s="15">
        <f t="shared" si="0"/>
        <v>39</v>
      </c>
      <c r="P45" s="15">
        <f t="shared" si="1"/>
        <v>102</v>
      </c>
    </row>
    <row r="46" spans="2:20" ht="23.1" customHeight="1" x14ac:dyDescent="0.25">
      <c r="B46" s="24" t="s">
        <v>73</v>
      </c>
      <c r="C46" s="50">
        <v>23</v>
      </c>
      <c r="D46" s="50">
        <v>22</v>
      </c>
      <c r="E46" s="50">
        <v>2</v>
      </c>
      <c r="F46" s="50">
        <v>42</v>
      </c>
      <c r="G46" s="50">
        <v>0</v>
      </c>
      <c r="H46" s="50">
        <v>0</v>
      </c>
      <c r="I46" s="50">
        <v>5</v>
      </c>
      <c r="J46" s="50">
        <v>1</v>
      </c>
      <c r="K46" s="50">
        <v>0</v>
      </c>
      <c r="L46" s="50">
        <v>0</v>
      </c>
      <c r="M46" s="50">
        <v>130</v>
      </c>
      <c r="N46" s="50">
        <v>0</v>
      </c>
      <c r="O46" s="15">
        <f t="shared" si="0"/>
        <v>95</v>
      </c>
      <c r="P46" s="15">
        <f t="shared" si="1"/>
        <v>225</v>
      </c>
      <c r="R46" s="8"/>
      <c r="T46"/>
    </row>
    <row r="47" spans="2:20" ht="23.1" customHeight="1" x14ac:dyDescent="0.25">
      <c r="B47" s="24" t="s">
        <v>74</v>
      </c>
      <c r="C47" s="50">
        <v>16</v>
      </c>
      <c r="D47" s="50">
        <v>21</v>
      </c>
      <c r="E47" s="50">
        <v>4</v>
      </c>
      <c r="F47" s="50">
        <v>30</v>
      </c>
      <c r="G47" s="50">
        <v>1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100</v>
      </c>
      <c r="N47" s="50">
        <v>0</v>
      </c>
      <c r="O47" s="15">
        <f t="shared" si="0"/>
        <v>75</v>
      </c>
      <c r="P47" s="15">
        <f t="shared" si="1"/>
        <v>175</v>
      </c>
      <c r="R47" s="8"/>
      <c r="T47"/>
    </row>
    <row r="48" spans="2:20" ht="23.1" customHeight="1" x14ac:dyDescent="0.25">
      <c r="B48" s="24" t="s">
        <v>75</v>
      </c>
      <c r="C48" s="50">
        <v>30</v>
      </c>
      <c r="D48" s="50">
        <v>15</v>
      </c>
      <c r="E48" s="50">
        <v>5</v>
      </c>
      <c r="F48" s="50">
        <v>30</v>
      </c>
      <c r="G48" s="50">
        <v>0</v>
      </c>
      <c r="H48" s="50">
        <v>0</v>
      </c>
      <c r="I48" s="50">
        <v>6</v>
      </c>
      <c r="J48" s="50">
        <v>1</v>
      </c>
      <c r="K48" s="50">
        <v>0</v>
      </c>
      <c r="L48" s="50">
        <v>0</v>
      </c>
      <c r="M48" s="50">
        <v>100</v>
      </c>
      <c r="N48" s="50">
        <v>0</v>
      </c>
      <c r="O48" s="15">
        <f t="shared" si="0"/>
        <v>87</v>
      </c>
      <c r="P48" s="15">
        <f t="shared" si="1"/>
        <v>187</v>
      </c>
      <c r="R48" s="8"/>
      <c r="T48"/>
    </row>
    <row r="49" spans="2:20" ht="23.1" customHeight="1" x14ac:dyDescent="0.25">
      <c r="B49" s="23" t="s">
        <v>76</v>
      </c>
      <c r="C49" s="50">
        <v>30</v>
      </c>
      <c r="D49" s="50">
        <v>15</v>
      </c>
      <c r="E49" s="50">
        <v>2</v>
      </c>
      <c r="F49" s="50">
        <v>16</v>
      </c>
      <c r="G49" s="50">
        <v>2</v>
      </c>
      <c r="H49" s="50">
        <v>0</v>
      </c>
      <c r="I49" s="50">
        <v>3</v>
      </c>
      <c r="J49" s="50">
        <v>2</v>
      </c>
      <c r="K49" s="50">
        <v>0</v>
      </c>
      <c r="L49" s="50">
        <v>0</v>
      </c>
      <c r="M49" s="50">
        <v>106</v>
      </c>
      <c r="N49" s="50">
        <v>0</v>
      </c>
      <c r="O49" s="15">
        <f t="shared" si="0"/>
        <v>70</v>
      </c>
      <c r="P49" s="15">
        <f t="shared" si="1"/>
        <v>176</v>
      </c>
      <c r="R49" s="8"/>
      <c r="T49"/>
    </row>
    <row r="50" spans="2:20" ht="23.1" customHeight="1" x14ac:dyDescent="0.25">
      <c r="B50" s="24" t="s">
        <v>77</v>
      </c>
      <c r="C50" s="50">
        <v>23</v>
      </c>
      <c r="D50" s="50">
        <v>8</v>
      </c>
      <c r="E50" s="50">
        <v>7</v>
      </c>
      <c r="F50" s="50">
        <v>26</v>
      </c>
      <c r="G50" s="50">
        <v>1</v>
      </c>
      <c r="H50" s="50">
        <v>0</v>
      </c>
      <c r="I50" s="50">
        <v>9</v>
      </c>
      <c r="J50" s="50">
        <v>1</v>
      </c>
      <c r="K50" s="50">
        <v>0</v>
      </c>
      <c r="L50" s="50">
        <v>0</v>
      </c>
      <c r="M50" s="50">
        <v>104</v>
      </c>
      <c r="N50" s="50">
        <v>0</v>
      </c>
      <c r="O50" s="15">
        <f t="shared" si="0"/>
        <v>75</v>
      </c>
      <c r="P50" s="15">
        <f t="shared" si="1"/>
        <v>179</v>
      </c>
      <c r="R50" s="8"/>
      <c r="T50"/>
    </row>
    <row r="51" spans="2:20" ht="23.1" customHeight="1" x14ac:dyDescent="0.25">
      <c r="B51" s="24" t="s">
        <v>78</v>
      </c>
      <c r="C51" s="50">
        <v>34</v>
      </c>
      <c r="D51" s="50">
        <v>10</v>
      </c>
      <c r="E51" s="50">
        <v>1</v>
      </c>
      <c r="F51" s="50">
        <v>38</v>
      </c>
      <c r="G51" s="50">
        <v>1</v>
      </c>
      <c r="H51" s="50">
        <v>0</v>
      </c>
      <c r="I51" s="50">
        <v>6</v>
      </c>
      <c r="J51" s="50">
        <v>1</v>
      </c>
      <c r="K51" s="50">
        <v>0</v>
      </c>
      <c r="L51" s="50">
        <v>0</v>
      </c>
      <c r="M51" s="50">
        <v>134</v>
      </c>
      <c r="N51" s="50">
        <v>0</v>
      </c>
      <c r="O51" s="15">
        <f t="shared" si="0"/>
        <v>91</v>
      </c>
      <c r="P51" s="15">
        <f t="shared" si="1"/>
        <v>225</v>
      </c>
      <c r="R51" s="8"/>
      <c r="T51"/>
    </row>
    <row r="52" spans="2:20" ht="23.1" customHeight="1" x14ac:dyDescent="0.25">
      <c r="B52" s="24" t="s">
        <v>79</v>
      </c>
      <c r="C52" s="50">
        <v>40</v>
      </c>
      <c r="D52" s="50">
        <v>21</v>
      </c>
      <c r="E52" s="50">
        <v>3</v>
      </c>
      <c r="F52" s="50">
        <v>23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134</v>
      </c>
      <c r="N52" s="50">
        <v>0</v>
      </c>
      <c r="O52" s="15">
        <f t="shared" si="0"/>
        <v>89</v>
      </c>
      <c r="P52" s="15">
        <f t="shared" si="1"/>
        <v>223</v>
      </c>
      <c r="R52" s="8"/>
      <c r="T52"/>
    </row>
    <row r="53" spans="2:20" ht="23.1" customHeight="1" x14ac:dyDescent="0.25">
      <c r="B53" s="23" t="s">
        <v>80</v>
      </c>
      <c r="C53" s="50">
        <v>26</v>
      </c>
      <c r="D53" s="50">
        <v>8</v>
      </c>
      <c r="E53" s="50">
        <v>3</v>
      </c>
      <c r="F53" s="50">
        <v>31</v>
      </c>
      <c r="G53" s="50">
        <v>1</v>
      </c>
      <c r="H53" s="50">
        <v>0</v>
      </c>
      <c r="I53" s="50">
        <v>7</v>
      </c>
      <c r="J53" s="50">
        <v>0</v>
      </c>
      <c r="K53" s="50">
        <v>0</v>
      </c>
      <c r="L53" s="50">
        <v>0</v>
      </c>
      <c r="M53" s="50">
        <v>48</v>
      </c>
      <c r="N53" s="50">
        <v>0</v>
      </c>
      <c r="O53" s="15">
        <f t="shared" si="0"/>
        <v>76</v>
      </c>
      <c r="P53" s="15">
        <f t="shared" si="1"/>
        <v>124</v>
      </c>
      <c r="R53" s="8"/>
      <c r="T53"/>
    </row>
    <row r="54" spans="2:20" ht="23.1" customHeight="1" x14ac:dyDescent="0.25">
      <c r="B54" s="23" t="s">
        <v>81</v>
      </c>
      <c r="C54" s="50">
        <v>25</v>
      </c>
      <c r="D54" s="50">
        <v>18</v>
      </c>
      <c r="E54" s="50">
        <v>5</v>
      </c>
      <c r="F54" s="50">
        <v>41</v>
      </c>
      <c r="G54" s="50">
        <v>0</v>
      </c>
      <c r="H54" s="50">
        <v>0</v>
      </c>
      <c r="I54" s="50">
        <v>7</v>
      </c>
      <c r="J54" s="50">
        <v>0</v>
      </c>
      <c r="K54" s="50">
        <v>0</v>
      </c>
      <c r="L54" s="50">
        <v>0</v>
      </c>
      <c r="M54" s="50">
        <v>130</v>
      </c>
      <c r="N54" s="50">
        <v>0</v>
      </c>
      <c r="O54" s="15">
        <f t="shared" si="0"/>
        <v>96</v>
      </c>
      <c r="P54" s="15">
        <f t="shared" si="1"/>
        <v>226</v>
      </c>
      <c r="R54" s="8"/>
      <c r="T54"/>
    </row>
    <row r="55" spans="2:20" ht="23.1" customHeight="1" x14ac:dyDescent="0.25">
      <c r="B55" s="23" t="s">
        <v>82</v>
      </c>
      <c r="C55" s="50">
        <v>22</v>
      </c>
      <c r="D55" s="50">
        <v>12</v>
      </c>
      <c r="E55" s="50">
        <v>2</v>
      </c>
      <c r="F55" s="50">
        <v>32</v>
      </c>
      <c r="G55" s="50">
        <v>2</v>
      </c>
      <c r="H55" s="50">
        <v>0</v>
      </c>
      <c r="I55" s="50">
        <v>8</v>
      </c>
      <c r="J55" s="50">
        <v>1</v>
      </c>
      <c r="K55" s="50">
        <v>1</v>
      </c>
      <c r="L55" s="50">
        <v>0</v>
      </c>
      <c r="M55" s="50">
        <v>140</v>
      </c>
      <c r="N55" s="50">
        <v>0</v>
      </c>
      <c r="O55" s="15">
        <f t="shared" si="0"/>
        <v>80</v>
      </c>
      <c r="P55" s="15">
        <f t="shared" si="1"/>
        <v>220</v>
      </c>
      <c r="R55" s="8"/>
      <c r="T55"/>
    </row>
    <row r="56" spans="2:20" ht="23.1" customHeight="1" x14ac:dyDescent="0.25">
      <c r="B56" s="23" t="s">
        <v>83</v>
      </c>
      <c r="C56" s="50">
        <v>21</v>
      </c>
      <c r="D56" s="50">
        <v>23</v>
      </c>
      <c r="E56" s="50">
        <v>0</v>
      </c>
      <c r="F56" s="50">
        <v>31</v>
      </c>
      <c r="G56" s="50">
        <v>1</v>
      </c>
      <c r="H56" s="50">
        <v>0</v>
      </c>
      <c r="I56" s="50">
        <v>3</v>
      </c>
      <c r="J56" s="50">
        <v>0</v>
      </c>
      <c r="K56" s="50">
        <v>0</v>
      </c>
      <c r="L56" s="50">
        <v>0</v>
      </c>
      <c r="M56" s="50">
        <v>130</v>
      </c>
      <c r="N56" s="50">
        <v>0</v>
      </c>
      <c r="O56" s="15">
        <f t="shared" si="0"/>
        <v>79</v>
      </c>
      <c r="P56" s="15">
        <f t="shared" si="1"/>
        <v>209</v>
      </c>
      <c r="R56" s="8"/>
      <c r="T56"/>
    </row>
    <row r="57" spans="2:20" ht="23.1" customHeight="1" x14ac:dyDescent="0.25">
      <c r="B57" s="23" t="s">
        <v>84</v>
      </c>
      <c r="C57" s="50">
        <v>28</v>
      </c>
      <c r="D57" s="50">
        <v>19</v>
      </c>
      <c r="E57" s="50">
        <v>1</v>
      </c>
      <c r="F57" s="50">
        <v>39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150</v>
      </c>
      <c r="N57" s="50">
        <v>0</v>
      </c>
      <c r="O57" s="15">
        <f t="shared" si="0"/>
        <v>89</v>
      </c>
      <c r="P57" s="15">
        <f t="shared" si="1"/>
        <v>239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749</v>
      </c>
      <c r="D58" s="16">
        <f t="shared" si="21"/>
        <v>411</v>
      </c>
      <c r="E58" s="16">
        <f t="shared" si="21"/>
        <v>99</v>
      </c>
      <c r="F58" s="16">
        <f t="shared" si="21"/>
        <v>1419</v>
      </c>
      <c r="G58" s="16">
        <f t="shared" si="21"/>
        <v>14</v>
      </c>
      <c r="H58" s="16">
        <f t="shared" si="21"/>
        <v>4</v>
      </c>
      <c r="I58" s="16">
        <f t="shared" si="21"/>
        <v>181</v>
      </c>
      <c r="J58" s="16">
        <f t="shared" si="21"/>
        <v>15</v>
      </c>
      <c r="K58" s="16">
        <f t="shared" si="21"/>
        <v>3</v>
      </c>
      <c r="L58" s="16">
        <f t="shared" si="21"/>
        <v>0</v>
      </c>
      <c r="M58" s="16">
        <f t="shared" si="21"/>
        <v>5338</v>
      </c>
      <c r="N58" s="16">
        <f t="shared" si="21"/>
        <v>0</v>
      </c>
      <c r="O58" s="16">
        <f t="shared" si="21"/>
        <v>2895</v>
      </c>
      <c r="P58" s="16">
        <f t="shared" si="21"/>
        <v>8233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9.0975343131300859E-2</v>
      </c>
      <c r="D59" s="43">
        <f t="shared" si="22"/>
        <v>4.9921049435199809E-2</v>
      </c>
      <c r="E59" s="43">
        <f t="shared" si="22"/>
        <v>1.2024778331106522E-2</v>
      </c>
      <c r="F59" s="43">
        <f t="shared" si="22"/>
        <v>0.17235515607919349</v>
      </c>
      <c r="G59" s="43">
        <f t="shared" si="22"/>
        <v>1.7004737033888011E-3</v>
      </c>
      <c r="H59" s="43">
        <f t="shared" si="22"/>
        <v>4.8584962953965749E-4</v>
      </c>
      <c r="I59" s="43">
        <f t="shared" si="22"/>
        <v>2.1984695736669502E-2</v>
      </c>
      <c r="J59" s="43">
        <f t="shared" si="22"/>
        <v>1.8219361107737156E-3</v>
      </c>
      <c r="K59" s="43">
        <f t="shared" si="22"/>
        <v>3.6438722215474309E-4</v>
      </c>
      <c r="L59" s="43">
        <f t="shared" si="22"/>
        <v>0</v>
      </c>
      <c r="M59" s="43">
        <f t="shared" si="22"/>
        <v>0.64836633062067295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0.25872193436960278</v>
      </c>
      <c r="D60" s="44">
        <f t="shared" ref="D60:N60" si="23">D58/$O$58</f>
        <v>0.14196891191709846</v>
      </c>
      <c r="E60" s="44">
        <f t="shared" si="23"/>
        <v>3.4196891191709843E-2</v>
      </c>
      <c r="F60" s="44">
        <f t="shared" si="23"/>
        <v>0.49015544041450776</v>
      </c>
      <c r="G60" s="44">
        <f t="shared" si="23"/>
        <v>4.8359240069084626E-3</v>
      </c>
      <c r="H60" s="44">
        <f t="shared" si="23"/>
        <v>1.3816925734024179E-3</v>
      </c>
      <c r="I60" s="44">
        <f t="shared" si="23"/>
        <v>6.2521588946459414E-2</v>
      </c>
      <c r="J60" s="44">
        <f t="shared" si="23"/>
        <v>5.1813471502590676E-3</v>
      </c>
      <c r="K60" s="44">
        <f t="shared" si="23"/>
        <v>1.0362694300518134E-3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Kibuye-Munyonyo'!C3:G3</f>
        <v>MCC - C1 - STN01A - SALAMA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'22.07 Kibuye-Munyonyo'!D5</f>
        <v>22.07.19</v>
      </c>
      <c r="E5" s="3"/>
      <c r="F5" s="41" t="s">
        <v>1</v>
      </c>
      <c r="G5" s="61" t="str">
        <f>'22.07 Kibuye-Munyonyo'!G5:H5</f>
        <v>Salama road 1A</v>
      </c>
      <c r="H5" s="62"/>
      <c r="I5" s="14"/>
      <c r="J5" s="2" t="s">
        <v>5</v>
      </c>
      <c r="K5" s="61" t="s">
        <v>174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55" t="s">
        <v>171</v>
      </c>
      <c r="E6" s="56"/>
      <c r="F6" s="2" t="s">
        <v>2</v>
      </c>
      <c r="G6" s="55" t="s">
        <v>163</v>
      </c>
      <c r="H6" s="56"/>
      <c r="J6" s="2" t="s">
        <v>21</v>
      </c>
      <c r="K6" s="61" t="str">
        <f>'22.07 Kibuye-Munyonyo'!K6:L6</f>
        <v>Emma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</v>
      </c>
      <c r="D10" s="50">
        <v>2</v>
      </c>
      <c r="E10" s="50">
        <v>0</v>
      </c>
      <c r="F10" s="50">
        <v>15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83</v>
      </c>
      <c r="N10" s="50">
        <v>0</v>
      </c>
      <c r="O10" s="15">
        <f t="shared" ref="O10:O57" si="0">SUM(C10:L10,N10)</f>
        <v>22</v>
      </c>
      <c r="P10" s="15">
        <f t="shared" ref="P10:P57" si="1">SUM(C10:N10)</f>
        <v>105</v>
      </c>
      <c r="R10" s="1" t="s">
        <v>6</v>
      </c>
      <c r="S10" s="17">
        <f t="shared" ref="S10:AF10" si="2">SUM(C10:C13)</f>
        <v>17</v>
      </c>
      <c r="T10" s="17">
        <f t="shared" si="2"/>
        <v>4</v>
      </c>
      <c r="U10" s="17">
        <f t="shared" si="2"/>
        <v>2</v>
      </c>
      <c r="V10" s="17">
        <f t="shared" si="2"/>
        <v>46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193</v>
      </c>
      <c r="AD10" s="17">
        <f t="shared" si="2"/>
        <v>0</v>
      </c>
      <c r="AE10" s="31">
        <f t="shared" si="2"/>
        <v>70</v>
      </c>
      <c r="AF10" s="31">
        <f t="shared" si="2"/>
        <v>263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126</v>
      </c>
      <c r="T11" s="17">
        <f t="shared" si="3"/>
        <v>51</v>
      </c>
      <c r="U11" s="17">
        <f t="shared" si="3"/>
        <v>24</v>
      </c>
      <c r="V11" s="17">
        <f t="shared" si="3"/>
        <v>247</v>
      </c>
      <c r="W11" s="17">
        <f t="shared" si="3"/>
        <v>3</v>
      </c>
      <c r="X11" s="17">
        <f t="shared" si="3"/>
        <v>0</v>
      </c>
      <c r="Y11" s="17">
        <f t="shared" si="3"/>
        <v>24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914</v>
      </c>
      <c r="AD11" s="17">
        <f t="shared" si="3"/>
        <v>0</v>
      </c>
      <c r="AE11" s="31">
        <f t="shared" si="3"/>
        <v>476</v>
      </c>
      <c r="AF11" s="31">
        <f t="shared" si="3"/>
        <v>1390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131</v>
      </c>
      <c r="T12" s="17">
        <f t="shared" si="4"/>
        <v>61</v>
      </c>
      <c r="U12" s="17">
        <f t="shared" si="4"/>
        <v>21</v>
      </c>
      <c r="V12" s="17">
        <f t="shared" si="4"/>
        <v>200</v>
      </c>
      <c r="W12" s="17">
        <f t="shared" si="4"/>
        <v>1</v>
      </c>
      <c r="X12" s="17">
        <f t="shared" si="4"/>
        <v>0</v>
      </c>
      <c r="Y12" s="17">
        <f t="shared" si="4"/>
        <v>10</v>
      </c>
      <c r="Z12" s="17">
        <f t="shared" si="4"/>
        <v>4</v>
      </c>
      <c r="AA12" s="17">
        <f t="shared" si="4"/>
        <v>1</v>
      </c>
      <c r="AB12" s="17">
        <f t="shared" si="4"/>
        <v>0</v>
      </c>
      <c r="AC12" s="17">
        <f t="shared" si="4"/>
        <v>894</v>
      </c>
      <c r="AD12" s="17">
        <f t="shared" si="4"/>
        <v>0</v>
      </c>
      <c r="AE12" s="31">
        <f t="shared" si="4"/>
        <v>429</v>
      </c>
      <c r="AF12" s="31">
        <f t="shared" si="4"/>
        <v>1323</v>
      </c>
    </row>
    <row r="13" spans="2:32" ht="23.1" customHeight="1" x14ac:dyDescent="0.25">
      <c r="B13" s="23" t="s">
        <v>40</v>
      </c>
      <c r="C13" s="50">
        <v>12</v>
      </c>
      <c r="D13" s="50">
        <v>2</v>
      </c>
      <c r="E13" s="50">
        <v>2</v>
      </c>
      <c r="F13" s="50">
        <v>31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110</v>
      </c>
      <c r="N13" s="50">
        <v>0</v>
      </c>
      <c r="O13" s="15">
        <f t="shared" si="0"/>
        <v>48</v>
      </c>
      <c r="P13" s="15">
        <f t="shared" si="1"/>
        <v>158</v>
      </c>
      <c r="R13" s="1" t="s">
        <v>9</v>
      </c>
      <c r="S13" s="17">
        <f t="shared" ref="S13:AF13" si="5">SUM(C22:C25)</f>
        <v>86</v>
      </c>
      <c r="T13" s="17">
        <f t="shared" si="5"/>
        <v>45</v>
      </c>
      <c r="U13" s="17">
        <f t="shared" si="5"/>
        <v>10</v>
      </c>
      <c r="V13" s="17">
        <f t="shared" si="5"/>
        <v>158</v>
      </c>
      <c r="W13" s="17">
        <f t="shared" si="5"/>
        <v>1</v>
      </c>
      <c r="X13" s="17">
        <f t="shared" si="5"/>
        <v>0</v>
      </c>
      <c r="Y13" s="17">
        <f t="shared" si="5"/>
        <v>14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704</v>
      </c>
      <c r="AD13" s="17">
        <f t="shared" si="5"/>
        <v>0</v>
      </c>
      <c r="AE13" s="31">
        <f t="shared" si="5"/>
        <v>315</v>
      </c>
      <c r="AF13" s="31">
        <f t="shared" si="5"/>
        <v>1019</v>
      </c>
    </row>
    <row r="14" spans="2:32" ht="23.1" customHeight="1" x14ac:dyDescent="0.25">
      <c r="B14" s="23" t="s">
        <v>41</v>
      </c>
      <c r="C14" s="50">
        <v>30</v>
      </c>
      <c r="D14" s="50">
        <v>12</v>
      </c>
      <c r="E14" s="50">
        <v>8</v>
      </c>
      <c r="F14" s="50">
        <v>61</v>
      </c>
      <c r="G14" s="50">
        <v>2</v>
      </c>
      <c r="H14" s="50">
        <v>0</v>
      </c>
      <c r="I14" s="50">
        <v>9</v>
      </c>
      <c r="J14" s="50">
        <v>0</v>
      </c>
      <c r="K14" s="50">
        <v>0</v>
      </c>
      <c r="L14" s="50">
        <v>0</v>
      </c>
      <c r="M14" s="50">
        <v>255</v>
      </c>
      <c r="N14" s="50">
        <v>0</v>
      </c>
      <c r="O14" s="15">
        <f t="shared" si="0"/>
        <v>122</v>
      </c>
      <c r="P14" s="15">
        <f t="shared" si="1"/>
        <v>377</v>
      </c>
      <c r="R14" s="1" t="s">
        <v>10</v>
      </c>
      <c r="S14" s="17">
        <f t="shared" ref="S14:AF14" si="6">SUM(C26:C29)</f>
        <v>114</v>
      </c>
      <c r="T14" s="17">
        <f t="shared" si="6"/>
        <v>32</v>
      </c>
      <c r="U14" s="17">
        <f t="shared" si="6"/>
        <v>21</v>
      </c>
      <c r="V14" s="17">
        <f t="shared" si="6"/>
        <v>124</v>
      </c>
      <c r="W14" s="17">
        <f t="shared" si="6"/>
        <v>2</v>
      </c>
      <c r="X14" s="17">
        <f t="shared" si="6"/>
        <v>0</v>
      </c>
      <c r="Y14" s="17">
        <f t="shared" si="6"/>
        <v>21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557</v>
      </c>
      <c r="AD14" s="17">
        <f t="shared" si="6"/>
        <v>0</v>
      </c>
      <c r="AE14" s="31">
        <f t="shared" si="6"/>
        <v>314</v>
      </c>
      <c r="AF14" s="31">
        <f t="shared" si="6"/>
        <v>871</v>
      </c>
    </row>
    <row r="15" spans="2:32" ht="23.1" customHeight="1" x14ac:dyDescent="0.25">
      <c r="B15" s="23" t="s">
        <v>42</v>
      </c>
      <c r="C15" s="50">
        <v>33</v>
      </c>
      <c r="D15" s="50">
        <v>12</v>
      </c>
      <c r="E15" s="50">
        <v>6</v>
      </c>
      <c r="F15" s="50">
        <v>65</v>
      </c>
      <c r="G15" s="50">
        <v>0</v>
      </c>
      <c r="H15" s="50">
        <v>0</v>
      </c>
      <c r="I15" s="50">
        <v>5</v>
      </c>
      <c r="J15" s="50">
        <v>0</v>
      </c>
      <c r="K15" s="50">
        <v>0</v>
      </c>
      <c r="L15" s="50">
        <v>0</v>
      </c>
      <c r="M15" s="50">
        <v>245</v>
      </c>
      <c r="N15" s="50">
        <v>0</v>
      </c>
      <c r="O15" s="15">
        <f t="shared" si="0"/>
        <v>121</v>
      </c>
      <c r="P15" s="15">
        <f t="shared" si="1"/>
        <v>366</v>
      </c>
      <c r="R15" s="1" t="s">
        <v>11</v>
      </c>
      <c r="S15" s="17">
        <f t="shared" ref="S15:AF15" si="7">SUM(C30:C33)</f>
        <v>84</v>
      </c>
      <c r="T15" s="17">
        <f t="shared" si="7"/>
        <v>30</v>
      </c>
      <c r="U15" s="17">
        <f t="shared" si="7"/>
        <v>10</v>
      </c>
      <c r="V15" s="17">
        <f t="shared" si="7"/>
        <v>111</v>
      </c>
      <c r="W15" s="17">
        <f t="shared" si="7"/>
        <v>1</v>
      </c>
      <c r="X15" s="17">
        <f t="shared" si="7"/>
        <v>0</v>
      </c>
      <c r="Y15" s="17">
        <f t="shared" si="7"/>
        <v>15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453</v>
      </c>
      <c r="AD15" s="17">
        <f t="shared" si="7"/>
        <v>0</v>
      </c>
      <c r="AE15" s="31">
        <f t="shared" si="7"/>
        <v>253</v>
      </c>
      <c r="AF15" s="31">
        <f t="shared" si="7"/>
        <v>706</v>
      </c>
    </row>
    <row r="16" spans="2:32" ht="23.1" customHeight="1" x14ac:dyDescent="0.25">
      <c r="B16" s="23" t="s">
        <v>43</v>
      </c>
      <c r="C16" s="50">
        <v>38</v>
      </c>
      <c r="D16" s="50">
        <v>14</v>
      </c>
      <c r="E16" s="50">
        <v>1</v>
      </c>
      <c r="F16" s="50">
        <v>69</v>
      </c>
      <c r="G16" s="50">
        <v>0</v>
      </c>
      <c r="H16" s="50">
        <v>0</v>
      </c>
      <c r="I16" s="50">
        <v>5</v>
      </c>
      <c r="J16" s="50">
        <v>0</v>
      </c>
      <c r="K16" s="50">
        <v>0</v>
      </c>
      <c r="L16" s="50">
        <v>0</v>
      </c>
      <c r="M16" s="50">
        <v>185</v>
      </c>
      <c r="N16" s="50">
        <v>0</v>
      </c>
      <c r="O16" s="15">
        <f t="shared" si="0"/>
        <v>127</v>
      </c>
      <c r="P16" s="15">
        <f t="shared" si="1"/>
        <v>312</v>
      </c>
      <c r="R16" s="1" t="s">
        <v>12</v>
      </c>
      <c r="S16" s="17">
        <f t="shared" ref="S16:AF16" si="8">SUM(C34:C37)</f>
        <v>59</v>
      </c>
      <c r="T16" s="17">
        <f t="shared" si="8"/>
        <v>28</v>
      </c>
      <c r="U16" s="17">
        <f t="shared" si="8"/>
        <v>18</v>
      </c>
      <c r="V16" s="17">
        <f t="shared" si="8"/>
        <v>78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289</v>
      </c>
      <c r="AD16" s="17">
        <f t="shared" si="8"/>
        <v>0</v>
      </c>
      <c r="AE16" s="31">
        <f t="shared" si="8"/>
        <v>192</v>
      </c>
      <c r="AF16" s="31">
        <f t="shared" si="8"/>
        <v>481</v>
      </c>
    </row>
    <row r="17" spans="2:32" ht="23.1" customHeight="1" x14ac:dyDescent="0.25">
      <c r="B17" s="23" t="s">
        <v>44</v>
      </c>
      <c r="C17" s="50">
        <v>25</v>
      </c>
      <c r="D17" s="50">
        <v>13</v>
      </c>
      <c r="E17" s="50">
        <v>9</v>
      </c>
      <c r="F17" s="50">
        <v>52</v>
      </c>
      <c r="G17" s="50">
        <v>1</v>
      </c>
      <c r="H17" s="50">
        <v>0</v>
      </c>
      <c r="I17" s="50">
        <v>5</v>
      </c>
      <c r="J17" s="50">
        <v>0</v>
      </c>
      <c r="K17" s="50">
        <v>1</v>
      </c>
      <c r="L17" s="50">
        <v>0</v>
      </c>
      <c r="M17" s="50">
        <v>229</v>
      </c>
      <c r="N17" s="50">
        <v>0</v>
      </c>
      <c r="O17" s="15">
        <f t="shared" si="0"/>
        <v>106</v>
      </c>
      <c r="P17" s="15">
        <f t="shared" si="1"/>
        <v>335</v>
      </c>
      <c r="R17" s="1" t="s">
        <v>13</v>
      </c>
      <c r="S17" s="17">
        <f t="shared" ref="S17:AF17" si="9">SUM(C38:C41)</f>
        <v>77</v>
      </c>
      <c r="T17" s="17">
        <f t="shared" si="9"/>
        <v>21</v>
      </c>
      <c r="U17" s="17">
        <f t="shared" si="9"/>
        <v>14</v>
      </c>
      <c r="V17" s="17">
        <f t="shared" si="9"/>
        <v>81</v>
      </c>
      <c r="W17" s="17">
        <f t="shared" si="9"/>
        <v>0</v>
      </c>
      <c r="X17" s="17">
        <f t="shared" si="9"/>
        <v>0</v>
      </c>
      <c r="Y17" s="17">
        <f t="shared" si="9"/>
        <v>11</v>
      </c>
      <c r="Z17" s="17">
        <f t="shared" si="9"/>
        <v>0</v>
      </c>
      <c r="AA17" s="17">
        <f t="shared" si="9"/>
        <v>1</v>
      </c>
      <c r="AB17" s="17">
        <f t="shared" si="9"/>
        <v>0</v>
      </c>
      <c r="AC17" s="17">
        <f t="shared" si="9"/>
        <v>364</v>
      </c>
      <c r="AD17" s="17">
        <f t="shared" si="9"/>
        <v>0</v>
      </c>
      <c r="AE17" s="31">
        <f t="shared" si="9"/>
        <v>205</v>
      </c>
      <c r="AF17" s="31">
        <f t="shared" si="9"/>
        <v>569</v>
      </c>
    </row>
    <row r="18" spans="2:32" ht="23.1" customHeight="1" x14ac:dyDescent="0.25">
      <c r="B18" s="23" t="s">
        <v>45</v>
      </c>
      <c r="C18" s="50">
        <v>29</v>
      </c>
      <c r="D18" s="50">
        <v>14</v>
      </c>
      <c r="E18" s="50">
        <v>5</v>
      </c>
      <c r="F18" s="50">
        <v>55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240</v>
      </c>
      <c r="N18" s="50">
        <v>0</v>
      </c>
      <c r="O18" s="15">
        <f t="shared" si="0"/>
        <v>103</v>
      </c>
      <c r="P18" s="15">
        <f t="shared" si="1"/>
        <v>343</v>
      </c>
      <c r="R18" s="1" t="s">
        <v>14</v>
      </c>
      <c r="S18" s="17">
        <f t="shared" ref="S18:AF18" si="10">SUM(C42:C45)</f>
        <v>63</v>
      </c>
      <c r="T18" s="17">
        <f t="shared" si="10"/>
        <v>19</v>
      </c>
      <c r="U18" s="17">
        <f t="shared" si="10"/>
        <v>11</v>
      </c>
      <c r="V18" s="17">
        <f t="shared" si="10"/>
        <v>60</v>
      </c>
      <c r="W18" s="17">
        <f t="shared" si="10"/>
        <v>0</v>
      </c>
      <c r="X18" s="17">
        <f t="shared" si="10"/>
        <v>0</v>
      </c>
      <c r="Y18" s="17">
        <f t="shared" si="10"/>
        <v>11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116</v>
      </c>
      <c r="AD18" s="17">
        <f t="shared" si="10"/>
        <v>0</v>
      </c>
      <c r="AE18" s="31">
        <f t="shared" si="10"/>
        <v>164</v>
      </c>
      <c r="AF18" s="31">
        <f t="shared" si="10"/>
        <v>280</v>
      </c>
    </row>
    <row r="19" spans="2:32" ht="23.1" customHeight="1" x14ac:dyDescent="0.25">
      <c r="B19" s="23" t="s">
        <v>46</v>
      </c>
      <c r="C19" s="50">
        <v>39</v>
      </c>
      <c r="D19" s="50">
        <v>18</v>
      </c>
      <c r="E19" s="50">
        <v>5</v>
      </c>
      <c r="F19" s="50">
        <v>54</v>
      </c>
      <c r="G19" s="50">
        <v>0</v>
      </c>
      <c r="H19" s="50">
        <v>0</v>
      </c>
      <c r="I19" s="50">
        <v>4</v>
      </c>
      <c r="J19" s="50">
        <v>1</v>
      </c>
      <c r="K19" s="50">
        <v>0</v>
      </c>
      <c r="L19" s="50">
        <v>0</v>
      </c>
      <c r="M19" s="50">
        <v>230</v>
      </c>
      <c r="N19" s="50">
        <v>0</v>
      </c>
      <c r="O19" s="15">
        <f t="shared" si="0"/>
        <v>121</v>
      </c>
      <c r="P19" s="15">
        <f t="shared" si="1"/>
        <v>351</v>
      </c>
      <c r="R19" s="1" t="s">
        <v>15</v>
      </c>
      <c r="S19" s="17">
        <f t="shared" ref="S19:AF19" si="11">SUM(C46:C49)</f>
        <v>107</v>
      </c>
      <c r="T19" s="17">
        <f t="shared" si="11"/>
        <v>35</v>
      </c>
      <c r="U19" s="17">
        <f t="shared" si="11"/>
        <v>9</v>
      </c>
      <c r="V19" s="17">
        <f t="shared" si="11"/>
        <v>88</v>
      </c>
      <c r="W19" s="17">
        <f t="shared" si="11"/>
        <v>2</v>
      </c>
      <c r="X19" s="17">
        <f t="shared" si="11"/>
        <v>0</v>
      </c>
      <c r="Y19" s="17">
        <f t="shared" si="11"/>
        <v>23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483</v>
      </c>
      <c r="AD19" s="17">
        <f t="shared" si="11"/>
        <v>0</v>
      </c>
      <c r="AE19" s="31">
        <f t="shared" si="11"/>
        <v>266</v>
      </c>
      <c r="AF19" s="31">
        <f t="shared" si="11"/>
        <v>749</v>
      </c>
    </row>
    <row r="20" spans="2:32" ht="23.1" customHeight="1" x14ac:dyDescent="0.25">
      <c r="B20" s="23" t="s">
        <v>47</v>
      </c>
      <c r="C20" s="50">
        <v>29</v>
      </c>
      <c r="D20" s="50">
        <v>16</v>
      </c>
      <c r="E20" s="50">
        <v>6</v>
      </c>
      <c r="F20" s="50">
        <v>49</v>
      </c>
      <c r="G20" s="50">
        <v>1</v>
      </c>
      <c r="H20" s="50">
        <v>0</v>
      </c>
      <c r="I20" s="50">
        <v>0</v>
      </c>
      <c r="J20" s="50">
        <v>3</v>
      </c>
      <c r="K20" s="50">
        <v>1</v>
      </c>
      <c r="L20" s="50">
        <v>0</v>
      </c>
      <c r="M20" s="50">
        <v>230</v>
      </c>
      <c r="N20" s="50">
        <v>0</v>
      </c>
      <c r="O20" s="15">
        <f t="shared" si="0"/>
        <v>105</v>
      </c>
      <c r="P20" s="15">
        <f t="shared" si="1"/>
        <v>335</v>
      </c>
      <c r="R20" s="1" t="s">
        <v>16</v>
      </c>
      <c r="S20" s="17">
        <f t="shared" ref="S20:AF20" si="12">SUM(C50:C53)</f>
        <v>102</v>
      </c>
      <c r="T20" s="17">
        <f t="shared" si="12"/>
        <v>26</v>
      </c>
      <c r="U20" s="17">
        <f t="shared" si="12"/>
        <v>12</v>
      </c>
      <c r="V20" s="17">
        <f t="shared" si="12"/>
        <v>107</v>
      </c>
      <c r="W20" s="17">
        <f t="shared" si="12"/>
        <v>3</v>
      </c>
      <c r="X20" s="17">
        <f t="shared" si="12"/>
        <v>0</v>
      </c>
      <c r="Y20" s="17">
        <f t="shared" si="12"/>
        <v>13</v>
      </c>
      <c r="Z20" s="17">
        <f t="shared" si="12"/>
        <v>1</v>
      </c>
      <c r="AA20" s="17">
        <f t="shared" si="12"/>
        <v>1</v>
      </c>
      <c r="AB20" s="17">
        <f t="shared" si="12"/>
        <v>0</v>
      </c>
      <c r="AC20" s="17">
        <f t="shared" si="12"/>
        <v>557</v>
      </c>
      <c r="AD20" s="17">
        <f t="shared" si="12"/>
        <v>0</v>
      </c>
      <c r="AE20" s="31">
        <f t="shared" si="12"/>
        <v>265</v>
      </c>
      <c r="AF20" s="31">
        <f t="shared" si="12"/>
        <v>822</v>
      </c>
    </row>
    <row r="21" spans="2:32" ht="23.1" customHeight="1" x14ac:dyDescent="0.25">
      <c r="B21" s="23" t="s">
        <v>48</v>
      </c>
      <c r="C21" s="50">
        <v>34</v>
      </c>
      <c r="D21" s="50">
        <v>13</v>
      </c>
      <c r="E21" s="50">
        <v>5</v>
      </c>
      <c r="F21" s="50">
        <v>42</v>
      </c>
      <c r="G21" s="50">
        <v>0</v>
      </c>
      <c r="H21" s="50">
        <v>0</v>
      </c>
      <c r="I21" s="50">
        <v>6</v>
      </c>
      <c r="J21" s="50">
        <v>0</v>
      </c>
      <c r="K21" s="50">
        <v>0</v>
      </c>
      <c r="L21" s="50">
        <v>0</v>
      </c>
      <c r="M21" s="50">
        <v>194</v>
      </c>
      <c r="N21" s="50">
        <v>0</v>
      </c>
      <c r="O21" s="15">
        <f t="shared" si="0"/>
        <v>100</v>
      </c>
      <c r="P21" s="15">
        <f t="shared" si="1"/>
        <v>294</v>
      </c>
      <c r="R21" s="36" t="s">
        <v>20</v>
      </c>
      <c r="S21" s="34">
        <f t="shared" ref="S21:AF21" si="13">SUM(C54:C57)</f>
        <v>60</v>
      </c>
      <c r="T21" s="17">
        <f t="shared" si="13"/>
        <v>25</v>
      </c>
      <c r="U21" s="17">
        <f t="shared" si="13"/>
        <v>6</v>
      </c>
      <c r="V21" s="17">
        <f t="shared" si="13"/>
        <v>108</v>
      </c>
      <c r="W21" s="17">
        <f t="shared" si="13"/>
        <v>2</v>
      </c>
      <c r="X21" s="17">
        <f t="shared" si="13"/>
        <v>1</v>
      </c>
      <c r="Y21" s="17">
        <f t="shared" si="13"/>
        <v>8</v>
      </c>
      <c r="Z21" s="17">
        <f t="shared" si="13"/>
        <v>5</v>
      </c>
      <c r="AA21" s="17">
        <f t="shared" si="13"/>
        <v>2</v>
      </c>
      <c r="AB21" s="17">
        <f t="shared" si="13"/>
        <v>0</v>
      </c>
      <c r="AC21" s="17">
        <f t="shared" si="13"/>
        <v>512</v>
      </c>
      <c r="AD21" s="17">
        <f t="shared" si="13"/>
        <v>0</v>
      </c>
      <c r="AE21" s="31">
        <f t="shared" si="13"/>
        <v>217</v>
      </c>
      <c r="AF21" s="31">
        <f t="shared" si="13"/>
        <v>729</v>
      </c>
    </row>
    <row r="22" spans="2:32" ht="23.1" customHeight="1" x14ac:dyDescent="0.25">
      <c r="B22" s="23" t="s">
        <v>49</v>
      </c>
      <c r="C22" s="50">
        <v>21</v>
      </c>
      <c r="D22" s="50">
        <v>15</v>
      </c>
      <c r="E22" s="50">
        <v>2</v>
      </c>
      <c r="F22" s="50">
        <v>56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210</v>
      </c>
      <c r="N22" s="50">
        <v>0</v>
      </c>
      <c r="O22" s="15">
        <f t="shared" si="0"/>
        <v>97</v>
      </c>
      <c r="P22" s="15">
        <f t="shared" si="1"/>
        <v>307</v>
      </c>
      <c r="R22" s="38" t="s">
        <v>90</v>
      </c>
      <c r="S22" s="39">
        <f>MAX(S10:S12)</f>
        <v>131</v>
      </c>
      <c r="T22" s="39">
        <f t="shared" ref="T22:AF22" si="14">MAX(T10:T12)</f>
        <v>61</v>
      </c>
      <c r="U22" s="39">
        <f t="shared" si="14"/>
        <v>24</v>
      </c>
      <c r="V22" s="39">
        <f t="shared" si="14"/>
        <v>247</v>
      </c>
      <c r="W22" s="39">
        <f t="shared" si="14"/>
        <v>3</v>
      </c>
      <c r="X22" s="39">
        <f t="shared" si="14"/>
        <v>0</v>
      </c>
      <c r="Y22" s="39">
        <f t="shared" si="14"/>
        <v>24</v>
      </c>
      <c r="Z22" s="39">
        <f t="shared" si="14"/>
        <v>4</v>
      </c>
      <c r="AA22" s="39">
        <f t="shared" si="14"/>
        <v>1</v>
      </c>
      <c r="AB22" s="39">
        <f t="shared" si="14"/>
        <v>0</v>
      </c>
      <c r="AC22" s="39">
        <f t="shared" si="14"/>
        <v>914</v>
      </c>
      <c r="AD22" s="39">
        <f t="shared" si="14"/>
        <v>0</v>
      </c>
      <c r="AE22" s="40">
        <f t="shared" si="14"/>
        <v>476</v>
      </c>
      <c r="AF22" s="40">
        <f t="shared" si="14"/>
        <v>1390</v>
      </c>
    </row>
    <row r="23" spans="2:32" ht="23.1" customHeight="1" x14ac:dyDescent="0.25">
      <c r="B23" s="23" t="s">
        <v>50</v>
      </c>
      <c r="C23" s="50">
        <v>23</v>
      </c>
      <c r="D23" s="50">
        <v>12</v>
      </c>
      <c r="E23" s="50">
        <v>1</v>
      </c>
      <c r="F23" s="50">
        <v>40</v>
      </c>
      <c r="G23" s="50">
        <v>1</v>
      </c>
      <c r="H23" s="50">
        <v>0</v>
      </c>
      <c r="I23" s="50">
        <v>3</v>
      </c>
      <c r="J23" s="50">
        <v>1</v>
      </c>
      <c r="K23" s="50">
        <v>0</v>
      </c>
      <c r="L23" s="50">
        <v>0</v>
      </c>
      <c r="M23" s="50">
        <v>191</v>
      </c>
      <c r="N23" s="50">
        <v>0</v>
      </c>
      <c r="O23" s="15">
        <f t="shared" si="0"/>
        <v>81</v>
      </c>
      <c r="P23" s="15">
        <f t="shared" si="1"/>
        <v>272</v>
      </c>
      <c r="R23" s="38" t="s">
        <v>91</v>
      </c>
      <c r="S23" s="39">
        <f>MAX(S13:S18)</f>
        <v>114</v>
      </c>
      <c r="T23" s="39">
        <f t="shared" ref="T23:AF23" si="15">MAX(T13:T18)</f>
        <v>45</v>
      </c>
      <c r="U23" s="39">
        <f t="shared" si="15"/>
        <v>21</v>
      </c>
      <c r="V23" s="39">
        <f t="shared" si="15"/>
        <v>158</v>
      </c>
      <c r="W23" s="39">
        <f t="shared" si="15"/>
        <v>2</v>
      </c>
      <c r="X23" s="39">
        <f t="shared" si="15"/>
        <v>0</v>
      </c>
      <c r="Y23" s="39">
        <f t="shared" si="15"/>
        <v>21</v>
      </c>
      <c r="Z23" s="39">
        <f t="shared" si="15"/>
        <v>2</v>
      </c>
      <c r="AA23" s="39">
        <f t="shared" si="15"/>
        <v>1</v>
      </c>
      <c r="AB23" s="39">
        <f t="shared" si="15"/>
        <v>0</v>
      </c>
      <c r="AC23" s="39">
        <f t="shared" si="15"/>
        <v>704</v>
      </c>
      <c r="AD23" s="39">
        <f t="shared" si="15"/>
        <v>0</v>
      </c>
      <c r="AE23" s="40">
        <f t="shared" si="15"/>
        <v>315</v>
      </c>
      <c r="AF23" s="40">
        <f t="shared" si="15"/>
        <v>1019</v>
      </c>
    </row>
    <row r="24" spans="2:32" ht="23.1" customHeight="1" x14ac:dyDescent="0.25">
      <c r="B24" s="23" t="s">
        <v>51</v>
      </c>
      <c r="C24" s="50">
        <v>21</v>
      </c>
      <c r="D24" s="50">
        <v>8</v>
      </c>
      <c r="E24" s="50">
        <v>6</v>
      </c>
      <c r="F24" s="50">
        <v>28</v>
      </c>
      <c r="G24" s="50">
        <v>0</v>
      </c>
      <c r="H24" s="50">
        <v>0</v>
      </c>
      <c r="I24" s="50">
        <v>5</v>
      </c>
      <c r="J24" s="50">
        <v>0</v>
      </c>
      <c r="K24" s="50">
        <v>0</v>
      </c>
      <c r="L24" s="50">
        <v>0</v>
      </c>
      <c r="M24" s="50">
        <v>166</v>
      </c>
      <c r="N24" s="50">
        <v>0</v>
      </c>
      <c r="O24" s="15">
        <f t="shared" si="0"/>
        <v>68</v>
      </c>
      <c r="P24" s="15">
        <f t="shared" si="1"/>
        <v>234</v>
      </c>
      <c r="R24" s="38" t="s">
        <v>92</v>
      </c>
      <c r="S24" s="39">
        <f>MAX(S19:S21)</f>
        <v>107</v>
      </c>
      <c r="T24" s="39">
        <f t="shared" ref="T24:AF24" si="16">MAX(T19:T21)</f>
        <v>35</v>
      </c>
      <c r="U24" s="39">
        <f t="shared" si="16"/>
        <v>12</v>
      </c>
      <c r="V24" s="39">
        <f t="shared" si="16"/>
        <v>108</v>
      </c>
      <c r="W24" s="39">
        <f t="shared" si="16"/>
        <v>3</v>
      </c>
      <c r="X24" s="39">
        <f t="shared" si="16"/>
        <v>1</v>
      </c>
      <c r="Y24" s="39">
        <f t="shared" si="16"/>
        <v>23</v>
      </c>
      <c r="Z24" s="39">
        <f t="shared" si="16"/>
        <v>5</v>
      </c>
      <c r="AA24" s="39">
        <f t="shared" si="16"/>
        <v>2</v>
      </c>
      <c r="AB24" s="39">
        <f t="shared" si="16"/>
        <v>0</v>
      </c>
      <c r="AC24" s="39">
        <f t="shared" si="16"/>
        <v>557</v>
      </c>
      <c r="AD24" s="39">
        <f t="shared" si="16"/>
        <v>0</v>
      </c>
      <c r="AE24" s="40">
        <f t="shared" si="16"/>
        <v>266</v>
      </c>
      <c r="AF24" s="40">
        <f t="shared" si="16"/>
        <v>822</v>
      </c>
    </row>
    <row r="25" spans="2:32" ht="23.1" customHeight="1" x14ac:dyDescent="0.25">
      <c r="B25" s="23" t="s">
        <v>52</v>
      </c>
      <c r="C25" s="50">
        <v>21</v>
      </c>
      <c r="D25" s="50">
        <v>10</v>
      </c>
      <c r="E25" s="50">
        <v>1</v>
      </c>
      <c r="F25" s="50">
        <v>34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137</v>
      </c>
      <c r="N25" s="50">
        <v>0</v>
      </c>
      <c r="O25" s="15">
        <f t="shared" si="0"/>
        <v>69</v>
      </c>
      <c r="P25" s="15">
        <f t="shared" si="1"/>
        <v>206</v>
      </c>
      <c r="R25" s="37" t="s">
        <v>85</v>
      </c>
      <c r="S25" s="35">
        <f t="shared" ref="S25:AF25" si="17">SUM(S10:S12)</f>
        <v>274</v>
      </c>
      <c r="T25" s="16">
        <f t="shared" si="17"/>
        <v>116</v>
      </c>
      <c r="U25" s="16">
        <f t="shared" si="17"/>
        <v>47</v>
      </c>
      <c r="V25" s="16">
        <f t="shared" si="17"/>
        <v>493</v>
      </c>
      <c r="W25" s="16">
        <f t="shared" si="17"/>
        <v>4</v>
      </c>
      <c r="X25" s="16">
        <f t="shared" si="17"/>
        <v>0</v>
      </c>
      <c r="Y25" s="16">
        <f t="shared" si="17"/>
        <v>35</v>
      </c>
      <c r="Z25" s="16">
        <f t="shared" si="17"/>
        <v>4</v>
      </c>
      <c r="AA25" s="16">
        <f t="shared" si="17"/>
        <v>2</v>
      </c>
      <c r="AB25" s="16">
        <f t="shared" si="17"/>
        <v>0</v>
      </c>
      <c r="AC25" s="16">
        <f t="shared" si="17"/>
        <v>2001</v>
      </c>
      <c r="AD25" s="16">
        <f t="shared" si="17"/>
        <v>0</v>
      </c>
      <c r="AE25" s="32">
        <f t="shared" si="17"/>
        <v>975</v>
      </c>
      <c r="AF25" s="32">
        <f t="shared" si="17"/>
        <v>2976</v>
      </c>
    </row>
    <row r="26" spans="2:32" ht="23.1" customHeight="1" x14ac:dyDescent="0.25">
      <c r="B26" s="23" t="s">
        <v>53</v>
      </c>
      <c r="C26" s="50">
        <v>32</v>
      </c>
      <c r="D26" s="50">
        <v>5</v>
      </c>
      <c r="E26" s="50">
        <v>4</v>
      </c>
      <c r="F26" s="50">
        <v>36</v>
      </c>
      <c r="G26" s="50">
        <v>0</v>
      </c>
      <c r="H26" s="50">
        <v>0</v>
      </c>
      <c r="I26" s="50">
        <v>6</v>
      </c>
      <c r="J26" s="50">
        <v>0</v>
      </c>
      <c r="K26" s="50">
        <v>0</v>
      </c>
      <c r="L26" s="50">
        <v>0</v>
      </c>
      <c r="M26" s="50">
        <v>125</v>
      </c>
      <c r="N26" s="50">
        <v>0</v>
      </c>
      <c r="O26" s="15">
        <f t="shared" si="0"/>
        <v>83</v>
      </c>
      <c r="P26" s="15">
        <f t="shared" si="1"/>
        <v>208</v>
      </c>
      <c r="R26" s="28" t="s">
        <v>86</v>
      </c>
      <c r="S26" s="16">
        <f t="shared" ref="S26:AF26" si="18">SUM(S13:S18)</f>
        <v>483</v>
      </c>
      <c r="T26" s="16">
        <f t="shared" si="18"/>
        <v>175</v>
      </c>
      <c r="U26" s="16">
        <f t="shared" si="18"/>
        <v>84</v>
      </c>
      <c r="V26" s="16">
        <f t="shared" si="18"/>
        <v>612</v>
      </c>
      <c r="W26" s="16">
        <f t="shared" si="18"/>
        <v>4</v>
      </c>
      <c r="X26" s="16">
        <f t="shared" si="18"/>
        <v>0</v>
      </c>
      <c r="Y26" s="16">
        <f t="shared" si="18"/>
        <v>79</v>
      </c>
      <c r="Z26" s="16">
        <f t="shared" si="18"/>
        <v>5</v>
      </c>
      <c r="AA26" s="16">
        <f t="shared" si="18"/>
        <v>1</v>
      </c>
      <c r="AB26" s="16">
        <f t="shared" si="18"/>
        <v>0</v>
      </c>
      <c r="AC26" s="16">
        <f t="shared" si="18"/>
        <v>2483</v>
      </c>
      <c r="AD26" s="16">
        <f t="shared" si="18"/>
        <v>0</v>
      </c>
      <c r="AE26" s="32">
        <f t="shared" si="18"/>
        <v>1443</v>
      </c>
      <c r="AF26" s="32">
        <f t="shared" si="18"/>
        <v>3926</v>
      </c>
    </row>
    <row r="27" spans="2:32" ht="23.1" customHeight="1" x14ac:dyDescent="0.25">
      <c r="B27" s="23" t="s">
        <v>54</v>
      </c>
      <c r="C27" s="50">
        <v>24</v>
      </c>
      <c r="D27" s="50">
        <v>6</v>
      </c>
      <c r="E27" s="50">
        <v>4</v>
      </c>
      <c r="F27" s="50">
        <v>26</v>
      </c>
      <c r="G27" s="50">
        <v>1</v>
      </c>
      <c r="H27" s="50">
        <v>0</v>
      </c>
      <c r="I27" s="50">
        <v>5</v>
      </c>
      <c r="J27" s="50">
        <v>0</v>
      </c>
      <c r="K27" s="50">
        <v>0</v>
      </c>
      <c r="L27" s="50">
        <v>0</v>
      </c>
      <c r="M27" s="50">
        <v>135</v>
      </c>
      <c r="N27" s="50">
        <v>0</v>
      </c>
      <c r="O27" s="15">
        <f t="shared" si="0"/>
        <v>66</v>
      </c>
      <c r="P27" s="15">
        <f t="shared" si="1"/>
        <v>201</v>
      </c>
      <c r="R27" s="29" t="s">
        <v>87</v>
      </c>
      <c r="S27" s="16">
        <f t="shared" ref="S27:AF27" si="19">SUM(S19:S21)</f>
        <v>269</v>
      </c>
      <c r="T27" s="16">
        <f t="shared" si="19"/>
        <v>86</v>
      </c>
      <c r="U27" s="16">
        <f t="shared" si="19"/>
        <v>27</v>
      </c>
      <c r="V27" s="16">
        <f t="shared" si="19"/>
        <v>303</v>
      </c>
      <c r="W27" s="16">
        <f t="shared" si="19"/>
        <v>7</v>
      </c>
      <c r="X27" s="16">
        <f t="shared" si="19"/>
        <v>1</v>
      </c>
      <c r="Y27" s="16">
        <f t="shared" si="19"/>
        <v>44</v>
      </c>
      <c r="Z27" s="16">
        <f t="shared" si="19"/>
        <v>8</v>
      </c>
      <c r="AA27" s="16">
        <f t="shared" si="19"/>
        <v>3</v>
      </c>
      <c r="AB27" s="16">
        <f t="shared" si="19"/>
        <v>0</v>
      </c>
      <c r="AC27" s="16">
        <f t="shared" si="19"/>
        <v>1552</v>
      </c>
      <c r="AD27" s="16">
        <f t="shared" si="19"/>
        <v>0</v>
      </c>
      <c r="AE27" s="32">
        <f t="shared" si="19"/>
        <v>748</v>
      </c>
      <c r="AF27" s="32">
        <f t="shared" si="19"/>
        <v>2300</v>
      </c>
    </row>
    <row r="28" spans="2:32" ht="23.1" customHeight="1" x14ac:dyDescent="0.25">
      <c r="B28" s="23" t="s">
        <v>55</v>
      </c>
      <c r="C28" s="50">
        <v>30</v>
      </c>
      <c r="D28" s="50">
        <v>14</v>
      </c>
      <c r="E28" s="50">
        <v>7</v>
      </c>
      <c r="F28" s="50">
        <v>33</v>
      </c>
      <c r="G28" s="50">
        <v>0</v>
      </c>
      <c r="H28" s="50">
        <v>0</v>
      </c>
      <c r="I28" s="50">
        <v>7</v>
      </c>
      <c r="J28" s="50">
        <v>0</v>
      </c>
      <c r="K28" s="50">
        <v>0</v>
      </c>
      <c r="L28" s="50">
        <v>0</v>
      </c>
      <c r="M28" s="50">
        <v>163</v>
      </c>
      <c r="N28" s="50">
        <v>0</v>
      </c>
      <c r="O28" s="15">
        <f t="shared" si="0"/>
        <v>91</v>
      </c>
      <c r="P28" s="15">
        <f t="shared" si="1"/>
        <v>254</v>
      </c>
      <c r="R28" s="5" t="s">
        <v>17</v>
      </c>
      <c r="S28" s="16">
        <f t="shared" ref="S28:AF28" si="20">SUM(S10:S21)</f>
        <v>1026</v>
      </c>
      <c r="T28" s="16">
        <f t="shared" si="20"/>
        <v>377</v>
      </c>
      <c r="U28" s="16">
        <f t="shared" si="20"/>
        <v>158</v>
      </c>
      <c r="V28" s="16">
        <f t="shared" si="20"/>
        <v>1408</v>
      </c>
      <c r="W28" s="16">
        <f t="shared" si="20"/>
        <v>15</v>
      </c>
      <c r="X28" s="16">
        <f t="shared" si="20"/>
        <v>1</v>
      </c>
      <c r="Y28" s="16">
        <f t="shared" si="20"/>
        <v>158</v>
      </c>
      <c r="Z28" s="16">
        <f t="shared" si="20"/>
        <v>17</v>
      </c>
      <c r="AA28" s="16">
        <f t="shared" si="20"/>
        <v>6</v>
      </c>
      <c r="AB28" s="16">
        <f t="shared" si="20"/>
        <v>0</v>
      </c>
      <c r="AC28" s="16">
        <f t="shared" si="20"/>
        <v>6036</v>
      </c>
      <c r="AD28" s="16">
        <f t="shared" si="20"/>
        <v>0</v>
      </c>
      <c r="AE28" s="32">
        <f t="shared" si="20"/>
        <v>3166</v>
      </c>
      <c r="AF28" s="32">
        <f t="shared" si="20"/>
        <v>9202</v>
      </c>
    </row>
    <row r="29" spans="2:32" ht="23.1" customHeight="1" x14ac:dyDescent="0.25">
      <c r="B29" s="23" t="s">
        <v>56</v>
      </c>
      <c r="C29" s="50">
        <v>28</v>
      </c>
      <c r="D29" s="50">
        <v>7</v>
      </c>
      <c r="E29" s="50">
        <v>6</v>
      </c>
      <c r="F29" s="50">
        <v>29</v>
      </c>
      <c r="G29" s="50">
        <v>1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134</v>
      </c>
      <c r="N29" s="50">
        <v>0</v>
      </c>
      <c r="O29" s="15">
        <f t="shared" si="0"/>
        <v>74</v>
      </c>
      <c r="P29" s="15">
        <f t="shared" si="1"/>
        <v>208</v>
      </c>
      <c r="R29"/>
      <c r="S29" s="20"/>
      <c r="T29" s="19"/>
    </row>
    <row r="30" spans="2:32" ht="23.1" customHeight="1" x14ac:dyDescent="0.25">
      <c r="B30" s="23" t="s">
        <v>57</v>
      </c>
      <c r="C30" s="50">
        <v>29</v>
      </c>
      <c r="D30" s="50">
        <v>6</v>
      </c>
      <c r="E30" s="50">
        <v>4</v>
      </c>
      <c r="F30" s="50">
        <v>30</v>
      </c>
      <c r="G30" s="50">
        <v>0</v>
      </c>
      <c r="H30" s="50">
        <v>0</v>
      </c>
      <c r="I30" s="50">
        <v>7</v>
      </c>
      <c r="J30" s="50">
        <v>0</v>
      </c>
      <c r="K30" s="50">
        <v>0</v>
      </c>
      <c r="L30" s="50">
        <v>0</v>
      </c>
      <c r="M30" s="50">
        <v>128</v>
      </c>
      <c r="N30" s="50">
        <v>0</v>
      </c>
      <c r="O30" s="15">
        <f t="shared" si="0"/>
        <v>76</v>
      </c>
      <c r="P30" s="15">
        <f t="shared" si="1"/>
        <v>204</v>
      </c>
    </row>
    <row r="31" spans="2:32" ht="23.1" customHeight="1" x14ac:dyDescent="0.25">
      <c r="B31" s="24" t="s">
        <v>58</v>
      </c>
      <c r="C31" s="50">
        <v>23</v>
      </c>
      <c r="D31" s="50">
        <v>9</v>
      </c>
      <c r="E31" s="50">
        <v>4</v>
      </c>
      <c r="F31" s="50">
        <v>29</v>
      </c>
      <c r="G31" s="50">
        <v>0</v>
      </c>
      <c r="H31" s="50">
        <v>0</v>
      </c>
      <c r="I31" s="50">
        <v>6</v>
      </c>
      <c r="J31" s="50">
        <v>0</v>
      </c>
      <c r="K31" s="50">
        <v>0</v>
      </c>
      <c r="L31" s="50">
        <v>0</v>
      </c>
      <c r="M31" s="50">
        <v>130</v>
      </c>
      <c r="N31" s="50">
        <v>0</v>
      </c>
      <c r="O31" s="15">
        <f t="shared" si="0"/>
        <v>71</v>
      </c>
      <c r="P31" s="15">
        <f t="shared" si="1"/>
        <v>201</v>
      </c>
    </row>
    <row r="32" spans="2:32" ht="23.1" customHeight="1" x14ac:dyDescent="0.25">
      <c r="B32" s="24" t="s">
        <v>59</v>
      </c>
      <c r="C32" s="50">
        <v>22</v>
      </c>
      <c r="D32" s="50">
        <v>8</v>
      </c>
      <c r="E32" s="50">
        <v>0</v>
      </c>
      <c r="F32" s="50">
        <v>26</v>
      </c>
      <c r="G32" s="50">
        <v>1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108</v>
      </c>
      <c r="N32" s="50">
        <v>0</v>
      </c>
      <c r="O32" s="15">
        <f t="shared" si="0"/>
        <v>58</v>
      </c>
      <c r="P32" s="15">
        <f t="shared" si="1"/>
        <v>166</v>
      </c>
    </row>
    <row r="33" spans="2:20" ht="23.1" customHeight="1" x14ac:dyDescent="0.25">
      <c r="B33" s="23" t="s">
        <v>60</v>
      </c>
      <c r="C33" s="50">
        <v>10</v>
      </c>
      <c r="D33" s="50">
        <v>7</v>
      </c>
      <c r="E33" s="50">
        <v>2</v>
      </c>
      <c r="F33" s="50">
        <v>26</v>
      </c>
      <c r="G33" s="50">
        <v>0</v>
      </c>
      <c r="H33" s="50">
        <v>0</v>
      </c>
      <c r="I33" s="50">
        <v>1</v>
      </c>
      <c r="J33" s="50">
        <v>2</v>
      </c>
      <c r="K33" s="50">
        <v>0</v>
      </c>
      <c r="L33" s="50">
        <v>0</v>
      </c>
      <c r="M33" s="50">
        <v>87</v>
      </c>
      <c r="N33" s="50">
        <v>0</v>
      </c>
      <c r="O33" s="15">
        <f t="shared" si="0"/>
        <v>48</v>
      </c>
      <c r="P33" s="15">
        <f t="shared" si="1"/>
        <v>135</v>
      </c>
    </row>
    <row r="34" spans="2:20" ht="23.1" customHeight="1" x14ac:dyDescent="0.25">
      <c r="B34" s="24" t="s">
        <v>61</v>
      </c>
      <c r="C34" s="50">
        <v>18</v>
      </c>
      <c r="D34" s="50">
        <v>4</v>
      </c>
      <c r="E34" s="50">
        <v>2</v>
      </c>
      <c r="F34" s="50">
        <v>13</v>
      </c>
      <c r="G34" s="50">
        <v>0</v>
      </c>
      <c r="H34" s="50">
        <v>0</v>
      </c>
      <c r="I34" s="50">
        <v>2</v>
      </c>
      <c r="J34" s="50">
        <v>1</v>
      </c>
      <c r="K34" s="50">
        <v>0</v>
      </c>
      <c r="L34" s="50">
        <v>0</v>
      </c>
      <c r="M34" s="50">
        <v>108</v>
      </c>
      <c r="N34" s="50">
        <v>0</v>
      </c>
      <c r="O34" s="15">
        <f t="shared" si="0"/>
        <v>40</v>
      </c>
      <c r="P34" s="15">
        <f t="shared" si="1"/>
        <v>148</v>
      </c>
    </row>
    <row r="35" spans="2:20" ht="23.1" customHeight="1" x14ac:dyDescent="0.25">
      <c r="B35" s="24" t="s">
        <v>62</v>
      </c>
      <c r="C35" s="50">
        <v>7</v>
      </c>
      <c r="D35" s="50">
        <v>11</v>
      </c>
      <c r="E35" s="50">
        <v>8</v>
      </c>
      <c r="F35" s="50">
        <v>33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67</v>
      </c>
      <c r="N35" s="50">
        <v>0</v>
      </c>
      <c r="O35" s="15">
        <f t="shared" si="0"/>
        <v>61</v>
      </c>
      <c r="P35" s="15">
        <f t="shared" si="1"/>
        <v>128</v>
      </c>
    </row>
    <row r="36" spans="2:20" ht="23.1" customHeight="1" x14ac:dyDescent="0.25">
      <c r="B36" s="24" t="s">
        <v>63</v>
      </c>
      <c r="C36" s="50">
        <v>20</v>
      </c>
      <c r="D36" s="50">
        <v>11</v>
      </c>
      <c r="E36" s="50">
        <v>7</v>
      </c>
      <c r="F36" s="50">
        <v>20</v>
      </c>
      <c r="G36" s="50">
        <v>0</v>
      </c>
      <c r="H36" s="50">
        <v>0</v>
      </c>
      <c r="I36" s="50">
        <v>3</v>
      </c>
      <c r="J36" s="50">
        <v>1</v>
      </c>
      <c r="K36" s="50">
        <v>0</v>
      </c>
      <c r="L36" s="50">
        <v>0</v>
      </c>
      <c r="M36" s="50">
        <v>64</v>
      </c>
      <c r="N36" s="50">
        <v>0</v>
      </c>
      <c r="O36" s="15">
        <f t="shared" si="0"/>
        <v>62</v>
      </c>
      <c r="P36" s="15">
        <f t="shared" si="1"/>
        <v>126</v>
      </c>
    </row>
    <row r="37" spans="2:20" ht="23.1" customHeight="1" x14ac:dyDescent="0.25">
      <c r="B37" s="23" t="s">
        <v>64</v>
      </c>
      <c r="C37" s="50">
        <v>14</v>
      </c>
      <c r="D37" s="50">
        <v>2</v>
      </c>
      <c r="E37" s="50">
        <v>1</v>
      </c>
      <c r="F37" s="50">
        <v>12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50</v>
      </c>
      <c r="N37" s="50">
        <v>0</v>
      </c>
      <c r="O37" s="15">
        <f t="shared" si="0"/>
        <v>29</v>
      </c>
      <c r="P37" s="15">
        <f t="shared" si="1"/>
        <v>79</v>
      </c>
    </row>
    <row r="38" spans="2:20" ht="23.1" customHeight="1" x14ac:dyDescent="0.25">
      <c r="B38" s="24" t="s">
        <v>65</v>
      </c>
      <c r="C38" s="50">
        <v>16</v>
      </c>
      <c r="D38" s="50">
        <v>10</v>
      </c>
      <c r="E38" s="50">
        <v>6</v>
      </c>
      <c r="F38" s="50">
        <v>26</v>
      </c>
      <c r="G38" s="50">
        <v>0</v>
      </c>
      <c r="H38" s="50">
        <v>0</v>
      </c>
      <c r="I38" s="50">
        <v>4</v>
      </c>
      <c r="J38" s="50">
        <v>0</v>
      </c>
      <c r="K38" s="50">
        <v>1</v>
      </c>
      <c r="L38" s="50">
        <v>0</v>
      </c>
      <c r="M38" s="50">
        <v>94</v>
      </c>
      <c r="N38" s="50">
        <v>0</v>
      </c>
      <c r="O38" s="15">
        <f t="shared" si="0"/>
        <v>63</v>
      </c>
      <c r="P38" s="15">
        <f t="shared" si="1"/>
        <v>157</v>
      </c>
    </row>
    <row r="39" spans="2:20" ht="23.1" customHeight="1" x14ac:dyDescent="0.25">
      <c r="B39" s="24" t="s">
        <v>66</v>
      </c>
      <c r="C39" s="50">
        <v>25</v>
      </c>
      <c r="D39" s="50">
        <v>6</v>
      </c>
      <c r="E39" s="50">
        <v>1</v>
      </c>
      <c r="F39" s="50">
        <v>10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110</v>
      </c>
      <c r="N39" s="50">
        <v>0</v>
      </c>
      <c r="O39" s="15">
        <f t="shared" si="0"/>
        <v>43</v>
      </c>
      <c r="P39" s="15">
        <f t="shared" si="1"/>
        <v>153</v>
      </c>
    </row>
    <row r="40" spans="2:20" ht="23.1" customHeight="1" x14ac:dyDescent="0.25">
      <c r="B40" s="24" t="s">
        <v>67</v>
      </c>
      <c r="C40" s="50">
        <v>17</v>
      </c>
      <c r="D40" s="50">
        <v>3</v>
      </c>
      <c r="E40" s="50">
        <v>5</v>
      </c>
      <c r="F40" s="50">
        <v>22</v>
      </c>
      <c r="G40" s="50">
        <v>0</v>
      </c>
      <c r="H40" s="50">
        <v>0</v>
      </c>
      <c r="I40" s="50">
        <v>4</v>
      </c>
      <c r="J40" s="50">
        <v>0</v>
      </c>
      <c r="K40" s="50">
        <v>0</v>
      </c>
      <c r="L40" s="50">
        <v>0</v>
      </c>
      <c r="M40" s="50">
        <v>102</v>
      </c>
      <c r="N40" s="50">
        <v>0</v>
      </c>
      <c r="O40" s="15">
        <f t="shared" si="0"/>
        <v>51</v>
      </c>
      <c r="P40" s="15">
        <f t="shared" si="1"/>
        <v>153</v>
      </c>
    </row>
    <row r="41" spans="2:20" ht="23.1" customHeight="1" x14ac:dyDescent="0.25">
      <c r="B41" s="23" t="s">
        <v>68</v>
      </c>
      <c r="C41" s="50">
        <v>19</v>
      </c>
      <c r="D41" s="50">
        <v>2</v>
      </c>
      <c r="E41" s="50">
        <v>2</v>
      </c>
      <c r="F41" s="50">
        <v>23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58</v>
      </c>
      <c r="N41" s="50">
        <v>0</v>
      </c>
      <c r="O41" s="15">
        <f t="shared" si="0"/>
        <v>48</v>
      </c>
      <c r="P41" s="15">
        <f t="shared" si="1"/>
        <v>106</v>
      </c>
    </row>
    <row r="42" spans="2:20" ht="23.1" customHeight="1" x14ac:dyDescent="0.25">
      <c r="B42" s="24" t="s">
        <v>69</v>
      </c>
      <c r="C42" s="50">
        <v>22</v>
      </c>
      <c r="D42" s="50">
        <v>8</v>
      </c>
      <c r="E42" s="50">
        <v>4</v>
      </c>
      <c r="F42" s="50">
        <v>21</v>
      </c>
      <c r="G42" s="50">
        <v>0</v>
      </c>
      <c r="H42" s="50">
        <v>0</v>
      </c>
      <c r="I42" s="50">
        <v>5</v>
      </c>
      <c r="J42" s="50">
        <v>0</v>
      </c>
      <c r="K42" s="50">
        <v>0</v>
      </c>
      <c r="L42" s="50">
        <v>0</v>
      </c>
      <c r="M42" s="50">
        <v>8</v>
      </c>
      <c r="N42" s="50">
        <v>0</v>
      </c>
      <c r="O42" s="15">
        <f t="shared" si="0"/>
        <v>60</v>
      </c>
      <c r="P42" s="15">
        <f t="shared" si="1"/>
        <v>68</v>
      </c>
    </row>
    <row r="43" spans="2:20" ht="23.1" customHeight="1" x14ac:dyDescent="0.25">
      <c r="B43" s="23" t="s">
        <v>70</v>
      </c>
      <c r="C43" s="50">
        <v>14</v>
      </c>
      <c r="D43" s="50">
        <v>5</v>
      </c>
      <c r="E43" s="50">
        <v>6</v>
      </c>
      <c r="F43" s="50">
        <v>19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11</v>
      </c>
      <c r="N43" s="50">
        <v>0</v>
      </c>
      <c r="O43" s="15">
        <f t="shared" si="0"/>
        <v>44</v>
      </c>
      <c r="P43" s="15">
        <f t="shared" si="1"/>
        <v>55</v>
      </c>
    </row>
    <row r="44" spans="2:20" ht="23.1" customHeight="1" x14ac:dyDescent="0.25">
      <c r="B44" s="25" t="s">
        <v>71</v>
      </c>
      <c r="C44" s="50">
        <v>9</v>
      </c>
      <c r="D44" s="50">
        <v>2</v>
      </c>
      <c r="E44" s="50">
        <v>0</v>
      </c>
      <c r="F44" s="50">
        <v>5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50">
        <v>14</v>
      </c>
      <c r="N44" s="50">
        <v>0</v>
      </c>
      <c r="O44" s="15">
        <f t="shared" si="0"/>
        <v>20</v>
      </c>
      <c r="P44" s="15">
        <f t="shared" si="1"/>
        <v>34</v>
      </c>
    </row>
    <row r="45" spans="2:20" ht="23.1" customHeight="1" x14ac:dyDescent="0.25">
      <c r="B45" s="23" t="s">
        <v>72</v>
      </c>
      <c r="C45" s="50">
        <v>18</v>
      </c>
      <c r="D45" s="50">
        <v>4</v>
      </c>
      <c r="E45" s="50">
        <v>1</v>
      </c>
      <c r="F45" s="50">
        <v>15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83</v>
      </c>
      <c r="N45" s="50">
        <v>0</v>
      </c>
      <c r="O45" s="15">
        <f t="shared" si="0"/>
        <v>40</v>
      </c>
      <c r="P45" s="15">
        <f t="shared" si="1"/>
        <v>123</v>
      </c>
    </row>
    <row r="46" spans="2:20" ht="23.1" customHeight="1" x14ac:dyDescent="0.25">
      <c r="B46" s="24" t="s">
        <v>73</v>
      </c>
      <c r="C46" s="50">
        <v>28</v>
      </c>
      <c r="D46" s="50">
        <v>10</v>
      </c>
      <c r="E46" s="50">
        <v>2</v>
      </c>
      <c r="F46" s="50">
        <v>25</v>
      </c>
      <c r="G46" s="50">
        <v>1</v>
      </c>
      <c r="H46" s="50">
        <v>0</v>
      </c>
      <c r="I46" s="50">
        <v>10</v>
      </c>
      <c r="J46" s="50">
        <v>0</v>
      </c>
      <c r="K46" s="50">
        <v>0</v>
      </c>
      <c r="L46" s="50">
        <v>0</v>
      </c>
      <c r="M46" s="50">
        <v>87</v>
      </c>
      <c r="N46" s="50">
        <v>0</v>
      </c>
      <c r="O46" s="15">
        <f t="shared" si="0"/>
        <v>76</v>
      </c>
      <c r="P46" s="15">
        <f t="shared" si="1"/>
        <v>163</v>
      </c>
      <c r="R46" s="8"/>
      <c r="T46"/>
    </row>
    <row r="47" spans="2:20" ht="23.1" customHeight="1" x14ac:dyDescent="0.25">
      <c r="B47" s="24" t="s">
        <v>74</v>
      </c>
      <c r="C47" s="50">
        <v>32</v>
      </c>
      <c r="D47" s="50">
        <v>4</v>
      </c>
      <c r="E47" s="50">
        <v>1</v>
      </c>
      <c r="F47" s="50">
        <v>22</v>
      </c>
      <c r="G47" s="50">
        <v>0</v>
      </c>
      <c r="H47" s="50">
        <v>0</v>
      </c>
      <c r="I47" s="50">
        <v>6</v>
      </c>
      <c r="J47" s="50">
        <v>0</v>
      </c>
      <c r="K47" s="50">
        <v>0</v>
      </c>
      <c r="L47" s="50">
        <v>0</v>
      </c>
      <c r="M47" s="50">
        <v>120</v>
      </c>
      <c r="N47" s="50">
        <v>0</v>
      </c>
      <c r="O47" s="15">
        <f t="shared" si="0"/>
        <v>65</v>
      </c>
      <c r="P47" s="15">
        <f t="shared" si="1"/>
        <v>185</v>
      </c>
      <c r="R47" s="8"/>
      <c r="T47"/>
    </row>
    <row r="48" spans="2:20" ht="23.1" customHeight="1" x14ac:dyDescent="0.25">
      <c r="B48" s="24" t="s">
        <v>75</v>
      </c>
      <c r="C48" s="50">
        <v>25</v>
      </c>
      <c r="D48" s="50">
        <v>9</v>
      </c>
      <c r="E48" s="50">
        <v>4</v>
      </c>
      <c r="F48" s="50">
        <v>21</v>
      </c>
      <c r="G48" s="50">
        <v>1</v>
      </c>
      <c r="H48" s="50">
        <v>0</v>
      </c>
      <c r="I48" s="50">
        <v>2</v>
      </c>
      <c r="J48" s="50">
        <v>1</v>
      </c>
      <c r="K48" s="50">
        <v>0</v>
      </c>
      <c r="L48" s="50">
        <v>0</v>
      </c>
      <c r="M48" s="50">
        <v>136</v>
      </c>
      <c r="N48" s="50">
        <v>0</v>
      </c>
      <c r="O48" s="15">
        <f t="shared" si="0"/>
        <v>63</v>
      </c>
      <c r="P48" s="15">
        <f t="shared" si="1"/>
        <v>199</v>
      </c>
      <c r="R48" s="8"/>
      <c r="T48"/>
    </row>
    <row r="49" spans="2:20" ht="23.1" customHeight="1" x14ac:dyDescent="0.25">
      <c r="B49" s="23" t="s">
        <v>76</v>
      </c>
      <c r="C49" s="50">
        <v>22</v>
      </c>
      <c r="D49" s="50">
        <v>12</v>
      </c>
      <c r="E49" s="50">
        <v>2</v>
      </c>
      <c r="F49" s="50">
        <v>20</v>
      </c>
      <c r="G49" s="50">
        <v>0</v>
      </c>
      <c r="H49" s="50">
        <v>0</v>
      </c>
      <c r="I49" s="50">
        <v>5</v>
      </c>
      <c r="J49" s="50">
        <v>1</v>
      </c>
      <c r="K49" s="50">
        <v>0</v>
      </c>
      <c r="L49" s="50">
        <v>0</v>
      </c>
      <c r="M49" s="50">
        <v>140</v>
      </c>
      <c r="N49" s="50">
        <v>0</v>
      </c>
      <c r="O49" s="15">
        <f t="shared" si="0"/>
        <v>62</v>
      </c>
      <c r="P49" s="15">
        <f t="shared" si="1"/>
        <v>202</v>
      </c>
      <c r="R49" s="8"/>
      <c r="T49"/>
    </row>
    <row r="50" spans="2:20" ht="23.1" customHeight="1" x14ac:dyDescent="0.25">
      <c r="B50" s="24" t="s">
        <v>77</v>
      </c>
      <c r="C50" s="50">
        <v>22</v>
      </c>
      <c r="D50" s="50">
        <v>9</v>
      </c>
      <c r="E50" s="50">
        <v>4</v>
      </c>
      <c r="F50" s="50">
        <v>31</v>
      </c>
      <c r="G50" s="50">
        <v>2</v>
      </c>
      <c r="H50" s="50">
        <v>0</v>
      </c>
      <c r="I50" s="50">
        <v>4</v>
      </c>
      <c r="J50" s="50">
        <v>1</v>
      </c>
      <c r="K50" s="50">
        <v>1</v>
      </c>
      <c r="L50" s="50">
        <v>0</v>
      </c>
      <c r="M50" s="50">
        <v>140</v>
      </c>
      <c r="N50" s="50">
        <v>0</v>
      </c>
      <c r="O50" s="15">
        <f t="shared" si="0"/>
        <v>74</v>
      </c>
      <c r="P50" s="15">
        <f t="shared" si="1"/>
        <v>214</v>
      </c>
      <c r="R50" s="8"/>
      <c r="T50"/>
    </row>
    <row r="51" spans="2:20" ht="23.1" customHeight="1" x14ac:dyDescent="0.25">
      <c r="B51" s="24" t="s">
        <v>78</v>
      </c>
      <c r="C51" s="50">
        <v>33</v>
      </c>
      <c r="D51" s="50">
        <v>4</v>
      </c>
      <c r="E51" s="50">
        <v>1</v>
      </c>
      <c r="F51" s="50">
        <v>23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154</v>
      </c>
      <c r="N51" s="50">
        <v>0</v>
      </c>
      <c r="O51" s="15">
        <f t="shared" si="0"/>
        <v>63</v>
      </c>
      <c r="P51" s="15">
        <f t="shared" si="1"/>
        <v>217</v>
      </c>
      <c r="R51" s="8"/>
      <c r="T51"/>
    </row>
    <row r="52" spans="2:20" ht="23.1" customHeight="1" x14ac:dyDescent="0.25">
      <c r="B52" s="24" t="s">
        <v>79</v>
      </c>
      <c r="C52" s="50">
        <v>25</v>
      </c>
      <c r="D52" s="50">
        <v>4</v>
      </c>
      <c r="E52" s="50">
        <v>4</v>
      </c>
      <c r="F52" s="50">
        <v>20</v>
      </c>
      <c r="G52" s="50">
        <v>1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144</v>
      </c>
      <c r="N52" s="50">
        <v>0</v>
      </c>
      <c r="O52" s="15">
        <f t="shared" si="0"/>
        <v>57</v>
      </c>
      <c r="P52" s="15">
        <f t="shared" si="1"/>
        <v>201</v>
      </c>
      <c r="R52" s="8"/>
      <c r="T52"/>
    </row>
    <row r="53" spans="2:20" ht="23.1" customHeight="1" x14ac:dyDescent="0.25">
      <c r="B53" s="23" t="s">
        <v>80</v>
      </c>
      <c r="C53" s="50">
        <v>22</v>
      </c>
      <c r="D53" s="50">
        <v>9</v>
      </c>
      <c r="E53" s="50">
        <v>3</v>
      </c>
      <c r="F53" s="50">
        <v>33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0</v>
      </c>
      <c r="M53" s="50">
        <v>119</v>
      </c>
      <c r="N53" s="50">
        <v>0</v>
      </c>
      <c r="O53" s="15">
        <f t="shared" si="0"/>
        <v>71</v>
      </c>
      <c r="P53" s="15">
        <f t="shared" si="1"/>
        <v>190</v>
      </c>
      <c r="R53" s="8"/>
      <c r="T53"/>
    </row>
    <row r="54" spans="2:20" ht="23.1" customHeight="1" x14ac:dyDescent="0.25">
      <c r="B54" s="23" t="s">
        <v>81</v>
      </c>
      <c r="C54" s="50">
        <v>14</v>
      </c>
      <c r="D54" s="50">
        <v>7</v>
      </c>
      <c r="E54" s="50">
        <v>1</v>
      </c>
      <c r="F54" s="50">
        <v>22</v>
      </c>
      <c r="G54" s="50">
        <v>0</v>
      </c>
      <c r="H54" s="50">
        <v>0</v>
      </c>
      <c r="I54" s="50">
        <v>3</v>
      </c>
      <c r="J54" s="50">
        <v>1</v>
      </c>
      <c r="K54" s="50">
        <v>1</v>
      </c>
      <c r="L54" s="50">
        <v>0</v>
      </c>
      <c r="M54" s="50">
        <v>132</v>
      </c>
      <c r="N54" s="50">
        <v>0</v>
      </c>
      <c r="O54" s="15">
        <f t="shared" si="0"/>
        <v>49</v>
      </c>
      <c r="P54" s="15">
        <f t="shared" si="1"/>
        <v>181</v>
      </c>
      <c r="R54" s="8"/>
      <c r="T54"/>
    </row>
    <row r="55" spans="2:20" ht="23.1" customHeight="1" x14ac:dyDescent="0.25">
      <c r="B55" s="23" t="s">
        <v>82</v>
      </c>
      <c r="C55" s="50">
        <v>17</v>
      </c>
      <c r="D55" s="50">
        <v>8</v>
      </c>
      <c r="E55" s="50">
        <v>2</v>
      </c>
      <c r="F55" s="50">
        <v>35</v>
      </c>
      <c r="G55" s="50">
        <v>0</v>
      </c>
      <c r="H55" s="50">
        <v>1</v>
      </c>
      <c r="I55" s="50">
        <v>3</v>
      </c>
      <c r="J55" s="50">
        <v>1</v>
      </c>
      <c r="K55" s="50">
        <v>0</v>
      </c>
      <c r="L55" s="50">
        <v>0</v>
      </c>
      <c r="M55" s="50">
        <v>116</v>
      </c>
      <c r="N55" s="50">
        <v>0</v>
      </c>
      <c r="O55" s="15">
        <f t="shared" si="0"/>
        <v>67</v>
      </c>
      <c r="P55" s="15">
        <f t="shared" si="1"/>
        <v>183</v>
      </c>
      <c r="R55" s="8"/>
      <c r="T55"/>
    </row>
    <row r="56" spans="2:20" ht="23.1" customHeight="1" x14ac:dyDescent="0.25">
      <c r="B56" s="23" t="s">
        <v>83</v>
      </c>
      <c r="C56" s="50">
        <v>17</v>
      </c>
      <c r="D56" s="50">
        <v>3</v>
      </c>
      <c r="E56" s="50">
        <v>0</v>
      </c>
      <c r="F56" s="50">
        <v>21</v>
      </c>
      <c r="G56" s="50">
        <v>0</v>
      </c>
      <c r="H56" s="50">
        <v>0</v>
      </c>
      <c r="I56" s="50">
        <v>0</v>
      </c>
      <c r="J56" s="50">
        <v>0</v>
      </c>
      <c r="K56" s="50">
        <v>1</v>
      </c>
      <c r="L56" s="50">
        <v>0</v>
      </c>
      <c r="M56" s="50">
        <v>83</v>
      </c>
      <c r="N56" s="50">
        <v>0</v>
      </c>
      <c r="O56" s="15">
        <f t="shared" si="0"/>
        <v>42</v>
      </c>
      <c r="P56" s="15">
        <f t="shared" si="1"/>
        <v>125</v>
      </c>
      <c r="R56" s="8"/>
      <c r="T56"/>
    </row>
    <row r="57" spans="2:20" ht="23.1" customHeight="1" x14ac:dyDescent="0.25">
      <c r="B57" s="23" t="s">
        <v>84</v>
      </c>
      <c r="C57" s="50">
        <v>12</v>
      </c>
      <c r="D57" s="50">
        <v>7</v>
      </c>
      <c r="E57" s="50">
        <v>3</v>
      </c>
      <c r="F57" s="50">
        <v>30</v>
      </c>
      <c r="G57" s="50">
        <v>2</v>
      </c>
      <c r="H57" s="50">
        <v>0</v>
      </c>
      <c r="I57" s="50">
        <v>2</v>
      </c>
      <c r="J57" s="50">
        <v>3</v>
      </c>
      <c r="K57" s="50">
        <v>0</v>
      </c>
      <c r="L57" s="50">
        <v>0</v>
      </c>
      <c r="M57" s="50">
        <v>181</v>
      </c>
      <c r="N57" s="50">
        <v>0</v>
      </c>
      <c r="O57" s="15">
        <f t="shared" si="0"/>
        <v>59</v>
      </c>
      <c r="P57" s="15">
        <f t="shared" si="1"/>
        <v>240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1026</v>
      </c>
      <c r="D58" s="16">
        <f t="shared" si="21"/>
        <v>377</v>
      </c>
      <c r="E58" s="16">
        <f t="shared" si="21"/>
        <v>158</v>
      </c>
      <c r="F58" s="16">
        <f t="shared" si="21"/>
        <v>1408</v>
      </c>
      <c r="G58" s="16">
        <f t="shared" si="21"/>
        <v>15</v>
      </c>
      <c r="H58" s="16">
        <f t="shared" si="21"/>
        <v>1</v>
      </c>
      <c r="I58" s="16">
        <f t="shared" si="21"/>
        <v>158</v>
      </c>
      <c r="J58" s="16">
        <f t="shared" si="21"/>
        <v>17</v>
      </c>
      <c r="K58" s="16">
        <f t="shared" si="21"/>
        <v>6</v>
      </c>
      <c r="L58" s="16">
        <f t="shared" si="21"/>
        <v>0</v>
      </c>
      <c r="M58" s="16">
        <f t="shared" si="21"/>
        <v>6036</v>
      </c>
      <c r="N58" s="16">
        <f t="shared" si="21"/>
        <v>0</v>
      </c>
      <c r="O58" s="16">
        <f t="shared" si="21"/>
        <v>3166</v>
      </c>
      <c r="P58" s="16">
        <f t="shared" si="21"/>
        <v>9202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0.11149750054336013</v>
      </c>
      <c r="D59" s="43">
        <f t="shared" si="22"/>
        <v>4.0969354488154752E-2</v>
      </c>
      <c r="E59" s="43">
        <f t="shared" si="22"/>
        <v>1.7170180395566181E-2</v>
      </c>
      <c r="F59" s="43">
        <f t="shared" si="22"/>
        <v>0.15301021517061508</v>
      </c>
      <c r="G59" s="43">
        <f t="shared" si="22"/>
        <v>1.6300804173005868E-3</v>
      </c>
      <c r="H59" s="43">
        <f t="shared" si="22"/>
        <v>1.0867202782003912E-4</v>
      </c>
      <c r="I59" s="43">
        <f t="shared" si="22"/>
        <v>1.7170180395566181E-2</v>
      </c>
      <c r="J59" s="43">
        <f t="shared" si="22"/>
        <v>1.847424472940665E-3</v>
      </c>
      <c r="K59" s="43">
        <f t="shared" si="22"/>
        <v>6.5203216692023478E-4</v>
      </c>
      <c r="L59" s="43">
        <f t="shared" si="22"/>
        <v>0</v>
      </c>
      <c r="M59" s="43">
        <f t="shared" si="22"/>
        <v>0.65594435992175615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0.32406822488945042</v>
      </c>
      <c r="D60" s="44">
        <f t="shared" ref="D60:N60" si="23">D58/$O$58</f>
        <v>0.11907770056854075</v>
      </c>
      <c r="E60" s="44">
        <f t="shared" si="23"/>
        <v>4.9905243209096652E-2</v>
      </c>
      <c r="F60" s="44">
        <f t="shared" si="23"/>
        <v>0.44472520530638027</v>
      </c>
      <c r="G60" s="44">
        <f t="shared" si="23"/>
        <v>4.737839545167404E-3</v>
      </c>
      <c r="H60" s="44">
        <f t="shared" si="23"/>
        <v>3.1585596967782689E-4</v>
      </c>
      <c r="I60" s="44">
        <f t="shared" si="23"/>
        <v>4.9905243209096652E-2</v>
      </c>
      <c r="J60" s="44">
        <f t="shared" si="23"/>
        <v>5.3695514845230573E-3</v>
      </c>
      <c r="K60" s="44">
        <f t="shared" si="23"/>
        <v>1.8951358180669614E-3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126"/>
  <sheetViews>
    <sheetView view="pageBreakPreview" zoomScale="59" zoomScaleSheetLayoutView="59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Kibuye-Munyonyo'!C3:G3</f>
        <v>MCC - C1 - STN01A - SALAMA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64" t="s">
        <v>176</v>
      </c>
      <c r="H5" s="65"/>
      <c r="I5" s="14"/>
      <c r="J5" s="2" t="s">
        <v>5</v>
      </c>
      <c r="K5" s="64" t="s">
        <v>172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Kibuye-Munyonyo'!D6:E6</f>
        <v>Kibuye</v>
      </c>
      <c r="E6" s="65"/>
      <c r="F6" s="2" t="s">
        <v>2</v>
      </c>
      <c r="G6" s="64" t="s">
        <v>171</v>
      </c>
      <c r="H6" s="65"/>
      <c r="J6" s="2" t="s">
        <v>21</v>
      </c>
      <c r="K6" s="64" t="s">
        <v>173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15</v>
      </c>
      <c r="D10" s="50">
        <v>10</v>
      </c>
      <c r="E10" s="50">
        <v>2</v>
      </c>
      <c r="F10" s="50">
        <v>60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115</v>
      </c>
      <c r="N10" s="50">
        <v>0</v>
      </c>
      <c r="O10" s="15">
        <f t="shared" ref="O10:O57" si="0">SUM(C10:L10,N10)</f>
        <v>88</v>
      </c>
      <c r="P10" s="15">
        <f t="shared" ref="P10:P57" si="1">SUM(C10:N10)</f>
        <v>203</v>
      </c>
      <c r="R10" s="1" t="s">
        <v>6</v>
      </c>
      <c r="S10" s="17">
        <f t="shared" ref="S10:AF10" si="2">SUM(C10:C13)</f>
        <v>48</v>
      </c>
      <c r="T10" s="17">
        <f t="shared" si="2"/>
        <v>35</v>
      </c>
      <c r="U10" s="17">
        <f t="shared" si="2"/>
        <v>8</v>
      </c>
      <c r="V10" s="17">
        <f t="shared" si="2"/>
        <v>266</v>
      </c>
      <c r="W10" s="17">
        <f t="shared" si="2"/>
        <v>4</v>
      </c>
      <c r="X10" s="17">
        <f t="shared" si="2"/>
        <v>0</v>
      </c>
      <c r="Y10" s="17">
        <f t="shared" si="2"/>
        <v>7</v>
      </c>
      <c r="Z10" s="17">
        <f t="shared" si="2"/>
        <v>4</v>
      </c>
      <c r="AA10" s="17">
        <f t="shared" si="2"/>
        <v>0</v>
      </c>
      <c r="AB10" s="17">
        <f t="shared" si="2"/>
        <v>0</v>
      </c>
      <c r="AC10" s="17">
        <f t="shared" si="2"/>
        <v>537</v>
      </c>
      <c r="AD10" s="17">
        <f t="shared" si="2"/>
        <v>0</v>
      </c>
      <c r="AE10" s="31">
        <f t="shared" si="2"/>
        <v>372</v>
      </c>
      <c r="AF10" s="31">
        <f t="shared" si="2"/>
        <v>909</v>
      </c>
    </row>
    <row r="11" spans="2:32" s="6" customFormat="1" ht="23.1" customHeight="1" x14ac:dyDescent="0.25">
      <c r="B11" s="23" t="s">
        <v>38</v>
      </c>
      <c r="C11" s="50">
        <v>11</v>
      </c>
      <c r="D11" s="50">
        <v>11</v>
      </c>
      <c r="E11" s="50">
        <v>1</v>
      </c>
      <c r="F11" s="50">
        <v>60</v>
      </c>
      <c r="G11" s="50">
        <v>0</v>
      </c>
      <c r="H11" s="50">
        <v>0</v>
      </c>
      <c r="I11" s="50">
        <v>2</v>
      </c>
      <c r="J11" s="50">
        <v>1</v>
      </c>
      <c r="K11" s="50">
        <v>0</v>
      </c>
      <c r="L11" s="50">
        <v>0</v>
      </c>
      <c r="M11" s="50">
        <v>117</v>
      </c>
      <c r="N11" s="50">
        <v>0</v>
      </c>
      <c r="O11" s="15">
        <f t="shared" si="0"/>
        <v>86</v>
      </c>
      <c r="P11" s="15">
        <f t="shared" si="1"/>
        <v>203</v>
      </c>
      <c r="R11" s="1" t="s">
        <v>7</v>
      </c>
      <c r="S11" s="17">
        <f t="shared" ref="S11:AF11" si="3">SUM(C14:C17)</f>
        <v>41</v>
      </c>
      <c r="T11" s="17">
        <f t="shared" si="3"/>
        <v>28</v>
      </c>
      <c r="U11" s="17">
        <f t="shared" si="3"/>
        <v>6</v>
      </c>
      <c r="V11" s="17">
        <f t="shared" si="3"/>
        <v>284</v>
      </c>
      <c r="W11" s="17">
        <f t="shared" si="3"/>
        <v>2</v>
      </c>
      <c r="X11" s="17">
        <f t="shared" si="3"/>
        <v>0</v>
      </c>
      <c r="Y11" s="17">
        <f t="shared" si="3"/>
        <v>16</v>
      </c>
      <c r="Z11" s="17">
        <f t="shared" si="3"/>
        <v>6</v>
      </c>
      <c r="AA11" s="17">
        <f t="shared" si="3"/>
        <v>2</v>
      </c>
      <c r="AB11" s="17">
        <f t="shared" si="3"/>
        <v>0</v>
      </c>
      <c r="AC11" s="17">
        <f t="shared" si="3"/>
        <v>715</v>
      </c>
      <c r="AD11" s="17">
        <f t="shared" si="3"/>
        <v>0</v>
      </c>
      <c r="AE11" s="31">
        <f t="shared" si="3"/>
        <v>385</v>
      </c>
      <c r="AF11" s="31">
        <f t="shared" si="3"/>
        <v>1100</v>
      </c>
    </row>
    <row r="12" spans="2:32" ht="23.1" customHeight="1" x14ac:dyDescent="0.25">
      <c r="B12" s="23" t="s">
        <v>39</v>
      </c>
      <c r="C12" s="50">
        <v>11</v>
      </c>
      <c r="D12" s="50">
        <v>9</v>
      </c>
      <c r="E12" s="50">
        <v>4</v>
      </c>
      <c r="F12" s="50">
        <v>69</v>
      </c>
      <c r="G12" s="50">
        <v>4</v>
      </c>
      <c r="H12" s="50">
        <v>0</v>
      </c>
      <c r="I12" s="50">
        <v>1</v>
      </c>
      <c r="J12" s="50">
        <v>1</v>
      </c>
      <c r="K12" s="50">
        <v>0</v>
      </c>
      <c r="L12" s="50">
        <v>0</v>
      </c>
      <c r="M12" s="50">
        <v>153</v>
      </c>
      <c r="N12" s="50">
        <v>0</v>
      </c>
      <c r="O12" s="15">
        <f t="shared" si="0"/>
        <v>99</v>
      </c>
      <c r="P12" s="15">
        <f t="shared" si="1"/>
        <v>252</v>
      </c>
      <c r="R12" s="1" t="s">
        <v>8</v>
      </c>
      <c r="S12" s="17">
        <f t="shared" ref="S12:AF12" si="4">SUM(C18:C21)</f>
        <v>59</v>
      </c>
      <c r="T12" s="17">
        <f t="shared" si="4"/>
        <v>31</v>
      </c>
      <c r="U12" s="17">
        <f t="shared" si="4"/>
        <v>7</v>
      </c>
      <c r="V12" s="17">
        <f t="shared" si="4"/>
        <v>301</v>
      </c>
      <c r="W12" s="17">
        <f t="shared" si="4"/>
        <v>0</v>
      </c>
      <c r="X12" s="17">
        <f t="shared" si="4"/>
        <v>0</v>
      </c>
      <c r="Y12" s="17">
        <f t="shared" si="4"/>
        <v>12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730</v>
      </c>
      <c r="AD12" s="17">
        <f t="shared" si="4"/>
        <v>0</v>
      </c>
      <c r="AE12" s="31">
        <f t="shared" si="4"/>
        <v>413</v>
      </c>
      <c r="AF12" s="31">
        <f t="shared" si="4"/>
        <v>1143</v>
      </c>
    </row>
    <row r="13" spans="2:32" ht="23.1" customHeight="1" x14ac:dyDescent="0.25">
      <c r="B13" s="23" t="s">
        <v>40</v>
      </c>
      <c r="C13" s="50">
        <v>11</v>
      </c>
      <c r="D13" s="50">
        <v>5</v>
      </c>
      <c r="E13" s="50">
        <v>1</v>
      </c>
      <c r="F13" s="50">
        <v>77</v>
      </c>
      <c r="G13" s="50">
        <v>0</v>
      </c>
      <c r="H13" s="50">
        <v>0</v>
      </c>
      <c r="I13" s="50">
        <v>3</v>
      </c>
      <c r="J13" s="50">
        <v>2</v>
      </c>
      <c r="K13" s="50">
        <v>0</v>
      </c>
      <c r="L13" s="50">
        <v>0</v>
      </c>
      <c r="M13" s="50">
        <v>152</v>
      </c>
      <c r="N13" s="50">
        <v>0</v>
      </c>
      <c r="O13" s="15">
        <f t="shared" si="0"/>
        <v>99</v>
      </c>
      <c r="P13" s="15">
        <f t="shared" si="1"/>
        <v>251</v>
      </c>
      <c r="R13" s="1" t="s">
        <v>9</v>
      </c>
      <c r="S13" s="17">
        <f t="shared" ref="S13:AF13" si="5">SUM(C22:C25)</f>
        <v>51</v>
      </c>
      <c r="T13" s="17">
        <f t="shared" si="5"/>
        <v>27</v>
      </c>
      <c r="U13" s="17">
        <f t="shared" si="5"/>
        <v>5</v>
      </c>
      <c r="V13" s="17">
        <f t="shared" si="5"/>
        <v>144</v>
      </c>
      <c r="W13" s="17">
        <f t="shared" si="5"/>
        <v>1</v>
      </c>
      <c r="X13" s="17">
        <f t="shared" si="5"/>
        <v>0</v>
      </c>
      <c r="Y13" s="17">
        <f t="shared" si="5"/>
        <v>11</v>
      </c>
      <c r="Z13" s="17">
        <f t="shared" si="5"/>
        <v>8</v>
      </c>
      <c r="AA13" s="17">
        <f t="shared" si="5"/>
        <v>3</v>
      </c>
      <c r="AB13" s="17">
        <f t="shared" si="5"/>
        <v>0</v>
      </c>
      <c r="AC13" s="17">
        <f t="shared" si="5"/>
        <v>672</v>
      </c>
      <c r="AD13" s="17">
        <f t="shared" si="5"/>
        <v>0</v>
      </c>
      <c r="AE13" s="31">
        <f t="shared" si="5"/>
        <v>250</v>
      </c>
      <c r="AF13" s="31">
        <f t="shared" si="5"/>
        <v>922</v>
      </c>
    </row>
    <row r="14" spans="2:32" ht="23.1" customHeight="1" x14ac:dyDescent="0.25">
      <c r="B14" s="23" t="s">
        <v>41</v>
      </c>
      <c r="C14" s="50">
        <v>13</v>
      </c>
      <c r="D14" s="50">
        <v>7</v>
      </c>
      <c r="E14" s="50">
        <v>0</v>
      </c>
      <c r="F14" s="50">
        <v>81</v>
      </c>
      <c r="G14" s="50">
        <v>0</v>
      </c>
      <c r="H14" s="50">
        <v>0</v>
      </c>
      <c r="I14" s="50">
        <v>5</v>
      </c>
      <c r="J14" s="50">
        <v>1</v>
      </c>
      <c r="K14" s="50">
        <v>0</v>
      </c>
      <c r="L14" s="50">
        <v>0</v>
      </c>
      <c r="M14" s="50">
        <v>170</v>
      </c>
      <c r="N14" s="50">
        <v>0</v>
      </c>
      <c r="O14" s="15">
        <f t="shared" si="0"/>
        <v>107</v>
      </c>
      <c r="P14" s="15">
        <f t="shared" si="1"/>
        <v>277</v>
      </c>
      <c r="R14" s="1" t="s">
        <v>10</v>
      </c>
      <c r="S14" s="17">
        <f t="shared" ref="S14:AF14" si="6">SUM(C26:C29)</f>
        <v>58</v>
      </c>
      <c r="T14" s="17">
        <f t="shared" si="6"/>
        <v>41</v>
      </c>
      <c r="U14" s="17">
        <f t="shared" si="6"/>
        <v>6</v>
      </c>
      <c r="V14" s="17">
        <f t="shared" si="6"/>
        <v>126</v>
      </c>
      <c r="W14" s="17">
        <f t="shared" si="6"/>
        <v>0</v>
      </c>
      <c r="X14" s="17">
        <f t="shared" si="6"/>
        <v>0</v>
      </c>
      <c r="Y14" s="17">
        <f t="shared" si="6"/>
        <v>17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556</v>
      </c>
      <c r="AD14" s="17">
        <f t="shared" si="6"/>
        <v>0</v>
      </c>
      <c r="AE14" s="31">
        <f t="shared" si="6"/>
        <v>250</v>
      </c>
      <c r="AF14" s="31">
        <f t="shared" si="6"/>
        <v>806</v>
      </c>
    </row>
    <row r="15" spans="2:32" ht="23.1" customHeight="1" x14ac:dyDescent="0.25">
      <c r="B15" s="23" t="s">
        <v>42</v>
      </c>
      <c r="C15" s="50">
        <v>8</v>
      </c>
      <c r="D15" s="50">
        <v>8</v>
      </c>
      <c r="E15" s="50">
        <v>2</v>
      </c>
      <c r="F15" s="50">
        <v>71</v>
      </c>
      <c r="G15" s="50">
        <v>1</v>
      </c>
      <c r="H15" s="50">
        <v>0</v>
      </c>
      <c r="I15" s="50">
        <v>3</v>
      </c>
      <c r="J15" s="50">
        <v>2</v>
      </c>
      <c r="K15" s="50">
        <v>0</v>
      </c>
      <c r="L15" s="50">
        <v>0</v>
      </c>
      <c r="M15" s="50">
        <v>180</v>
      </c>
      <c r="N15" s="50">
        <v>0</v>
      </c>
      <c r="O15" s="15">
        <f t="shared" si="0"/>
        <v>95</v>
      </c>
      <c r="P15" s="15">
        <f t="shared" si="1"/>
        <v>275</v>
      </c>
      <c r="R15" s="1" t="s">
        <v>11</v>
      </c>
      <c r="S15" s="17">
        <f t="shared" ref="S15:AF15" si="7">SUM(C30:C33)</f>
        <v>55</v>
      </c>
      <c r="T15" s="17">
        <f t="shared" si="7"/>
        <v>34</v>
      </c>
      <c r="U15" s="17">
        <f t="shared" si="7"/>
        <v>8</v>
      </c>
      <c r="V15" s="17">
        <f t="shared" si="7"/>
        <v>88</v>
      </c>
      <c r="W15" s="17">
        <f t="shared" si="7"/>
        <v>0</v>
      </c>
      <c r="X15" s="17">
        <f t="shared" si="7"/>
        <v>0</v>
      </c>
      <c r="Y15" s="17">
        <f t="shared" si="7"/>
        <v>13</v>
      </c>
      <c r="Z15" s="17">
        <f t="shared" si="7"/>
        <v>1</v>
      </c>
      <c r="AA15" s="17">
        <f t="shared" si="7"/>
        <v>2</v>
      </c>
      <c r="AB15" s="17">
        <f t="shared" si="7"/>
        <v>0</v>
      </c>
      <c r="AC15" s="17">
        <f t="shared" si="7"/>
        <v>525</v>
      </c>
      <c r="AD15" s="17">
        <f t="shared" si="7"/>
        <v>0</v>
      </c>
      <c r="AE15" s="31">
        <f t="shared" si="7"/>
        <v>201</v>
      </c>
      <c r="AF15" s="31">
        <f t="shared" si="7"/>
        <v>726</v>
      </c>
    </row>
    <row r="16" spans="2:32" ht="23.1" customHeight="1" x14ac:dyDescent="0.25">
      <c r="B16" s="23" t="s">
        <v>43</v>
      </c>
      <c r="C16" s="50">
        <v>11</v>
      </c>
      <c r="D16" s="50">
        <v>9</v>
      </c>
      <c r="E16" s="50">
        <v>2</v>
      </c>
      <c r="F16" s="50">
        <v>61</v>
      </c>
      <c r="G16" s="50">
        <v>0</v>
      </c>
      <c r="H16" s="50">
        <v>0</v>
      </c>
      <c r="I16" s="50">
        <v>2</v>
      </c>
      <c r="J16" s="50">
        <v>2</v>
      </c>
      <c r="K16" s="50">
        <v>2</v>
      </c>
      <c r="L16" s="50">
        <v>0</v>
      </c>
      <c r="M16" s="50">
        <v>200</v>
      </c>
      <c r="N16" s="50">
        <v>0</v>
      </c>
      <c r="O16" s="15">
        <f t="shared" si="0"/>
        <v>89</v>
      </c>
      <c r="P16" s="15">
        <f t="shared" si="1"/>
        <v>289</v>
      </c>
      <c r="R16" s="1" t="s">
        <v>12</v>
      </c>
      <c r="S16" s="17">
        <f t="shared" ref="S16:AF16" si="8">SUM(C34:C37)</f>
        <v>54</v>
      </c>
      <c r="T16" s="17">
        <f t="shared" si="8"/>
        <v>38</v>
      </c>
      <c r="U16" s="17">
        <f t="shared" si="8"/>
        <v>3</v>
      </c>
      <c r="V16" s="17">
        <f t="shared" si="8"/>
        <v>84</v>
      </c>
      <c r="W16" s="17">
        <f t="shared" si="8"/>
        <v>0</v>
      </c>
      <c r="X16" s="17">
        <f t="shared" si="8"/>
        <v>0</v>
      </c>
      <c r="Y16" s="17">
        <f t="shared" si="8"/>
        <v>11</v>
      </c>
      <c r="Z16" s="17">
        <f t="shared" si="8"/>
        <v>3</v>
      </c>
      <c r="AA16" s="17">
        <f t="shared" si="8"/>
        <v>1</v>
      </c>
      <c r="AB16" s="17">
        <f t="shared" si="8"/>
        <v>0</v>
      </c>
      <c r="AC16" s="17">
        <f t="shared" si="8"/>
        <v>390</v>
      </c>
      <c r="AD16" s="17">
        <f t="shared" si="8"/>
        <v>0</v>
      </c>
      <c r="AE16" s="31">
        <f t="shared" si="8"/>
        <v>194</v>
      </c>
      <c r="AF16" s="31">
        <f t="shared" si="8"/>
        <v>584</v>
      </c>
    </row>
    <row r="17" spans="2:32" ht="23.1" customHeight="1" x14ac:dyDescent="0.25">
      <c r="B17" s="23" t="s">
        <v>44</v>
      </c>
      <c r="C17" s="50">
        <v>9</v>
      </c>
      <c r="D17" s="50">
        <v>4</v>
      </c>
      <c r="E17" s="50">
        <v>2</v>
      </c>
      <c r="F17" s="50">
        <v>71</v>
      </c>
      <c r="G17" s="50">
        <v>1</v>
      </c>
      <c r="H17" s="50">
        <v>0</v>
      </c>
      <c r="I17" s="50">
        <v>6</v>
      </c>
      <c r="J17" s="50">
        <v>1</v>
      </c>
      <c r="K17" s="50">
        <v>0</v>
      </c>
      <c r="L17" s="50">
        <v>0</v>
      </c>
      <c r="M17" s="50">
        <v>165</v>
      </c>
      <c r="N17" s="50">
        <v>0</v>
      </c>
      <c r="O17" s="15">
        <f t="shared" si="0"/>
        <v>94</v>
      </c>
      <c r="P17" s="15">
        <f t="shared" si="1"/>
        <v>259</v>
      </c>
      <c r="R17" s="1" t="s">
        <v>13</v>
      </c>
      <c r="S17" s="17">
        <f t="shared" ref="S17:AF17" si="9">SUM(C38:C41)</f>
        <v>67</v>
      </c>
      <c r="T17" s="17">
        <f t="shared" si="9"/>
        <v>38</v>
      </c>
      <c r="U17" s="17">
        <f t="shared" si="9"/>
        <v>9</v>
      </c>
      <c r="V17" s="17">
        <f t="shared" si="9"/>
        <v>84</v>
      </c>
      <c r="W17" s="17">
        <f t="shared" si="9"/>
        <v>1</v>
      </c>
      <c r="X17" s="17">
        <f t="shared" si="9"/>
        <v>0</v>
      </c>
      <c r="Y17" s="17">
        <f t="shared" si="9"/>
        <v>16</v>
      </c>
      <c r="Z17" s="17">
        <f t="shared" si="9"/>
        <v>2</v>
      </c>
      <c r="AA17" s="17">
        <f t="shared" si="9"/>
        <v>3</v>
      </c>
      <c r="AB17" s="17">
        <f t="shared" si="9"/>
        <v>0</v>
      </c>
      <c r="AC17" s="17">
        <f t="shared" si="9"/>
        <v>417</v>
      </c>
      <c r="AD17" s="17">
        <f t="shared" si="9"/>
        <v>0</v>
      </c>
      <c r="AE17" s="31">
        <f t="shared" si="9"/>
        <v>220</v>
      </c>
      <c r="AF17" s="31">
        <f t="shared" si="9"/>
        <v>637</v>
      </c>
    </row>
    <row r="18" spans="2:32" ht="23.1" customHeight="1" x14ac:dyDescent="0.25">
      <c r="B18" s="23" t="s">
        <v>45</v>
      </c>
      <c r="C18" s="50">
        <v>17</v>
      </c>
      <c r="D18" s="50">
        <v>7</v>
      </c>
      <c r="E18" s="50">
        <v>4</v>
      </c>
      <c r="F18" s="50">
        <v>48</v>
      </c>
      <c r="G18" s="50">
        <v>0</v>
      </c>
      <c r="H18" s="50">
        <v>0</v>
      </c>
      <c r="I18" s="50">
        <v>3</v>
      </c>
      <c r="J18" s="50">
        <v>2</v>
      </c>
      <c r="K18" s="50">
        <v>0</v>
      </c>
      <c r="L18" s="50">
        <v>0</v>
      </c>
      <c r="M18" s="50">
        <v>175</v>
      </c>
      <c r="N18" s="50">
        <v>0</v>
      </c>
      <c r="O18" s="15">
        <f t="shared" si="0"/>
        <v>81</v>
      </c>
      <c r="P18" s="15">
        <f t="shared" si="1"/>
        <v>256</v>
      </c>
      <c r="R18" s="1" t="s">
        <v>14</v>
      </c>
      <c r="S18" s="17">
        <f t="shared" ref="S18:AF18" si="10">SUM(C42:C45)</f>
        <v>71</v>
      </c>
      <c r="T18" s="17">
        <f t="shared" si="10"/>
        <v>49</v>
      </c>
      <c r="U18" s="17">
        <f t="shared" si="10"/>
        <v>8</v>
      </c>
      <c r="V18" s="17">
        <f t="shared" si="10"/>
        <v>94</v>
      </c>
      <c r="W18" s="17">
        <f t="shared" si="10"/>
        <v>0</v>
      </c>
      <c r="X18" s="17">
        <f t="shared" si="10"/>
        <v>0</v>
      </c>
      <c r="Y18" s="17">
        <f t="shared" si="10"/>
        <v>23</v>
      </c>
      <c r="Z18" s="17">
        <f t="shared" si="10"/>
        <v>5</v>
      </c>
      <c r="AA18" s="17">
        <f t="shared" si="10"/>
        <v>2</v>
      </c>
      <c r="AB18" s="17">
        <f t="shared" si="10"/>
        <v>0</v>
      </c>
      <c r="AC18" s="17">
        <f t="shared" si="10"/>
        <v>440</v>
      </c>
      <c r="AD18" s="17">
        <f t="shared" si="10"/>
        <v>0</v>
      </c>
      <c r="AE18" s="31">
        <f t="shared" si="10"/>
        <v>252</v>
      </c>
      <c r="AF18" s="31">
        <f t="shared" si="10"/>
        <v>692</v>
      </c>
    </row>
    <row r="19" spans="2:32" ht="23.1" customHeight="1" x14ac:dyDescent="0.25">
      <c r="B19" s="23" t="s">
        <v>46</v>
      </c>
      <c r="C19" s="50">
        <v>13</v>
      </c>
      <c r="D19" s="50">
        <v>5</v>
      </c>
      <c r="E19" s="50">
        <v>0</v>
      </c>
      <c r="F19" s="50">
        <v>150</v>
      </c>
      <c r="G19" s="50">
        <v>0</v>
      </c>
      <c r="H19" s="50">
        <v>0</v>
      </c>
      <c r="I19" s="50">
        <v>4</v>
      </c>
      <c r="J19" s="50">
        <v>1</v>
      </c>
      <c r="K19" s="50">
        <v>0</v>
      </c>
      <c r="L19" s="50">
        <v>0</v>
      </c>
      <c r="M19" s="50">
        <v>190</v>
      </c>
      <c r="N19" s="50">
        <v>0</v>
      </c>
      <c r="O19" s="15">
        <f t="shared" si="0"/>
        <v>173</v>
      </c>
      <c r="P19" s="15">
        <f t="shared" si="1"/>
        <v>363</v>
      </c>
      <c r="R19" s="1" t="s">
        <v>15</v>
      </c>
      <c r="S19" s="17">
        <f t="shared" ref="S19:AF19" si="11">SUM(C46:C49)</f>
        <v>91</v>
      </c>
      <c r="T19" s="17">
        <f t="shared" si="11"/>
        <v>62</v>
      </c>
      <c r="U19" s="17">
        <f t="shared" si="11"/>
        <v>12</v>
      </c>
      <c r="V19" s="17">
        <f t="shared" si="11"/>
        <v>86</v>
      </c>
      <c r="W19" s="17">
        <f t="shared" si="11"/>
        <v>2</v>
      </c>
      <c r="X19" s="17">
        <f t="shared" si="11"/>
        <v>0</v>
      </c>
      <c r="Y19" s="17">
        <f t="shared" si="11"/>
        <v>14</v>
      </c>
      <c r="Z19" s="17">
        <f t="shared" si="11"/>
        <v>2</v>
      </c>
      <c r="AA19" s="17">
        <f t="shared" si="11"/>
        <v>2</v>
      </c>
      <c r="AB19" s="17">
        <f t="shared" si="11"/>
        <v>0</v>
      </c>
      <c r="AC19" s="17">
        <f t="shared" si="11"/>
        <v>458</v>
      </c>
      <c r="AD19" s="17">
        <f t="shared" si="11"/>
        <v>0</v>
      </c>
      <c r="AE19" s="31">
        <f t="shared" si="11"/>
        <v>271</v>
      </c>
      <c r="AF19" s="31">
        <f t="shared" si="11"/>
        <v>729</v>
      </c>
    </row>
    <row r="20" spans="2:32" ht="23.1" customHeight="1" x14ac:dyDescent="0.25">
      <c r="B20" s="23" t="s">
        <v>47</v>
      </c>
      <c r="C20" s="50">
        <v>10</v>
      </c>
      <c r="D20" s="50">
        <v>9</v>
      </c>
      <c r="E20" s="50">
        <v>0</v>
      </c>
      <c r="F20" s="50">
        <v>57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190</v>
      </c>
      <c r="N20" s="50">
        <v>0</v>
      </c>
      <c r="O20" s="15">
        <f t="shared" si="0"/>
        <v>78</v>
      </c>
      <c r="P20" s="15">
        <f t="shared" si="1"/>
        <v>268</v>
      </c>
      <c r="R20" s="1" t="s">
        <v>16</v>
      </c>
      <c r="S20" s="17">
        <f t="shared" ref="S20:AF20" si="12">SUM(C50:C53)</f>
        <v>109</v>
      </c>
      <c r="T20" s="17">
        <f t="shared" si="12"/>
        <v>106</v>
      </c>
      <c r="U20" s="17">
        <f t="shared" si="12"/>
        <v>11</v>
      </c>
      <c r="V20" s="17">
        <f t="shared" si="12"/>
        <v>120</v>
      </c>
      <c r="W20" s="17">
        <f t="shared" si="12"/>
        <v>1</v>
      </c>
      <c r="X20" s="17">
        <f t="shared" si="12"/>
        <v>0</v>
      </c>
      <c r="Y20" s="17">
        <f t="shared" si="12"/>
        <v>17</v>
      </c>
      <c r="Z20" s="17">
        <f t="shared" si="12"/>
        <v>1</v>
      </c>
      <c r="AA20" s="17">
        <f t="shared" si="12"/>
        <v>1</v>
      </c>
      <c r="AB20" s="17">
        <f t="shared" si="12"/>
        <v>0</v>
      </c>
      <c r="AC20" s="17">
        <f t="shared" si="12"/>
        <v>505</v>
      </c>
      <c r="AD20" s="17">
        <f t="shared" si="12"/>
        <v>0</v>
      </c>
      <c r="AE20" s="31">
        <f t="shared" si="12"/>
        <v>366</v>
      </c>
      <c r="AF20" s="31">
        <f t="shared" si="12"/>
        <v>871</v>
      </c>
    </row>
    <row r="21" spans="2:32" ht="23.1" customHeight="1" x14ac:dyDescent="0.25">
      <c r="B21" s="23" t="s">
        <v>48</v>
      </c>
      <c r="C21" s="50">
        <v>19</v>
      </c>
      <c r="D21" s="50">
        <v>10</v>
      </c>
      <c r="E21" s="50">
        <v>3</v>
      </c>
      <c r="F21" s="50">
        <v>46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175</v>
      </c>
      <c r="N21" s="50">
        <v>0</v>
      </c>
      <c r="O21" s="15">
        <f t="shared" si="0"/>
        <v>81</v>
      </c>
      <c r="P21" s="15">
        <f t="shared" si="1"/>
        <v>256</v>
      </c>
      <c r="R21" s="36" t="s">
        <v>20</v>
      </c>
      <c r="S21" s="34">
        <f t="shared" ref="S21:AF21" si="13">SUM(C54:C57)</f>
        <v>122</v>
      </c>
      <c r="T21" s="17">
        <f t="shared" si="13"/>
        <v>67</v>
      </c>
      <c r="U21" s="17">
        <f t="shared" si="13"/>
        <v>6</v>
      </c>
      <c r="V21" s="17">
        <f t="shared" si="13"/>
        <v>145</v>
      </c>
      <c r="W21" s="17">
        <f t="shared" si="13"/>
        <v>3</v>
      </c>
      <c r="X21" s="17">
        <f t="shared" si="13"/>
        <v>0</v>
      </c>
      <c r="Y21" s="17">
        <f t="shared" si="13"/>
        <v>21</v>
      </c>
      <c r="Z21" s="17">
        <f t="shared" si="13"/>
        <v>1</v>
      </c>
      <c r="AA21" s="17">
        <f t="shared" si="13"/>
        <v>1</v>
      </c>
      <c r="AB21" s="17">
        <f t="shared" si="13"/>
        <v>0</v>
      </c>
      <c r="AC21" s="17">
        <f t="shared" si="13"/>
        <v>545</v>
      </c>
      <c r="AD21" s="17">
        <f t="shared" si="13"/>
        <v>0</v>
      </c>
      <c r="AE21" s="31">
        <f t="shared" si="13"/>
        <v>366</v>
      </c>
      <c r="AF21" s="31">
        <f t="shared" si="13"/>
        <v>911</v>
      </c>
    </row>
    <row r="22" spans="2:32" ht="23.1" customHeight="1" x14ac:dyDescent="0.25">
      <c r="B22" s="23" t="s">
        <v>49</v>
      </c>
      <c r="C22" s="50">
        <v>14</v>
      </c>
      <c r="D22" s="50">
        <v>8</v>
      </c>
      <c r="E22" s="50">
        <v>1</v>
      </c>
      <c r="F22" s="50">
        <v>45</v>
      </c>
      <c r="G22" s="50">
        <v>1</v>
      </c>
      <c r="H22" s="50">
        <v>0</v>
      </c>
      <c r="I22" s="50">
        <v>3</v>
      </c>
      <c r="J22" s="50">
        <v>1</v>
      </c>
      <c r="K22" s="50">
        <v>1</v>
      </c>
      <c r="L22" s="50">
        <v>0</v>
      </c>
      <c r="M22" s="50">
        <v>180</v>
      </c>
      <c r="N22" s="50">
        <v>0</v>
      </c>
      <c r="O22" s="15">
        <f t="shared" si="0"/>
        <v>74</v>
      </c>
      <c r="P22" s="15">
        <f t="shared" si="1"/>
        <v>254</v>
      </c>
      <c r="R22" s="38" t="s">
        <v>90</v>
      </c>
      <c r="S22" s="39">
        <f>MAX(S10:S12)</f>
        <v>59</v>
      </c>
      <c r="T22" s="39">
        <f t="shared" ref="T22:AF22" si="14">MAX(T10:T12)</f>
        <v>35</v>
      </c>
      <c r="U22" s="39">
        <f t="shared" si="14"/>
        <v>8</v>
      </c>
      <c r="V22" s="39">
        <f t="shared" si="14"/>
        <v>301</v>
      </c>
      <c r="W22" s="39">
        <f t="shared" si="14"/>
        <v>4</v>
      </c>
      <c r="X22" s="39">
        <f t="shared" si="14"/>
        <v>0</v>
      </c>
      <c r="Y22" s="39">
        <f t="shared" si="14"/>
        <v>16</v>
      </c>
      <c r="Z22" s="39">
        <f t="shared" si="14"/>
        <v>6</v>
      </c>
      <c r="AA22" s="39">
        <f t="shared" si="14"/>
        <v>2</v>
      </c>
      <c r="AB22" s="39">
        <f t="shared" si="14"/>
        <v>0</v>
      </c>
      <c r="AC22" s="39">
        <f t="shared" si="14"/>
        <v>730</v>
      </c>
      <c r="AD22" s="39">
        <f t="shared" si="14"/>
        <v>0</v>
      </c>
      <c r="AE22" s="40">
        <f t="shared" si="14"/>
        <v>413</v>
      </c>
      <c r="AF22" s="40">
        <f t="shared" si="14"/>
        <v>1143</v>
      </c>
    </row>
    <row r="23" spans="2:32" ht="23.1" customHeight="1" x14ac:dyDescent="0.25">
      <c r="B23" s="23" t="s">
        <v>50</v>
      </c>
      <c r="C23" s="50">
        <v>10</v>
      </c>
      <c r="D23" s="50">
        <v>4</v>
      </c>
      <c r="E23" s="50">
        <v>0</v>
      </c>
      <c r="F23" s="50">
        <v>30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161</v>
      </c>
      <c r="N23" s="50">
        <v>0</v>
      </c>
      <c r="O23" s="15">
        <f t="shared" si="0"/>
        <v>47</v>
      </c>
      <c r="P23" s="15">
        <f t="shared" si="1"/>
        <v>208</v>
      </c>
      <c r="R23" s="38" t="s">
        <v>91</v>
      </c>
      <c r="S23" s="39">
        <f>MAX(S13:S18)</f>
        <v>71</v>
      </c>
      <c r="T23" s="39">
        <f t="shared" ref="T23:AF23" si="15">MAX(T13:T18)</f>
        <v>49</v>
      </c>
      <c r="U23" s="39">
        <f t="shared" si="15"/>
        <v>9</v>
      </c>
      <c r="V23" s="39">
        <f t="shared" si="15"/>
        <v>144</v>
      </c>
      <c r="W23" s="39">
        <f t="shared" si="15"/>
        <v>1</v>
      </c>
      <c r="X23" s="39">
        <f t="shared" si="15"/>
        <v>0</v>
      </c>
      <c r="Y23" s="39">
        <f t="shared" si="15"/>
        <v>23</v>
      </c>
      <c r="Z23" s="39">
        <f t="shared" si="15"/>
        <v>8</v>
      </c>
      <c r="AA23" s="39">
        <f t="shared" si="15"/>
        <v>3</v>
      </c>
      <c r="AB23" s="39">
        <f t="shared" si="15"/>
        <v>0</v>
      </c>
      <c r="AC23" s="39">
        <f t="shared" si="15"/>
        <v>672</v>
      </c>
      <c r="AD23" s="39">
        <f t="shared" si="15"/>
        <v>0</v>
      </c>
      <c r="AE23" s="40">
        <f t="shared" si="15"/>
        <v>252</v>
      </c>
      <c r="AF23" s="40">
        <f t="shared" si="15"/>
        <v>922</v>
      </c>
    </row>
    <row r="24" spans="2:32" ht="23.1" customHeight="1" x14ac:dyDescent="0.25">
      <c r="B24" s="23" t="s">
        <v>51</v>
      </c>
      <c r="C24" s="50">
        <v>13</v>
      </c>
      <c r="D24" s="50">
        <v>7</v>
      </c>
      <c r="E24" s="50">
        <v>2</v>
      </c>
      <c r="F24" s="50">
        <v>36</v>
      </c>
      <c r="G24" s="50">
        <v>0</v>
      </c>
      <c r="H24" s="50">
        <v>0</v>
      </c>
      <c r="I24" s="50">
        <v>0</v>
      </c>
      <c r="J24" s="50">
        <v>4</v>
      </c>
      <c r="K24" s="50">
        <v>1</v>
      </c>
      <c r="L24" s="50">
        <v>0</v>
      </c>
      <c r="M24" s="50">
        <v>190</v>
      </c>
      <c r="N24" s="50">
        <v>0</v>
      </c>
      <c r="O24" s="15">
        <f t="shared" si="0"/>
        <v>63</v>
      </c>
      <c r="P24" s="15">
        <f t="shared" si="1"/>
        <v>253</v>
      </c>
      <c r="R24" s="38" t="s">
        <v>92</v>
      </c>
      <c r="S24" s="39">
        <f>MAX(S19:S21)</f>
        <v>122</v>
      </c>
      <c r="T24" s="39">
        <f t="shared" ref="T24:AF24" si="16">MAX(T19:T21)</f>
        <v>106</v>
      </c>
      <c r="U24" s="39">
        <f t="shared" si="16"/>
        <v>12</v>
      </c>
      <c r="V24" s="39">
        <f t="shared" si="16"/>
        <v>145</v>
      </c>
      <c r="W24" s="39">
        <f t="shared" si="16"/>
        <v>3</v>
      </c>
      <c r="X24" s="39">
        <f t="shared" si="16"/>
        <v>0</v>
      </c>
      <c r="Y24" s="39">
        <f t="shared" si="16"/>
        <v>21</v>
      </c>
      <c r="Z24" s="39">
        <f t="shared" si="16"/>
        <v>2</v>
      </c>
      <c r="AA24" s="39">
        <f t="shared" si="16"/>
        <v>2</v>
      </c>
      <c r="AB24" s="39">
        <f t="shared" si="16"/>
        <v>0</v>
      </c>
      <c r="AC24" s="39">
        <f t="shared" si="16"/>
        <v>545</v>
      </c>
      <c r="AD24" s="39">
        <f t="shared" si="16"/>
        <v>0</v>
      </c>
      <c r="AE24" s="40">
        <f t="shared" si="16"/>
        <v>366</v>
      </c>
      <c r="AF24" s="40">
        <f t="shared" si="16"/>
        <v>911</v>
      </c>
    </row>
    <row r="25" spans="2:32" ht="23.1" customHeight="1" x14ac:dyDescent="0.25">
      <c r="B25" s="23" t="s">
        <v>52</v>
      </c>
      <c r="C25" s="50">
        <v>14</v>
      </c>
      <c r="D25" s="50">
        <v>8</v>
      </c>
      <c r="E25" s="50">
        <v>2</v>
      </c>
      <c r="F25" s="50">
        <v>33</v>
      </c>
      <c r="G25" s="50">
        <v>0</v>
      </c>
      <c r="H25" s="50">
        <v>0</v>
      </c>
      <c r="I25" s="50">
        <v>5</v>
      </c>
      <c r="J25" s="50">
        <v>3</v>
      </c>
      <c r="K25" s="50">
        <v>1</v>
      </c>
      <c r="L25" s="50">
        <v>0</v>
      </c>
      <c r="M25" s="50">
        <v>141</v>
      </c>
      <c r="N25" s="50">
        <v>0</v>
      </c>
      <c r="O25" s="15">
        <f t="shared" si="0"/>
        <v>66</v>
      </c>
      <c r="P25" s="15">
        <f t="shared" si="1"/>
        <v>207</v>
      </c>
      <c r="R25" s="37" t="s">
        <v>85</v>
      </c>
      <c r="S25" s="35">
        <f t="shared" ref="S25:AF25" si="17">SUM(S10:S12)</f>
        <v>148</v>
      </c>
      <c r="T25" s="16">
        <f t="shared" si="17"/>
        <v>94</v>
      </c>
      <c r="U25" s="16">
        <f t="shared" si="17"/>
        <v>21</v>
      </c>
      <c r="V25" s="16">
        <f t="shared" si="17"/>
        <v>851</v>
      </c>
      <c r="W25" s="16">
        <f t="shared" si="17"/>
        <v>6</v>
      </c>
      <c r="X25" s="16">
        <f t="shared" si="17"/>
        <v>0</v>
      </c>
      <c r="Y25" s="16">
        <f t="shared" si="17"/>
        <v>35</v>
      </c>
      <c r="Z25" s="16">
        <f t="shared" si="17"/>
        <v>13</v>
      </c>
      <c r="AA25" s="16">
        <f t="shared" si="17"/>
        <v>2</v>
      </c>
      <c r="AB25" s="16">
        <f t="shared" si="17"/>
        <v>0</v>
      </c>
      <c r="AC25" s="16">
        <f t="shared" si="17"/>
        <v>1982</v>
      </c>
      <c r="AD25" s="16">
        <f t="shared" si="17"/>
        <v>0</v>
      </c>
      <c r="AE25" s="32">
        <f t="shared" si="17"/>
        <v>1170</v>
      </c>
      <c r="AF25" s="32">
        <f t="shared" si="17"/>
        <v>3152</v>
      </c>
    </row>
    <row r="26" spans="2:32" ht="23.1" customHeight="1" x14ac:dyDescent="0.25">
      <c r="B26" s="23" t="s">
        <v>53</v>
      </c>
      <c r="C26" s="50">
        <v>13</v>
      </c>
      <c r="D26" s="50">
        <v>13</v>
      </c>
      <c r="E26" s="50">
        <v>2</v>
      </c>
      <c r="F26" s="50">
        <v>36</v>
      </c>
      <c r="G26" s="50">
        <v>0</v>
      </c>
      <c r="H26" s="50">
        <v>0</v>
      </c>
      <c r="I26" s="50">
        <v>4</v>
      </c>
      <c r="J26" s="50">
        <v>1</v>
      </c>
      <c r="K26" s="50">
        <v>0</v>
      </c>
      <c r="L26" s="50">
        <v>0</v>
      </c>
      <c r="M26" s="50">
        <v>150</v>
      </c>
      <c r="N26" s="50">
        <v>0</v>
      </c>
      <c r="O26" s="15">
        <f t="shared" si="0"/>
        <v>69</v>
      </c>
      <c r="P26" s="15">
        <f t="shared" si="1"/>
        <v>219</v>
      </c>
      <c r="R26" s="28" t="s">
        <v>86</v>
      </c>
      <c r="S26" s="16">
        <f t="shared" ref="S26:AF26" si="18">SUM(S13:S18)</f>
        <v>356</v>
      </c>
      <c r="T26" s="16">
        <f t="shared" si="18"/>
        <v>227</v>
      </c>
      <c r="U26" s="16">
        <f t="shared" si="18"/>
        <v>39</v>
      </c>
      <c r="V26" s="16">
        <f t="shared" si="18"/>
        <v>620</v>
      </c>
      <c r="W26" s="16">
        <f t="shared" si="18"/>
        <v>2</v>
      </c>
      <c r="X26" s="16">
        <f t="shared" si="18"/>
        <v>0</v>
      </c>
      <c r="Y26" s="16">
        <f t="shared" si="18"/>
        <v>91</v>
      </c>
      <c r="Z26" s="16">
        <f t="shared" si="18"/>
        <v>21</v>
      </c>
      <c r="AA26" s="16">
        <f t="shared" si="18"/>
        <v>11</v>
      </c>
      <c r="AB26" s="16">
        <f t="shared" si="18"/>
        <v>0</v>
      </c>
      <c r="AC26" s="16">
        <f t="shared" si="18"/>
        <v>3000</v>
      </c>
      <c r="AD26" s="16">
        <f t="shared" si="18"/>
        <v>0</v>
      </c>
      <c r="AE26" s="32">
        <f t="shared" si="18"/>
        <v>1367</v>
      </c>
      <c r="AF26" s="32">
        <f t="shared" si="18"/>
        <v>4367</v>
      </c>
    </row>
    <row r="27" spans="2:32" ht="23.1" customHeight="1" x14ac:dyDescent="0.25">
      <c r="B27" s="23" t="s">
        <v>54</v>
      </c>
      <c r="C27" s="50">
        <v>11</v>
      </c>
      <c r="D27" s="50">
        <v>13</v>
      </c>
      <c r="E27" s="50">
        <v>2</v>
      </c>
      <c r="F27" s="50">
        <v>37</v>
      </c>
      <c r="G27" s="50">
        <v>0</v>
      </c>
      <c r="H27" s="50">
        <v>0</v>
      </c>
      <c r="I27" s="50">
        <v>6</v>
      </c>
      <c r="J27" s="50">
        <v>0</v>
      </c>
      <c r="K27" s="50">
        <v>0</v>
      </c>
      <c r="L27" s="50">
        <v>0</v>
      </c>
      <c r="M27" s="50">
        <v>121</v>
      </c>
      <c r="N27" s="50">
        <v>0</v>
      </c>
      <c r="O27" s="15">
        <f t="shared" si="0"/>
        <v>69</v>
      </c>
      <c r="P27" s="15">
        <f t="shared" si="1"/>
        <v>190</v>
      </c>
      <c r="R27" s="29" t="s">
        <v>87</v>
      </c>
      <c r="S27" s="16">
        <f t="shared" ref="S27:AF27" si="19">SUM(S19:S21)</f>
        <v>322</v>
      </c>
      <c r="T27" s="16">
        <f t="shared" si="19"/>
        <v>235</v>
      </c>
      <c r="U27" s="16">
        <f t="shared" si="19"/>
        <v>29</v>
      </c>
      <c r="V27" s="16">
        <f t="shared" si="19"/>
        <v>351</v>
      </c>
      <c r="W27" s="16">
        <f t="shared" si="19"/>
        <v>6</v>
      </c>
      <c r="X27" s="16">
        <f t="shared" si="19"/>
        <v>0</v>
      </c>
      <c r="Y27" s="16">
        <f t="shared" si="19"/>
        <v>52</v>
      </c>
      <c r="Z27" s="16">
        <f t="shared" si="19"/>
        <v>4</v>
      </c>
      <c r="AA27" s="16">
        <f t="shared" si="19"/>
        <v>4</v>
      </c>
      <c r="AB27" s="16">
        <f t="shared" si="19"/>
        <v>0</v>
      </c>
      <c r="AC27" s="16">
        <f t="shared" si="19"/>
        <v>1508</v>
      </c>
      <c r="AD27" s="16">
        <f t="shared" si="19"/>
        <v>0</v>
      </c>
      <c r="AE27" s="32">
        <f t="shared" si="19"/>
        <v>1003</v>
      </c>
      <c r="AF27" s="32">
        <f t="shared" si="19"/>
        <v>2511</v>
      </c>
    </row>
    <row r="28" spans="2:32" ht="23.1" customHeight="1" x14ac:dyDescent="0.25">
      <c r="B28" s="23" t="s">
        <v>55</v>
      </c>
      <c r="C28" s="50">
        <v>11</v>
      </c>
      <c r="D28" s="50">
        <v>10</v>
      </c>
      <c r="E28" s="50">
        <v>0</v>
      </c>
      <c r="F28" s="50">
        <v>23</v>
      </c>
      <c r="G28" s="50">
        <v>0</v>
      </c>
      <c r="H28" s="50">
        <v>0</v>
      </c>
      <c r="I28" s="50">
        <v>4</v>
      </c>
      <c r="J28" s="50">
        <v>1</v>
      </c>
      <c r="K28" s="50">
        <v>0</v>
      </c>
      <c r="L28" s="50">
        <v>0</v>
      </c>
      <c r="M28" s="50">
        <v>140</v>
      </c>
      <c r="N28" s="50">
        <v>0</v>
      </c>
      <c r="O28" s="15">
        <f t="shared" si="0"/>
        <v>49</v>
      </c>
      <c r="P28" s="15">
        <f t="shared" si="1"/>
        <v>189</v>
      </c>
      <c r="R28" s="5" t="s">
        <v>17</v>
      </c>
      <c r="S28" s="16">
        <f t="shared" ref="S28:AF28" si="20">SUM(S10:S21)</f>
        <v>826</v>
      </c>
      <c r="T28" s="16">
        <f t="shared" si="20"/>
        <v>556</v>
      </c>
      <c r="U28" s="16">
        <f t="shared" si="20"/>
        <v>89</v>
      </c>
      <c r="V28" s="16">
        <f t="shared" si="20"/>
        <v>1822</v>
      </c>
      <c r="W28" s="16">
        <f t="shared" si="20"/>
        <v>14</v>
      </c>
      <c r="X28" s="16">
        <f t="shared" si="20"/>
        <v>0</v>
      </c>
      <c r="Y28" s="16">
        <f t="shared" si="20"/>
        <v>178</v>
      </c>
      <c r="Z28" s="16">
        <f t="shared" si="20"/>
        <v>38</v>
      </c>
      <c r="AA28" s="16">
        <f t="shared" si="20"/>
        <v>17</v>
      </c>
      <c r="AB28" s="16">
        <f t="shared" si="20"/>
        <v>0</v>
      </c>
      <c r="AC28" s="16">
        <f t="shared" si="20"/>
        <v>6490</v>
      </c>
      <c r="AD28" s="16">
        <f t="shared" si="20"/>
        <v>0</v>
      </c>
      <c r="AE28" s="32">
        <f t="shared" si="20"/>
        <v>3540</v>
      </c>
      <c r="AF28" s="32">
        <f t="shared" si="20"/>
        <v>10030</v>
      </c>
    </row>
    <row r="29" spans="2:32" ht="23.1" customHeight="1" x14ac:dyDescent="0.25">
      <c r="B29" s="23" t="s">
        <v>56</v>
      </c>
      <c r="C29" s="50">
        <v>23</v>
      </c>
      <c r="D29" s="50">
        <v>5</v>
      </c>
      <c r="E29" s="50">
        <v>2</v>
      </c>
      <c r="F29" s="50">
        <v>30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145</v>
      </c>
      <c r="N29" s="50">
        <v>0</v>
      </c>
      <c r="O29" s="15">
        <f t="shared" si="0"/>
        <v>63</v>
      </c>
      <c r="P29" s="15">
        <f t="shared" si="1"/>
        <v>208</v>
      </c>
      <c r="R29"/>
      <c r="S29" s="20"/>
      <c r="T29" s="19"/>
    </row>
    <row r="30" spans="2:32" ht="23.1" customHeight="1" x14ac:dyDescent="0.25">
      <c r="B30" s="23" t="s">
        <v>57</v>
      </c>
      <c r="C30" s="50">
        <v>13</v>
      </c>
      <c r="D30" s="50">
        <v>9</v>
      </c>
      <c r="E30" s="50">
        <v>0</v>
      </c>
      <c r="F30" s="50">
        <v>20</v>
      </c>
      <c r="G30" s="50">
        <v>0</v>
      </c>
      <c r="H30" s="50">
        <v>0</v>
      </c>
      <c r="I30" s="50">
        <v>4</v>
      </c>
      <c r="J30" s="50">
        <v>0</v>
      </c>
      <c r="K30" s="50">
        <v>1</v>
      </c>
      <c r="L30" s="50">
        <v>0</v>
      </c>
      <c r="M30" s="50">
        <v>140</v>
      </c>
      <c r="N30" s="50">
        <v>0</v>
      </c>
      <c r="O30" s="15">
        <f t="shared" si="0"/>
        <v>47</v>
      </c>
      <c r="P30" s="15">
        <f t="shared" si="1"/>
        <v>187</v>
      </c>
    </row>
    <row r="31" spans="2:32" ht="23.1" customHeight="1" x14ac:dyDescent="0.25">
      <c r="B31" s="24" t="s">
        <v>58</v>
      </c>
      <c r="C31" s="50">
        <v>8</v>
      </c>
      <c r="D31" s="50">
        <v>10</v>
      </c>
      <c r="E31" s="50">
        <v>7</v>
      </c>
      <c r="F31" s="50">
        <v>15</v>
      </c>
      <c r="G31" s="50">
        <v>0</v>
      </c>
      <c r="H31" s="50">
        <v>0</v>
      </c>
      <c r="I31" s="50">
        <v>3</v>
      </c>
      <c r="J31" s="50">
        <v>0</v>
      </c>
      <c r="K31" s="50">
        <v>1</v>
      </c>
      <c r="L31" s="50">
        <v>0</v>
      </c>
      <c r="M31" s="50">
        <v>125</v>
      </c>
      <c r="N31" s="50">
        <v>0</v>
      </c>
      <c r="O31" s="15">
        <f t="shared" si="0"/>
        <v>44</v>
      </c>
      <c r="P31" s="15">
        <f t="shared" si="1"/>
        <v>169</v>
      </c>
    </row>
    <row r="32" spans="2:32" ht="23.1" customHeight="1" x14ac:dyDescent="0.25">
      <c r="B32" s="24" t="s">
        <v>59</v>
      </c>
      <c r="C32" s="50">
        <v>15</v>
      </c>
      <c r="D32" s="50">
        <v>7</v>
      </c>
      <c r="E32" s="50">
        <v>1</v>
      </c>
      <c r="F32" s="50">
        <v>24</v>
      </c>
      <c r="G32" s="50">
        <v>0</v>
      </c>
      <c r="H32" s="50">
        <v>0</v>
      </c>
      <c r="I32" s="50">
        <v>3</v>
      </c>
      <c r="J32" s="50">
        <v>1</v>
      </c>
      <c r="K32" s="50">
        <v>0</v>
      </c>
      <c r="L32" s="50">
        <v>0</v>
      </c>
      <c r="M32" s="50">
        <v>120</v>
      </c>
      <c r="N32" s="50">
        <v>0</v>
      </c>
      <c r="O32" s="15">
        <f t="shared" si="0"/>
        <v>51</v>
      </c>
      <c r="P32" s="15">
        <f t="shared" si="1"/>
        <v>171</v>
      </c>
    </row>
    <row r="33" spans="2:20" ht="23.1" customHeight="1" x14ac:dyDescent="0.25">
      <c r="B33" s="23" t="s">
        <v>60</v>
      </c>
      <c r="C33" s="50">
        <v>19</v>
      </c>
      <c r="D33" s="50">
        <v>8</v>
      </c>
      <c r="E33" s="50">
        <v>0</v>
      </c>
      <c r="F33" s="50">
        <v>29</v>
      </c>
      <c r="G33" s="50">
        <v>0</v>
      </c>
      <c r="H33" s="50">
        <v>0</v>
      </c>
      <c r="I33" s="50">
        <v>3</v>
      </c>
      <c r="J33" s="50">
        <v>0</v>
      </c>
      <c r="K33" s="50">
        <v>0</v>
      </c>
      <c r="L33" s="50">
        <v>0</v>
      </c>
      <c r="M33" s="50">
        <v>140</v>
      </c>
      <c r="N33" s="50">
        <v>0</v>
      </c>
      <c r="O33" s="15">
        <f t="shared" si="0"/>
        <v>59</v>
      </c>
      <c r="P33" s="15">
        <f t="shared" si="1"/>
        <v>199</v>
      </c>
    </row>
    <row r="34" spans="2:20" ht="23.1" customHeight="1" x14ac:dyDescent="0.25">
      <c r="B34" s="24" t="s">
        <v>61</v>
      </c>
      <c r="C34" s="50">
        <v>14</v>
      </c>
      <c r="D34" s="50">
        <v>12</v>
      </c>
      <c r="E34" s="50">
        <v>0</v>
      </c>
      <c r="F34" s="50">
        <v>24</v>
      </c>
      <c r="G34" s="50">
        <v>0</v>
      </c>
      <c r="H34" s="50">
        <v>0</v>
      </c>
      <c r="I34" s="50">
        <v>3</v>
      </c>
      <c r="J34" s="50">
        <v>1</v>
      </c>
      <c r="K34" s="50">
        <v>0</v>
      </c>
      <c r="L34" s="50">
        <v>0</v>
      </c>
      <c r="M34" s="50">
        <v>100</v>
      </c>
      <c r="N34" s="50">
        <v>0</v>
      </c>
      <c r="O34" s="15">
        <f t="shared" si="0"/>
        <v>54</v>
      </c>
      <c r="P34" s="15">
        <f t="shared" si="1"/>
        <v>154</v>
      </c>
    </row>
    <row r="35" spans="2:20" ht="23.1" customHeight="1" x14ac:dyDescent="0.25">
      <c r="B35" s="24" t="s">
        <v>62</v>
      </c>
      <c r="C35" s="50">
        <v>19</v>
      </c>
      <c r="D35" s="50">
        <v>14</v>
      </c>
      <c r="E35" s="50">
        <v>3</v>
      </c>
      <c r="F35" s="50">
        <v>24</v>
      </c>
      <c r="G35" s="50">
        <v>0</v>
      </c>
      <c r="H35" s="50">
        <v>0</v>
      </c>
      <c r="I35" s="50">
        <v>3</v>
      </c>
      <c r="J35" s="50">
        <v>1</v>
      </c>
      <c r="K35" s="50">
        <v>1</v>
      </c>
      <c r="L35" s="50">
        <v>0</v>
      </c>
      <c r="M35" s="50">
        <v>115</v>
      </c>
      <c r="N35" s="50">
        <v>0</v>
      </c>
      <c r="O35" s="15">
        <f t="shared" si="0"/>
        <v>65</v>
      </c>
      <c r="P35" s="15">
        <f t="shared" si="1"/>
        <v>180</v>
      </c>
    </row>
    <row r="36" spans="2:20" ht="23.1" customHeight="1" x14ac:dyDescent="0.25">
      <c r="B36" s="24" t="s">
        <v>63</v>
      </c>
      <c r="C36" s="50">
        <v>10</v>
      </c>
      <c r="D36" s="50">
        <v>1</v>
      </c>
      <c r="E36" s="50">
        <v>0</v>
      </c>
      <c r="F36" s="50">
        <v>19</v>
      </c>
      <c r="G36" s="50">
        <v>0</v>
      </c>
      <c r="H36" s="50">
        <v>0</v>
      </c>
      <c r="I36" s="50">
        <v>3</v>
      </c>
      <c r="J36" s="50">
        <v>1</v>
      </c>
      <c r="K36" s="50">
        <v>0</v>
      </c>
      <c r="L36" s="50">
        <v>0</v>
      </c>
      <c r="M36" s="50">
        <v>115</v>
      </c>
      <c r="N36" s="50">
        <v>0</v>
      </c>
      <c r="O36" s="15">
        <f t="shared" si="0"/>
        <v>34</v>
      </c>
      <c r="P36" s="15">
        <f t="shared" si="1"/>
        <v>149</v>
      </c>
    </row>
    <row r="37" spans="2:20" ht="23.1" customHeight="1" x14ac:dyDescent="0.25">
      <c r="B37" s="23" t="s">
        <v>64</v>
      </c>
      <c r="C37" s="50">
        <v>11</v>
      </c>
      <c r="D37" s="50">
        <v>11</v>
      </c>
      <c r="E37" s="50">
        <v>0</v>
      </c>
      <c r="F37" s="50">
        <v>17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60</v>
      </c>
      <c r="N37" s="50">
        <v>0</v>
      </c>
      <c r="O37" s="15">
        <f t="shared" si="0"/>
        <v>41</v>
      </c>
      <c r="P37" s="15">
        <f t="shared" si="1"/>
        <v>101</v>
      </c>
    </row>
    <row r="38" spans="2:20" ht="23.1" customHeight="1" x14ac:dyDescent="0.25">
      <c r="B38" s="24" t="s">
        <v>65</v>
      </c>
      <c r="C38" s="50">
        <v>24</v>
      </c>
      <c r="D38" s="50">
        <v>15</v>
      </c>
      <c r="E38" s="50">
        <v>3</v>
      </c>
      <c r="F38" s="50">
        <v>24</v>
      </c>
      <c r="G38" s="50">
        <v>0</v>
      </c>
      <c r="H38" s="50">
        <v>0</v>
      </c>
      <c r="I38" s="50">
        <v>5</v>
      </c>
      <c r="J38" s="50">
        <v>1</v>
      </c>
      <c r="K38" s="50">
        <v>1</v>
      </c>
      <c r="L38" s="50">
        <v>0</v>
      </c>
      <c r="M38" s="50">
        <v>130</v>
      </c>
      <c r="N38" s="50">
        <v>0</v>
      </c>
      <c r="O38" s="15">
        <f t="shared" si="0"/>
        <v>73</v>
      </c>
      <c r="P38" s="15">
        <f t="shared" si="1"/>
        <v>203</v>
      </c>
    </row>
    <row r="39" spans="2:20" ht="23.1" customHeight="1" x14ac:dyDescent="0.25">
      <c r="B39" s="24" t="s">
        <v>66</v>
      </c>
      <c r="C39" s="50">
        <v>16</v>
      </c>
      <c r="D39" s="50">
        <v>5</v>
      </c>
      <c r="E39" s="50">
        <v>2</v>
      </c>
      <c r="F39" s="50">
        <v>16</v>
      </c>
      <c r="G39" s="50">
        <v>1</v>
      </c>
      <c r="H39" s="50">
        <v>0</v>
      </c>
      <c r="I39" s="50">
        <v>0</v>
      </c>
      <c r="J39" s="50">
        <v>1</v>
      </c>
      <c r="K39" s="50">
        <v>1</v>
      </c>
      <c r="L39" s="50">
        <v>0</v>
      </c>
      <c r="M39" s="50">
        <v>92</v>
      </c>
      <c r="N39" s="50">
        <v>0</v>
      </c>
      <c r="O39" s="15">
        <f t="shared" si="0"/>
        <v>42</v>
      </c>
      <c r="P39" s="15">
        <f t="shared" si="1"/>
        <v>134</v>
      </c>
    </row>
    <row r="40" spans="2:20" ht="23.1" customHeight="1" x14ac:dyDescent="0.25">
      <c r="B40" s="24" t="s">
        <v>67</v>
      </c>
      <c r="C40" s="50">
        <v>18</v>
      </c>
      <c r="D40" s="50">
        <v>6</v>
      </c>
      <c r="E40" s="50">
        <v>0</v>
      </c>
      <c r="F40" s="50">
        <v>24</v>
      </c>
      <c r="G40" s="50">
        <v>0</v>
      </c>
      <c r="H40" s="50">
        <v>0</v>
      </c>
      <c r="I40" s="50">
        <v>4</v>
      </c>
      <c r="J40" s="50">
        <v>0</v>
      </c>
      <c r="K40" s="50">
        <v>1</v>
      </c>
      <c r="L40" s="50">
        <v>0</v>
      </c>
      <c r="M40" s="50">
        <v>70</v>
      </c>
      <c r="N40" s="50">
        <v>0</v>
      </c>
      <c r="O40" s="15">
        <f t="shared" si="0"/>
        <v>53</v>
      </c>
      <c r="P40" s="15">
        <f t="shared" si="1"/>
        <v>123</v>
      </c>
    </row>
    <row r="41" spans="2:20" ht="23.1" customHeight="1" x14ac:dyDescent="0.25">
      <c r="B41" s="23" t="s">
        <v>68</v>
      </c>
      <c r="C41" s="50">
        <v>9</v>
      </c>
      <c r="D41" s="50">
        <v>12</v>
      </c>
      <c r="E41" s="50">
        <v>4</v>
      </c>
      <c r="F41" s="50">
        <v>20</v>
      </c>
      <c r="G41" s="50">
        <v>0</v>
      </c>
      <c r="H41" s="50">
        <v>0</v>
      </c>
      <c r="I41" s="50">
        <v>7</v>
      </c>
      <c r="J41" s="50">
        <v>0</v>
      </c>
      <c r="K41" s="50">
        <v>0</v>
      </c>
      <c r="L41" s="50">
        <v>0</v>
      </c>
      <c r="M41" s="50">
        <v>125</v>
      </c>
      <c r="N41" s="50">
        <v>0</v>
      </c>
      <c r="O41" s="15">
        <f t="shared" si="0"/>
        <v>52</v>
      </c>
      <c r="P41" s="15">
        <f t="shared" si="1"/>
        <v>177</v>
      </c>
    </row>
    <row r="42" spans="2:20" ht="23.1" customHeight="1" x14ac:dyDescent="0.25">
      <c r="B42" s="24" t="s">
        <v>69</v>
      </c>
      <c r="C42" s="50">
        <v>15</v>
      </c>
      <c r="D42" s="50">
        <v>11</v>
      </c>
      <c r="E42" s="50">
        <v>1</v>
      </c>
      <c r="F42" s="50">
        <v>25</v>
      </c>
      <c r="G42" s="50">
        <v>0</v>
      </c>
      <c r="H42" s="50">
        <v>0</v>
      </c>
      <c r="I42" s="50">
        <v>3</v>
      </c>
      <c r="J42" s="50">
        <v>3</v>
      </c>
      <c r="K42" s="50">
        <v>1</v>
      </c>
      <c r="L42" s="50">
        <v>0</v>
      </c>
      <c r="M42" s="50">
        <v>125</v>
      </c>
      <c r="N42" s="50">
        <v>0</v>
      </c>
      <c r="O42" s="15">
        <f t="shared" si="0"/>
        <v>59</v>
      </c>
      <c r="P42" s="15">
        <f t="shared" si="1"/>
        <v>184</v>
      </c>
    </row>
    <row r="43" spans="2:20" ht="23.1" customHeight="1" x14ac:dyDescent="0.25">
      <c r="B43" s="23" t="s">
        <v>70</v>
      </c>
      <c r="C43" s="50">
        <v>22</v>
      </c>
      <c r="D43" s="50">
        <v>12</v>
      </c>
      <c r="E43" s="50">
        <v>1</v>
      </c>
      <c r="F43" s="50">
        <v>21</v>
      </c>
      <c r="G43" s="50">
        <v>0</v>
      </c>
      <c r="H43" s="50">
        <v>0</v>
      </c>
      <c r="I43" s="50">
        <v>5</v>
      </c>
      <c r="J43" s="50">
        <v>0</v>
      </c>
      <c r="K43" s="50">
        <v>0</v>
      </c>
      <c r="L43" s="50">
        <v>0</v>
      </c>
      <c r="M43" s="50">
        <v>101</v>
      </c>
      <c r="N43" s="50">
        <v>0</v>
      </c>
      <c r="O43" s="15">
        <f t="shared" si="0"/>
        <v>61</v>
      </c>
      <c r="P43" s="15">
        <f t="shared" si="1"/>
        <v>162</v>
      </c>
    </row>
    <row r="44" spans="2:20" ht="23.1" customHeight="1" x14ac:dyDescent="0.25">
      <c r="B44" s="25" t="s">
        <v>71</v>
      </c>
      <c r="C44" s="50">
        <v>15</v>
      </c>
      <c r="D44" s="50">
        <v>10</v>
      </c>
      <c r="E44" s="50">
        <v>3</v>
      </c>
      <c r="F44" s="50">
        <v>27</v>
      </c>
      <c r="G44" s="50">
        <v>0</v>
      </c>
      <c r="H44" s="50">
        <v>0</v>
      </c>
      <c r="I44" s="50">
        <v>10</v>
      </c>
      <c r="J44" s="50">
        <v>1</v>
      </c>
      <c r="K44" s="50">
        <v>0</v>
      </c>
      <c r="L44" s="50">
        <v>0</v>
      </c>
      <c r="M44" s="50">
        <v>100</v>
      </c>
      <c r="N44" s="50">
        <v>0</v>
      </c>
      <c r="O44" s="15">
        <f t="shared" si="0"/>
        <v>66</v>
      </c>
      <c r="P44" s="15">
        <f t="shared" si="1"/>
        <v>166</v>
      </c>
    </row>
    <row r="45" spans="2:20" ht="23.1" customHeight="1" x14ac:dyDescent="0.25">
      <c r="B45" s="23" t="s">
        <v>72</v>
      </c>
      <c r="C45" s="50">
        <v>19</v>
      </c>
      <c r="D45" s="50">
        <v>16</v>
      </c>
      <c r="E45" s="50">
        <v>3</v>
      </c>
      <c r="F45" s="50">
        <v>21</v>
      </c>
      <c r="G45" s="50">
        <v>0</v>
      </c>
      <c r="H45" s="50">
        <v>0</v>
      </c>
      <c r="I45" s="50">
        <v>5</v>
      </c>
      <c r="J45" s="50">
        <v>1</v>
      </c>
      <c r="K45" s="50">
        <v>1</v>
      </c>
      <c r="L45" s="50">
        <v>0</v>
      </c>
      <c r="M45" s="50">
        <v>114</v>
      </c>
      <c r="N45" s="50">
        <v>0</v>
      </c>
      <c r="O45" s="15">
        <f t="shared" si="0"/>
        <v>66</v>
      </c>
      <c r="P45" s="15">
        <f t="shared" si="1"/>
        <v>180</v>
      </c>
    </row>
    <row r="46" spans="2:20" ht="23.1" customHeight="1" x14ac:dyDescent="0.25">
      <c r="B46" s="24" t="s">
        <v>73</v>
      </c>
      <c r="C46" s="50">
        <v>16</v>
      </c>
      <c r="D46" s="50">
        <v>12</v>
      </c>
      <c r="E46" s="50">
        <v>2</v>
      </c>
      <c r="F46" s="50">
        <v>27</v>
      </c>
      <c r="G46" s="50">
        <v>0</v>
      </c>
      <c r="H46" s="50">
        <v>0</v>
      </c>
      <c r="I46" s="50">
        <v>6</v>
      </c>
      <c r="J46" s="50">
        <v>0</v>
      </c>
      <c r="K46" s="50">
        <v>0</v>
      </c>
      <c r="L46" s="50">
        <v>0</v>
      </c>
      <c r="M46" s="50">
        <v>125</v>
      </c>
      <c r="N46" s="50">
        <v>0</v>
      </c>
      <c r="O46" s="15">
        <f t="shared" si="0"/>
        <v>63</v>
      </c>
      <c r="P46" s="15">
        <f t="shared" si="1"/>
        <v>188</v>
      </c>
      <c r="R46" s="8"/>
      <c r="T46"/>
    </row>
    <row r="47" spans="2:20" ht="23.1" customHeight="1" x14ac:dyDescent="0.25">
      <c r="B47" s="24" t="s">
        <v>74</v>
      </c>
      <c r="C47" s="50">
        <v>26</v>
      </c>
      <c r="D47" s="50">
        <v>21</v>
      </c>
      <c r="E47" s="50">
        <v>0</v>
      </c>
      <c r="F47" s="50">
        <v>20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115</v>
      </c>
      <c r="N47" s="50">
        <v>0</v>
      </c>
      <c r="O47" s="15">
        <f t="shared" si="0"/>
        <v>68</v>
      </c>
      <c r="P47" s="15">
        <f t="shared" si="1"/>
        <v>183</v>
      </c>
      <c r="R47" s="8"/>
      <c r="T47"/>
    </row>
    <row r="48" spans="2:20" ht="23.1" customHeight="1" x14ac:dyDescent="0.25">
      <c r="B48" s="24" t="s">
        <v>75</v>
      </c>
      <c r="C48" s="50">
        <v>23</v>
      </c>
      <c r="D48" s="50">
        <v>4</v>
      </c>
      <c r="E48" s="50">
        <v>4</v>
      </c>
      <c r="F48" s="50">
        <v>23</v>
      </c>
      <c r="G48" s="50">
        <v>1</v>
      </c>
      <c r="H48" s="50">
        <v>0</v>
      </c>
      <c r="I48" s="50">
        <v>1</v>
      </c>
      <c r="J48" s="50">
        <v>0</v>
      </c>
      <c r="K48" s="50">
        <v>1</v>
      </c>
      <c r="L48" s="50">
        <v>0</v>
      </c>
      <c r="M48" s="50">
        <v>103</v>
      </c>
      <c r="N48" s="50">
        <v>0</v>
      </c>
      <c r="O48" s="15">
        <f t="shared" si="0"/>
        <v>57</v>
      </c>
      <c r="P48" s="15">
        <f t="shared" si="1"/>
        <v>160</v>
      </c>
      <c r="R48" s="8"/>
      <c r="T48"/>
    </row>
    <row r="49" spans="2:20" ht="23.1" customHeight="1" x14ac:dyDescent="0.25">
      <c r="B49" s="23" t="s">
        <v>76</v>
      </c>
      <c r="C49" s="50">
        <v>26</v>
      </c>
      <c r="D49" s="50">
        <v>25</v>
      </c>
      <c r="E49" s="50">
        <v>6</v>
      </c>
      <c r="F49" s="50">
        <v>16</v>
      </c>
      <c r="G49" s="50">
        <v>1</v>
      </c>
      <c r="H49" s="50">
        <v>0</v>
      </c>
      <c r="I49" s="50">
        <v>7</v>
      </c>
      <c r="J49" s="50">
        <v>1</v>
      </c>
      <c r="K49" s="50">
        <v>1</v>
      </c>
      <c r="L49" s="50">
        <v>0</v>
      </c>
      <c r="M49" s="50">
        <v>115</v>
      </c>
      <c r="N49" s="50">
        <v>0</v>
      </c>
      <c r="O49" s="15">
        <f t="shared" si="0"/>
        <v>83</v>
      </c>
      <c r="P49" s="15">
        <f t="shared" si="1"/>
        <v>198</v>
      </c>
      <c r="R49" s="8"/>
      <c r="T49"/>
    </row>
    <row r="50" spans="2:20" ht="23.1" customHeight="1" x14ac:dyDescent="0.25">
      <c r="B50" s="24" t="s">
        <v>77</v>
      </c>
      <c r="C50" s="50">
        <v>34</v>
      </c>
      <c r="D50" s="50">
        <v>27</v>
      </c>
      <c r="E50" s="50">
        <v>2</v>
      </c>
      <c r="F50" s="50">
        <v>20</v>
      </c>
      <c r="G50" s="50">
        <v>0</v>
      </c>
      <c r="H50" s="50">
        <v>0</v>
      </c>
      <c r="I50" s="50">
        <v>6</v>
      </c>
      <c r="J50" s="50">
        <v>0</v>
      </c>
      <c r="K50" s="50">
        <v>1</v>
      </c>
      <c r="L50" s="50">
        <v>0</v>
      </c>
      <c r="M50" s="50">
        <v>140</v>
      </c>
      <c r="N50" s="50">
        <v>0</v>
      </c>
      <c r="O50" s="15">
        <f t="shared" si="0"/>
        <v>90</v>
      </c>
      <c r="P50" s="15">
        <f t="shared" si="1"/>
        <v>230</v>
      </c>
      <c r="R50" s="8"/>
      <c r="T50"/>
    </row>
    <row r="51" spans="2:20" ht="23.1" customHeight="1" x14ac:dyDescent="0.25">
      <c r="B51" s="24" t="s">
        <v>78</v>
      </c>
      <c r="C51" s="50">
        <v>29</v>
      </c>
      <c r="D51" s="50">
        <v>35</v>
      </c>
      <c r="E51" s="50">
        <v>3</v>
      </c>
      <c r="F51" s="50">
        <v>37</v>
      </c>
      <c r="G51" s="50">
        <v>1</v>
      </c>
      <c r="H51" s="50">
        <v>0</v>
      </c>
      <c r="I51" s="50">
        <v>6</v>
      </c>
      <c r="J51" s="50">
        <v>0</v>
      </c>
      <c r="K51" s="50">
        <v>0</v>
      </c>
      <c r="L51" s="50">
        <v>0</v>
      </c>
      <c r="M51" s="50">
        <v>130</v>
      </c>
      <c r="N51" s="50">
        <v>0</v>
      </c>
      <c r="O51" s="15">
        <f t="shared" si="0"/>
        <v>111</v>
      </c>
      <c r="P51" s="15">
        <f t="shared" si="1"/>
        <v>241</v>
      </c>
      <c r="R51" s="8"/>
      <c r="T51"/>
    </row>
    <row r="52" spans="2:20" ht="23.1" customHeight="1" x14ac:dyDescent="0.25">
      <c r="B52" s="24" t="s">
        <v>79</v>
      </c>
      <c r="C52" s="50">
        <v>19</v>
      </c>
      <c r="D52" s="50">
        <v>18</v>
      </c>
      <c r="E52" s="50">
        <v>3</v>
      </c>
      <c r="F52" s="50">
        <v>29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115</v>
      </c>
      <c r="N52" s="50">
        <v>0</v>
      </c>
      <c r="O52" s="15">
        <f t="shared" si="0"/>
        <v>71</v>
      </c>
      <c r="P52" s="15">
        <f t="shared" si="1"/>
        <v>186</v>
      </c>
      <c r="R52" s="8"/>
      <c r="T52"/>
    </row>
    <row r="53" spans="2:20" ht="23.1" customHeight="1" x14ac:dyDescent="0.25">
      <c r="B53" s="23" t="s">
        <v>80</v>
      </c>
      <c r="C53" s="50">
        <v>27</v>
      </c>
      <c r="D53" s="50">
        <v>26</v>
      </c>
      <c r="E53" s="50">
        <v>3</v>
      </c>
      <c r="F53" s="50">
        <v>34</v>
      </c>
      <c r="G53" s="50">
        <v>0</v>
      </c>
      <c r="H53" s="50">
        <v>0</v>
      </c>
      <c r="I53" s="50">
        <v>3</v>
      </c>
      <c r="J53" s="50">
        <v>1</v>
      </c>
      <c r="K53" s="50">
        <v>0</v>
      </c>
      <c r="L53" s="50">
        <v>0</v>
      </c>
      <c r="M53" s="50">
        <v>120</v>
      </c>
      <c r="N53" s="50">
        <v>0</v>
      </c>
      <c r="O53" s="15">
        <f t="shared" si="0"/>
        <v>94</v>
      </c>
      <c r="P53" s="15">
        <f t="shared" si="1"/>
        <v>214</v>
      </c>
      <c r="R53" s="8"/>
      <c r="T53"/>
    </row>
    <row r="54" spans="2:20" ht="23.1" customHeight="1" x14ac:dyDescent="0.25">
      <c r="B54" s="23" t="s">
        <v>81</v>
      </c>
      <c r="C54" s="50">
        <v>30</v>
      </c>
      <c r="D54" s="50">
        <v>20</v>
      </c>
      <c r="E54" s="50">
        <v>2</v>
      </c>
      <c r="F54" s="50">
        <v>24</v>
      </c>
      <c r="G54" s="50">
        <v>0</v>
      </c>
      <c r="H54" s="50">
        <v>0</v>
      </c>
      <c r="I54" s="50">
        <v>3</v>
      </c>
      <c r="J54" s="50">
        <v>1</v>
      </c>
      <c r="K54" s="50">
        <v>0</v>
      </c>
      <c r="L54" s="50">
        <v>0</v>
      </c>
      <c r="M54" s="50">
        <v>150</v>
      </c>
      <c r="N54" s="50">
        <v>0</v>
      </c>
      <c r="O54" s="15">
        <f t="shared" si="0"/>
        <v>80</v>
      </c>
      <c r="P54" s="15">
        <f t="shared" si="1"/>
        <v>230</v>
      </c>
      <c r="R54" s="8"/>
      <c r="T54"/>
    </row>
    <row r="55" spans="2:20" ht="23.1" customHeight="1" x14ac:dyDescent="0.25">
      <c r="B55" s="23" t="s">
        <v>82</v>
      </c>
      <c r="C55" s="50">
        <v>34</v>
      </c>
      <c r="D55" s="50">
        <v>15</v>
      </c>
      <c r="E55" s="50">
        <v>3</v>
      </c>
      <c r="F55" s="50">
        <v>27</v>
      </c>
      <c r="G55" s="50">
        <v>1</v>
      </c>
      <c r="H55" s="50">
        <v>0</v>
      </c>
      <c r="I55" s="50">
        <v>7</v>
      </c>
      <c r="J55" s="50">
        <v>0</v>
      </c>
      <c r="K55" s="50">
        <v>0</v>
      </c>
      <c r="L55" s="50">
        <v>0</v>
      </c>
      <c r="M55" s="50">
        <v>130</v>
      </c>
      <c r="N55" s="50">
        <v>0</v>
      </c>
      <c r="O55" s="15">
        <f t="shared" si="0"/>
        <v>87</v>
      </c>
      <c r="P55" s="15">
        <f t="shared" si="1"/>
        <v>217</v>
      </c>
      <c r="R55" s="8"/>
      <c r="T55"/>
    </row>
    <row r="56" spans="2:20" ht="23.1" customHeight="1" x14ac:dyDescent="0.25">
      <c r="B56" s="23" t="s">
        <v>83</v>
      </c>
      <c r="C56" s="50">
        <v>31</v>
      </c>
      <c r="D56" s="50">
        <v>18</v>
      </c>
      <c r="E56" s="50">
        <v>0</v>
      </c>
      <c r="F56" s="50">
        <v>52</v>
      </c>
      <c r="G56" s="50">
        <v>2</v>
      </c>
      <c r="H56" s="50">
        <v>0</v>
      </c>
      <c r="I56" s="50">
        <v>8</v>
      </c>
      <c r="J56" s="50">
        <v>0</v>
      </c>
      <c r="K56" s="50">
        <v>0</v>
      </c>
      <c r="L56" s="50">
        <v>0</v>
      </c>
      <c r="M56" s="50">
        <v>145</v>
      </c>
      <c r="N56" s="50">
        <v>0</v>
      </c>
      <c r="O56" s="15">
        <f t="shared" si="0"/>
        <v>111</v>
      </c>
      <c r="P56" s="15">
        <f t="shared" si="1"/>
        <v>256</v>
      </c>
      <c r="R56" s="8"/>
      <c r="T56"/>
    </row>
    <row r="57" spans="2:20" ht="23.1" customHeight="1" x14ac:dyDescent="0.25">
      <c r="B57" s="23" t="s">
        <v>84</v>
      </c>
      <c r="C57" s="50">
        <v>27</v>
      </c>
      <c r="D57" s="50">
        <v>14</v>
      </c>
      <c r="E57" s="50">
        <v>1</v>
      </c>
      <c r="F57" s="50">
        <v>42</v>
      </c>
      <c r="G57" s="50">
        <v>0</v>
      </c>
      <c r="H57" s="50">
        <v>0</v>
      </c>
      <c r="I57" s="50">
        <v>3</v>
      </c>
      <c r="J57" s="50">
        <v>0</v>
      </c>
      <c r="K57" s="50">
        <v>1</v>
      </c>
      <c r="L57" s="50">
        <v>0</v>
      </c>
      <c r="M57" s="50">
        <v>120</v>
      </c>
      <c r="N57" s="50">
        <v>0</v>
      </c>
      <c r="O57" s="15">
        <f t="shared" si="0"/>
        <v>88</v>
      </c>
      <c r="P57" s="15">
        <f t="shared" si="1"/>
        <v>208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826</v>
      </c>
      <c r="D58" s="16">
        <f t="shared" si="21"/>
        <v>556</v>
      </c>
      <c r="E58" s="16">
        <f t="shared" si="21"/>
        <v>89</v>
      </c>
      <c r="F58" s="16">
        <f t="shared" si="21"/>
        <v>1822</v>
      </c>
      <c r="G58" s="16">
        <f t="shared" si="21"/>
        <v>14</v>
      </c>
      <c r="H58" s="16">
        <f t="shared" si="21"/>
        <v>0</v>
      </c>
      <c r="I58" s="16">
        <f t="shared" si="21"/>
        <v>178</v>
      </c>
      <c r="J58" s="16">
        <f t="shared" si="21"/>
        <v>38</v>
      </c>
      <c r="K58" s="16">
        <f t="shared" si="21"/>
        <v>17</v>
      </c>
      <c r="L58" s="16">
        <f t="shared" si="21"/>
        <v>0</v>
      </c>
      <c r="M58" s="16">
        <f t="shared" si="21"/>
        <v>6490</v>
      </c>
      <c r="N58" s="16">
        <f t="shared" si="21"/>
        <v>0</v>
      </c>
      <c r="O58" s="16">
        <f t="shared" si="21"/>
        <v>3540</v>
      </c>
      <c r="P58" s="16">
        <f t="shared" si="21"/>
        <v>10030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8.2352941176470587E-2</v>
      </c>
      <c r="D59" s="43">
        <f t="shared" si="22"/>
        <v>5.5433698903290127E-2</v>
      </c>
      <c r="E59" s="43">
        <f t="shared" si="22"/>
        <v>8.8733798604187439E-3</v>
      </c>
      <c r="F59" s="43">
        <f t="shared" si="22"/>
        <v>0.18165503489531407</v>
      </c>
      <c r="G59" s="43">
        <f t="shared" si="22"/>
        <v>1.3958125623130609E-3</v>
      </c>
      <c r="H59" s="43">
        <f t="shared" si="22"/>
        <v>0</v>
      </c>
      <c r="I59" s="43">
        <f t="shared" si="22"/>
        <v>1.7746759720837488E-2</v>
      </c>
      <c r="J59" s="43">
        <f t="shared" si="22"/>
        <v>3.7886340977068794E-3</v>
      </c>
      <c r="K59" s="43">
        <f t="shared" si="22"/>
        <v>1.6949152542372881E-3</v>
      </c>
      <c r="L59" s="43">
        <f t="shared" si="22"/>
        <v>0</v>
      </c>
      <c r="M59" s="43">
        <f t="shared" si="22"/>
        <v>0.6470588235294118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0.23333333333333334</v>
      </c>
      <c r="D60" s="44">
        <f t="shared" ref="D60:N60" si="23">D58/$O$58</f>
        <v>0.15706214689265538</v>
      </c>
      <c r="E60" s="44">
        <f t="shared" si="23"/>
        <v>2.5141242937853109E-2</v>
      </c>
      <c r="F60" s="44">
        <f t="shared" si="23"/>
        <v>0.51468926553672312</v>
      </c>
      <c r="G60" s="44">
        <f t="shared" si="23"/>
        <v>3.9548022598870055E-3</v>
      </c>
      <c r="H60" s="44">
        <f t="shared" si="23"/>
        <v>0</v>
      </c>
      <c r="I60" s="44">
        <f t="shared" si="23"/>
        <v>5.0282485875706218E-2</v>
      </c>
      <c r="J60" s="44">
        <f t="shared" si="23"/>
        <v>1.0734463276836158E-2</v>
      </c>
      <c r="K60" s="44">
        <f t="shared" si="23"/>
        <v>4.80225988700565E-3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26"/>
  <sheetViews>
    <sheetView view="pageBreakPreview" zoomScale="60" workbookViewId="0">
      <selection activeCell="E14" sqref="E1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Kibuye-Munyonyo'!C3:G3</f>
        <v>MCC - C1 - STN01A - SALAMA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'23.07 Kibuye-Munyonyo'!D5</f>
        <v>23.07.19</v>
      </c>
      <c r="E5" s="3"/>
      <c r="F5" s="41" t="s">
        <v>1</v>
      </c>
      <c r="G5" s="64" t="s">
        <v>176</v>
      </c>
      <c r="H5" s="65"/>
      <c r="I5" s="14"/>
      <c r="J5" s="2" t="s">
        <v>5</v>
      </c>
      <c r="K5" s="64" t="s">
        <v>174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">
        <v>171</v>
      </c>
      <c r="E6" s="65"/>
      <c r="F6" s="2" t="s">
        <v>2</v>
      </c>
      <c r="G6" s="64" t="str">
        <f>'22.07 Munyonyo-Kibuye'!G6:H6</f>
        <v>Kibuye</v>
      </c>
      <c r="H6" s="65"/>
      <c r="J6" s="2" t="s">
        <v>21</v>
      </c>
      <c r="K6" s="64" t="s">
        <v>173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71</v>
      </c>
      <c r="D10" s="50">
        <v>20</v>
      </c>
      <c r="E10" s="50">
        <v>7</v>
      </c>
      <c r="F10" s="50">
        <v>78</v>
      </c>
      <c r="G10" s="50">
        <v>1</v>
      </c>
      <c r="H10" s="50">
        <v>0</v>
      </c>
      <c r="I10" s="50">
        <v>7</v>
      </c>
      <c r="J10" s="50">
        <v>1</v>
      </c>
      <c r="K10" s="50">
        <v>1</v>
      </c>
      <c r="L10" s="50">
        <v>0</v>
      </c>
      <c r="M10" s="50">
        <v>181</v>
      </c>
      <c r="N10" s="50">
        <v>0</v>
      </c>
      <c r="O10" s="15">
        <f t="shared" ref="O10:O57" si="0">SUM(C10:L10,N10)</f>
        <v>186</v>
      </c>
      <c r="P10" s="15">
        <f t="shared" ref="P10:P57" si="1">SUM(C10:N10)</f>
        <v>367</v>
      </c>
      <c r="R10" s="1" t="s">
        <v>6</v>
      </c>
      <c r="S10" s="17">
        <f t="shared" ref="S10:AF10" si="2">SUM(C10:C13)</f>
        <v>142</v>
      </c>
      <c r="T10" s="17">
        <f t="shared" si="2"/>
        <v>62</v>
      </c>
      <c r="U10" s="17">
        <f t="shared" si="2"/>
        <v>19</v>
      </c>
      <c r="V10" s="17">
        <f t="shared" si="2"/>
        <v>245</v>
      </c>
      <c r="W10" s="17">
        <f t="shared" si="2"/>
        <v>1</v>
      </c>
      <c r="X10" s="17">
        <f t="shared" si="2"/>
        <v>0</v>
      </c>
      <c r="Y10" s="17">
        <f t="shared" si="2"/>
        <v>19</v>
      </c>
      <c r="Z10" s="17">
        <f t="shared" si="2"/>
        <v>4</v>
      </c>
      <c r="AA10" s="17">
        <f t="shared" si="2"/>
        <v>1</v>
      </c>
      <c r="AB10" s="17">
        <f t="shared" si="2"/>
        <v>0</v>
      </c>
      <c r="AC10" s="17">
        <f t="shared" si="2"/>
        <v>866</v>
      </c>
      <c r="AD10" s="17">
        <f t="shared" si="2"/>
        <v>0</v>
      </c>
      <c r="AE10" s="31">
        <f t="shared" si="2"/>
        <v>493</v>
      </c>
      <c r="AF10" s="31">
        <f t="shared" si="2"/>
        <v>1359</v>
      </c>
    </row>
    <row r="11" spans="2:32" s="6" customFormat="1" ht="23.1" customHeight="1" x14ac:dyDescent="0.25">
      <c r="B11" s="23" t="s">
        <v>38</v>
      </c>
      <c r="C11" s="50">
        <v>25</v>
      </c>
      <c r="D11" s="50">
        <v>18</v>
      </c>
      <c r="E11" s="50">
        <v>4</v>
      </c>
      <c r="F11" s="50">
        <v>50</v>
      </c>
      <c r="G11" s="50">
        <v>0</v>
      </c>
      <c r="H11" s="50">
        <v>0</v>
      </c>
      <c r="I11" s="50">
        <v>4</v>
      </c>
      <c r="J11" s="50">
        <v>0</v>
      </c>
      <c r="K11" s="50">
        <v>0</v>
      </c>
      <c r="L11" s="50">
        <v>0</v>
      </c>
      <c r="M11" s="50">
        <v>184</v>
      </c>
      <c r="N11" s="50">
        <v>0</v>
      </c>
      <c r="O11" s="15">
        <f t="shared" si="0"/>
        <v>101</v>
      </c>
      <c r="P11" s="15">
        <f t="shared" si="1"/>
        <v>285</v>
      </c>
      <c r="R11" s="1" t="s">
        <v>7</v>
      </c>
      <c r="S11" s="17">
        <f t="shared" ref="S11:AF11" si="3">SUM(C14:C17)</f>
        <v>110</v>
      </c>
      <c r="T11" s="17">
        <f t="shared" si="3"/>
        <v>54</v>
      </c>
      <c r="U11" s="17">
        <f t="shared" si="3"/>
        <v>13</v>
      </c>
      <c r="V11" s="17">
        <f t="shared" si="3"/>
        <v>219</v>
      </c>
      <c r="W11" s="17">
        <f t="shared" si="3"/>
        <v>1</v>
      </c>
      <c r="X11" s="17">
        <f t="shared" si="3"/>
        <v>0</v>
      </c>
      <c r="Y11" s="17">
        <f t="shared" si="3"/>
        <v>11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840</v>
      </c>
      <c r="AD11" s="17">
        <f t="shared" si="3"/>
        <v>0</v>
      </c>
      <c r="AE11" s="31">
        <f t="shared" si="3"/>
        <v>409</v>
      </c>
      <c r="AF11" s="31">
        <f t="shared" si="3"/>
        <v>1249</v>
      </c>
    </row>
    <row r="12" spans="2:32" ht="23.1" customHeight="1" x14ac:dyDescent="0.25">
      <c r="B12" s="23" t="s">
        <v>39</v>
      </c>
      <c r="C12" s="50">
        <v>23</v>
      </c>
      <c r="D12" s="50">
        <v>16</v>
      </c>
      <c r="E12" s="50">
        <v>2</v>
      </c>
      <c r="F12" s="50">
        <v>61</v>
      </c>
      <c r="G12" s="50">
        <v>0</v>
      </c>
      <c r="H12" s="50">
        <v>0</v>
      </c>
      <c r="I12" s="50">
        <v>4</v>
      </c>
      <c r="J12" s="50">
        <v>3</v>
      </c>
      <c r="K12" s="50">
        <v>0</v>
      </c>
      <c r="L12" s="50">
        <v>0</v>
      </c>
      <c r="M12" s="50">
        <v>224</v>
      </c>
      <c r="N12" s="50">
        <v>0</v>
      </c>
      <c r="O12" s="15">
        <f t="shared" si="0"/>
        <v>109</v>
      </c>
      <c r="P12" s="15">
        <f t="shared" si="1"/>
        <v>333</v>
      </c>
      <c r="R12" s="1" t="s">
        <v>8</v>
      </c>
      <c r="S12" s="17">
        <f t="shared" ref="S12:AF12" si="4">SUM(C18:C21)</f>
        <v>90</v>
      </c>
      <c r="T12" s="17">
        <f t="shared" si="4"/>
        <v>56</v>
      </c>
      <c r="U12" s="17">
        <f t="shared" si="4"/>
        <v>22</v>
      </c>
      <c r="V12" s="17">
        <f t="shared" si="4"/>
        <v>177</v>
      </c>
      <c r="W12" s="17">
        <f t="shared" si="4"/>
        <v>0</v>
      </c>
      <c r="X12" s="17">
        <f t="shared" si="4"/>
        <v>0</v>
      </c>
      <c r="Y12" s="17">
        <f t="shared" si="4"/>
        <v>15</v>
      </c>
      <c r="Z12" s="17">
        <f t="shared" si="4"/>
        <v>3</v>
      </c>
      <c r="AA12" s="17">
        <f t="shared" si="4"/>
        <v>1</v>
      </c>
      <c r="AB12" s="17">
        <f t="shared" si="4"/>
        <v>0</v>
      </c>
      <c r="AC12" s="17">
        <f t="shared" si="4"/>
        <v>628</v>
      </c>
      <c r="AD12" s="17">
        <f t="shared" si="4"/>
        <v>0</v>
      </c>
      <c r="AE12" s="31">
        <f t="shared" si="4"/>
        <v>364</v>
      </c>
      <c r="AF12" s="31">
        <f t="shared" si="4"/>
        <v>992</v>
      </c>
    </row>
    <row r="13" spans="2:32" ht="23.1" customHeight="1" x14ac:dyDescent="0.25">
      <c r="B13" s="23" t="s">
        <v>40</v>
      </c>
      <c r="C13" s="50">
        <v>23</v>
      </c>
      <c r="D13" s="50">
        <v>8</v>
      </c>
      <c r="E13" s="50">
        <v>6</v>
      </c>
      <c r="F13" s="50">
        <v>56</v>
      </c>
      <c r="G13" s="50">
        <v>0</v>
      </c>
      <c r="H13" s="50">
        <v>0</v>
      </c>
      <c r="I13" s="50">
        <v>4</v>
      </c>
      <c r="J13" s="50">
        <v>0</v>
      </c>
      <c r="K13" s="50">
        <v>0</v>
      </c>
      <c r="L13" s="50">
        <v>0</v>
      </c>
      <c r="M13" s="50">
        <v>277</v>
      </c>
      <c r="N13" s="50">
        <v>0</v>
      </c>
      <c r="O13" s="15">
        <f t="shared" si="0"/>
        <v>97</v>
      </c>
      <c r="P13" s="15">
        <f t="shared" si="1"/>
        <v>374</v>
      </c>
      <c r="R13" s="1" t="s">
        <v>9</v>
      </c>
      <c r="S13" s="17">
        <f t="shared" ref="S13:AF13" si="5">SUM(C22:C25)</f>
        <v>100</v>
      </c>
      <c r="T13" s="17">
        <f t="shared" si="5"/>
        <v>67</v>
      </c>
      <c r="U13" s="17">
        <f t="shared" si="5"/>
        <v>4</v>
      </c>
      <c r="V13" s="17">
        <f t="shared" si="5"/>
        <v>167</v>
      </c>
      <c r="W13" s="17">
        <f t="shared" si="5"/>
        <v>2</v>
      </c>
      <c r="X13" s="17">
        <f t="shared" si="5"/>
        <v>0</v>
      </c>
      <c r="Y13" s="17">
        <f t="shared" si="5"/>
        <v>19</v>
      </c>
      <c r="Z13" s="17">
        <f t="shared" si="5"/>
        <v>4</v>
      </c>
      <c r="AA13" s="17">
        <f t="shared" si="5"/>
        <v>0</v>
      </c>
      <c r="AB13" s="17">
        <f t="shared" si="5"/>
        <v>0</v>
      </c>
      <c r="AC13" s="17">
        <f t="shared" si="5"/>
        <v>606</v>
      </c>
      <c r="AD13" s="17">
        <f t="shared" si="5"/>
        <v>0</v>
      </c>
      <c r="AE13" s="31">
        <f t="shared" si="5"/>
        <v>363</v>
      </c>
      <c r="AF13" s="31">
        <f t="shared" si="5"/>
        <v>969</v>
      </c>
    </row>
    <row r="14" spans="2:32" ht="23.1" customHeight="1" x14ac:dyDescent="0.25">
      <c r="B14" s="23" t="s">
        <v>41</v>
      </c>
      <c r="C14" s="50">
        <v>29</v>
      </c>
      <c r="D14" s="50">
        <v>15</v>
      </c>
      <c r="E14" s="50">
        <v>3</v>
      </c>
      <c r="F14" s="50">
        <v>62</v>
      </c>
      <c r="G14" s="50">
        <v>1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231</v>
      </c>
      <c r="N14" s="50">
        <v>0</v>
      </c>
      <c r="O14" s="15">
        <f t="shared" si="0"/>
        <v>113</v>
      </c>
      <c r="P14" s="15">
        <f t="shared" si="1"/>
        <v>344</v>
      </c>
      <c r="R14" s="1" t="s">
        <v>10</v>
      </c>
      <c r="S14" s="17">
        <f t="shared" ref="S14:AF14" si="6">SUM(C26:C29)</f>
        <v>77</v>
      </c>
      <c r="T14" s="17">
        <f t="shared" si="6"/>
        <v>45</v>
      </c>
      <c r="U14" s="17">
        <f t="shared" si="6"/>
        <v>17</v>
      </c>
      <c r="V14" s="17">
        <f t="shared" si="6"/>
        <v>128</v>
      </c>
      <c r="W14" s="17">
        <f t="shared" si="6"/>
        <v>0</v>
      </c>
      <c r="X14" s="17">
        <f t="shared" si="6"/>
        <v>0</v>
      </c>
      <c r="Y14" s="17">
        <f t="shared" si="6"/>
        <v>14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556</v>
      </c>
      <c r="AD14" s="17">
        <f t="shared" si="6"/>
        <v>0</v>
      </c>
      <c r="AE14" s="31">
        <f t="shared" si="6"/>
        <v>284</v>
      </c>
      <c r="AF14" s="31">
        <f t="shared" si="6"/>
        <v>840</v>
      </c>
    </row>
    <row r="15" spans="2:32" ht="23.1" customHeight="1" x14ac:dyDescent="0.25">
      <c r="B15" s="23" t="s">
        <v>42</v>
      </c>
      <c r="C15" s="50">
        <v>28</v>
      </c>
      <c r="D15" s="50">
        <v>13</v>
      </c>
      <c r="E15" s="50">
        <v>2</v>
      </c>
      <c r="F15" s="50">
        <v>58</v>
      </c>
      <c r="G15" s="50">
        <v>0</v>
      </c>
      <c r="H15" s="50">
        <v>0</v>
      </c>
      <c r="I15" s="50">
        <v>5</v>
      </c>
      <c r="J15" s="50">
        <v>0</v>
      </c>
      <c r="K15" s="50">
        <v>0</v>
      </c>
      <c r="L15" s="50">
        <v>0</v>
      </c>
      <c r="M15" s="50">
        <v>229</v>
      </c>
      <c r="N15" s="50">
        <v>0</v>
      </c>
      <c r="O15" s="15">
        <f t="shared" si="0"/>
        <v>106</v>
      </c>
      <c r="P15" s="15">
        <f t="shared" si="1"/>
        <v>335</v>
      </c>
      <c r="R15" s="1" t="s">
        <v>11</v>
      </c>
      <c r="S15" s="17">
        <f t="shared" ref="S15:AF15" si="7">SUM(C30:C33)</f>
        <v>59</v>
      </c>
      <c r="T15" s="17">
        <f t="shared" si="7"/>
        <v>44</v>
      </c>
      <c r="U15" s="17">
        <f t="shared" si="7"/>
        <v>9</v>
      </c>
      <c r="V15" s="17">
        <f t="shared" si="7"/>
        <v>92</v>
      </c>
      <c r="W15" s="17">
        <f t="shared" si="7"/>
        <v>1</v>
      </c>
      <c r="X15" s="17">
        <f t="shared" si="7"/>
        <v>0</v>
      </c>
      <c r="Y15" s="17">
        <f t="shared" si="7"/>
        <v>9</v>
      </c>
      <c r="Z15" s="17">
        <f t="shared" si="7"/>
        <v>3</v>
      </c>
      <c r="AA15" s="17">
        <f t="shared" si="7"/>
        <v>2</v>
      </c>
      <c r="AB15" s="17">
        <f t="shared" si="7"/>
        <v>0</v>
      </c>
      <c r="AC15" s="17">
        <f t="shared" si="7"/>
        <v>428</v>
      </c>
      <c r="AD15" s="17">
        <f t="shared" si="7"/>
        <v>0</v>
      </c>
      <c r="AE15" s="31">
        <f t="shared" si="7"/>
        <v>219</v>
      </c>
      <c r="AF15" s="31">
        <f t="shared" si="7"/>
        <v>647</v>
      </c>
    </row>
    <row r="16" spans="2:32" ht="23.1" customHeight="1" x14ac:dyDescent="0.25">
      <c r="B16" s="23" t="s">
        <v>43</v>
      </c>
      <c r="C16" s="50">
        <v>31</v>
      </c>
      <c r="D16" s="50">
        <v>18</v>
      </c>
      <c r="E16" s="50">
        <v>4</v>
      </c>
      <c r="F16" s="50">
        <v>55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205</v>
      </c>
      <c r="N16" s="50">
        <v>0</v>
      </c>
      <c r="O16" s="15">
        <f t="shared" si="0"/>
        <v>110</v>
      </c>
      <c r="P16" s="15">
        <f t="shared" si="1"/>
        <v>315</v>
      </c>
      <c r="R16" s="1" t="s">
        <v>12</v>
      </c>
      <c r="S16" s="17">
        <f t="shared" ref="S16:AF16" si="8">SUM(C34:C37)</f>
        <v>70</v>
      </c>
      <c r="T16" s="17">
        <f t="shared" si="8"/>
        <v>42</v>
      </c>
      <c r="U16" s="17">
        <f t="shared" si="8"/>
        <v>17</v>
      </c>
      <c r="V16" s="17">
        <f t="shared" si="8"/>
        <v>97</v>
      </c>
      <c r="W16" s="17">
        <f t="shared" si="8"/>
        <v>0</v>
      </c>
      <c r="X16" s="17">
        <f t="shared" si="8"/>
        <v>0</v>
      </c>
      <c r="Y16" s="17">
        <f t="shared" si="8"/>
        <v>21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492</v>
      </c>
      <c r="AD16" s="17">
        <f t="shared" si="8"/>
        <v>0</v>
      </c>
      <c r="AE16" s="31">
        <f t="shared" si="8"/>
        <v>249</v>
      </c>
      <c r="AF16" s="31">
        <f t="shared" si="8"/>
        <v>741</v>
      </c>
    </row>
    <row r="17" spans="2:32" ht="23.1" customHeight="1" x14ac:dyDescent="0.25">
      <c r="B17" s="23" t="s">
        <v>44</v>
      </c>
      <c r="C17" s="50">
        <v>22</v>
      </c>
      <c r="D17" s="50">
        <v>8</v>
      </c>
      <c r="E17" s="50">
        <v>4</v>
      </c>
      <c r="F17" s="50">
        <v>44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175</v>
      </c>
      <c r="N17" s="50">
        <v>0</v>
      </c>
      <c r="O17" s="15">
        <f t="shared" si="0"/>
        <v>80</v>
      </c>
      <c r="P17" s="15">
        <f t="shared" si="1"/>
        <v>255</v>
      </c>
      <c r="R17" s="1" t="s">
        <v>13</v>
      </c>
      <c r="S17" s="17">
        <f t="shared" ref="S17:AF17" si="9">SUM(C38:C41)</f>
        <v>73</v>
      </c>
      <c r="T17" s="17">
        <f t="shared" si="9"/>
        <v>32</v>
      </c>
      <c r="U17" s="17">
        <f t="shared" si="9"/>
        <v>13</v>
      </c>
      <c r="V17" s="17">
        <f t="shared" si="9"/>
        <v>98</v>
      </c>
      <c r="W17" s="17">
        <f t="shared" si="9"/>
        <v>0</v>
      </c>
      <c r="X17" s="17">
        <f t="shared" si="9"/>
        <v>0</v>
      </c>
      <c r="Y17" s="17">
        <f t="shared" si="9"/>
        <v>14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562</v>
      </c>
      <c r="AD17" s="17">
        <f t="shared" si="9"/>
        <v>0</v>
      </c>
      <c r="AE17" s="31">
        <f t="shared" si="9"/>
        <v>232</v>
      </c>
      <c r="AF17" s="31">
        <f t="shared" si="9"/>
        <v>794</v>
      </c>
    </row>
    <row r="18" spans="2:32" ht="23.1" customHeight="1" x14ac:dyDescent="0.25">
      <c r="B18" s="23" t="s">
        <v>45</v>
      </c>
      <c r="C18" s="50">
        <v>22</v>
      </c>
      <c r="D18" s="50">
        <v>19</v>
      </c>
      <c r="E18" s="50">
        <v>7</v>
      </c>
      <c r="F18" s="50">
        <v>52</v>
      </c>
      <c r="G18" s="50">
        <v>0</v>
      </c>
      <c r="H18" s="50">
        <v>0</v>
      </c>
      <c r="I18" s="50">
        <v>5</v>
      </c>
      <c r="J18" s="50">
        <v>1</v>
      </c>
      <c r="K18" s="50">
        <v>0</v>
      </c>
      <c r="L18" s="50">
        <v>0</v>
      </c>
      <c r="M18" s="50">
        <v>175</v>
      </c>
      <c r="N18" s="50">
        <v>0</v>
      </c>
      <c r="O18" s="15">
        <f t="shared" si="0"/>
        <v>106</v>
      </c>
      <c r="P18" s="15">
        <f t="shared" si="1"/>
        <v>281</v>
      </c>
      <c r="R18" s="1" t="s">
        <v>14</v>
      </c>
      <c r="S18" s="17">
        <f t="shared" ref="S18:AF18" si="10">SUM(C42:C45)</f>
        <v>84</v>
      </c>
      <c r="T18" s="17">
        <f t="shared" si="10"/>
        <v>34</v>
      </c>
      <c r="U18" s="17">
        <f t="shared" si="10"/>
        <v>16</v>
      </c>
      <c r="V18" s="17">
        <f t="shared" si="10"/>
        <v>74</v>
      </c>
      <c r="W18" s="17">
        <f t="shared" si="10"/>
        <v>0</v>
      </c>
      <c r="X18" s="17">
        <f t="shared" si="10"/>
        <v>0</v>
      </c>
      <c r="Y18" s="17">
        <f t="shared" si="10"/>
        <v>10</v>
      </c>
      <c r="Z18" s="17">
        <f t="shared" si="10"/>
        <v>5</v>
      </c>
      <c r="AA18" s="17">
        <f t="shared" si="10"/>
        <v>1</v>
      </c>
      <c r="AB18" s="17">
        <f t="shared" si="10"/>
        <v>0</v>
      </c>
      <c r="AC18" s="17">
        <f t="shared" si="10"/>
        <v>440</v>
      </c>
      <c r="AD18" s="17">
        <f t="shared" si="10"/>
        <v>0</v>
      </c>
      <c r="AE18" s="31">
        <f t="shared" si="10"/>
        <v>224</v>
      </c>
      <c r="AF18" s="31">
        <f t="shared" si="10"/>
        <v>664</v>
      </c>
    </row>
    <row r="19" spans="2:32" ht="23.1" customHeight="1" x14ac:dyDescent="0.25">
      <c r="B19" s="23" t="s">
        <v>46</v>
      </c>
      <c r="C19" s="50">
        <v>27</v>
      </c>
      <c r="D19" s="50">
        <v>13</v>
      </c>
      <c r="E19" s="50">
        <v>3</v>
      </c>
      <c r="F19" s="50">
        <v>55</v>
      </c>
      <c r="G19" s="50">
        <v>0</v>
      </c>
      <c r="H19" s="50">
        <v>0</v>
      </c>
      <c r="I19" s="50">
        <v>1</v>
      </c>
      <c r="J19" s="50">
        <v>0</v>
      </c>
      <c r="K19" s="50">
        <v>1</v>
      </c>
      <c r="L19" s="50">
        <v>0</v>
      </c>
      <c r="M19" s="50">
        <v>185</v>
      </c>
      <c r="N19" s="50">
        <v>0</v>
      </c>
      <c r="O19" s="15">
        <f t="shared" si="0"/>
        <v>100</v>
      </c>
      <c r="P19" s="15">
        <f t="shared" si="1"/>
        <v>285</v>
      </c>
      <c r="R19" s="1" t="s">
        <v>15</v>
      </c>
      <c r="S19" s="17">
        <f t="shared" ref="S19:AF19" si="11">SUM(C46:C49)</f>
        <v>83</v>
      </c>
      <c r="T19" s="17">
        <f t="shared" si="11"/>
        <v>51</v>
      </c>
      <c r="U19" s="17">
        <f t="shared" si="11"/>
        <v>16</v>
      </c>
      <c r="V19" s="17">
        <f t="shared" si="11"/>
        <v>102</v>
      </c>
      <c r="W19" s="17">
        <f t="shared" si="11"/>
        <v>4</v>
      </c>
      <c r="X19" s="17">
        <f t="shared" si="11"/>
        <v>0</v>
      </c>
      <c r="Y19" s="17">
        <f t="shared" si="11"/>
        <v>19</v>
      </c>
      <c r="Z19" s="17">
        <f t="shared" si="11"/>
        <v>1</v>
      </c>
      <c r="AA19" s="17">
        <f t="shared" si="11"/>
        <v>1</v>
      </c>
      <c r="AB19" s="17">
        <f t="shared" si="11"/>
        <v>0</v>
      </c>
      <c r="AC19" s="17">
        <f t="shared" si="11"/>
        <v>599</v>
      </c>
      <c r="AD19" s="17">
        <f t="shared" si="11"/>
        <v>0</v>
      </c>
      <c r="AE19" s="31">
        <f t="shared" si="11"/>
        <v>277</v>
      </c>
      <c r="AF19" s="31">
        <f t="shared" si="11"/>
        <v>876</v>
      </c>
    </row>
    <row r="20" spans="2:32" ht="23.1" customHeight="1" x14ac:dyDescent="0.25">
      <c r="B20" s="23" t="s">
        <v>47</v>
      </c>
      <c r="C20" s="50">
        <v>21</v>
      </c>
      <c r="D20" s="50">
        <v>10</v>
      </c>
      <c r="E20" s="50">
        <v>6</v>
      </c>
      <c r="F20" s="50">
        <v>39</v>
      </c>
      <c r="G20" s="50">
        <v>0</v>
      </c>
      <c r="H20" s="50">
        <v>0</v>
      </c>
      <c r="I20" s="50">
        <v>4</v>
      </c>
      <c r="J20" s="50">
        <v>0</v>
      </c>
      <c r="K20" s="50">
        <v>0</v>
      </c>
      <c r="L20" s="50">
        <v>0</v>
      </c>
      <c r="M20" s="50">
        <v>129</v>
      </c>
      <c r="N20" s="50">
        <v>0</v>
      </c>
      <c r="O20" s="15">
        <f t="shared" si="0"/>
        <v>80</v>
      </c>
      <c r="P20" s="15">
        <f t="shared" si="1"/>
        <v>209</v>
      </c>
      <c r="R20" s="1" t="s">
        <v>16</v>
      </c>
      <c r="S20" s="17">
        <f t="shared" ref="S20:AF20" si="12">SUM(C50:C53)</f>
        <v>75</v>
      </c>
      <c r="T20" s="17">
        <f t="shared" si="12"/>
        <v>35</v>
      </c>
      <c r="U20" s="17">
        <f t="shared" si="12"/>
        <v>13</v>
      </c>
      <c r="V20" s="17">
        <f t="shared" si="12"/>
        <v>93</v>
      </c>
      <c r="W20" s="17">
        <f t="shared" si="12"/>
        <v>2</v>
      </c>
      <c r="X20" s="17">
        <f t="shared" si="12"/>
        <v>0</v>
      </c>
      <c r="Y20" s="17">
        <f t="shared" si="12"/>
        <v>12</v>
      </c>
      <c r="Z20" s="17">
        <f t="shared" si="12"/>
        <v>1</v>
      </c>
      <c r="AA20" s="17">
        <f t="shared" si="12"/>
        <v>1</v>
      </c>
      <c r="AB20" s="17">
        <f t="shared" si="12"/>
        <v>0</v>
      </c>
      <c r="AC20" s="17">
        <f t="shared" si="12"/>
        <v>590</v>
      </c>
      <c r="AD20" s="17">
        <f t="shared" si="12"/>
        <v>0</v>
      </c>
      <c r="AE20" s="31">
        <f t="shared" si="12"/>
        <v>232</v>
      </c>
      <c r="AF20" s="31">
        <f t="shared" si="12"/>
        <v>822</v>
      </c>
    </row>
    <row r="21" spans="2:32" ht="23.1" customHeight="1" x14ac:dyDescent="0.25">
      <c r="B21" s="23" t="s">
        <v>48</v>
      </c>
      <c r="C21" s="50">
        <v>20</v>
      </c>
      <c r="D21" s="50">
        <v>14</v>
      </c>
      <c r="E21" s="50">
        <v>6</v>
      </c>
      <c r="F21" s="50">
        <v>31</v>
      </c>
      <c r="G21" s="50">
        <v>0</v>
      </c>
      <c r="H21" s="50">
        <v>0</v>
      </c>
      <c r="I21" s="50">
        <v>5</v>
      </c>
      <c r="J21" s="50">
        <v>2</v>
      </c>
      <c r="K21" s="50">
        <v>0</v>
      </c>
      <c r="L21" s="50">
        <v>0</v>
      </c>
      <c r="M21" s="50">
        <v>139</v>
      </c>
      <c r="N21" s="50">
        <v>0</v>
      </c>
      <c r="O21" s="15">
        <f t="shared" si="0"/>
        <v>78</v>
      </c>
      <c r="P21" s="15">
        <f t="shared" si="1"/>
        <v>217</v>
      </c>
      <c r="R21" s="36" t="s">
        <v>20</v>
      </c>
      <c r="S21" s="34">
        <f t="shared" ref="S21:AF21" si="13">SUM(C54:C57)</f>
        <v>65</v>
      </c>
      <c r="T21" s="17">
        <f t="shared" si="13"/>
        <v>35</v>
      </c>
      <c r="U21" s="17">
        <f t="shared" si="13"/>
        <v>14</v>
      </c>
      <c r="V21" s="17">
        <f t="shared" si="13"/>
        <v>90</v>
      </c>
      <c r="W21" s="17">
        <f t="shared" si="13"/>
        <v>4</v>
      </c>
      <c r="X21" s="17">
        <f t="shared" si="13"/>
        <v>1</v>
      </c>
      <c r="Y21" s="17">
        <f t="shared" si="13"/>
        <v>14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583</v>
      </c>
      <c r="AD21" s="17">
        <f t="shared" si="13"/>
        <v>0</v>
      </c>
      <c r="AE21" s="31">
        <f t="shared" si="13"/>
        <v>224</v>
      </c>
      <c r="AF21" s="31">
        <f t="shared" si="13"/>
        <v>807</v>
      </c>
    </row>
    <row r="22" spans="2:32" ht="23.1" customHeight="1" x14ac:dyDescent="0.25">
      <c r="B22" s="23" t="s">
        <v>49</v>
      </c>
      <c r="C22" s="50">
        <v>34</v>
      </c>
      <c r="D22" s="50">
        <v>16</v>
      </c>
      <c r="E22" s="50">
        <v>0</v>
      </c>
      <c r="F22" s="50">
        <v>49</v>
      </c>
      <c r="G22" s="50">
        <v>1</v>
      </c>
      <c r="H22" s="50">
        <v>0</v>
      </c>
      <c r="I22" s="50">
        <v>6</v>
      </c>
      <c r="J22" s="50">
        <v>2</v>
      </c>
      <c r="K22" s="50">
        <v>0</v>
      </c>
      <c r="L22" s="50">
        <v>0</v>
      </c>
      <c r="M22" s="50">
        <v>175</v>
      </c>
      <c r="N22" s="50">
        <v>0</v>
      </c>
      <c r="O22" s="15">
        <f t="shared" si="0"/>
        <v>108</v>
      </c>
      <c r="P22" s="15">
        <f t="shared" si="1"/>
        <v>283</v>
      </c>
      <c r="R22" s="38" t="s">
        <v>90</v>
      </c>
      <c r="S22" s="39">
        <f>MAX(S10:S12)</f>
        <v>142</v>
      </c>
      <c r="T22" s="39">
        <f t="shared" ref="T22:AF22" si="14">MAX(T10:T12)</f>
        <v>62</v>
      </c>
      <c r="U22" s="39">
        <f t="shared" si="14"/>
        <v>22</v>
      </c>
      <c r="V22" s="39">
        <f t="shared" si="14"/>
        <v>245</v>
      </c>
      <c r="W22" s="39">
        <f t="shared" si="14"/>
        <v>1</v>
      </c>
      <c r="X22" s="39">
        <f t="shared" si="14"/>
        <v>0</v>
      </c>
      <c r="Y22" s="39">
        <f t="shared" si="14"/>
        <v>19</v>
      </c>
      <c r="Z22" s="39">
        <f t="shared" si="14"/>
        <v>4</v>
      </c>
      <c r="AA22" s="39">
        <f t="shared" si="14"/>
        <v>1</v>
      </c>
      <c r="AB22" s="39">
        <f t="shared" si="14"/>
        <v>0</v>
      </c>
      <c r="AC22" s="39">
        <f t="shared" si="14"/>
        <v>866</v>
      </c>
      <c r="AD22" s="39">
        <f t="shared" si="14"/>
        <v>0</v>
      </c>
      <c r="AE22" s="40">
        <f t="shared" si="14"/>
        <v>493</v>
      </c>
      <c r="AF22" s="40">
        <f t="shared" si="14"/>
        <v>1359</v>
      </c>
    </row>
    <row r="23" spans="2:32" ht="23.1" customHeight="1" x14ac:dyDescent="0.25">
      <c r="B23" s="23" t="s">
        <v>50</v>
      </c>
      <c r="C23" s="50">
        <v>19</v>
      </c>
      <c r="D23" s="50">
        <v>17</v>
      </c>
      <c r="E23" s="50">
        <v>2</v>
      </c>
      <c r="F23" s="50">
        <v>35</v>
      </c>
      <c r="G23" s="50">
        <v>0</v>
      </c>
      <c r="H23" s="50">
        <v>0</v>
      </c>
      <c r="I23" s="50">
        <v>5</v>
      </c>
      <c r="J23" s="50">
        <v>0</v>
      </c>
      <c r="K23" s="50">
        <v>0</v>
      </c>
      <c r="L23" s="50">
        <v>0</v>
      </c>
      <c r="M23" s="50">
        <v>155</v>
      </c>
      <c r="N23" s="50">
        <v>0</v>
      </c>
      <c r="O23" s="15">
        <f t="shared" si="0"/>
        <v>78</v>
      </c>
      <c r="P23" s="15">
        <f t="shared" si="1"/>
        <v>233</v>
      </c>
      <c r="R23" s="38" t="s">
        <v>91</v>
      </c>
      <c r="S23" s="39">
        <f>MAX(S13:S18)</f>
        <v>100</v>
      </c>
      <c r="T23" s="39">
        <f t="shared" ref="T23:AF23" si="15">MAX(T13:T18)</f>
        <v>67</v>
      </c>
      <c r="U23" s="39">
        <f t="shared" si="15"/>
        <v>17</v>
      </c>
      <c r="V23" s="39">
        <f t="shared" si="15"/>
        <v>167</v>
      </c>
      <c r="W23" s="39">
        <f t="shared" si="15"/>
        <v>2</v>
      </c>
      <c r="X23" s="39">
        <f t="shared" si="15"/>
        <v>0</v>
      </c>
      <c r="Y23" s="39">
        <f t="shared" si="15"/>
        <v>21</v>
      </c>
      <c r="Z23" s="39">
        <f t="shared" si="15"/>
        <v>5</v>
      </c>
      <c r="AA23" s="39">
        <f t="shared" si="15"/>
        <v>2</v>
      </c>
      <c r="AB23" s="39">
        <f t="shared" si="15"/>
        <v>0</v>
      </c>
      <c r="AC23" s="39">
        <f t="shared" si="15"/>
        <v>606</v>
      </c>
      <c r="AD23" s="39">
        <f t="shared" si="15"/>
        <v>0</v>
      </c>
      <c r="AE23" s="40">
        <f t="shared" si="15"/>
        <v>363</v>
      </c>
      <c r="AF23" s="40">
        <f t="shared" si="15"/>
        <v>969</v>
      </c>
    </row>
    <row r="24" spans="2:32" ht="23.1" customHeight="1" x14ac:dyDescent="0.25">
      <c r="B24" s="23" t="s">
        <v>51</v>
      </c>
      <c r="C24" s="50">
        <v>23</v>
      </c>
      <c r="D24" s="50">
        <v>16</v>
      </c>
      <c r="E24" s="50">
        <v>0</v>
      </c>
      <c r="F24" s="50">
        <v>44</v>
      </c>
      <c r="G24" s="50">
        <v>0</v>
      </c>
      <c r="H24" s="50">
        <v>0</v>
      </c>
      <c r="I24" s="50">
        <v>4</v>
      </c>
      <c r="J24" s="50">
        <v>2</v>
      </c>
      <c r="K24" s="50">
        <v>0</v>
      </c>
      <c r="L24" s="50">
        <v>0</v>
      </c>
      <c r="M24" s="50">
        <v>115</v>
      </c>
      <c r="N24" s="50">
        <v>0</v>
      </c>
      <c r="O24" s="15">
        <f t="shared" si="0"/>
        <v>89</v>
      </c>
      <c r="P24" s="15">
        <f t="shared" si="1"/>
        <v>204</v>
      </c>
      <c r="R24" s="38" t="s">
        <v>92</v>
      </c>
      <c r="S24" s="39">
        <f>MAX(S19:S21)</f>
        <v>83</v>
      </c>
      <c r="T24" s="39">
        <f t="shared" ref="T24:AF24" si="16">MAX(T19:T21)</f>
        <v>51</v>
      </c>
      <c r="U24" s="39">
        <f t="shared" si="16"/>
        <v>16</v>
      </c>
      <c r="V24" s="39">
        <f t="shared" si="16"/>
        <v>102</v>
      </c>
      <c r="W24" s="39">
        <f t="shared" si="16"/>
        <v>4</v>
      </c>
      <c r="X24" s="39">
        <f t="shared" si="16"/>
        <v>1</v>
      </c>
      <c r="Y24" s="39">
        <f t="shared" si="16"/>
        <v>19</v>
      </c>
      <c r="Z24" s="39">
        <f t="shared" si="16"/>
        <v>1</v>
      </c>
      <c r="AA24" s="39">
        <f t="shared" si="16"/>
        <v>1</v>
      </c>
      <c r="AB24" s="39">
        <f t="shared" si="16"/>
        <v>0</v>
      </c>
      <c r="AC24" s="39">
        <f t="shared" si="16"/>
        <v>599</v>
      </c>
      <c r="AD24" s="39">
        <f t="shared" si="16"/>
        <v>0</v>
      </c>
      <c r="AE24" s="40">
        <f t="shared" si="16"/>
        <v>277</v>
      </c>
      <c r="AF24" s="40">
        <f t="shared" si="16"/>
        <v>876</v>
      </c>
    </row>
    <row r="25" spans="2:32" ht="23.1" customHeight="1" x14ac:dyDescent="0.25">
      <c r="B25" s="23" t="s">
        <v>52</v>
      </c>
      <c r="C25" s="50">
        <v>24</v>
      </c>
      <c r="D25" s="50">
        <v>18</v>
      </c>
      <c r="E25" s="50">
        <v>2</v>
      </c>
      <c r="F25" s="50">
        <v>39</v>
      </c>
      <c r="G25" s="50">
        <v>1</v>
      </c>
      <c r="H25" s="50">
        <v>0</v>
      </c>
      <c r="I25" s="50">
        <v>4</v>
      </c>
      <c r="J25" s="50">
        <v>0</v>
      </c>
      <c r="K25" s="50">
        <v>0</v>
      </c>
      <c r="L25" s="50">
        <v>0</v>
      </c>
      <c r="M25" s="50">
        <v>161</v>
      </c>
      <c r="N25" s="50">
        <v>0</v>
      </c>
      <c r="O25" s="15">
        <f t="shared" si="0"/>
        <v>88</v>
      </c>
      <c r="P25" s="15">
        <f t="shared" si="1"/>
        <v>249</v>
      </c>
      <c r="R25" s="37" t="s">
        <v>85</v>
      </c>
      <c r="S25" s="35">
        <f t="shared" ref="S25:AF25" si="17">SUM(S10:S12)</f>
        <v>342</v>
      </c>
      <c r="T25" s="16">
        <f t="shared" si="17"/>
        <v>172</v>
      </c>
      <c r="U25" s="16">
        <f t="shared" si="17"/>
        <v>54</v>
      </c>
      <c r="V25" s="16">
        <f t="shared" si="17"/>
        <v>641</v>
      </c>
      <c r="W25" s="16">
        <f t="shared" si="17"/>
        <v>2</v>
      </c>
      <c r="X25" s="16">
        <f t="shared" si="17"/>
        <v>0</v>
      </c>
      <c r="Y25" s="16">
        <f t="shared" si="17"/>
        <v>45</v>
      </c>
      <c r="Z25" s="16">
        <f t="shared" si="17"/>
        <v>8</v>
      </c>
      <c r="AA25" s="16">
        <f t="shared" si="17"/>
        <v>2</v>
      </c>
      <c r="AB25" s="16">
        <f t="shared" si="17"/>
        <v>0</v>
      </c>
      <c r="AC25" s="16">
        <f t="shared" si="17"/>
        <v>2334</v>
      </c>
      <c r="AD25" s="16">
        <f t="shared" si="17"/>
        <v>0</v>
      </c>
      <c r="AE25" s="32">
        <f t="shared" si="17"/>
        <v>1266</v>
      </c>
      <c r="AF25" s="32">
        <f t="shared" si="17"/>
        <v>3600</v>
      </c>
    </row>
    <row r="26" spans="2:32" ht="23.1" customHeight="1" x14ac:dyDescent="0.25">
      <c r="B26" s="23" t="s">
        <v>53</v>
      </c>
      <c r="C26" s="50">
        <v>23</v>
      </c>
      <c r="D26" s="50">
        <v>14</v>
      </c>
      <c r="E26" s="50">
        <v>7</v>
      </c>
      <c r="F26" s="50">
        <v>35</v>
      </c>
      <c r="G26" s="50">
        <v>0</v>
      </c>
      <c r="H26" s="50">
        <v>0</v>
      </c>
      <c r="I26" s="50">
        <v>4</v>
      </c>
      <c r="J26" s="50"/>
      <c r="K26" s="50">
        <v>0</v>
      </c>
      <c r="L26" s="50">
        <v>0</v>
      </c>
      <c r="M26" s="50">
        <v>145</v>
      </c>
      <c r="N26" s="50">
        <v>0</v>
      </c>
      <c r="O26" s="15">
        <f t="shared" si="0"/>
        <v>83</v>
      </c>
      <c r="P26" s="15">
        <f t="shared" si="1"/>
        <v>228</v>
      </c>
      <c r="R26" s="28" t="s">
        <v>86</v>
      </c>
      <c r="S26" s="16">
        <f t="shared" ref="S26:AF26" si="18">SUM(S13:S18)</f>
        <v>463</v>
      </c>
      <c r="T26" s="16">
        <f t="shared" si="18"/>
        <v>264</v>
      </c>
      <c r="U26" s="16">
        <f t="shared" si="18"/>
        <v>76</v>
      </c>
      <c r="V26" s="16">
        <f t="shared" si="18"/>
        <v>656</v>
      </c>
      <c r="W26" s="16">
        <f t="shared" si="18"/>
        <v>3</v>
      </c>
      <c r="X26" s="16">
        <f t="shared" si="18"/>
        <v>0</v>
      </c>
      <c r="Y26" s="16">
        <f t="shared" si="18"/>
        <v>87</v>
      </c>
      <c r="Z26" s="16">
        <f t="shared" si="18"/>
        <v>19</v>
      </c>
      <c r="AA26" s="16">
        <f t="shared" si="18"/>
        <v>3</v>
      </c>
      <c r="AB26" s="16">
        <f t="shared" si="18"/>
        <v>0</v>
      </c>
      <c r="AC26" s="16">
        <f t="shared" si="18"/>
        <v>3084</v>
      </c>
      <c r="AD26" s="16">
        <f t="shared" si="18"/>
        <v>0</v>
      </c>
      <c r="AE26" s="32">
        <f t="shared" si="18"/>
        <v>1571</v>
      </c>
      <c r="AF26" s="32">
        <f t="shared" si="18"/>
        <v>4655</v>
      </c>
    </row>
    <row r="27" spans="2:32" ht="23.1" customHeight="1" x14ac:dyDescent="0.25">
      <c r="B27" s="23" t="s">
        <v>54</v>
      </c>
      <c r="C27" s="50">
        <v>20</v>
      </c>
      <c r="D27" s="50">
        <v>16</v>
      </c>
      <c r="E27" s="50">
        <v>1</v>
      </c>
      <c r="F27" s="50">
        <v>32</v>
      </c>
      <c r="G27" s="50">
        <v>0</v>
      </c>
      <c r="H27" s="50">
        <v>0</v>
      </c>
      <c r="I27" s="50">
        <v>3</v>
      </c>
      <c r="J27" s="50">
        <v>1</v>
      </c>
      <c r="K27" s="50">
        <v>0</v>
      </c>
      <c r="L27" s="50">
        <v>0</v>
      </c>
      <c r="M27" s="50">
        <v>159</v>
      </c>
      <c r="N27" s="50">
        <v>0</v>
      </c>
      <c r="O27" s="15">
        <f t="shared" si="0"/>
        <v>73</v>
      </c>
      <c r="P27" s="15">
        <f t="shared" si="1"/>
        <v>232</v>
      </c>
      <c r="R27" s="29" t="s">
        <v>87</v>
      </c>
      <c r="S27" s="16">
        <f t="shared" ref="S27:AF27" si="19">SUM(S19:S21)</f>
        <v>223</v>
      </c>
      <c r="T27" s="16">
        <f t="shared" si="19"/>
        <v>121</v>
      </c>
      <c r="U27" s="16">
        <f t="shared" si="19"/>
        <v>43</v>
      </c>
      <c r="V27" s="16">
        <f t="shared" si="19"/>
        <v>285</v>
      </c>
      <c r="W27" s="16">
        <f t="shared" si="19"/>
        <v>10</v>
      </c>
      <c r="X27" s="16">
        <f t="shared" si="19"/>
        <v>1</v>
      </c>
      <c r="Y27" s="16">
        <f t="shared" si="19"/>
        <v>45</v>
      </c>
      <c r="Z27" s="16">
        <f t="shared" si="19"/>
        <v>3</v>
      </c>
      <c r="AA27" s="16">
        <f t="shared" si="19"/>
        <v>2</v>
      </c>
      <c r="AB27" s="16">
        <f t="shared" si="19"/>
        <v>0</v>
      </c>
      <c r="AC27" s="16">
        <f t="shared" si="19"/>
        <v>1772</v>
      </c>
      <c r="AD27" s="16">
        <f t="shared" si="19"/>
        <v>0</v>
      </c>
      <c r="AE27" s="32">
        <f t="shared" si="19"/>
        <v>733</v>
      </c>
      <c r="AF27" s="32">
        <f t="shared" si="19"/>
        <v>2505</v>
      </c>
    </row>
    <row r="28" spans="2:32" ht="23.1" customHeight="1" x14ac:dyDescent="0.25">
      <c r="B28" s="23" t="s">
        <v>55</v>
      </c>
      <c r="C28" s="50">
        <v>14</v>
      </c>
      <c r="D28" s="50">
        <v>5</v>
      </c>
      <c r="E28" s="50">
        <v>6</v>
      </c>
      <c r="F28" s="50">
        <v>32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120</v>
      </c>
      <c r="N28" s="50">
        <v>0</v>
      </c>
      <c r="O28" s="15">
        <f t="shared" si="0"/>
        <v>59</v>
      </c>
      <c r="P28" s="15">
        <f t="shared" si="1"/>
        <v>179</v>
      </c>
      <c r="R28" s="5" t="s">
        <v>17</v>
      </c>
      <c r="S28" s="16">
        <f t="shared" ref="S28:AF28" si="20">SUM(S10:S21)</f>
        <v>1028</v>
      </c>
      <c r="T28" s="16">
        <f t="shared" si="20"/>
        <v>557</v>
      </c>
      <c r="U28" s="16">
        <f t="shared" si="20"/>
        <v>173</v>
      </c>
      <c r="V28" s="16">
        <f t="shared" si="20"/>
        <v>1582</v>
      </c>
      <c r="W28" s="16">
        <f t="shared" si="20"/>
        <v>15</v>
      </c>
      <c r="X28" s="16">
        <f t="shared" si="20"/>
        <v>1</v>
      </c>
      <c r="Y28" s="16">
        <f t="shared" si="20"/>
        <v>177</v>
      </c>
      <c r="Z28" s="16">
        <f t="shared" si="20"/>
        <v>30</v>
      </c>
      <c r="AA28" s="16">
        <f t="shared" si="20"/>
        <v>7</v>
      </c>
      <c r="AB28" s="16">
        <f t="shared" si="20"/>
        <v>0</v>
      </c>
      <c r="AC28" s="16">
        <f t="shared" si="20"/>
        <v>7190</v>
      </c>
      <c r="AD28" s="16">
        <f t="shared" si="20"/>
        <v>0</v>
      </c>
      <c r="AE28" s="32">
        <f t="shared" si="20"/>
        <v>3570</v>
      </c>
      <c r="AF28" s="32">
        <f t="shared" si="20"/>
        <v>10760</v>
      </c>
    </row>
    <row r="29" spans="2:32" ht="23.1" customHeight="1" x14ac:dyDescent="0.25">
      <c r="B29" s="23" t="s">
        <v>56</v>
      </c>
      <c r="C29" s="50">
        <v>20</v>
      </c>
      <c r="D29" s="50">
        <v>10</v>
      </c>
      <c r="E29" s="50">
        <v>3</v>
      </c>
      <c r="F29" s="50">
        <v>29</v>
      </c>
      <c r="G29" s="50">
        <v>0</v>
      </c>
      <c r="H29" s="50">
        <v>0</v>
      </c>
      <c r="I29" s="50">
        <v>5</v>
      </c>
      <c r="J29" s="50">
        <v>2</v>
      </c>
      <c r="K29" s="50">
        <v>0</v>
      </c>
      <c r="L29" s="50">
        <v>0</v>
      </c>
      <c r="M29" s="50">
        <v>132</v>
      </c>
      <c r="N29" s="50">
        <v>0</v>
      </c>
      <c r="O29" s="15">
        <f t="shared" si="0"/>
        <v>69</v>
      </c>
      <c r="P29" s="15">
        <f t="shared" si="1"/>
        <v>201</v>
      </c>
      <c r="R29"/>
      <c r="S29" s="20"/>
      <c r="T29" s="19"/>
    </row>
    <row r="30" spans="2:32" ht="23.1" customHeight="1" x14ac:dyDescent="0.25">
      <c r="B30" s="23" t="s">
        <v>57</v>
      </c>
      <c r="C30" s="50">
        <v>16</v>
      </c>
      <c r="D30" s="50">
        <v>13</v>
      </c>
      <c r="E30" s="50">
        <v>2</v>
      </c>
      <c r="F30" s="50">
        <v>32</v>
      </c>
      <c r="G30" s="50">
        <v>0</v>
      </c>
      <c r="H30" s="50">
        <v>0</v>
      </c>
      <c r="I30" s="50">
        <v>3</v>
      </c>
      <c r="J30" s="50">
        <v>2</v>
      </c>
      <c r="K30" s="50">
        <v>0</v>
      </c>
      <c r="L30" s="50">
        <v>0</v>
      </c>
      <c r="M30" s="50">
        <v>145</v>
      </c>
      <c r="N30" s="50">
        <v>0</v>
      </c>
      <c r="O30" s="15">
        <f t="shared" si="0"/>
        <v>68</v>
      </c>
      <c r="P30" s="15">
        <f t="shared" si="1"/>
        <v>213</v>
      </c>
    </row>
    <row r="31" spans="2:32" ht="23.1" customHeight="1" x14ac:dyDescent="0.25">
      <c r="B31" s="24" t="s">
        <v>58</v>
      </c>
      <c r="C31" s="50">
        <v>11</v>
      </c>
      <c r="D31" s="50">
        <v>7</v>
      </c>
      <c r="E31" s="50">
        <v>2</v>
      </c>
      <c r="F31" s="50">
        <v>19</v>
      </c>
      <c r="G31" s="50">
        <v>0</v>
      </c>
      <c r="H31" s="50">
        <v>0</v>
      </c>
      <c r="I31" s="50">
        <v>0</v>
      </c>
      <c r="J31" s="50">
        <v>0</v>
      </c>
      <c r="K31" s="50">
        <v>1</v>
      </c>
      <c r="L31" s="50">
        <v>0</v>
      </c>
      <c r="M31" s="50">
        <v>89</v>
      </c>
      <c r="N31" s="50">
        <v>0</v>
      </c>
      <c r="O31" s="15">
        <f t="shared" si="0"/>
        <v>40</v>
      </c>
      <c r="P31" s="15">
        <f t="shared" si="1"/>
        <v>129</v>
      </c>
    </row>
    <row r="32" spans="2:32" ht="23.1" customHeight="1" x14ac:dyDescent="0.25">
      <c r="B32" s="24" t="s">
        <v>59</v>
      </c>
      <c r="C32" s="50">
        <v>13</v>
      </c>
      <c r="D32" s="50">
        <v>9</v>
      </c>
      <c r="E32" s="50">
        <v>2</v>
      </c>
      <c r="F32" s="50">
        <v>22</v>
      </c>
      <c r="G32" s="50">
        <v>1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91</v>
      </c>
      <c r="N32" s="50">
        <v>0</v>
      </c>
      <c r="O32" s="15">
        <f t="shared" si="0"/>
        <v>49</v>
      </c>
      <c r="P32" s="15">
        <f t="shared" si="1"/>
        <v>140</v>
      </c>
    </row>
    <row r="33" spans="2:20" ht="23.1" customHeight="1" x14ac:dyDescent="0.25">
      <c r="B33" s="23" t="s">
        <v>60</v>
      </c>
      <c r="C33" s="50">
        <v>19</v>
      </c>
      <c r="D33" s="50">
        <v>15</v>
      </c>
      <c r="E33" s="50">
        <v>3</v>
      </c>
      <c r="F33" s="50">
        <v>19</v>
      </c>
      <c r="G33" s="50">
        <v>0</v>
      </c>
      <c r="H33" s="50">
        <v>0</v>
      </c>
      <c r="I33" s="50">
        <v>5</v>
      </c>
      <c r="J33" s="50">
        <v>0</v>
      </c>
      <c r="K33" s="50">
        <v>1</v>
      </c>
      <c r="L33" s="50">
        <v>0</v>
      </c>
      <c r="M33" s="50">
        <v>103</v>
      </c>
      <c r="N33" s="50">
        <v>0</v>
      </c>
      <c r="O33" s="15">
        <f t="shared" si="0"/>
        <v>62</v>
      </c>
      <c r="P33" s="15">
        <f t="shared" si="1"/>
        <v>165</v>
      </c>
    </row>
    <row r="34" spans="2:20" ht="23.1" customHeight="1" x14ac:dyDescent="0.25">
      <c r="B34" s="24" t="s">
        <v>61</v>
      </c>
      <c r="C34" s="50">
        <v>10</v>
      </c>
      <c r="D34" s="50">
        <v>10</v>
      </c>
      <c r="E34" s="50">
        <v>7</v>
      </c>
      <c r="F34" s="50">
        <v>16</v>
      </c>
      <c r="G34" s="50">
        <v>0</v>
      </c>
      <c r="H34" s="50">
        <v>0</v>
      </c>
      <c r="I34" s="50">
        <v>6</v>
      </c>
      <c r="J34" s="50">
        <v>1</v>
      </c>
      <c r="K34" s="50">
        <v>0</v>
      </c>
      <c r="L34" s="50">
        <v>0</v>
      </c>
      <c r="M34" s="50">
        <v>124</v>
      </c>
      <c r="N34" s="50">
        <v>0</v>
      </c>
      <c r="O34" s="15">
        <f t="shared" si="0"/>
        <v>50</v>
      </c>
      <c r="P34" s="15">
        <f t="shared" si="1"/>
        <v>174</v>
      </c>
    </row>
    <row r="35" spans="2:20" ht="23.1" customHeight="1" x14ac:dyDescent="0.25">
      <c r="B35" s="24" t="s">
        <v>62</v>
      </c>
      <c r="C35" s="50">
        <v>24</v>
      </c>
      <c r="D35" s="50">
        <v>4</v>
      </c>
      <c r="E35" s="50">
        <v>1</v>
      </c>
      <c r="F35" s="50">
        <v>25</v>
      </c>
      <c r="G35" s="50">
        <v>0</v>
      </c>
      <c r="H35" s="50">
        <v>0</v>
      </c>
      <c r="I35" s="50">
        <v>5</v>
      </c>
      <c r="J35" s="50">
        <v>1</v>
      </c>
      <c r="K35" s="50">
        <v>0</v>
      </c>
      <c r="L35" s="50">
        <v>0</v>
      </c>
      <c r="M35" s="50">
        <v>156</v>
      </c>
      <c r="N35" s="50">
        <v>0</v>
      </c>
      <c r="O35" s="15">
        <f t="shared" si="0"/>
        <v>60</v>
      </c>
      <c r="P35" s="15">
        <f t="shared" si="1"/>
        <v>216</v>
      </c>
    </row>
    <row r="36" spans="2:20" ht="23.1" customHeight="1" x14ac:dyDescent="0.25">
      <c r="B36" s="24" t="s">
        <v>63</v>
      </c>
      <c r="C36" s="50">
        <v>21</v>
      </c>
      <c r="D36" s="50">
        <v>16</v>
      </c>
      <c r="E36" s="50">
        <v>5</v>
      </c>
      <c r="F36" s="50">
        <v>32</v>
      </c>
      <c r="G36" s="50">
        <v>0</v>
      </c>
      <c r="H36" s="50">
        <v>0</v>
      </c>
      <c r="I36" s="50">
        <v>7</v>
      </c>
      <c r="J36" s="50">
        <v>0</v>
      </c>
      <c r="K36" s="50">
        <v>0</v>
      </c>
      <c r="L36" s="50">
        <v>0</v>
      </c>
      <c r="M36" s="50">
        <v>102</v>
      </c>
      <c r="N36" s="50">
        <v>0</v>
      </c>
      <c r="O36" s="15">
        <f t="shared" si="0"/>
        <v>81</v>
      </c>
      <c r="P36" s="15">
        <f t="shared" si="1"/>
        <v>183</v>
      </c>
    </row>
    <row r="37" spans="2:20" ht="23.1" customHeight="1" x14ac:dyDescent="0.25">
      <c r="B37" s="23" t="s">
        <v>64</v>
      </c>
      <c r="C37" s="50">
        <v>15</v>
      </c>
      <c r="D37" s="50">
        <v>12</v>
      </c>
      <c r="E37" s="50">
        <v>4</v>
      </c>
      <c r="F37" s="50">
        <v>24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110</v>
      </c>
      <c r="N37" s="50">
        <v>0</v>
      </c>
      <c r="O37" s="15">
        <f t="shared" si="0"/>
        <v>58</v>
      </c>
      <c r="P37" s="15">
        <f t="shared" si="1"/>
        <v>168</v>
      </c>
    </row>
    <row r="38" spans="2:20" ht="23.1" customHeight="1" x14ac:dyDescent="0.25">
      <c r="B38" s="24" t="s">
        <v>65</v>
      </c>
      <c r="C38" s="50">
        <v>21</v>
      </c>
      <c r="D38" s="50">
        <v>9</v>
      </c>
      <c r="E38" s="50">
        <v>2</v>
      </c>
      <c r="F38" s="50">
        <v>29</v>
      </c>
      <c r="G38" s="50">
        <v>0</v>
      </c>
      <c r="H38" s="50">
        <v>0</v>
      </c>
      <c r="I38" s="50">
        <v>5</v>
      </c>
      <c r="J38" s="50">
        <v>1</v>
      </c>
      <c r="K38" s="50">
        <v>0</v>
      </c>
      <c r="L38" s="50">
        <v>0</v>
      </c>
      <c r="M38" s="50">
        <v>139</v>
      </c>
      <c r="N38" s="50">
        <v>0</v>
      </c>
      <c r="O38" s="15">
        <f t="shared" si="0"/>
        <v>67</v>
      </c>
      <c r="P38" s="15">
        <f t="shared" si="1"/>
        <v>206</v>
      </c>
    </row>
    <row r="39" spans="2:20" ht="23.1" customHeight="1" x14ac:dyDescent="0.25">
      <c r="B39" s="24" t="s">
        <v>66</v>
      </c>
      <c r="C39" s="50">
        <v>14</v>
      </c>
      <c r="D39" s="50">
        <v>8</v>
      </c>
      <c r="E39" s="50">
        <v>2</v>
      </c>
      <c r="F39" s="50">
        <v>23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159</v>
      </c>
      <c r="N39" s="50">
        <v>0</v>
      </c>
      <c r="O39" s="15">
        <f t="shared" si="0"/>
        <v>50</v>
      </c>
      <c r="P39" s="15">
        <f t="shared" si="1"/>
        <v>209</v>
      </c>
    </row>
    <row r="40" spans="2:20" ht="23.1" customHeight="1" x14ac:dyDescent="0.25">
      <c r="B40" s="24" t="s">
        <v>67</v>
      </c>
      <c r="C40" s="50">
        <v>18</v>
      </c>
      <c r="D40" s="50">
        <v>10</v>
      </c>
      <c r="E40" s="50">
        <v>4</v>
      </c>
      <c r="F40" s="50">
        <v>27</v>
      </c>
      <c r="G40" s="50">
        <v>0</v>
      </c>
      <c r="H40" s="50">
        <v>0</v>
      </c>
      <c r="I40" s="50">
        <v>5</v>
      </c>
      <c r="J40" s="50">
        <v>1</v>
      </c>
      <c r="K40" s="50">
        <v>0</v>
      </c>
      <c r="L40" s="50">
        <v>0</v>
      </c>
      <c r="M40" s="50">
        <v>139</v>
      </c>
      <c r="N40" s="50">
        <v>0</v>
      </c>
      <c r="O40" s="15">
        <f t="shared" si="0"/>
        <v>65</v>
      </c>
      <c r="P40" s="15">
        <f t="shared" si="1"/>
        <v>204</v>
      </c>
    </row>
    <row r="41" spans="2:20" ht="23.1" customHeight="1" x14ac:dyDescent="0.25">
      <c r="B41" s="23" t="s">
        <v>68</v>
      </c>
      <c r="C41" s="50">
        <v>20</v>
      </c>
      <c r="D41" s="50">
        <v>5</v>
      </c>
      <c r="E41" s="50">
        <v>5</v>
      </c>
      <c r="F41" s="50">
        <v>19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125</v>
      </c>
      <c r="N41" s="50">
        <v>0</v>
      </c>
      <c r="O41" s="15">
        <f t="shared" si="0"/>
        <v>50</v>
      </c>
      <c r="P41" s="15">
        <f t="shared" si="1"/>
        <v>175</v>
      </c>
    </row>
    <row r="42" spans="2:20" ht="23.1" customHeight="1" x14ac:dyDescent="0.25">
      <c r="B42" s="24" t="s">
        <v>69</v>
      </c>
      <c r="C42" s="50">
        <v>21</v>
      </c>
      <c r="D42" s="50">
        <v>2</v>
      </c>
      <c r="E42" s="50">
        <v>3</v>
      </c>
      <c r="F42" s="50">
        <v>24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107</v>
      </c>
      <c r="N42" s="50">
        <v>0</v>
      </c>
      <c r="O42" s="15">
        <f t="shared" si="0"/>
        <v>53</v>
      </c>
      <c r="P42" s="15">
        <f t="shared" si="1"/>
        <v>160</v>
      </c>
    </row>
    <row r="43" spans="2:20" ht="23.1" customHeight="1" x14ac:dyDescent="0.25">
      <c r="B43" s="23" t="s">
        <v>70</v>
      </c>
      <c r="C43" s="50">
        <v>10</v>
      </c>
      <c r="D43" s="50">
        <v>6</v>
      </c>
      <c r="E43" s="50">
        <v>5</v>
      </c>
      <c r="F43" s="50">
        <v>16</v>
      </c>
      <c r="G43" s="50">
        <v>0</v>
      </c>
      <c r="H43" s="50">
        <v>0</v>
      </c>
      <c r="I43" s="50">
        <v>2</v>
      </c>
      <c r="J43" s="50">
        <v>3</v>
      </c>
      <c r="K43" s="50">
        <v>0</v>
      </c>
      <c r="L43" s="50">
        <v>0</v>
      </c>
      <c r="M43" s="50">
        <v>101</v>
      </c>
      <c r="N43" s="50">
        <v>0</v>
      </c>
      <c r="O43" s="15">
        <f t="shared" si="0"/>
        <v>42</v>
      </c>
      <c r="P43" s="15">
        <f t="shared" si="1"/>
        <v>143</v>
      </c>
    </row>
    <row r="44" spans="2:20" ht="23.1" customHeight="1" x14ac:dyDescent="0.25">
      <c r="B44" s="25" t="s">
        <v>71</v>
      </c>
      <c r="C44" s="50">
        <v>30</v>
      </c>
      <c r="D44" s="50">
        <v>11</v>
      </c>
      <c r="E44" s="50">
        <v>2</v>
      </c>
      <c r="F44" s="50">
        <v>21</v>
      </c>
      <c r="G44" s="50">
        <v>0</v>
      </c>
      <c r="H44" s="50">
        <v>0</v>
      </c>
      <c r="I44" s="50">
        <v>3</v>
      </c>
      <c r="J44" s="50">
        <v>1</v>
      </c>
      <c r="K44" s="50">
        <v>1</v>
      </c>
      <c r="L44" s="50">
        <v>0</v>
      </c>
      <c r="M44" s="50">
        <v>109</v>
      </c>
      <c r="N44" s="50">
        <v>0</v>
      </c>
      <c r="O44" s="15">
        <f t="shared" si="0"/>
        <v>69</v>
      </c>
      <c r="P44" s="15">
        <f t="shared" si="1"/>
        <v>178</v>
      </c>
    </row>
    <row r="45" spans="2:20" ht="23.1" customHeight="1" x14ac:dyDescent="0.25">
      <c r="B45" s="23" t="s">
        <v>72</v>
      </c>
      <c r="C45" s="50">
        <v>23</v>
      </c>
      <c r="D45" s="50">
        <v>15</v>
      </c>
      <c r="E45" s="50">
        <v>6</v>
      </c>
      <c r="F45" s="50">
        <v>13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123</v>
      </c>
      <c r="N45" s="50">
        <v>0</v>
      </c>
      <c r="O45" s="15">
        <f t="shared" si="0"/>
        <v>60</v>
      </c>
      <c r="P45" s="15">
        <f t="shared" si="1"/>
        <v>183</v>
      </c>
    </row>
    <row r="46" spans="2:20" ht="23.1" customHeight="1" x14ac:dyDescent="0.25">
      <c r="B46" s="24" t="s">
        <v>73</v>
      </c>
      <c r="C46" s="50">
        <v>17</v>
      </c>
      <c r="D46" s="50">
        <v>11</v>
      </c>
      <c r="E46" s="50">
        <v>2</v>
      </c>
      <c r="F46" s="50">
        <v>32</v>
      </c>
      <c r="G46" s="50">
        <v>0</v>
      </c>
      <c r="H46" s="50">
        <v>0</v>
      </c>
      <c r="I46" s="50">
        <v>7</v>
      </c>
      <c r="J46" s="50">
        <v>0</v>
      </c>
      <c r="K46" s="50">
        <v>1</v>
      </c>
      <c r="L46" s="50">
        <v>0</v>
      </c>
      <c r="M46" s="50">
        <v>137</v>
      </c>
      <c r="N46" s="50">
        <v>0</v>
      </c>
      <c r="O46" s="15">
        <f t="shared" si="0"/>
        <v>70</v>
      </c>
      <c r="P46" s="15">
        <f t="shared" si="1"/>
        <v>207</v>
      </c>
      <c r="R46" s="8"/>
      <c r="T46"/>
    </row>
    <row r="47" spans="2:20" ht="23.1" customHeight="1" x14ac:dyDescent="0.25">
      <c r="B47" s="24" t="s">
        <v>74</v>
      </c>
      <c r="C47" s="50">
        <v>30</v>
      </c>
      <c r="D47" s="50">
        <v>13</v>
      </c>
      <c r="E47" s="50">
        <v>4</v>
      </c>
      <c r="F47" s="50">
        <v>25</v>
      </c>
      <c r="G47" s="50">
        <v>1</v>
      </c>
      <c r="H47" s="50">
        <v>0</v>
      </c>
      <c r="I47" s="50">
        <v>3</v>
      </c>
      <c r="J47" s="50">
        <v>1</v>
      </c>
      <c r="K47" s="50">
        <v>0</v>
      </c>
      <c r="L47" s="50">
        <v>0</v>
      </c>
      <c r="M47" s="50">
        <v>151</v>
      </c>
      <c r="N47" s="50">
        <v>0</v>
      </c>
      <c r="O47" s="15">
        <f t="shared" si="0"/>
        <v>77</v>
      </c>
      <c r="P47" s="15">
        <f t="shared" si="1"/>
        <v>228</v>
      </c>
      <c r="R47" s="8"/>
      <c r="T47"/>
    </row>
    <row r="48" spans="2:20" ht="23.1" customHeight="1" x14ac:dyDescent="0.25">
      <c r="B48" s="24" t="s">
        <v>75</v>
      </c>
      <c r="C48" s="50">
        <v>15</v>
      </c>
      <c r="D48" s="50">
        <v>12</v>
      </c>
      <c r="E48" s="50">
        <v>6</v>
      </c>
      <c r="F48" s="50">
        <v>22</v>
      </c>
      <c r="G48" s="50">
        <v>1</v>
      </c>
      <c r="H48" s="50">
        <v>0</v>
      </c>
      <c r="I48" s="50">
        <v>6</v>
      </c>
      <c r="J48" s="50">
        <v>0</v>
      </c>
      <c r="K48" s="50">
        <v>0</v>
      </c>
      <c r="L48" s="50">
        <v>0</v>
      </c>
      <c r="M48" s="50">
        <v>175</v>
      </c>
      <c r="N48" s="50">
        <v>0</v>
      </c>
      <c r="O48" s="15">
        <f t="shared" si="0"/>
        <v>62</v>
      </c>
      <c r="P48" s="15">
        <f t="shared" si="1"/>
        <v>237</v>
      </c>
      <c r="R48" s="8"/>
      <c r="T48"/>
    </row>
    <row r="49" spans="2:20" ht="23.1" customHeight="1" x14ac:dyDescent="0.25">
      <c r="B49" s="23" t="s">
        <v>76</v>
      </c>
      <c r="C49" s="50">
        <v>21</v>
      </c>
      <c r="D49" s="50">
        <v>15</v>
      </c>
      <c r="E49" s="50">
        <v>4</v>
      </c>
      <c r="F49" s="50">
        <v>23</v>
      </c>
      <c r="G49" s="50">
        <v>2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136</v>
      </c>
      <c r="N49" s="50">
        <v>0</v>
      </c>
      <c r="O49" s="15">
        <f t="shared" si="0"/>
        <v>68</v>
      </c>
      <c r="P49" s="15">
        <f t="shared" si="1"/>
        <v>204</v>
      </c>
      <c r="R49" s="8"/>
      <c r="T49"/>
    </row>
    <row r="50" spans="2:20" ht="23.1" customHeight="1" x14ac:dyDescent="0.25">
      <c r="B50" s="24" t="s">
        <v>77</v>
      </c>
      <c r="C50" s="50">
        <v>20</v>
      </c>
      <c r="D50" s="50">
        <v>13</v>
      </c>
      <c r="E50" s="50">
        <v>2</v>
      </c>
      <c r="F50" s="50">
        <v>25</v>
      </c>
      <c r="G50" s="50">
        <v>1</v>
      </c>
      <c r="H50" s="50">
        <v>0</v>
      </c>
      <c r="I50" s="50">
        <v>5</v>
      </c>
      <c r="J50" s="50">
        <v>1</v>
      </c>
      <c r="K50" s="50">
        <v>0</v>
      </c>
      <c r="L50" s="50">
        <v>0</v>
      </c>
      <c r="M50" s="50">
        <v>151</v>
      </c>
      <c r="N50" s="50">
        <v>0</v>
      </c>
      <c r="O50" s="15">
        <f t="shared" si="0"/>
        <v>67</v>
      </c>
      <c r="P50" s="15">
        <f t="shared" si="1"/>
        <v>218</v>
      </c>
      <c r="R50" s="8"/>
      <c r="T50"/>
    </row>
    <row r="51" spans="2:20" ht="23.1" customHeight="1" x14ac:dyDescent="0.25">
      <c r="B51" s="24" t="s">
        <v>78</v>
      </c>
      <c r="C51" s="50">
        <v>24</v>
      </c>
      <c r="D51" s="50">
        <v>9</v>
      </c>
      <c r="E51" s="50">
        <v>5</v>
      </c>
      <c r="F51" s="50">
        <v>22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174</v>
      </c>
      <c r="N51" s="50">
        <v>0</v>
      </c>
      <c r="O51" s="15">
        <f t="shared" si="0"/>
        <v>62</v>
      </c>
      <c r="P51" s="15">
        <f t="shared" si="1"/>
        <v>236</v>
      </c>
      <c r="R51" s="8"/>
      <c r="T51"/>
    </row>
    <row r="52" spans="2:20" ht="23.1" customHeight="1" x14ac:dyDescent="0.25">
      <c r="B52" s="24" t="s">
        <v>79</v>
      </c>
      <c r="C52" s="50">
        <v>18</v>
      </c>
      <c r="D52" s="50">
        <v>11</v>
      </c>
      <c r="E52" s="50">
        <v>1</v>
      </c>
      <c r="F52" s="50">
        <v>18</v>
      </c>
      <c r="G52" s="50">
        <v>1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140</v>
      </c>
      <c r="N52" s="50">
        <v>0</v>
      </c>
      <c r="O52" s="15">
        <f t="shared" si="0"/>
        <v>51</v>
      </c>
      <c r="P52" s="15">
        <f t="shared" si="1"/>
        <v>191</v>
      </c>
      <c r="R52" s="8"/>
      <c r="T52"/>
    </row>
    <row r="53" spans="2:20" ht="23.1" customHeight="1" x14ac:dyDescent="0.25">
      <c r="B53" s="23" t="s">
        <v>80</v>
      </c>
      <c r="C53" s="50">
        <v>13</v>
      </c>
      <c r="D53" s="50">
        <v>2</v>
      </c>
      <c r="E53" s="50">
        <v>5</v>
      </c>
      <c r="F53" s="50">
        <v>28</v>
      </c>
      <c r="G53" s="50">
        <v>0</v>
      </c>
      <c r="H53" s="50">
        <v>0</v>
      </c>
      <c r="I53" s="50">
        <v>3</v>
      </c>
      <c r="J53" s="50">
        <v>0</v>
      </c>
      <c r="K53" s="50">
        <v>1</v>
      </c>
      <c r="L53" s="50">
        <v>0</v>
      </c>
      <c r="M53" s="50">
        <v>125</v>
      </c>
      <c r="N53" s="50">
        <v>0</v>
      </c>
      <c r="O53" s="15">
        <f t="shared" si="0"/>
        <v>52</v>
      </c>
      <c r="P53" s="15">
        <f t="shared" si="1"/>
        <v>177</v>
      </c>
      <c r="R53" s="8"/>
      <c r="T53"/>
    </row>
    <row r="54" spans="2:20" ht="23.1" customHeight="1" x14ac:dyDescent="0.25">
      <c r="B54" s="23" t="s">
        <v>81</v>
      </c>
      <c r="C54" s="50">
        <v>8</v>
      </c>
      <c r="D54" s="50">
        <v>9</v>
      </c>
      <c r="E54" s="50">
        <v>1</v>
      </c>
      <c r="F54" s="50">
        <v>19</v>
      </c>
      <c r="G54" s="50">
        <v>1</v>
      </c>
      <c r="H54" s="50">
        <v>1</v>
      </c>
      <c r="I54" s="50">
        <v>3</v>
      </c>
      <c r="J54" s="50">
        <v>0</v>
      </c>
      <c r="K54" s="50">
        <v>0</v>
      </c>
      <c r="L54" s="50">
        <v>0</v>
      </c>
      <c r="M54" s="50">
        <v>108</v>
      </c>
      <c r="N54" s="50">
        <v>0</v>
      </c>
      <c r="O54" s="15">
        <f t="shared" si="0"/>
        <v>42</v>
      </c>
      <c r="P54" s="15">
        <f t="shared" si="1"/>
        <v>150</v>
      </c>
      <c r="R54" s="8"/>
      <c r="T54"/>
    </row>
    <row r="55" spans="2:20" ht="23.1" customHeight="1" x14ac:dyDescent="0.25">
      <c r="B55" s="23" t="s">
        <v>82</v>
      </c>
      <c r="C55" s="50">
        <v>14</v>
      </c>
      <c r="D55" s="50">
        <v>9</v>
      </c>
      <c r="E55" s="50">
        <v>3</v>
      </c>
      <c r="F55" s="50">
        <v>27</v>
      </c>
      <c r="G55" s="50">
        <v>2</v>
      </c>
      <c r="H55" s="50">
        <v>0</v>
      </c>
      <c r="I55" s="50">
        <v>5</v>
      </c>
      <c r="J55" s="50">
        <v>1</v>
      </c>
      <c r="K55" s="50">
        <v>0</v>
      </c>
      <c r="L55" s="50">
        <v>0</v>
      </c>
      <c r="M55" s="50">
        <v>140</v>
      </c>
      <c r="N55" s="50">
        <v>0</v>
      </c>
      <c r="O55" s="15">
        <f t="shared" si="0"/>
        <v>61</v>
      </c>
      <c r="P55" s="15">
        <f t="shared" si="1"/>
        <v>201</v>
      </c>
      <c r="R55" s="8"/>
      <c r="T55"/>
    </row>
    <row r="56" spans="2:20" ht="23.1" customHeight="1" x14ac:dyDescent="0.25">
      <c r="B56" s="23" t="s">
        <v>83</v>
      </c>
      <c r="C56" s="50">
        <v>15</v>
      </c>
      <c r="D56" s="50">
        <v>11</v>
      </c>
      <c r="E56" s="50">
        <v>5</v>
      </c>
      <c r="F56" s="50">
        <v>18</v>
      </c>
      <c r="G56" s="50">
        <v>0</v>
      </c>
      <c r="H56" s="50">
        <v>0</v>
      </c>
      <c r="I56" s="50">
        <v>4</v>
      </c>
      <c r="J56" s="50">
        <v>0</v>
      </c>
      <c r="K56" s="50">
        <v>0</v>
      </c>
      <c r="L56" s="50">
        <v>0</v>
      </c>
      <c r="M56" s="50">
        <v>150</v>
      </c>
      <c r="N56" s="50">
        <v>0</v>
      </c>
      <c r="O56" s="15">
        <f t="shared" si="0"/>
        <v>53</v>
      </c>
      <c r="P56" s="15">
        <f t="shared" si="1"/>
        <v>203</v>
      </c>
      <c r="R56" s="8"/>
      <c r="T56"/>
    </row>
    <row r="57" spans="2:20" ht="23.1" customHeight="1" x14ac:dyDescent="0.25">
      <c r="B57" s="23" t="s">
        <v>84</v>
      </c>
      <c r="C57" s="50">
        <v>28</v>
      </c>
      <c r="D57" s="50">
        <v>6</v>
      </c>
      <c r="E57" s="50">
        <v>5</v>
      </c>
      <c r="F57" s="50">
        <v>26</v>
      </c>
      <c r="G57" s="50">
        <v>1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185</v>
      </c>
      <c r="N57" s="50">
        <v>0</v>
      </c>
      <c r="O57" s="15">
        <f t="shared" si="0"/>
        <v>68</v>
      </c>
      <c r="P57" s="15">
        <f t="shared" si="1"/>
        <v>253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1028</v>
      </c>
      <c r="D58" s="16">
        <f t="shared" si="21"/>
        <v>557</v>
      </c>
      <c r="E58" s="16">
        <f t="shared" si="21"/>
        <v>173</v>
      </c>
      <c r="F58" s="16">
        <f t="shared" si="21"/>
        <v>1582</v>
      </c>
      <c r="G58" s="16">
        <f t="shared" si="21"/>
        <v>15</v>
      </c>
      <c r="H58" s="16">
        <f t="shared" si="21"/>
        <v>1</v>
      </c>
      <c r="I58" s="16">
        <f t="shared" si="21"/>
        <v>177</v>
      </c>
      <c r="J58" s="16">
        <f t="shared" si="21"/>
        <v>30</v>
      </c>
      <c r="K58" s="16">
        <f t="shared" si="21"/>
        <v>7</v>
      </c>
      <c r="L58" s="16">
        <f t="shared" si="21"/>
        <v>0</v>
      </c>
      <c r="M58" s="16">
        <f t="shared" si="21"/>
        <v>7190</v>
      </c>
      <c r="N58" s="16">
        <f t="shared" si="21"/>
        <v>0</v>
      </c>
      <c r="O58" s="16">
        <f t="shared" si="21"/>
        <v>3570</v>
      </c>
      <c r="P58" s="16">
        <f t="shared" si="21"/>
        <v>10760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9.5539033457249067E-2</v>
      </c>
      <c r="D59" s="43">
        <f t="shared" si="22"/>
        <v>5.1765799256505575E-2</v>
      </c>
      <c r="E59" s="43">
        <f t="shared" si="22"/>
        <v>1.6078066914498142E-2</v>
      </c>
      <c r="F59" s="43">
        <f t="shared" si="22"/>
        <v>0.14702602230483272</v>
      </c>
      <c r="G59" s="43">
        <f t="shared" si="22"/>
        <v>1.3940520446096654E-3</v>
      </c>
      <c r="H59" s="43">
        <f t="shared" si="22"/>
        <v>9.2936802973977694E-5</v>
      </c>
      <c r="I59" s="43">
        <f t="shared" si="22"/>
        <v>1.6449814126394052E-2</v>
      </c>
      <c r="J59" s="43">
        <f t="shared" si="22"/>
        <v>2.7881040892193307E-3</v>
      </c>
      <c r="K59" s="43">
        <f t="shared" si="22"/>
        <v>6.5055762081784381E-4</v>
      </c>
      <c r="L59" s="43">
        <f t="shared" si="22"/>
        <v>0</v>
      </c>
      <c r="M59" s="43">
        <f t="shared" si="22"/>
        <v>0.66821561338289959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0.28795518207282911</v>
      </c>
      <c r="D60" s="44">
        <f t="shared" ref="D60:N60" si="23">D58/$O$58</f>
        <v>0.15602240896358543</v>
      </c>
      <c r="E60" s="44">
        <f t="shared" si="23"/>
        <v>4.8459383753501402E-2</v>
      </c>
      <c r="F60" s="44">
        <f t="shared" si="23"/>
        <v>0.44313725490196076</v>
      </c>
      <c r="G60" s="44">
        <f t="shared" si="23"/>
        <v>4.2016806722689074E-3</v>
      </c>
      <c r="H60" s="44">
        <f t="shared" si="23"/>
        <v>2.8011204481792715E-4</v>
      </c>
      <c r="I60" s="44">
        <f t="shared" si="23"/>
        <v>4.9579831932773107E-2</v>
      </c>
      <c r="J60" s="44">
        <f t="shared" si="23"/>
        <v>8.4033613445378148E-3</v>
      </c>
      <c r="K60" s="44">
        <f t="shared" si="23"/>
        <v>1.9607843137254902E-3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Kibuye-Munyonyo'!C3:G3</f>
        <v>MCC - C1 - STN01A - SALAMA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165</v>
      </c>
      <c r="E5" s="3"/>
      <c r="F5" s="41" t="s">
        <v>1</v>
      </c>
      <c r="G5" s="64" t="str">
        <f>'22.07 Kibuye-Munyonyo'!G5:H5</f>
        <v>Salama road 1A</v>
      </c>
      <c r="H5" s="65"/>
      <c r="I5" s="14"/>
      <c r="J5" s="2" t="s">
        <v>5</v>
      </c>
      <c r="K5" s="64" t="str">
        <f>'22.07 Kibuye-Munyonyo'!K5:L5</f>
        <v>Racheal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Kibuye-Munyonyo'!D6:E6</f>
        <v>Kibuye</v>
      </c>
      <c r="E6" s="65"/>
      <c r="F6" s="2" t="s">
        <v>2</v>
      </c>
      <c r="G6" s="64" t="str">
        <f>'22.07 Kibuye-Munyonyo'!G6:H6</f>
        <v>Munyonyo</v>
      </c>
      <c r="H6" s="65"/>
      <c r="J6" s="2" t="s">
        <v>21</v>
      </c>
      <c r="K6" s="64" t="str">
        <f>'22.07 Kibuye-Munyonyo'!K6:L6</f>
        <v>Emma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14</v>
      </c>
      <c r="D10" s="50">
        <v>8</v>
      </c>
      <c r="E10" s="50">
        <v>0</v>
      </c>
      <c r="F10" s="50">
        <v>78</v>
      </c>
      <c r="G10" s="50">
        <v>1</v>
      </c>
      <c r="H10" s="50">
        <v>0</v>
      </c>
      <c r="I10" s="50">
        <v>2</v>
      </c>
      <c r="J10" s="50">
        <v>0</v>
      </c>
      <c r="K10" s="50">
        <v>1</v>
      </c>
      <c r="L10" s="50">
        <v>0</v>
      </c>
      <c r="M10" s="50">
        <v>110</v>
      </c>
      <c r="N10" s="50">
        <v>0</v>
      </c>
      <c r="O10" s="15">
        <f t="shared" ref="O10:O57" si="0">SUM(C10:L10,N10)</f>
        <v>104</v>
      </c>
      <c r="P10" s="15">
        <f t="shared" ref="P10:P57" si="1">SUM(C10:N10)</f>
        <v>214</v>
      </c>
      <c r="R10" s="1" t="s">
        <v>6</v>
      </c>
      <c r="S10" s="17">
        <f t="shared" ref="S10:AF10" si="2">SUM(C10:C13)</f>
        <v>45</v>
      </c>
      <c r="T10" s="17">
        <f t="shared" si="2"/>
        <v>32</v>
      </c>
      <c r="U10" s="17">
        <f t="shared" si="2"/>
        <v>3</v>
      </c>
      <c r="V10" s="17">
        <f t="shared" si="2"/>
        <v>263</v>
      </c>
      <c r="W10" s="17">
        <f t="shared" si="2"/>
        <v>5</v>
      </c>
      <c r="X10" s="17">
        <f t="shared" si="2"/>
        <v>2</v>
      </c>
      <c r="Y10" s="17">
        <f t="shared" si="2"/>
        <v>6</v>
      </c>
      <c r="Z10" s="17">
        <f t="shared" si="2"/>
        <v>2</v>
      </c>
      <c r="AA10" s="17">
        <f t="shared" si="2"/>
        <v>2</v>
      </c>
      <c r="AB10" s="17">
        <f t="shared" si="2"/>
        <v>0</v>
      </c>
      <c r="AC10" s="17">
        <f t="shared" si="2"/>
        <v>478</v>
      </c>
      <c r="AD10" s="17">
        <f t="shared" si="2"/>
        <v>0</v>
      </c>
      <c r="AE10" s="31">
        <f t="shared" si="2"/>
        <v>360</v>
      </c>
      <c r="AF10" s="31">
        <f t="shared" si="2"/>
        <v>838</v>
      </c>
    </row>
    <row r="11" spans="2:32" s="6" customFormat="1" ht="23.1" customHeight="1" x14ac:dyDescent="0.25">
      <c r="B11" s="23" t="s">
        <v>38</v>
      </c>
      <c r="C11" s="50">
        <v>10</v>
      </c>
      <c r="D11" s="50">
        <v>12</v>
      </c>
      <c r="E11" s="50">
        <v>2</v>
      </c>
      <c r="F11" s="50">
        <v>65</v>
      </c>
      <c r="G11" s="50">
        <v>1</v>
      </c>
      <c r="H11" s="50">
        <v>0</v>
      </c>
      <c r="I11" s="50">
        <v>2</v>
      </c>
      <c r="J11" s="50">
        <v>1</v>
      </c>
      <c r="K11" s="50">
        <v>1</v>
      </c>
      <c r="L11" s="50">
        <v>0</v>
      </c>
      <c r="M11" s="50">
        <v>115</v>
      </c>
      <c r="N11" s="50">
        <v>0</v>
      </c>
      <c r="O11" s="15">
        <f t="shared" si="0"/>
        <v>94</v>
      </c>
      <c r="P11" s="15">
        <f t="shared" si="1"/>
        <v>209</v>
      </c>
      <c r="R11" s="1" t="s">
        <v>7</v>
      </c>
      <c r="S11" s="17">
        <f t="shared" ref="S11:AF11" si="3">SUM(C14:C17)</f>
        <v>42</v>
      </c>
      <c r="T11" s="17">
        <f t="shared" si="3"/>
        <v>22</v>
      </c>
      <c r="U11" s="17">
        <f t="shared" si="3"/>
        <v>6</v>
      </c>
      <c r="V11" s="17">
        <f t="shared" si="3"/>
        <v>263</v>
      </c>
      <c r="W11" s="17">
        <f t="shared" si="3"/>
        <v>4</v>
      </c>
      <c r="X11" s="17">
        <f t="shared" si="3"/>
        <v>0</v>
      </c>
      <c r="Y11" s="17">
        <f t="shared" si="3"/>
        <v>9</v>
      </c>
      <c r="Z11" s="17">
        <f t="shared" si="3"/>
        <v>4</v>
      </c>
      <c r="AA11" s="17">
        <f t="shared" si="3"/>
        <v>0</v>
      </c>
      <c r="AB11" s="17">
        <f t="shared" si="3"/>
        <v>0</v>
      </c>
      <c r="AC11" s="17">
        <f t="shared" si="3"/>
        <v>639</v>
      </c>
      <c r="AD11" s="17">
        <f t="shared" si="3"/>
        <v>0</v>
      </c>
      <c r="AE11" s="31">
        <f t="shared" si="3"/>
        <v>350</v>
      </c>
      <c r="AF11" s="31">
        <f t="shared" si="3"/>
        <v>989</v>
      </c>
    </row>
    <row r="12" spans="2:32" ht="23.1" customHeight="1" x14ac:dyDescent="0.25">
      <c r="B12" s="23" t="s">
        <v>39</v>
      </c>
      <c r="C12" s="50">
        <v>13</v>
      </c>
      <c r="D12" s="50">
        <v>3</v>
      </c>
      <c r="E12" s="50">
        <v>0</v>
      </c>
      <c r="F12" s="50">
        <v>60</v>
      </c>
      <c r="G12" s="50">
        <v>1</v>
      </c>
      <c r="H12" s="50">
        <v>2</v>
      </c>
      <c r="I12" s="50">
        <v>1</v>
      </c>
      <c r="J12" s="50">
        <v>1</v>
      </c>
      <c r="K12" s="50">
        <v>0</v>
      </c>
      <c r="L12" s="50">
        <v>0</v>
      </c>
      <c r="M12" s="50">
        <v>120</v>
      </c>
      <c r="N12" s="50">
        <v>0</v>
      </c>
      <c r="O12" s="15">
        <f t="shared" si="0"/>
        <v>81</v>
      </c>
      <c r="P12" s="15">
        <f t="shared" si="1"/>
        <v>201</v>
      </c>
      <c r="R12" s="1" t="s">
        <v>8</v>
      </c>
      <c r="S12" s="17">
        <f t="shared" ref="S12:AF12" si="4">SUM(C18:C21)</f>
        <v>53</v>
      </c>
      <c r="T12" s="17">
        <f t="shared" si="4"/>
        <v>27</v>
      </c>
      <c r="U12" s="17">
        <f t="shared" si="4"/>
        <v>7</v>
      </c>
      <c r="V12" s="17">
        <f t="shared" si="4"/>
        <v>188</v>
      </c>
      <c r="W12" s="17">
        <f t="shared" si="4"/>
        <v>1</v>
      </c>
      <c r="X12" s="17">
        <f t="shared" si="4"/>
        <v>0</v>
      </c>
      <c r="Y12" s="17">
        <f t="shared" si="4"/>
        <v>11</v>
      </c>
      <c r="Z12" s="17">
        <f t="shared" si="4"/>
        <v>7</v>
      </c>
      <c r="AA12" s="17">
        <f t="shared" si="4"/>
        <v>1</v>
      </c>
      <c r="AB12" s="17">
        <f t="shared" si="4"/>
        <v>0</v>
      </c>
      <c r="AC12" s="17">
        <f t="shared" si="4"/>
        <v>440</v>
      </c>
      <c r="AD12" s="17">
        <f t="shared" si="4"/>
        <v>0</v>
      </c>
      <c r="AE12" s="31">
        <f t="shared" si="4"/>
        <v>295</v>
      </c>
      <c r="AF12" s="31">
        <f t="shared" si="4"/>
        <v>735</v>
      </c>
    </row>
    <row r="13" spans="2:32" ht="23.1" customHeight="1" x14ac:dyDescent="0.25">
      <c r="B13" s="23" t="s">
        <v>40</v>
      </c>
      <c r="C13" s="50">
        <v>8</v>
      </c>
      <c r="D13" s="50">
        <v>9</v>
      </c>
      <c r="E13" s="50">
        <v>1</v>
      </c>
      <c r="F13" s="50">
        <v>60</v>
      </c>
      <c r="G13" s="50">
        <v>2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133</v>
      </c>
      <c r="N13" s="50">
        <v>0</v>
      </c>
      <c r="O13" s="15">
        <f t="shared" si="0"/>
        <v>81</v>
      </c>
      <c r="P13" s="15">
        <f t="shared" si="1"/>
        <v>214</v>
      </c>
      <c r="R13" s="1" t="s">
        <v>9</v>
      </c>
      <c r="S13" s="17">
        <f t="shared" ref="S13:AF13" si="5">SUM(C22:C25)</f>
        <v>24</v>
      </c>
      <c r="T13" s="17">
        <f t="shared" si="5"/>
        <v>22</v>
      </c>
      <c r="U13" s="17">
        <f t="shared" si="5"/>
        <v>4</v>
      </c>
      <c r="V13" s="17">
        <f t="shared" si="5"/>
        <v>228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4</v>
      </c>
      <c r="AA13" s="17">
        <f t="shared" si="5"/>
        <v>4</v>
      </c>
      <c r="AB13" s="17">
        <f t="shared" si="5"/>
        <v>0</v>
      </c>
      <c r="AC13" s="17">
        <f t="shared" si="5"/>
        <v>620</v>
      </c>
      <c r="AD13" s="17">
        <f t="shared" si="5"/>
        <v>0</v>
      </c>
      <c r="AE13" s="31">
        <f t="shared" si="5"/>
        <v>292</v>
      </c>
      <c r="AF13" s="31">
        <f t="shared" si="5"/>
        <v>912</v>
      </c>
    </row>
    <row r="14" spans="2:32" ht="23.1" customHeight="1" x14ac:dyDescent="0.25">
      <c r="B14" s="23" t="s">
        <v>41</v>
      </c>
      <c r="C14" s="50">
        <v>13</v>
      </c>
      <c r="D14" s="50">
        <v>7</v>
      </c>
      <c r="E14" s="50">
        <v>3</v>
      </c>
      <c r="F14" s="50">
        <v>75</v>
      </c>
      <c r="G14" s="50">
        <v>0</v>
      </c>
      <c r="H14" s="50">
        <v>0</v>
      </c>
      <c r="I14" s="50">
        <v>4</v>
      </c>
      <c r="J14" s="50">
        <v>2</v>
      </c>
      <c r="K14" s="50">
        <v>0</v>
      </c>
      <c r="L14" s="50">
        <v>0</v>
      </c>
      <c r="M14" s="50">
        <v>145</v>
      </c>
      <c r="N14" s="50">
        <v>0</v>
      </c>
      <c r="O14" s="15">
        <f t="shared" si="0"/>
        <v>104</v>
      </c>
      <c r="P14" s="15">
        <f t="shared" si="1"/>
        <v>249</v>
      </c>
      <c r="R14" s="1" t="s">
        <v>10</v>
      </c>
      <c r="S14" s="17">
        <f t="shared" ref="S14:AF14" si="6">SUM(C26:C29)</f>
        <v>45</v>
      </c>
      <c r="T14" s="17">
        <f t="shared" si="6"/>
        <v>26</v>
      </c>
      <c r="U14" s="17">
        <f t="shared" si="6"/>
        <v>7</v>
      </c>
      <c r="V14" s="17">
        <f t="shared" si="6"/>
        <v>123</v>
      </c>
      <c r="W14" s="17">
        <f t="shared" si="6"/>
        <v>0</v>
      </c>
      <c r="X14" s="17">
        <f t="shared" si="6"/>
        <v>0</v>
      </c>
      <c r="Y14" s="17">
        <f t="shared" si="6"/>
        <v>15</v>
      </c>
      <c r="Z14" s="17">
        <f t="shared" si="6"/>
        <v>1</v>
      </c>
      <c r="AA14" s="17">
        <f t="shared" si="6"/>
        <v>4</v>
      </c>
      <c r="AB14" s="17">
        <f t="shared" si="6"/>
        <v>0</v>
      </c>
      <c r="AC14" s="17">
        <f t="shared" si="6"/>
        <v>461</v>
      </c>
      <c r="AD14" s="17">
        <f t="shared" si="6"/>
        <v>0</v>
      </c>
      <c r="AE14" s="31">
        <f t="shared" si="6"/>
        <v>221</v>
      </c>
      <c r="AF14" s="31">
        <f t="shared" si="6"/>
        <v>682</v>
      </c>
    </row>
    <row r="15" spans="2:32" ht="23.1" customHeight="1" x14ac:dyDescent="0.25">
      <c r="B15" s="23" t="s">
        <v>42</v>
      </c>
      <c r="C15" s="50">
        <v>13</v>
      </c>
      <c r="D15" s="50">
        <v>4</v>
      </c>
      <c r="E15" s="50">
        <v>1</v>
      </c>
      <c r="F15" s="50">
        <v>67</v>
      </c>
      <c r="G15" s="50">
        <v>1</v>
      </c>
      <c r="H15" s="50">
        <v>0</v>
      </c>
      <c r="I15" s="50">
        <v>4</v>
      </c>
      <c r="J15" s="50">
        <v>2</v>
      </c>
      <c r="K15" s="50">
        <v>0</v>
      </c>
      <c r="L15" s="50">
        <v>0</v>
      </c>
      <c r="M15" s="50">
        <v>165</v>
      </c>
      <c r="N15" s="50">
        <v>0</v>
      </c>
      <c r="O15" s="15">
        <f t="shared" si="0"/>
        <v>92</v>
      </c>
      <c r="P15" s="15">
        <f t="shared" si="1"/>
        <v>257</v>
      </c>
      <c r="R15" s="1" t="s">
        <v>11</v>
      </c>
      <c r="S15" s="17">
        <f t="shared" ref="S15:AF15" si="7">SUM(C30:C33)</f>
        <v>46</v>
      </c>
      <c r="T15" s="17">
        <f t="shared" si="7"/>
        <v>47</v>
      </c>
      <c r="U15" s="17">
        <f t="shared" si="7"/>
        <v>15</v>
      </c>
      <c r="V15" s="17">
        <f t="shared" si="7"/>
        <v>108</v>
      </c>
      <c r="W15" s="17">
        <f t="shared" si="7"/>
        <v>1</v>
      </c>
      <c r="X15" s="17">
        <f t="shared" si="7"/>
        <v>0</v>
      </c>
      <c r="Y15" s="17">
        <f t="shared" si="7"/>
        <v>12</v>
      </c>
      <c r="Z15" s="17">
        <f t="shared" si="7"/>
        <v>3</v>
      </c>
      <c r="AA15" s="17">
        <f t="shared" si="7"/>
        <v>3</v>
      </c>
      <c r="AB15" s="17">
        <f t="shared" si="7"/>
        <v>0</v>
      </c>
      <c r="AC15" s="17">
        <f t="shared" si="7"/>
        <v>368</v>
      </c>
      <c r="AD15" s="17">
        <f t="shared" si="7"/>
        <v>1</v>
      </c>
      <c r="AE15" s="31">
        <f t="shared" si="7"/>
        <v>236</v>
      </c>
      <c r="AF15" s="31">
        <f t="shared" si="7"/>
        <v>604</v>
      </c>
    </row>
    <row r="16" spans="2:32" ht="23.1" customHeight="1" x14ac:dyDescent="0.25">
      <c r="B16" s="23" t="s">
        <v>43</v>
      </c>
      <c r="C16" s="50">
        <v>6</v>
      </c>
      <c r="D16" s="50">
        <v>7</v>
      </c>
      <c r="E16" s="50">
        <v>1</v>
      </c>
      <c r="F16" s="50">
        <v>69</v>
      </c>
      <c r="G16" s="50">
        <v>2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165</v>
      </c>
      <c r="N16" s="50">
        <v>0</v>
      </c>
      <c r="O16" s="15">
        <f t="shared" si="0"/>
        <v>85</v>
      </c>
      <c r="P16" s="15">
        <f t="shared" si="1"/>
        <v>250</v>
      </c>
      <c r="R16" s="1" t="s">
        <v>12</v>
      </c>
      <c r="S16" s="17">
        <f t="shared" ref="S16:AF16" si="8">SUM(C34:C37)</f>
        <v>41</v>
      </c>
      <c r="T16" s="17">
        <f t="shared" si="8"/>
        <v>25</v>
      </c>
      <c r="U16" s="17">
        <f t="shared" si="8"/>
        <v>18</v>
      </c>
      <c r="V16" s="17">
        <f t="shared" si="8"/>
        <v>90</v>
      </c>
      <c r="W16" s="17">
        <f t="shared" si="8"/>
        <v>1</v>
      </c>
      <c r="X16" s="17">
        <f t="shared" si="8"/>
        <v>0</v>
      </c>
      <c r="Y16" s="17">
        <f t="shared" si="8"/>
        <v>10</v>
      </c>
      <c r="Z16" s="17">
        <f t="shared" si="8"/>
        <v>2</v>
      </c>
      <c r="AA16" s="17">
        <f t="shared" si="8"/>
        <v>2</v>
      </c>
      <c r="AB16" s="17">
        <f t="shared" si="8"/>
        <v>1</v>
      </c>
      <c r="AC16" s="17">
        <f t="shared" si="8"/>
        <v>372</v>
      </c>
      <c r="AD16" s="17">
        <f t="shared" si="8"/>
        <v>0</v>
      </c>
      <c r="AE16" s="31">
        <f t="shared" si="8"/>
        <v>152</v>
      </c>
      <c r="AF16" s="31">
        <f t="shared" si="8"/>
        <v>440</v>
      </c>
    </row>
    <row r="17" spans="2:32" ht="23.1" customHeight="1" x14ac:dyDescent="0.25">
      <c r="B17" s="23" t="s">
        <v>44</v>
      </c>
      <c r="C17" s="50">
        <v>10</v>
      </c>
      <c r="D17" s="50">
        <v>4</v>
      </c>
      <c r="E17" s="50">
        <v>1</v>
      </c>
      <c r="F17" s="50">
        <v>52</v>
      </c>
      <c r="G17" s="50">
        <v>1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164</v>
      </c>
      <c r="N17" s="50">
        <v>0</v>
      </c>
      <c r="O17" s="15">
        <f t="shared" si="0"/>
        <v>69</v>
      </c>
      <c r="P17" s="15">
        <f t="shared" si="1"/>
        <v>233</v>
      </c>
      <c r="R17" s="1" t="s">
        <v>13</v>
      </c>
      <c r="S17" s="17">
        <f t="shared" ref="S17:AF17" si="9">SUM(C38:C41)</f>
        <v>58</v>
      </c>
      <c r="T17" s="17">
        <f t="shared" si="9"/>
        <v>46</v>
      </c>
      <c r="U17" s="17">
        <f t="shared" si="9"/>
        <v>12</v>
      </c>
      <c r="V17" s="17">
        <f t="shared" si="9"/>
        <v>84</v>
      </c>
      <c r="W17" s="17">
        <f t="shared" si="9"/>
        <v>0</v>
      </c>
      <c r="X17" s="17">
        <f t="shared" si="9"/>
        <v>0</v>
      </c>
      <c r="Y17" s="17">
        <f t="shared" si="9"/>
        <v>16</v>
      </c>
      <c r="Z17" s="17">
        <f t="shared" si="9"/>
        <v>2</v>
      </c>
      <c r="AA17" s="17">
        <f t="shared" si="9"/>
        <v>3</v>
      </c>
      <c r="AB17" s="17">
        <f t="shared" si="9"/>
        <v>0</v>
      </c>
      <c r="AC17" s="17">
        <f t="shared" si="9"/>
        <v>452</v>
      </c>
      <c r="AD17" s="17">
        <f t="shared" si="9"/>
        <v>0</v>
      </c>
      <c r="AE17" s="31">
        <f t="shared" si="9"/>
        <v>221</v>
      </c>
      <c r="AF17" s="31">
        <f t="shared" si="9"/>
        <v>673</v>
      </c>
    </row>
    <row r="18" spans="2:32" ht="23.1" customHeight="1" x14ac:dyDescent="0.25">
      <c r="B18" s="23" t="s">
        <v>45</v>
      </c>
      <c r="C18" s="50">
        <v>4</v>
      </c>
      <c r="D18" s="50">
        <v>8</v>
      </c>
      <c r="E18" s="50">
        <v>2</v>
      </c>
      <c r="F18" s="50">
        <v>52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117</v>
      </c>
      <c r="N18" s="50">
        <v>0</v>
      </c>
      <c r="O18" s="15">
        <f t="shared" si="0"/>
        <v>67</v>
      </c>
      <c r="P18" s="15">
        <f t="shared" si="1"/>
        <v>184</v>
      </c>
      <c r="R18" s="1" t="s">
        <v>14</v>
      </c>
      <c r="S18" s="17">
        <f t="shared" ref="S18:AF18" si="10">SUM(C42:C45)</f>
        <v>85</v>
      </c>
      <c r="T18" s="17">
        <f t="shared" si="10"/>
        <v>43</v>
      </c>
      <c r="U18" s="17">
        <f t="shared" si="10"/>
        <v>15</v>
      </c>
      <c r="V18" s="17">
        <f t="shared" si="10"/>
        <v>97</v>
      </c>
      <c r="W18" s="17">
        <f t="shared" si="10"/>
        <v>0</v>
      </c>
      <c r="X18" s="17">
        <f t="shared" si="10"/>
        <v>0</v>
      </c>
      <c r="Y18" s="17">
        <f t="shared" si="10"/>
        <v>25</v>
      </c>
      <c r="Z18" s="17">
        <f t="shared" si="10"/>
        <v>8</v>
      </c>
      <c r="AA18" s="17">
        <f t="shared" si="10"/>
        <v>0</v>
      </c>
      <c r="AB18" s="17">
        <f t="shared" si="10"/>
        <v>0</v>
      </c>
      <c r="AC18" s="17">
        <f t="shared" si="10"/>
        <v>480</v>
      </c>
      <c r="AD18" s="17">
        <f t="shared" si="10"/>
        <v>0</v>
      </c>
      <c r="AE18" s="31">
        <f t="shared" si="10"/>
        <v>273</v>
      </c>
      <c r="AF18" s="31">
        <f t="shared" si="10"/>
        <v>753</v>
      </c>
    </row>
    <row r="19" spans="2:32" ht="23.1" customHeight="1" x14ac:dyDescent="0.25">
      <c r="B19" s="23" t="s">
        <v>46</v>
      </c>
      <c r="C19" s="50">
        <v>15</v>
      </c>
      <c r="D19" s="50">
        <v>2</v>
      </c>
      <c r="E19" s="50">
        <v>3</v>
      </c>
      <c r="F19" s="50">
        <v>42</v>
      </c>
      <c r="G19" s="50">
        <v>0</v>
      </c>
      <c r="H19" s="50">
        <v>0</v>
      </c>
      <c r="I19" s="50">
        <v>2</v>
      </c>
      <c r="J19" s="50">
        <v>2</v>
      </c>
      <c r="K19" s="50">
        <v>0</v>
      </c>
      <c r="L19" s="50">
        <v>0</v>
      </c>
      <c r="M19" s="50">
        <v>154</v>
      </c>
      <c r="N19" s="50">
        <v>0</v>
      </c>
      <c r="O19" s="15">
        <f t="shared" si="0"/>
        <v>66</v>
      </c>
      <c r="P19" s="15">
        <f t="shared" si="1"/>
        <v>220</v>
      </c>
      <c r="R19" s="1" t="s">
        <v>15</v>
      </c>
      <c r="S19" s="17">
        <f t="shared" ref="S19:AF19" si="11">SUM(C46:C49)</f>
        <v>103</v>
      </c>
      <c r="T19" s="17">
        <f t="shared" si="11"/>
        <v>59</v>
      </c>
      <c r="U19" s="17">
        <f t="shared" si="11"/>
        <v>18</v>
      </c>
      <c r="V19" s="17">
        <f t="shared" si="11"/>
        <v>93</v>
      </c>
      <c r="W19" s="17">
        <f t="shared" si="11"/>
        <v>1</v>
      </c>
      <c r="X19" s="17">
        <f t="shared" si="11"/>
        <v>1</v>
      </c>
      <c r="Y19" s="17">
        <f t="shared" si="11"/>
        <v>20</v>
      </c>
      <c r="Z19" s="17">
        <f t="shared" si="11"/>
        <v>2</v>
      </c>
      <c r="AA19" s="17">
        <f t="shared" si="11"/>
        <v>1</v>
      </c>
      <c r="AB19" s="17">
        <f t="shared" si="11"/>
        <v>0</v>
      </c>
      <c r="AC19" s="17">
        <f t="shared" si="11"/>
        <v>477</v>
      </c>
      <c r="AD19" s="17">
        <f t="shared" si="11"/>
        <v>0</v>
      </c>
      <c r="AE19" s="31">
        <f t="shared" si="11"/>
        <v>298</v>
      </c>
      <c r="AF19" s="31">
        <f t="shared" si="11"/>
        <v>775</v>
      </c>
    </row>
    <row r="20" spans="2:32" ht="23.1" customHeight="1" x14ac:dyDescent="0.25">
      <c r="B20" s="23" t="s">
        <v>47</v>
      </c>
      <c r="C20" s="50">
        <v>17</v>
      </c>
      <c r="D20" s="50">
        <v>11</v>
      </c>
      <c r="E20" s="50">
        <v>0</v>
      </c>
      <c r="F20" s="50">
        <v>47</v>
      </c>
      <c r="G20" s="50">
        <v>0</v>
      </c>
      <c r="H20" s="50">
        <v>0</v>
      </c>
      <c r="I20" s="50">
        <v>2</v>
      </c>
      <c r="J20" s="50">
        <v>2</v>
      </c>
      <c r="K20" s="50">
        <v>0</v>
      </c>
      <c r="L20" s="50">
        <v>0</v>
      </c>
      <c r="M20" s="50">
        <v>154</v>
      </c>
      <c r="N20" s="50">
        <v>0</v>
      </c>
      <c r="O20" s="15">
        <f t="shared" si="0"/>
        <v>79</v>
      </c>
      <c r="P20" s="15">
        <f t="shared" si="1"/>
        <v>233</v>
      </c>
      <c r="R20" s="1" t="s">
        <v>16</v>
      </c>
      <c r="S20" s="17">
        <f t="shared" ref="S20:AF20" si="12">SUM(C50:C53)</f>
        <v>109</v>
      </c>
      <c r="T20" s="17">
        <f t="shared" si="12"/>
        <v>65</v>
      </c>
      <c r="U20" s="17">
        <f t="shared" si="12"/>
        <v>18</v>
      </c>
      <c r="V20" s="17">
        <f t="shared" si="12"/>
        <v>117</v>
      </c>
      <c r="W20" s="17">
        <f t="shared" si="12"/>
        <v>1</v>
      </c>
      <c r="X20" s="17">
        <f t="shared" si="12"/>
        <v>3</v>
      </c>
      <c r="Y20" s="17">
        <f t="shared" si="12"/>
        <v>22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530</v>
      </c>
      <c r="AD20" s="17">
        <f t="shared" si="12"/>
        <v>0</v>
      </c>
      <c r="AE20" s="31">
        <f t="shared" si="12"/>
        <v>337</v>
      </c>
      <c r="AF20" s="31">
        <f t="shared" si="12"/>
        <v>867</v>
      </c>
    </row>
    <row r="21" spans="2:32" ht="23.1" customHeight="1" x14ac:dyDescent="0.25">
      <c r="B21" s="23" t="s">
        <v>48</v>
      </c>
      <c r="C21" s="50">
        <v>17</v>
      </c>
      <c r="D21" s="50">
        <v>6</v>
      </c>
      <c r="E21" s="50">
        <v>2</v>
      </c>
      <c r="F21" s="50">
        <v>47</v>
      </c>
      <c r="G21" s="50">
        <v>1</v>
      </c>
      <c r="H21" s="50">
        <v>0</v>
      </c>
      <c r="I21" s="50">
        <v>6</v>
      </c>
      <c r="J21" s="50">
        <v>3</v>
      </c>
      <c r="K21" s="50">
        <v>1</v>
      </c>
      <c r="L21" s="50">
        <v>0</v>
      </c>
      <c r="M21" s="50">
        <v>15</v>
      </c>
      <c r="N21" s="50">
        <v>0</v>
      </c>
      <c r="O21" s="15">
        <f t="shared" si="0"/>
        <v>83</v>
      </c>
      <c r="P21" s="15">
        <f t="shared" si="1"/>
        <v>98</v>
      </c>
      <c r="R21" s="36" t="s">
        <v>20</v>
      </c>
      <c r="S21" s="34">
        <f t="shared" ref="S21:AF21" si="13">SUM(C54:C57)</f>
        <v>144</v>
      </c>
      <c r="T21" s="17">
        <f t="shared" si="13"/>
        <v>53</v>
      </c>
      <c r="U21" s="17">
        <f t="shared" si="13"/>
        <v>17</v>
      </c>
      <c r="V21" s="17">
        <f t="shared" si="13"/>
        <v>152</v>
      </c>
      <c r="W21" s="17">
        <f t="shared" si="13"/>
        <v>4</v>
      </c>
      <c r="X21" s="17">
        <f t="shared" si="13"/>
        <v>1</v>
      </c>
      <c r="Y21" s="17">
        <f t="shared" si="13"/>
        <v>14</v>
      </c>
      <c r="Z21" s="17">
        <f t="shared" si="13"/>
        <v>0</v>
      </c>
      <c r="AA21" s="17">
        <f t="shared" si="13"/>
        <v>3</v>
      </c>
      <c r="AB21" s="17">
        <f t="shared" si="13"/>
        <v>0</v>
      </c>
      <c r="AC21" s="17">
        <f t="shared" si="13"/>
        <v>565</v>
      </c>
      <c r="AD21" s="17">
        <f t="shared" si="13"/>
        <v>0</v>
      </c>
      <c r="AE21" s="31">
        <f t="shared" si="13"/>
        <v>388</v>
      </c>
      <c r="AF21" s="31">
        <f t="shared" si="13"/>
        <v>953</v>
      </c>
    </row>
    <row r="22" spans="2:32" ht="23.1" customHeight="1" x14ac:dyDescent="0.25">
      <c r="B22" s="23" t="s">
        <v>49</v>
      </c>
      <c r="C22" s="50">
        <v>14</v>
      </c>
      <c r="D22" s="50">
        <v>5</v>
      </c>
      <c r="E22" s="50">
        <v>0</v>
      </c>
      <c r="F22" s="50">
        <v>40</v>
      </c>
      <c r="G22" s="50">
        <v>0</v>
      </c>
      <c r="H22" s="50">
        <v>0</v>
      </c>
      <c r="I22" s="50">
        <v>4</v>
      </c>
      <c r="J22" s="50">
        <v>2</v>
      </c>
      <c r="K22" s="50">
        <v>0</v>
      </c>
      <c r="L22" s="50">
        <v>0</v>
      </c>
      <c r="M22" s="50">
        <v>145</v>
      </c>
      <c r="N22" s="50">
        <v>0</v>
      </c>
      <c r="O22" s="15">
        <f t="shared" si="0"/>
        <v>65</v>
      </c>
      <c r="P22" s="15">
        <f t="shared" si="1"/>
        <v>210</v>
      </c>
      <c r="R22" s="38" t="s">
        <v>90</v>
      </c>
      <c r="S22" s="39">
        <f>MAX(S10:S12)</f>
        <v>53</v>
      </c>
      <c r="T22" s="39">
        <f t="shared" ref="T22:AF22" si="14">MAX(T10:T12)</f>
        <v>32</v>
      </c>
      <c r="U22" s="39">
        <f t="shared" si="14"/>
        <v>7</v>
      </c>
      <c r="V22" s="39">
        <f t="shared" si="14"/>
        <v>263</v>
      </c>
      <c r="W22" s="39">
        <f t="shared" si="14"/>
        <v>5</v>
      </c>
      <c r="X22" s="39">
        <f t="shared" si="14"/>
        <v>2</v>
      </c>
      <c r="Y22" s="39">
        <f t="shared" si="14"/>
        <v>11</v>
      </c>
      <c r="Z22" s="39">
        <f t="shared" si="14"/>
        <v>7</v>
      </c>
      <c r="AA22" s="39">
        <f t="shared" si="14"/>
        <v>2</v>
      </c>
      <c r="AB22" s="39">
        <f t="shared" si="14"/>
        <v>0</v>
      </c>
      <c r="AC22" s="39">
        <f t="shared" si="14"/>
        <v>639</v>
      </c>
      <c r="AD22" s="39">
        <f t="shared" si="14"/>
        <v>0</v>
      </c>
      <c r="AE22" s="40">
        <f t="shared" si="14"/>
        <v>360</v>
      </c>
      <c r="AF22" s="40">
        <f t="shared" si="14"/>
        <v>989</v>
      </c>
    </row>
    <row r="23" spans="2:32" ht="23.1" customHeight="1" x14ac:dyDescent="0.25">
      <c r="B23" s="23" t="s">
        <v>50</v>
      </c>
      <c r="C23" s="50">
        <v>6</v>
      </c>
      <c r="D23" s="50">
        <v>6</v>
      </c>
      <c r="E23" s="50">
        <v>4</v>
      </c>
      <c r="F23" s="50">
        <v>43</v>
      </c>
      <c r="G23" s="50">
        <v>0</v>
      </c>
      <c r="H23" s="50">
        <v>0</v>
      </c>
      <c r="I23" s="50">
        <v>2</v>
      </c>
      <c r="J23" s="50">
        <v>2</v>
      </c>
      <c r="K23" s="50">
        <v>1</v>
      </c>
      <c r="L23" s="50">
        <v>0</v>
      </c>
      <c r="M23" s="50">
        <v>225</v>
      </c>
      <c r="N23" s="50">
        <v>0</v>
      </c>
      <c r="O23" s="15">
        <f t="shared" si="0"/>
        <v>64</v>
      </c>
      <c r="P23" s="15">
        <f t="shared" si="1"/>
        <v>289</v>
      </c>
      <c r="R23" s="38" t="s">
        <v>91</v>
      </c>
      <c r="S23" s="39">
        <f>MAX(S13:S18)</f>
        <v>85</v>
      </c>
      <c r="T23" s="39">
        <f t="shared" ref="T23:AF23" si="15">MAX(T13:T18)</f>
        <v>47</v>
      </c>
      <c r="U23" s="39">
        <f t="shared" si="15"/>
        <v>18</v>
      </c>
      <c r="V23" s="39">
        <f t="shared" si="15"/>
        <v>228</v>
      </c>
      <c r="W23" s="39">
        <f t="shared" si="15"/>
        <v>1</v>
      </c>
      <c r="X23" s="39">
        <f t="shared" si="15"/>
        <v>0</v>
      </c>
      <c r="Y23" s="39">
        <f t="shared" si="15"/>
        <v>25</v>
      </c>
      <c r="Z23" s="39">
        <f t="shared" si="15"/>
        <v>8</v>
      </c>
      <c r="AA23" s="39">
        <f t="shared" si="15"/>
        <v>4</v>
      </c>
      <c r="AB23" s="39">
        <f t="shared" si="15"/>
        <v>1</v>
      </c>
      <c r="AC23" s="39">
        <f t="shared" si="15"/>
        <v>620</v>
      </c>
      <c r="AD23" s="39">
        <f t="shared" si="15"/>
        <v>1</v>
      </c>
      <c r="AE23" s="40">
        <f t="shared" si="15"/>
        <v>292</v>
      </c>
      <c r="AF23" s="40">
        <f t="shared" si="15"/>
        <v>912</v>
      </c>
    </row>
    <row r="24" spans="2:32" ht="23.1" customHeight="1" x14ac:dyDescent="0.25">
      <c r="B24" s="23" t="s">
        <v>51</v>
      </c>
      <c r="C24" s="50">
        <v>1</v>
      </c>
      <c r="D24" s="50">
        <v>4</v>
      </c>
      <c r="E24" s="50">
        <v>0</v>
      </c>
      <c r="F24" s="50">
        <v>85</v>
      </c>
      <c r="G24" s="50">
        <v>0</v>
      </c>
      <c r="H24" s="50">
        <v>0</v>
      </c>
      <c r="I24" s="50">
        <v>0</v>
      </c>
      <c r="J24" s="50">
        <v>0</v>
      </c>
      <c r="K24" s="50">
        <v>1</v>
      </c>
      <c r="L24" s="50">
        <v>0</v>
      </c>
      <c r="M24" s="50">
        <v>125</v>
      </c>
      <c r="N24" s="50">
        <v>0</v>
      </c>
      <c r="O24" s="15">
        <f t="shared" si="0"/>
        <v>91</v>
      </c>
      <c r="P24" s="15">
        <f t="shared" si="1"/>
        <v>216</v>
      </c>
      <c r="R24" s="38" t="s">
        <v>92</v>
      </c>
      <c r="S24" s="39">
        <f>MAX(S19:S21)</f>
        <v>144</v>
      </c>
      <c r="T24" s="39">
        <f t="shared" ref="T24:AF24" si="16">MAX(T19:T21)</f>
        <v>65</v>
      </c>
      <c r="U24" s="39">
        <f t="shared" si="16"/>
        <v>18</v>
      </c>
      <c r="V24" s="39">
        <f t="shared" si="16"/>
        <v>152</v>
      </c>
      <c r="W24" s="39">
        <f t="shared" si="16"/>
        <v>4</v>
      </c>
      <c r="X24" s="39">
        <f t="shared" si="16"/>
        <v>3</v>
      </c>
      <c r="Y24" s="39">
        <f t="shared" si="16"/>
        <v>22</v>
      </c>
      <c r="Z24" s="39">
        <f t="shared" si="16"/>
        <v>2</v>
      </c>
      <c r="AA24" s="39">
        <f t="shared" si="16"/>
        <v>3</v>
      </c>
      <c r="AB24" s="39">
        <f t="shared" si="16"/>
        <v>0</v>
      </c>
      <c r="AC24" s="39">
        <f t="shared" si="16"/>
        <v>565</v>
      </c>
      <c r="AD24" s="39">
        <f t="shared" si="16"/>
        <v>0</v>
      </c>
      <c r="AE24" s="40">
        <f t="shared" si="16"/>
        <v>388</v>
      </c>
      <c r="AF24" s="40">
        <f t="shared" si="16"/>
        <v>953</v>
      </c>
    </row>
    <row r="25" spans="2:32" ht="23.1" customHeight="1" x14ac:dyDescent="0.25">
      <c r="B25" s="23" t="s">
        <v>52</v>
      </c>
      <c r="C25" s="50">
        <v>3</v>
      </c>
      <c r="D25" s="50">
        <v>7</v>
      </c>
      <c r="E25" s="50">
        <v>0</v>
      </c>
      <c r="F25" s="50">
        <v>60</v>
      </c>
      <c r="G25" s="50">
        <v>0</v>
      </c>
      <c r="H25" s="50">
        <v>0</v>
      </c>
      <c r="I25" s="50">
        <v>0</v>
      </c>
      <c r="J25" s="50">
        <v>0</v>
      </c>
      <c r="K25" s="50">
        <v>2</v>
      </c>
      <c r="L25" s="50">
        <v>0</v>
      </c>
      <c r="M25" s="50">
        <v>125</v>
      </c>
      <c r="N25" s="50">
        <v>0</v>
      </c>
      <c r="O25" s="15">
        <f t="shared" si="0"/>
        <v>72</v>
      </c>
      <c r="P25" s="15">
        <f t="shared" si="1"/>
        <v>197</v>
      </c>
      <c r="R25" s="37" t="s">
        <v>85</v>
      </c>
      <c r="S25" s="35">
        <f t="shared" ref="S25:AF25" si="17">SUM(S10:S12)</f>
        <v>140</v>
      </c>
      <c r="T25" s="16">
        <f t="shared" si="17"/>
        <v>81</v>
      </c>
      <c r="U25" s="16">
        <f t="shared" si="17"/>
        <v>16</v>
      </c>
      <c r="V25" s="16">
        <f t="shared" si="17"/>
        <v>714</v>
      </c>
      <c r="W25" s="16">
        <f t="shared" si="17"/>
        <v>10</v>
      </c>
      <c r="X25" s="16">
        <f t="shared" si="17"/>
        <v>2</v>
      </c>
      <c r="Y25" s="16">
        <f t="shared" si="17"/>
        <v>26</v>
      </c>
      <c r="Z25" s="16">
        <f t="shared" si="17"/>
        <v>13</v>
      </c>
      <c r="AA25" s="16">
        <f t="shared" si="17"/>
        <v>3</v>
      </c>
      <c r="AB25" s="16">
        <f t="shared" si="17"/>
        <v>0</v>
      </c>
      <c r="AC25" s="16">
        <f t="shared" si="17"/>
        <v>1557</v>
      </c>
      <c r="AD25" s="16">
        <f t="shared" si="17"/>
        <v>0</v>
      </c>
      <c r="AE25" s="32">
        <f t="shared" si="17"/>
        <v>1005</v>
      </c>
      <c r="AF25" s="32">
        <f t="shared" si="17"/>
        <v>2562</v>
      </c>
    </row>
    <row r="26" spans="2:32" ht="23.1" customHeight="1" x14ac:dyDescent="0.25">
      <c r="B26" s="23" t="s">
        <v>53</v>
      </c>
      <c r="C26" s="50">
        <v>9</v>
      </c>
      <c r="D26" s="50">
        <v>8</v>
      </c>
      <c r="E26" s="50">
        <v>2</v>
      </c>
      <c r="F26" s="50">
        <v>40</v>
      </c>
      <c r="G26" s="50">
        <v>0</v>
      </c>
      <c r="H26" s="50">
        <v>0</v>
      </c>
      <c r="I26" s="50">
        <v>1</v>
      </c>
      <c r="J26" s="50">
        <v>0</v>
      </c>
      <c r="K26" s="50">
        <v>1</v>
      </c>
      <c r="L26" s="50">
        <v>0</v>
      </c>
      <c r="M26" s="50">
        <v>120</v>
      </c>
      <c r="N26" s="50">
        <v>0</v>
      </c>
      <c r="O26" s="15">
        <f t="shared" si="0"/>
        <v>61</v>
      </c>
      <c r="P26" s="15">
        <f t="shared" si="1"/>
        <v>181</v>
      </c>
      <c r="R26" s="28" t="s">
        <v>86</v>
      </c>
      <c r="S26" s="16">
        <f t="shared" ref="S26:AF26" si="18">SUM(S13:S18)</f>
        <v>299</v>
      </c>
      <c r="T26" s="16">
        <f t="shared" si="18"/>
        <v>209</v>
      </c>
      <c r="U26" s="16">
        <f t="shared" si="18"/>
        <v>71</v>
      </c>
      <c r="V26" s="16">
        <f t="shared" si="18"/>
        <v>730</v>
      </c>
      <c r="W26" s="16">
        <f t="shared" si="18"/>
        <v>2</v>
      </c>
      <c r="X26" s="16">
        <f t="shared" si="18"/>
        <v>0</v>
      </c>
      <c r="Y26" s="16">
        <f t="shared" si="18"/>
        <v>84</v>
      </c>
      <c r="Z26" s="16">
        <f t="shared" si="18"/>
        <v>20</v>
      </c>
      <c r="AA26" s="16">
        <f t="shared" si="18"/>
        <v>16</v>
      </c>
      <c r="AB26" s="16">
        <f t="shared" si="18"/>
        <v>1</v>
      </c>
      <c r="AC26" s="16">
        <f t="shared" si="18"/>
        <v>2753</v>
      </c>
      <c r="AD26" s="16">
        <f t="shared" si="18"/>
        <v>1</v>
      </c>
      <c r="AE26" s="32">
        <f t="shared" si="18"/>
        <v>1395</v>
      </c>
      <c r="AF26" s="32">
        <f t="shared" si="18"/>
        <v>4064</v>
      </c>
    </row>
    <row r="27" spans="2:32" ht="23.1" customHeight="1" x14ac:dyDescent="0.25">
      <c r="B27" s="23" t="s">
        <v>54</v>
      </c>
      <c r="C27" s="50">
        <v>14</v>
      </c>
      <c r="D27" s="50">
        <v>5</v>
      </c>
      <c r="E27" s="50">
        <v>2</v>
      </c>
      <c r="F27" s="50">
        <v>36</v>
      </c>
      <c r="G27" s="50">
        <v>0</v>
      </c>
      <c r="H27" s="50">
        <v>0</v>
      </c>
      <c r="I27" s="50">
        <v>4</v>
      </c>
      <c r="J27" s="50">
        <v>0</v>
      </c>
      <c r="K27" s="50">
        <v>1</v>
      </c>
      <c r="L27" s="50">
        <v>0</v>
      </c>
      <c r="M27" s="50">
        <v>120</v>
      </c>
      <c r="N27" s="50">
        <v>0</v>
      </c>
      <c r="O27" s="15">
        <f t="shared" si="0"/>
        <v>62</v>
      </c>
      <c r="P27" s="15">
        <f t="shared" si="1"/>
        <v>182</v>
      </c>
      <c r="R27" s="29" t="s">
        <v>87</v>
      </c>
      <c r="S27" s="16">
        <f t="shared" ref="S27:AF27" si="19">SUM(S19:S21)</f>
        <v>356</v>
      </c>
      <c r="T27" s="16">
        <f t="shared" si="19"/>
        <v>177</v>
      </c>
      <c r="U27" s="16">
        <f t="shared" si="19"/>
        <v>53</v>
      </c>
      <c r="V27" s="16">
        <f t="shared" si="19"/>
        <v>362</v>
      </c>
      <c r="W27" s="16">
        <f t="shared" si="19"/>
        <v>6</v>
      </c>
      <c r="X27" s="16">
        <f t="shared" si="19"/>
        <v>5</v>
      </c>
      <c r="Y27" s="16">
        <f t="shared" si="19"/>
        <v>56</v>
      </c>
      <c r="Z27" s="16">
        <f t="shared" si="19"/>
        <v>4</v>
      </c>
      <c r="AA27" s="16">
        <f t="shared" si="19"/>
        <v>4</v>
      </c>
      <c r="AB27" s="16">
        <f t="shared" si="19"/>
        <v>0</v>
      </c>
      <c r="AC27" s="16">
        <f t="shared" si="19"/>
        <v>1572</v>
      </c>
      <c r="AD27" s="16">
        <f t="shared" si="19"/>
        <v>0</v>
      </c>
      <c r="AE27" s="32">
        <f t="shared" si="19"/>
        <v>1023</v>
      </c>
      <c r="AF27" s="32">
        <f t="shared" si="19"/>
        <v>2595</v>
      </c>
    </row>
    <row r="28" spans="2:32" ht="23.1" customHeight="1" x14ac:dyDescent="0.25">
      <c r="B28" s="23" t="s">
        <v>55</v>
      </c>
      <c r="C28" s="50">
        <v>11</v>
      </c>
      <c r="D28" s="50">
        <v>3</v>
      </c>
      <c r="E28" s="50">
        <v>1</v>
      </c>
      <c r="F28" s="50">
        <v>24</v>
      </c>
      <c r="G28" s="50">
        <v>0</v>
      </c>
      <c r="H28" s="50">
        <v>0</v>
      </c>
      <c r="I28" s="50">
        <v>6</v>
      </c>
      <c r="J28" s="50">
        <v>0</v>
      </c>
      <c r="K28" s="50">
        <v>2</v>
      </c>
      <c r="L28" s="50">
        <v>0</v>
      </c>
      <c r="M28" s="50">
        <v>106</v>
      </c>
      <c r="N28" s="50">
        <v>0</v>
      </c>
      <c r="O28" s="15">
        <f t="shared" si="0"/>
        <v>47</v>
      </c>
      <c r="P28" s="15">
        <f t="shared" si="1"/>
        <v>153</v>
      </c>
      <c r="R28" s="5" t="s">
        <v>17</v>
      </c>
      <c r="S28" s="16">
        <f t="shared" ref="S28:AF28" si="20">SUM(S10:S21)</f>
        <v>795</v>
      </c>
      <c r="T28" s="16">
        <f t="shared" si="20"/>
        <v>467</v>
      </c>
      <c r="U28" s="16">
        <f t="shared" si="20"/>
        <v>140</v>
      </c>
      <c r="V28" s="16">
        <f t="shared" si="20"/>
        <v>1806</v>
      </c>
      <c r="W28" s="16">
        <f t="shared" si="20"/>
        <v>18</v>
      </c>
      <c r="X28" s="16">
        <f t="shared" si="20"/>
        <v>7</v>
      </c>
      <c r="Y28" s="16">
        <f t="shared" si="20"/>
        <v>166</v>
      </c>
      <c r="Z28" s="16">
        <f t="shared" si="20"/>
        <v>37</v>
      </c>
      <c r="AA28" s="16">
        <f t="shared" si="20"/>
        <v>23</v>
      </c>
      <c r="AB28" s="16">
        <f t="shared" si="20"/>
        <v>1</v>
      </c>
      <c r="AC28" s="16">
        <f t="shared" si="20"/>
        <v>5882</v>
      </c>
      <c r="AD28" s="16">
        <f t="shared" si="20"/>
        <v>1</v>
      </c>
      <c r="AE28" s="32">
        <f t="shared" si="20"/>
        <v>3423</v>
      </c>
      <c r="AF28" s="32">
        <f t="shared" si="20"/>
        <v>9221</v>
      </c>
    </row>
    <row r="29" spans="2:32" ht="23.1" customHeight="1" x14ac:dyDescent="0.25">
      <c r="B29" s="23" t="s">
        <v>56</v>
      </c>
      <c r="C29" s="50">
        <v>11</v>
      </c>
      <c r="D29" s="50">
        <v>10</v>
      </c>
      <c r="E29" s="50">
        <v>2</v>
      </c>
      <c r="F29" s="50">
        <v>23</v>
      </c>
      <c r="G29" s="50">
        <v>0</v>
      </c>
      <c r="H29" s="50">
        <v>0</v>
      </c>
      <c r="I29" s="50">
        <v>4</v>
      </c>
      <c r="J29" s="50">
        <v>1</v>
      </c>
      <c r="K29" s="50">
        <v>0</v>
      </c>
      <c r="L29" s="50">
        <v>0</v>
      </c>
      <c r="M29" s="50">
        <v>115</v>
      </c>
      <c r="N29" s="50">
        <v>0</v>
      </c>
      <c r="O29" s="15">
        <f t="shared" si="0"/>
        <v>51</v>
      </c>
      <c r="P29" s="15">
        <f t="shared" si="1"/>
        <v>166</v>
      </c>
      <c r="R29"/>
      <c r="S29" s="20"/>
      <c r="T29" s="19"/>
    </row>
    <row r="30" spans="2:32" ht="23.1" customHeight="1" x14ac:dyDescent="0.25">
      <c r="B30" s="23" t="s">
        <v>57</v>
      </c>
      <c r="C30" s="50">
        <v>17</v>
      </c>
      <c r="D30" s="50">
        <v>21</v>
      </c>
      <c r="E30" s="50">
        <v>5</v>
      </c>
      <c r="F30" s="50">
        <v>22</v>
      </c>
      <c r="G30" s="50">
        <v>0</v>
      </c>
      <c r="H30" s="50">
        <v>0</v>
      </c>
      <c r="I30" s="50">
        <v>3</v>
      </c>
      <c r="J30" s="50">
        <v>2</v>
      </c>
      <c r="K30" s="50">
        <v>1</v>
      </c>
      <c r="L30" s="50">
        <v>0</v>
      </c>
      <c r="M30" s="50">
        <v>137</v>
      </c>
      <c r="N30" s="50">
        <v>0</v>
      </c>
      <c r="O30" s="15">
        <f t="shared" si="0"/>
        <v>71</v>
      </c>
      <c r="P30" s="15">
        <f t="shared" si="1"/>
        <v>208</v>
      </c>
    </row>
    <row r="31" spans="2:32" ht="23.1" customHeight="1" x14ac:dyDescent="0.25">
      <c r="B31" s="24" t="s">
        <v>58</v>
      </c>
      <c r="C31" s="50">
        <v>11</v>
      </c>
      <c r="D31" s="50">
        <v>10</v>
      </c>
      <c r="E31" s="50">
        <v>4</v>
      </c>
      <c r="F31" s="50">
        <v>24</v>
      </c>
      <c r="G31" s="50">
        <v>1</v>
      </c>
      <c r="H31" s="50">
        <v>0</v>
      </c>
      <c r="I31" s="50">
        <v>5</v>
      </c>
      <c r="J31" s="50">
        <v>0</v>
      </c>
      <c r="K31" s="50">
        <v>0</v>
      </c>
      <c r="L31" s="50">
        <v>0</v>
      </c>
      <c r="M31" s="50">
        <v>85</v>
      </c>
      <c r="N31" s="50">
        <v>0</v>
      </c>
      <c r="O31" s="15">
        <f t="shared" si="0"/>
        <v>55</v>
      </c>
      <c r="P31" s="15">
        <f t="shared" si="1"/>
        <v>140</v>
      </c>
    </row>
    <row r="32" spans="2:32" ht="23.1" customHeight="1" x14ac:dyDescent="0.25">
      <c r="B32" s="24" t="s">
        <v>59</v>
      </c>
      <c r="C32" s="50">
        <v>10</v>
      </c>
      <c r="D32" s="50">
        <v>7</v>
      </c>
      <c r="E32" s="50">
        <v>1</v>
      </c>
      <c r="F32" s="50">
        <v>35</v>
      </c>
      <c r="G32" s="50">
        <v>0</v>
      </c>
      <c r="H32" s="50">
        <v>0</v>
      </c>
      <c r="I32" s="50">
        <v>2</v>
      </c>
      <c r="J32" s="50">
        <v>1</v>
      </c>
      <c r="K32" s="50">
        <v>2</v>
      </c>
      <c r="L32" s="50">
        <v>0</v>
      </c>
      <c r="M32" s="50">
        <v>95</v>
      </c>
      <c r="N32" s="50">
        <v>1</v>
      </c>
      <c r="O32" s="15">
        <f t="shared" si="0"/>
        <v>59</v>
      </c>
      <c r="P32" s="15">
        <f t="shared" si="1"/>
        <v>154</v>
      </c>
    </row>
    <row r="33" spans="2:20" ht="23.1" customHeight="1" x14ac:dyDescent="0.25">
      <c r="B33" s="23" t="s">
        <v>60</v>
      </c>
      <c r="C33" s="50">
        <v>8</v>
      </c>
      <c r="D33" s="50">
        <v>9</v>
      </c>
      <c r="E33" s="50">
        <v>5</v>
      </c>
      <c r="F33" s="50">
        <v>27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51</v>
      </c>
      <c r="N33" s="50">
        <v>0</v>
      </c>
      <c r="O33" s="15">
        <f t="shared" si="0"/>
        <v>51</v>
      </c>
      <c r="P33" s="15">
        <f t="shared" si="1"/>
        <v>102</v>
      </c>
    </row>
    <row r="34" spans="2:20" ht="23.1" customHeight="1" x14ac:dyDescent="0.25">
      <c r="B34" s="24" t="s">
        <v>61</v>
      </c>
      <c r="C34" s="50">
        <v>13</v>
      </c>
      <c r="D34" s="50">
        <v>10</v>
      </c>
      <c r="E34" s="50">
        <v>4</v>
      </c>
      <c r="F34" s="50">
        <v>28</v>
      </c>
      <c r="G34" s="50">
        <v>0</v>
      </c>
      <c r="H34" s="50">
        <v>0</v>
      </c>
      <c r="I34" s="50">
        <v>3</v>
      </c>
      <c r="J34" s="50">
        <v>1</v>
      </c>
      <c r="K34" s="50">
        <v>0</v>
      </c>
      <c r="L34" s="50">
        <v>0</v>
      </c>
      <c r="M34" s="50">
        <v>104</v>
      </c>
      <c r="N34" s="50">
        <v>0</v>
      </c>
      <c r="O34" s="15">
        <f t="shared" si="0"/>
        <v>59</v>
      </c>
      <c r="P34" s="15">
        <f t="shared" si="1"/>
        <v>163</v>
      </c>
    </row>
    <row r="35" spans="2:20" ht="23.1" customHeight="1" x14ac:dyDescent="0.25">
      <c r="B35" s="24" t="s">
        <v>62</v>
      </c>
      <c r="C35" s="50">
        <v>7</v>
      </c>
      <c r="D35" s="50">
        <v>4</v>
      </c>
      <c r="E35" s="50">
        <v>8</v>
      </c>
      <c r="F35" s="50">
        <v>16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1</v>
      </c>
      <c r="M35" s="50">
        <v>84</v>
      </c>
      <c r="N35" s="50">
        <v>0</v>
      </c>
      <c r="O35" s="15">
        <f t="shared" si="0"/>
        <v>39</v>
      </c>
      <c r="P35" s="15">
        <f t="shared" si="1"/>
        <v>123</v>
      </c>
    </row>
    <row r="36" spans="2:20" ht="23.1" customHeight="1" x14ac:dyDescent="0.25">
      <c r="B36" s="24" t="s">
        <v>63</v>
      </c>
      <c r="C36" s="50">
        <v>10</v>
      </c>
      <c r="D36" s="50">
        <v>4</v>
      </c>
      <c r="E36" s="50">
        <v>4</v>
      </c>
      <c r="F36" s="50">
        <v>29</v>
      </c>
      <c r="G36" s="50">
        <v>1</v>
      </c>
      <c r="H36" s="50">
        <v>0</v>
      </c>
      <c r="I36" s="50">
        <v>2</v>
      </c>
      <c r="J36" s="50">
        <v>1</v>
      </c>
      <c r="K36" s="50">
        <v>1</v>
      </c>
      <c r="L36" s="50">
        <v>0</v>
      </c>
      <c r="M36" s="50">
        <v>80</v>
      </c>
      <c r="N36" s="50">
        <v>0</v>
      </c>
      <c r="O36" s="15">
        <f t="shared" si="0"/>
        <v>52</v>
      </c>
      <c r="P36" s="15">
        <f t="shared" si="1"/>
        <v>132</v>
      </c>
    </row>
    <row r="37" spans="2:20" ht="23.1" customHeight="1" x14ac:dyDescent="0.25">
      <c r="B37" s="23" t="s">
        <v>64</v>
      </c>
      <c r="C37" s="50">
        <v>11</v>
      </c>
      <c r="D37" s="50">
        <v>7</v>
      </c>
      <c r="E37" s="50">
        <v>2</v>
      </c>
      <c r="F37" s="50">
        <v>17</v>
      </c>
      <c r="G37" s="50">
        <v>0</v>
      </c>
      <c r="H37" s="50">
        <v>0</v>
      </c>
      <c r="I37" s="50">
        <v>2</v>
      </c>
      <c r="J37" s="50">
        <v>0</v>
      </c>
      <c r="K37" s="50">
        <v>1</v>
      </c>
      <c r="L37" s="50">
        <v>0</v>
      </c>
      <c r="M37" s="50">
        <v>104</v>
      </c>
      <c r="N37" s="50">
        <v>0</v>
      </c>
      <c r="O37" s="15">
        <v>2</v>
      </c>
      <c r="P37" s="15">
        <v>22</v>
      </c>
      <c r="S37" s="8">
        <v>8</v>
      </c>
    </row>
    <row r="38" spans="2:20" ht="23.1" customHeight="1" x14ac:dyDescent="0.25">
      <c r="B38" s="24" t="s">
        <v>65</v>
      </c>
      <c r="C38" s="50">
        <v>21</v>
      </c>
      <c r="D38" s="50">
        <v>11</v>
      </c>
      <c r="E38" s="50">
        <v>2</v>
      </c>
      <c r="F38" s="50">
        <v>22</v>
      </c>
      <c r="G38" s="50">
        <v>0</v>
      </c>
      <c r="H38" s="50">
        <v>0</v>
      </c>
      <c r="I38" s="50">
        <v>8</v>
      </c>
      <c r="J38" s="50">
        <v>0</v>
      </c>
      <c r="K38" s="50">
        <v>0</v>
      </c>
      <c r="L38" s="50">
        <v>0</v>
      </c>
      <c r="M38" s="50">
        <v>135</v>
      </c>
      <c r="N38" s="50">
        <v>0</v>
      </c>
      <c r="O38" s="15">
        <f t="shared" si="0"/>
        <v>64</v>
      </c>
      <c r="P38" s="15">
        <f t="shared" si="1"/>
        <v>199</v>
      </c>
    </row>
    <row r="39" spans="2:20" ht="23.1" customHeight="1" x14ac:dyDescent="0.25">
      <c r="B39" s="24" t="s">
        <v>66</v>
      </c>
      <c r="C39" s="50">
        <v>11</v>
      </c>
      <c r="D39" s="50">
        <v>17</v>
      </c>
      <c r="E39" s="50">
        <v>4</v>
      </c>
      <c r="F39" s="50">
        <v>23</v>
      </c>
      <c r="G39" s="50">
        <v>0</v>
      </c>
      <c r="H39" s="50">
        <v>0</v>
      </c>
      <c r="I39" s="50">
        <v>4</v>
      </c>
      <c r="J39" s="50">
        <v>0</v>
      </c>
      <c r="K39" s="50">
        <v>1</v>
      </c>
      <c r="L39" s="50">
        <v>0</v>
      </c>
      <c r="M39" s="50">
        <v>100</v>
      </c>
      <c r="N39" s="50">
        <v>0</v>
      </c>
      <c r="O39" s="15">
        <f t="shared" si="0"/>
        <v>60</v>
      </c>
      <c r="P39" s="15">
        <f t="shared" si="1"/>
        <v>160</v>
      </c>
    </row>
    <row r="40" spans="2:20" ht="23.1" customHeight="1" x14ac:dyDescent="0.25">
      <c r="B40" s="24" t="s">
        <v>67</v>
      </c>
      <c r="C40" s="50">
        <v>16</v>
      </c>
      <c r="D40" s="50">
        <v>12</v>
      </c>
      <c r="E40" s="50">
        <v>5</v>
      </c>
      <c r="F40" s="50">
        <v>21</v>
      </c>
      <c r="G40" s="50">
        <v>0</v>
      </c>
      <c r="H40" s="50">
        <v>0</v>
      </c>
      <c r="I40" s="50">
        <v>3</v>
      </c>
      <c r="J40" s="50">
        <v>1</v>
      </c>
      <c r="K40" s="50">
        <v>0</v>
      </c>
      <c r="L40" s="50">
        <v>0</v>
      </c>
      <c r="M40" s="50">
        <v>120</v>
      </c>
      <c r="N40" s="50">
        <v>0</v>
      </c>
      <c r="O40" s="15">
        <f t="shared" si="0"/>
        <v>58</v>
      </c>
      <c r="P40" s="15">
        <f t="shared" si="1"/>
        <v>178</v>
      </c>
    </row>
    <row r="41" spans="2:20" ht="23.1" customHeight="1" x14ac:dyDescent="0.25">
      <c r="B41" s="23" t="s">
        <v>68</v>
      </c>
      <c r="C41" s="50">
        <v>10</v>
      </c>
      <c r="D41" s="50">
        <v>6</v>
      </c>
      <c r="E41" s="50">
        <v>1</v>
      </c>
      <c r="F41" s="50">
        <v>18</v>
      </c>
      <c r="G41" s="50">
        <v>0</v>
      </c>
      <c r="H41" s="50">
        <v>0</v>
      </c>
      <c r="I41" s="50">
        <v>1</v>
      </c>
      <c r="J41" s="50">
        <v>1</v>
      </c>
      <c r="K41" s="50">
        <v>2</v>
      </c>
      <c r="L41" s="50">
        <v>0</v>
      </c>
      <c r="M41" s="50">
        <v>97</v>
      </c>
      <c r="N41" s="50">
        <v>0</v>
      </c>
      <c r="O41" s="15">
        <f t="shared" si="0"/>
        <v>39</v>
      </c>
      <c r="P41" s="15">
        <f t="shared" si="1"/>
        <v>136</v>
      </c>
    </row>
    <row r="42" spans="2:20" ht="23.1" customHeight="1" x14ac:dyDescent="0.25">
      <c r="B42" s="24" t="s">
        <v>69</v>
      </c>
      <c r="C42" s="50">
        <v>30</v>
      </c>
      <c r="D42" s="50">
        <v>14</v>
      </c>
      <c r="E42" s="50">
        <v>5</v>
      </c>
      <c r="F42" s="50">
        <v>24</v>
      </c>
      <c r="G42" s="50">
        <v>0</v>
      </c>
      <c r="H42" s="50">
        <v>0</v>
      </c>
      <c r="I42" s="50">
        <v>10</v>
      </c>
      <c r="J42" s="50">
        <v>2</v>
      </c>
      <c r="K42" s="50">
        <v>0</v>
      </c>
      <c r="L42" s="50">
        <v>0</v>
      </c>
      <c r="M42" s="50">
        <v>125</v>
      </c>
      <c r="N42" s="50">
        <v>0</v>
      </c>
      <c r="O42" s="15">
        <f t="shared" si="0"/>
        <v>85</v>
      </c>
      <c r="P42" s="15">
        <f t="shared" si="1"/>
        <v>210</v>
      </c>
    </row>
    <row r="43" spans="2:20" ht="23.1" customHeight="1" x14ac:dyDescent="0.25">
      <c r="B43" s="23" t="s">
        <v>70</v>
      </c>
      <c r="C43" s="50">
        <v>14</v>
      </c>
      <c r="D43" s="50">
        <v>8</v>
      </c>
      <c r="E43" s="50">
        <v>4</v>
      </c>
      <c r="F43" s="50">
        <v>24</v>
      </c>
      <c r="G43" s="50">
        <v>0</v>
      </c>
      <c r="H43" s="50">
        <v>0</v>
      </c>
      <c r="I43" s="50">
        <v>4</v>
      </c>
      <c r="J43" s="50">
        <v>2</v>
      </c>
      <c r="K43" s="50">
        <v>0</v>
      </c>
      <c r="L43" s="50">
        <v>0</v>
      </c>
      <c r="M43" s="50">
        <v>114</v>
      </c>
      <c r="N43" s="50">
        <v>0</v>
      </c>
      <c r="O43" s="15">
        <f t="shared" si="0"/>
        <v>56</v>
      </c>
      <c r="P43" s="15">
        <f t="shared" si="1"/>
        <v>170</v>
      </c>
    </row>
    <row r="44" spans="2:20" ht="23.1" customHeight="1" x14ac:dyDescent="0.25">
      <c r="B44" s="25" t="s">
        <v>71</v>
      </c>
      <c r="C44" s="50">
        <v>28</v>
      </c>
      <c r="D44" s="50">
        <v>17</v>
      </c>
      <c r="E44" s="50">
        <v>3</v>
      </c>
      <c r="F44" s="50">
        <v>30</v>
      </c>
      <c r="G44" s="50">
        <v>0</v>
      </c>
      <c r="H44" s="50">
        <v>0</v>
      </c>
      <c r="I44" s="50">
        <v>6</v>
      </c>
      <c r="J44" s="50">
        <v>3</v>
      </c>
      <c r="K44" s="50">
        <v>0</v>
      </c>
      <c r="L44" s="50">
        <v>0</v>
      </c>
      <c r="M44" s="50">
        <v>126</v>
      </c>
      <c r="N44" s="50">
        <v>0</v>
      </c>
      <c r="O44" s="15">
        <f t="shared" si="0"/>
        <v>87</v>
      </c>
      <c r="P44" s="15">
        <f t="shared" si="1"/>
        <v>213</v>
      </c>
    </row>
    <row r="45" spans="2:20" ht="23.1" customHeight="1" x14ac:dyDescent="0.25">
      <c r="B45" s="23" t="s">
        <v>72</v>
      </c>
      <c r="C45" s="50">
        <v>13</v>
      </c>
      <c r="D45" s="50">
        <v>4</v>
      </c>
      <c r="E45" s="50">
        <v>3</v>
      </c>
      <c r="F45" s="50">
        <v>19</v>
      </c>
      <c r="G45" s="50">
        <v>0</v>
      </c>
      <c r="H45" s="50">
        <v>0</v>
      </c>
      <c r="I45" s="50">
        <v>5</v>
      </c>
      <c r="J45" s="50">
        <v>1</v>
      </c>
      <c r="K45" s="50">
        <v>0</v>
      </c>
      <c r="L45" s="50">
        <v>0</v>
      </c>
      <c r="M45" s="50">
        <v>115</v>
      </c>
      <c r="N45" s="50">
        <v>0</v>
      </c>
      <c r="O45" s="15">
        <f t="shared" si="0"/>
        <v>45</v>
      </c>
      <c r="P45" s="15">
        <f t="shared" si="1"/>
        <v>160</v>
      </c>
    </row>
    <row r="46" spans="2:20" ht="23.1" customHeight="1" x14ac:dyDescent="0.25">
      <c r="B46" s="24" t="s">
        <v>73</v>
      </c>
      <c r="C46" s="50">
        <v>24</v>
      </c>
      <c r="D46" s="50">
        <v>5</v>
      </c>
      <c r="E46" s="50">
        <v>2</v>
      </c>
      <c r="F46" s="50">
        <v>17</v>
      </c>
      <c r="G46" s="50">
        <v>0</v>
      </c>
      <c r="H46" s="50">
        <v>0</v>
      </c>
      <c r="I46" s="50">
        <v>9</v>
      </c>
      <c r="J46" s="50">
        <v>0</v>
      </c>
      <c r="K46" s="50">
        <v>0</v>
      </c>
      <c r="L46" s="50">
        <v>0</v>
      </c>
      <c r="M46" s="50">
        <v>150</v>
      </c>
      <c r="N46" s="50">
        <v>0</v>
      </c>
      <c r="O46" s="15">
        <f t="shared" si="0"/>
        <v>57</v>
      </c>
      <c r="P46" s="15">
        <f t="shared" si="1"/>
        <v>207</v>
      </c>
      <c r="R46" s="8"/>
      <c r="T46"/>
    </row>
    <row r="47" spans="2:20" ht="23.1" customHeight="1" x14ac:dyDescent="0.25">
      <c r="B47" s="24" t="s">
        <v>74</v>
      </c>
      <c r="C47" s="50">
        <v>26</v>
      </c>
      <c r="D47" s="50">
        <v>14</v>
      </c>
      <c r="E47" s="50">
        <v>5</v>
      </c>
      <c r="F47" s="50">
        <v>23</v>
      </c>
      <c r="G47" s="50">
        <v>0</v>
      </c>
      <c r="H47" s="50">
        <v>0</v>
      </c>
      <c r="I47" s="50">
        <v>5</v>
      </c>
      <c r="J47" s="50">
        <v>2</v>
      </c>
      <c r="K47" s="50">
        <v>1</v>
      </c>
      <c r="L47" s="50">
        <v>0</v>
      </c>
      <c r="M47" s="50">
        <v>105</v>
      </c>
      <c r="N47" s="50">
        <v>0</v>
      </c>
      <c r="O47" s="15">
        <f t="shared" si="0"/>
        <v>76</v>
      </c>
      <c r="P47" s="15">
        <f t="shared" si="1"/>
        <v>181</v>
      </c>
      <c r="R47" s="8"/>
      <c r="T47"/>
    </row>
    <row r="48" spans="2:20" ht="23.1" customHeight="1" x14ac:dyDescent="0.25">
      <c r="B48" s="24" t="s">
        <v>75</v>
      </c>
      <c r="C48" s="50">
        <v>23</v>
      </c>
      <c r="D48" s="50">
        <v>20</v>
      </c>
      <c r="E48" s="50">
        <v>4</v>
      </c>
      <c r="F48" s="50">
        <v>29</v>
      </c>
      <c r="G48" s="50">
        <v>0</v>
      </c>
      <c r="H48" s="50">
        <v>1</v>
      </c>
      <c r="I48" s="50">
        <v>2</v>
      </c>
      <c r="J48" s="50">
        <v>0</v>
      </c>
      <c r="K48" s="50">
        <v>0</v>
      </c>
      <c r="L48" s="50">
        <v>0</v>
      </c>
      <c r="M48" s="50">
        <v>120</v>
      </c>
      <c r="N48" s="50">
        <v>0</v>
      </c>
      <c r="O48" s="15">
        <f t="shared" si="0"/>
        <v>79</v>
      </c>
      <c r="P48" s="15">
        <f t="shared" si="1"/>
        <v>199</v>
      </c>
      <c r="R48" s="8"/>
      <c r="T48"/>
    </row>
    <row r="49" spans="2:20" ht="23.1" customHeight="1" x14ac:dyDescent="0.25">
      <c r="B49" s="23" t="s">
        <v>76</v>
      </c>
      <c r="C49" s="50">
        <v>30</v>
      </c>
      <c r="D49" s="50">
        <v>20</v>
      </c>
      <c r="E49" s="50">
        <v>7</v>
      </c>
      <c r="F49" s="50">
        <v>24</v>
      </c>
      <c r="G49" s="50">
        <v>1</v>
      </c>
      <c r="H49" s="50">
        <v>0</v>
      </c>
      <c r="I49" s="50">
        <v>4</v>
      </c>
      <c r="J49" s="50">
        <v>0</v>
      </c>
      <c r="K49" s="50">
        <v>0</v>
      </c>
      <c r="L49" s="50">
        <v>0</v>
      </c>
      <c r="M49" s="50">
        <v>102</v>
      </c>
      <c r="N49" s="50">
        <v>0</v>
      </c>
      <c r="O49" s="15">
        <f t="shared" si="0"/>
        <v>86</v>
      </c>
      <c r="P49" s="15">
        <f t="shared" si="1"/>
        <v>188</v>
      </c>
      <c r="R49" s="8"/>
      <c r="T49"/>
    </row>
    <row r="50" spans="2:20" ht="23.1" customHeight="1" x14ac:dyDescent="0.25">
      <c r="B50" s="24" t="s">
        <v>77</v>
      </c>
      <c r="C50" s="50">
        <v>21</v>
      </c>
      <c r="D50" s="50">
        <v>16</v>
      </c>
      <c r="E50" s="50">
        <v>3</v>
      </c>
      <c r="F50" s="50">
        <v>40</v>
      </c>
      <c r="G50" s="50">
        <v>0</v>
      </c>
      <c r="H50" s="50">
        <v>1</v>
      </c>
      <c r="I50" s="50">
        <v>4</v>
      </c>
      <c r="J50" s="50">
        <v>1</v>
      </c>
      <c r="K50" s="50">
        <v>0</v>
      </c>
      <c r="L50" s="50">
        <v>0</v>
      </c>
      <c r="M50" s="50">
        <v>150</v>
      </c>
      <c r="N50" s="50">
        <v>0</v>
      </c>
      <c r="O50" s="15">
        <f t="shared" si="0"/>
        <v>86</v>
      </c>
      <c r="P50" s="15">
        <f t="shared" si="1"/>
        <v>236</v>
      </c>
      <c r="R50" s="8"/>
      <c r="T50"/>
    </row>
    <row r="51" spans="2:20" ht="23.1" customHeight="1" x14ac:dyDescent="0.25">
      <c r="B51" s="24" t="s">
        <v>78</v>
      </c>
      <c r="C51" s="50">
        <v>31</v>
      </c>
      <c r="D51" s="50">
        <v>14</v>
      </c>
      <c r="E51" s="50">
        <v>7</v>
      </c>
      <c r="F51" s="50">
        <v>30</v>
      </c>
      <c r="G51" s="50">
        <v>0</v>
      </c>
      <c r="H51" s="50">
        <v>2</v>
      </c>
      <c r="I51" s="50">
        <v>6</v>
      </c>
      <c r="J51" s="50">
        <v>1</v>
      </c>
      <c r="K51" s="50">
        <v>0</v>
      </c>
      <c r="L51" s="50">
        <v>0</v>
      </c>
      <c r="M51" s="50">
        <v>120</v>
      </c>
      <c r="N51" s="50">
        <v>0</v>
      </c>
      <c r="O51" s="15">
        <f t="shared" si="0"/>
        <v>91</v>
      </c>
      <c r="P51" s="15">
        <f t="shared" si="1"/>
        <v>211</v>
      </c>
      <c r="R51" s="8"/>
      <c r="T51"/>
    </row>
    <row r="52" spans="2:20" ht="23.1" customHeight="1" x14ac:dyDescent="0.25">
      <c r="B52" s="24" t="s">
        <v>79</v>
      </c>
      <c r="C52" s="50">
        <v>30</v>
      </c>
      <c r="D52" s="50">
        <v>20</v>
      </c>
      <c r="E52" s="50">
        <v>5</v>
      </c>
      <c r="F52" s="50">
        <v>20</v>
      </c>
      <c r="G52" s="50">
        <v>1</v>
      </c>
      <c r="H52" s="50">
        <v>0</v>
      </c>
      <c r="I52" s="50">
        <v>7</v>
      </c>
      <c r="J52" s="50">
        <v>0</v>
      </c>
      <c r="K52" s="50">
        <v>0</v>
      </c>
      <c r="L52" s="50">
        <v>0</v>
      </c>
      <c r="M52" s="50">
        <v>140</v>
      </c>
      <c r="N52" s="50">
        <v>0</v>
      </c>
      <c r="O52" s="15">
        <f t="shared" si="0"/>
        <v>83</v>
      </c>
      <c r="P52" s="15">
        <f t="shared" si="1"/>
        <v>223</v>
      </c>
      <c r="R52" s="8"/>
      <c r="T52"/>
    </row>
    <row r="53" spans="2:20" ht="23.1" customHeight="1" x14ac:dyDescent="0.25">
      <c r="B53" s="23" t="s">
        <v>80</v>
      </c>
      <c r="C53" s="50">
        <v>27</v>
      </c>
      <c r="D53" s="50">
        <v>15</v>
      </c>
      <c r="E53" s="50">
        <v>3</v>
      </c>
      <c r="F53" s="50">
        <v>27</v>
      </c>
      <c r="G53" s="50">
        <v>0</v>
      </c>
      <c r="H53" s="50">
        <v>0</v>
      </c>
      <c r="I53" s="50">
        <v>5</v>
      </c>
      <c r="J53" s="50">
        <v>0</v>
      </c>
      <c r="K53" s="50">
        <v>0</v>
      </c>
      <c r="L53" s="50">
        <v>0</v>
      </c>
      <c r="M53" s="50">
        <v>120</v>
      </c>
      <c r="N53" s="50">
        <v>0</v>
      </c>
      <c r="O53" s="15">
        <f t="shared" si="0"/>
        <v>77</v>
      </c>
      <c r="P53" s="15">
        <f t="shared" si="1"/>
        <v>197</v>
      </c>
      <c r="R53" s="8"/>
      <c r="T53"/>
    </row>
    <row r="54" spans="2:20" ht="23.1" customHeight="1" x14ac:dyDescent="0.25">
      <c r="B54" s="23" t="s">
        <v>81</v>
      </c>
      <c r="C54" s="50">
        <v>42</v>
      </c>
      <c r="D54" s="50">
        <v>22</v>
      </c>
      <c r="E54" s="50">
        <v>5</v>
      </c>
      <c r="F54" s="50">
        <v>46</v>
      </c>
      <c r="G54" s="50">
        <v>1</v>
      </c>
      <c r="H54" s="50">
        <v>0</v>
      </c>
      <c r="I54" s="50">
        <v>8</v>
      </c>
      <c r="J54" s="50">
        <v>0</v>
      </c>
      <c r="K54" s="50">
        <v>0</v>
      </c>
      <c r="L54" s="50">
        <v>0</v>
      </c>
      <c r="M54" s="50">
        <v>150</v>
      </c>
      <c r="N54" s="50">
        <v>0</v>
      </c>
      <c r="O54" s="15">
        <f t="shared" si="0"/>
        <v>124</v>
      </c>
      <c r="P54" s="15">
        <f t="shared" si="1"/>
        <v>274</v>
      </c>
      <c r="R54" s="8"/>
      <c r="T54"/>
    </row>
    <row r="55" spans="2:20" ht="23.1" customHeight="1" x14ac:dyDescent="0.25">
      <c r="B55" s="23" t="s">
        <v>82</v>
      </c>
      <c r="C55" s="50">
        <v>35</v>
      </c>
      <c r="D55" s="50">
        <v>22</v>
      </c>
      <c r="E55" s="50">
        <v>5</v>
      </c>
      <c r="F55" s="50">
        <v>39</v>
      </c>
      <c r="G55" s="50">
        <v>1</v>
      </c>
      <c r="H55" s="50">
        <v>0</v>
      </c>
      <c r="I55" s="50">
        <v>3</v>
      </c>
      <c r="J55" s="50">
        <v>0</v>
      </c>
      <c r="K55" s="50">
        <v>2</v>
      </c>
      <c r="L55" s="50">
        <v>0</v>
      </c>
      <c r="M55" s="50">
        <v>150</v>
      </c>
      <c r="N55" s="50">
        <v>0</v>
      </c>
      <c r="O55" s="15">
        <f t="shared" si="0"/>
        <v>107</v>
      </c>
      <c r="P55" s="15">
        <f t="shared" si="1"/>
        <v>257</v>
      </c>
      <c r="R55" s="8"/>
      <c r="T55"/>
    </row>
    <row r="56" spans="2:20" ht="23.1" customHeight="1" x14ac:dyDescent="0.25">
      <c r="B56" s="23" t="s">
        <v>83</v>
      </c>
      <c r="C56" s="50">
        <v>32</v>
      </c>
      <c r="D56" s="50">
        <v>0</v>
      </c>
      <c r="E56" s="50">
        <v>6</v>
      </c>
      <c r="F56" s="50">
        <v>37</v>
      </c>
      <c r="G56" s="50">
        <v>2</v>
      </c>
      <c r="H56" s="50">
        <v>1</v>
      </c>
      <c r="I56" s="50">
        <v>1</v>
      </c>
      <c r="J56" s="50">
        <v>0</v>
      </c>
      <c r="K56" s="50">
        <v>1</v>
      </c>
      <c r="L56" s="50">
        <v>0</v>
      </c>
      <c r="M56" s="50">
        <v>145</v>
      </c>
      <c r="N56" s="50">
        <v>0</v>
      </c>
      <c r="O56" s="15">
        <f t="shared" si="0"/>
        <v>80</v>
      </c>
      <c r="P56" s="15">
        <f t="shared" si="1"/>
        <v>225</v>
      </c>
      <c r="R56" s="8"/>
      <c r="T56"/>
    </row>
    <row r="57" spans="2:20" ht="23.1" customHeight="1" x14ac:dyDescent="0.25">
      <c r="B57" s="23" t="s">
        <v>84</v>
      </c>
      <c r="C57" s="50">
        <v>35</v>
      </c>
      <c r="D57" s="50">
        <v>9</v>
      </c>
      <c r="E57" s="50">
        <v>1</v>
      </c>
      <c r="F57" s="50">
        <v>30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120</v>
      </c>
      <c r="N57" s="50">
        <v>0</v>
      </c>
      <c r="O57" s="15">
        <f t="shared" si="0"/>
        <v>77</v>
      </c>
      <c r="P57" s="15">
        <f t="shared" si="1"/>
        <v>197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795</v>
      </c>
      <c r="D58" s="16">
        <f t="shared" si="21"/>
        <v>467</v>
      </c>
      <c r="E58" s="16">
        <f t="shared" si="21"/>
        <v>140</v>
      </c>
      <c r="F58" s="16">
        <f t="shared" si="21"/>
        <v>1806</v>
      </c>
      <c r="G58" s="16">
        <f t="shared" si="21"/>
        <v>18</v>
      </c>
      <c r="H58" s="16">
        <f t="shared" si="21"/>
        <v>7</v>
      </c>
      <c r="I58" s="16">
        <f t="shared" si="21"/>
        <v>166</v>
      </c>
      <c r="J58" s="16">
        <f t="shared" si="21"/>
        <v>37</v>
      </c>
      <c r="K58" s="16">
        <f t="shared" si="21"/>
        <v>23</v>
      </c>
      <c r="L58" s="16">
        <f t="shared" si="21"/>
        <v>1</v>
      </c>
      <c r="M58" s="16">
        <f t="shared" si="21"/>
        <v>5882</v>
      </c>
      <c r="N58" s="16">
        <f t="shared" si="21"/>
        <v>1</v>
      </c>
      <c r="O58" s="16">
        <f t="shared" si="21"/>
        <v>3423</v>
      </c>
      <c r="P58" s="16">
        <f t="shared" si="21"/>
        <v>9221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8.6216245526515564E-2</v>
      </c>
      <c r="D59" s="43">
        <f t="shared" si="22"/>
        <v>5.0645266240104111E-2</v>
      </c>
      <c r="E59" s="43">
        <f t="shared" si="22"/>
        <v>1.518273506127318E-2</v>
      </c>
      <c r="F59" s="43">
        <f t="shared" si="22"/>
        <v>0.19585728229042404</v>
      </c>
      <c r="G59" s="43">
        <f t="shared" si="22"/>
        <v>1.9520659364494089E-3</v>
      </c>
      <c r="H59" s="43">
        <f t="shared" si="22"/>
        <v>7.5913675306365906E-4</v>
      </c>
      <c r="I59" s="43">
        <f t="shared" si="22"/>
        <v>1.8002385858366773E-2</v>
      </c>
      <c r="J59" s="43">
        <f t="shared" si="22"/>
        <v>4.0125799804793406E-3</v>
      </c>
      <c r="K59" s="43">
        <f t="shared" si="22"/>
        <v>2.4943064743520225E-3</v>
      </c>
      <c r="L59" s="43">
        <f t="shared" si="22"/>
        <v>1.0844810758052273E-4</v>
      </c>
      <c r="M59" s="43">
        <f t="shared" si="22"/>
        <v>0.63789176878863463</v>
      </c>
      <c r="N59" s="43">
        <f t="shared" si="22"/>
        <v>1.0844810758052273E-4</v>
      </c>
      <c r="R59" s="8"/>
      <c r="T59"/>
    </row>
    <row r="60" spans="2:20" ht="23.1" customHeight="1" x14ac:dyDescent="0.25">
      <c r="B60" s="42" t="s">
        <v>94</v>
      </c>
      <c r="C60" s="44">
        <f>C58/$O$58</f>
        <v>0.2322524101665206</v>
      </c>
      <c r="D60" s="44">
        <f t="shared" ref="D60:N60" si="23">D58/$O$58</f>
        <v>0.1364300321355536</v>
      </c>
      <c r="E60" s="44">
        <f t="shared" si="23"/>
        <v>4.0899795501022497E-2</v>
      </c>
      <c r="F60" s="44">
        <f t="shared" si="23"/>
        <v>0.52760736196319014</v>
      </c>
      <c r="G60" s="44">
        <f t="shared" si="23"/>
        <v>5.2585451358457495E-3</v>
      </c>
      <c r="H60" s="44">
        <f t="shared" si="23"/>
        <v>2.0449897750511249E-3</v>
      </c>
      <c r="I60" s="44">
        <f t="shared" si="23"/>
        <v>4.8495471808355242E-2</v>
      </c>
      <c r="J60" s="44">
        <f t="shared" si="23"/>
        <v>1.0809231668127374E-2</v>
      </c>
      <c r="K60" s="44">
        <f t="shared" si="23"/>
        <v>6.7192521180251237E-3</v>
      </c>
      <c r="L60" s="44">
        <f t="shared" si="23"/>
        <v>2.9214139643587495E-4</v>
      </c>
      <c r="M60" s="44"/>
      <c r="N60" s="44">
        <f t="shared" si="23"/>
        <v>2.9214139643587495E-4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topLeftCell="B1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Munyonyo-Kibuye'!C3:G3</f>
        <v>MCC - C1 - STN01A - SALAMA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'24.07 Kibuye-Munyonyo'!D5</f>
        <v>24.07.19</v>
      </c>
      <c r="E5" s="3"/>
      <c r="F5" s="41" t="s">
        <v>1</v>
      </c>
      <c r="G5" s="64" t="str">
        <f>'22.07 Kibuye-Munyonyo'!G5:H5</f>
        <v>Salama road 1A</v>
      </c>
      <c r="H5" s="65"/>
      <c r="I5" s="14"/>
      <c r="J5" s="2" t="s">
        <v>5</v>
      </c>
      <c r="K5" s="64" t="s">
        <v>174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Munyonyo-Kibuye'!D6:E6</f>
        <v>Munyonyo</v>
      </c>
      <c r="E6" s="65"/>
      <c r="F6" s="2" t="s">
        <v>2</v>
      </c>
      <c r="G6" s="64" t="str">
        <f>'22.07 Munyonyo-Kibuye'!G6:H6</f>
        <v>Kibuye</v>
      </c>
      <c r="H6" s="65"/>
      <c r="J6" s="2" t="s">
        <v>21</v>
      </c>
      <c r="K6" s="64" t="str">
        <f>'22.07 Kibuye-Munyonyo'!K6:L6</f>
        <v>Emma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38</v>
      </c>
      <c r="D10" s="50">
        <v>11</v>
      </c>
      <c r="E10" s="50">
        <v>7</v>
      </c>
      <c r="F10" s="50">
        <v>64</v>
      </c>
      <c r="G10" s="50">
        <v>1</v>
      </c>
      <c r="H10" s="50">
        <v>0</v>
      </c>
      <c r="I10" s="50">
        <v>7</v>
      </c>
      <c r="J10" s="50">
        <v>0</v>
      </c>
      <c r="K10" s="50">
        <v>1</v>
      </c>
      <c r="L10" s="50">
        <v>0</v>
      </c>
      <c r="M10" s="50">
        <v>213</v>
      </c>
      <c r="N10" s="50">
        <v>0</v>
      </c>
      <c r="O10" s="15">
        <f t="shared" ref="O10:O57" si="0">SUM(C10:L10,N10)</f>
        <v>129</v>
      </c>
      <c r="P10" s="15">
        <f t="shared" ref="P10:P57" si="1">SUM(C10:N10)</f>
        <v>342</v>
      </c>
      <c r="R10" s="1" t="s">
        <v>6</v>
      </c>
      <c r="S10" s="17">
        <f t="shared" ref="S10:AF10" si="2">SUM(C10:C13)</f>
        <v>138</v>
      </c>
      <c r="T10" s="17">
        <f t="shared" si="2"/>
        <v>68</v>
      </c>
      <c r="U10" s="17">
        <f t="shared" si="2"/>
        <v>15</v>
      </c>
      <c r="V10" s="17">
        <f t="shared" si="2"/>
        <v>253</v>
      </c>
      <c r="W10" s="17">
        <f t="shared" si="2"/>
        <v>2</v>
      </c>
      <c r="X10" s="17">
        <f t="shared" si="2"/>
        <v>0</v>
      </c>
      <c r="Y10" s="17">
        <f t="shared" si="2"/>
        <v>21</v>
      </c>
      <c r="Z10" s="17">
        <f t="shared" si="2"/>
        <v>1</v>
      </c>
      <c r="AA10" s="17">
        <f t="shared" si="2"/>
        <v>1</v>
      </c>
      <c r="AB10" s="17">
        <f t="shared" si="2"/>
        <v>0</v>
      </c>
      <c r="AC10" s="17">
        <f t="shared" si="2"/>
        <v>967</v>
      </c>
      <c r="AD10" s="17">
        <f t="shared" si="2"/>
        <v>0</v>
      </c>
      <c r="AE10" s="31">
        <f t="shared" si="2"/>
        <v>499</v>
      </c>
      <c r="AF10" s="31">
        <f t="shared" si="2"/>
        <v>1466</v>
      </c>
    </row>
    <row r="11" spans="2:32" s="6" customFormat="1" ht="23.1" customHeight="1" x14ac:dyDescent="0.25">
      <c r="B11" s="23" t="s">
        <v>38</v>
      </c>
      <c r="C11" s="50">
        <v>32</v>
      </c>
      <c r="D11" s="50">
        <v>21</v>
      </c>
      <c r="E11" s="50">
        <v>6</v>
      </c>
      <c r="F11" s="50">
        <v>70</v>
      </c>
      <c r="G11" s="50">
        <v>1</v>
      </c>
      <c r="H11" s="50">
        <v>0</v>
      </c>
      <c r="I11" s="50">
        <v>5</v>
      </c>
      <c r="J11" s="50">
        <v>1</v>
      </c>
      <c r="K11" s="50">
        <v>0</v>
      </c>
      <c r="L11" s="50">
        <v>0</v>
      </c>
      <c r="M11" s="50">
        <v>266</v>
      </c>
      <c r="N11" s="50">
        <v>0</v>
      </c>
      <c r="O11" s="15">
        <f t="shared" si="0"/>
        <v>136</v>
      </c>
      <c r="P11" s="15">
        <f t="shared" si="1"/>
        <v>402</v>
      </c>
      <c r="R11" s="1" t="s">
        <v>7</v>
      </c>
      <c r="S11" s="17">
        <f t="shared" ref="S11:AF11" si="3">SUM(C14:C17)</f>
        <v>117</v>
      </c>
      <c r="T11" s="17">
        <f t="shared" si="3"/>
        <v>52</v>
      </c>
      <c r="U11" s="17">
        <f t="shared" si="3"/>
        <v>15</v>
      </c>
      <c r="V11" s="17">
        <f t="shared" si="3"/>
        <v>238</v>
      </c>
      <c r="W11" s="17">
        <f t="shared" si="3"/>
        <v>2</v>
      </c>
      <c r="X11" s="17">
        <f t="shared" si="3"/>
        <v>0</v>
      </c>
      <c r="Y11" s="17">
        <f t="shared" si="3"/>
        <v>15</v>
      </c>
      <c r="Z11" s="17">
        <f t="shared" si="3"/>
        <v>6</v>
      </c>
      <c r="AA11" s="17">
        <f t="shared" si="3"/>
        <v>1</v>
      </c>
      <c r="AB11" s="17">
        <f t="shared" si="3"/>
        <v>0</v>
      </c>
      <c r="AC11" s="17">
        <f t="shared" si="3"/>
        <v>1037</v>
      </c>
      <c r="AD11" s="17">
        <f t="shared" si="3"/>
        <v>0</v>
      </c>
      <c r="AE11" s="31">
        <f t="shared" si="3"/>
        <v>446</v>
      </c>
      <c r="AF11" s="31">
        <f t="shared" si="3"/>
        <v>1483</v>
      </c>
    </row>
    <row r="12" spans="2:32" ht="23.1" customHeight="1" x14ac:dyDescent="0.25">
      <c r="B12" s="23" t="s">
        <v>39</v>
      </c>
      <c r="C12" s="50">
        <v>21</v>
      </c>
      <c r="D12" s="50">
        <v>13</v>
      </c>
      <c r="E12" s="50">
        <v>1</v>
      </c>
      <c r="F12" s="50">
        <v>54</v>
      </c>
      <c r="G12" s="50">
        <v>0</v>
      </c>
      <c r="H12" s="50">
        <v>0</v>
      </c>
      <c r="I12" s="50">
        <v>5</v>
      </c>
      <c r="J12" s="50">
        <v>0</v>
      </c>
      <c r="K12" s="50">
        <v>0</v>
      </c>
      <c r="L12" s="50">
        <v>0</v>
      </c>
      <c r="M12" s="50">
        <v>246</v>
      </c>
      <c r="N12" s="50">
        <v>0</v>
      </c>
      <c r="O12" s="15">
        <f t="shared" si="0"/>
        <v>94</v>
      </c>
      <c r="P12" s="15">
        <f t="shared" si="1"/>
        <v>340</v>
      </c>
      <c r="R12" s="1" t="s">
        <v>8</v>
      </c>
      <c r="S12" s="17">
        <f t="shared" ref="S12:AF12" si="4">SUM(C18:C21)</f>
        <v>78</v>
      </c>
      <c r="T12" s="17">
        <f t="shared" si="4"/>
        <v>58</v>
      </c>
      <c r="U12" s="17">
        <f t="shared" si="4"/>
        <v>6</v>
      </c>
      <c r="V12" s="17">
        <f t="shared" si="4"/>
        <v>180</v>
      </c>
      <c r="W12" s="17">
        <f t="shared" si="4"/>
        <v>1</v>
      </c>
      <c r="X12" s="17">
        <f t="shared" si="4"/>
        <v>1</v>
      </c>
      <c r="Y12" s="17">
        <f t="shared" si="4"/>
        <v>9</v>
      </c>
      <c r="Z12" s="17">
        <f t="shared" si="4"/>
        <v>0</v>
      </c>
      <c r="AA12" s="17">
        <f t="shared" si="4"/>
        <v>1</v>
      </c>
      <c r="AB12" s="17">
        <f t="shared" si="4"/>
        <v>0</v>
      </c>
      <c r="AC12" s="17">
        <f t="shared" si="4"/>
        <v>749</v>
      </c>
      <c r="AD12" s="17">
        <f t="shared" si="4"/>
        <v>0</v>
      </c>
      <c r="AE12" s="31">
        <f t="shared" si="4"/>
        <v>334</v>
      </c>
      <c r="AF12" s="31">
        <f t="shared" si="4"/>
        <v>1083</v>
      </c>
    </row>
    <row r="13" spans="2:32" ht="23.1" customHeight="1" x14ac:dyDescent="0.25">
      <c r="B13" s="23" t="s">
        <v>40</v>
      </c>
      <c r="C13" s="50">
        <v>47</v>
      </c>
      <c r="D13" s="50">
        <v>23</v>
      </c>
      <c r="E13" s="50">
        <v>1</v>
      </c>
      <c r="F13" s="50">
        <v>65</v>
      </c>
      <c r="G13" s="50">
        <v>0</v>
      </c>
      <c r="H13" s="50">
        <v>0</v>
      </c>
      <c r="I13" s="50">
        <v>4</v>
      </c>
      <c r="J13" s="50">
        <v>0</v>
      </c>
      <c r="K13" s="50">
        <v>0</v>
      </c>
      <c r="L13" s="50">
        <v>0</v>
      </c>
      <c r="M13" s="50">
        <v>242</v>
      </c>
      <c r="N13" s="50"/>
      <c r="O13" s="15">
        <f t="shared" si="0"/>
        <v>140</v>
      </c>
      <c r="P13" s="15">
        <f t="shared" si="1"/>
        <v>382</v>
      </c>
      <c r="R13" s="1" t="s">
        <v>9</v>
      </c>
      <c r="S13" s="17">
        <f t="shared" ref="S13:AF13" si="5">SUM(C22:C25)</f>
        <v>83</v>
      </c>
      <c r="T13" s="17">
        <f t="shared" si="5"/>
        <v>42</v>
      </c>
      <c r="U13" s="17">
        <f t="shared" si="5"/>
        <v>21</v>
      </c>
      <c r="V13" s="17">
        <f t="shared" si="5"/>
        <v>149</v>
      </c>
      <c r="W13" s="17">
        <f t="shared" si="5"/>
        <v>1</v>
      </c>
      <c r="X13" s="17">
        <f t="shared" si="5"/>
        <v>0</v>
      </c>
      <c r="Y13" s="17">
        <f t="shared" si="5"/>
        <v>17</v>
      </c>
      <c r="Z13" s="17">
        <f t="shared" si="5"/>
        <v>4</v>
      </c>
      <c r="AA13" s="17">
        <f t="shared" si="5"/>
        <v>2</v>
      </c>
      <c r="AB13" s="17">
        <f t="shared" si="5"/>
        <v>0</v>
      </c>
      <c r="AC13" s="17">
        <f t="shared" si="5"/>
        <v>752</v>
      </c>
      <c r="AD13" s="17">
        <f t="shared" si="5"/>
        <v>13</v>
      </c>
      <c r="AE13" s="31">
        <f t="shared" si="5"/>
        <v>276</v>
      </c>
      <c r="AF13" s="31">
        <f t="shared" si="5"/>
        <v>959</v>
      </c>
    </row>
    <row r="14" spans="2:32" ht="23.1" customHeight="1" x14ac:dyDescent="0.25">
      <c r="B14" s="23" t="s">
        <v>41</v>
      </c>
      <c r="C14" s="50">
        <v>32</v>
      </c>
      <c r="D14" s="50">
        <v>17</v>
      </c>
      <c r="E14" s="50">
        <v>4</v>
      </c>
      <c r="F14" s="50">
        <v>67</v>
      </c>
      <c r="G14" s="50">
        <v>2</v>
      </c>
      <c r="H14" s="50">
        <v>0</v>
      </c>
      <c r="I14" s="50">
        <v>6</v>
      </c>
      <c r="J14" s="50">
        <v>4</v>
      </c>
      <c r="K14" s="50">
        <v>0</v>
      </c>
      <c r="L14" s="50">
        <v>0</v>
      </c>
      <c r="M14" s="50">
        <v>254</v>
      </c>
      <c r="N14" s="50">
        <v>0</v>
      </c>
      <c r="O14" s="15">
        <f t="shared" si="0"/>
        <v>132</v>
      </c>
      <c r="P14" s="15">
        <f t="shared" si="1"/>
        <v>386</v>
      </c>
      <c r="R14" s="1" t="s">
        <v>10</v>
      </c>
      <c r="S14" s="17">
        <f t="shared" ref="S14:AF14" si="6">SUM(C26:C29)</f>
        <v>84</v>
      </c>
      <c r="T14" s="17">
        <f t="shared" si="6"/>
        <v>52</v>
      </c>
      <c r="U14" s="17">
        <f t="shared" si="6"/>
        <v>14</v>
      </c>
      <c r="V14" s="17">
        <f t="shared" si="6"/>
        <v>128</v>
      </c>
      <c r="W14" s="17">
        <f t="shared" si="6"/>
        <v>1</v>
      </c>
      <c r="X14" s="17">
        <f t="shared" si="6"/>
        <v>0</v>
      </c>
      <c r="Y14" s="17">
        <f t="shared" si="6"/>
        <v>7</v>
      </c>
      <c r="Z14" s="17">
        <f t="shared" si="6"/>
        <v>4</v>
      </c>
      <c r="AA14" s="17">
        <f t="shared" si="6"/>
        <v>0</v>
      </c>
      <c r="AB14" s="17">
        <f t="shared" si="6"/>
        <v>0</v>
      </c>
      <c r="AC14" s="17">
        <f t="shared" si="6"/>
        <v>633</v>
      </c>
      <c r="AD14" s="17">
        <f t="shared" si="6"/>
        <v>0</v>
      </c>
      <c r="AE14" s="31">
        <f t="shared" si="6"/>
        <v>290</v>
      </c>
      <c r="AF14" s="31">
        <f t="shared" si="6"/>
        <v>923</v>
      </c>
    </row>
    <row r="15" spans="2:32" ht="23.1" customHeight="1" x14ac:dyDescent="0.25">
      <c r="B15" s="23" t="s">
        <v>42</v>
      </c>
      <c r="C15" s="50">
        <v>25</v>
      </c>
      <c r="D15" s="50">
        <v>12</v>
      </c>
      <c r="E15" s="50">
        <v>5</v>
      </c>
      <c r="F15" s="50">
        <v>59</v>
      </c>
      <c r="G15" s="50">
        <v>0</v>
      </c>
      <c r="H15" s="50">
        <v>0</v>
      </c>
      <c r="I15" s="50">
        <v>5</v>
      </c>
      <c r="J15" s="50">
        <v>1</v>
      </c>
      <c r="K15" s="50">
        <v>0</v>
      </c>
      <c r="L15" s="50">
        <v>0</v>
      </c>
      <c r="M15" s="50">
        <v>223</v>
      </c>
      <c r="N15" s="50">
        <v>0</v>
      </c>
      <c r="O15" s="15">
        <f t="shared" si="0"/>
        <v>107</v>
      </c>
      <c r="P15" s="15">
        <f t="shared" si="1"/>
        <v>330</v>
      </c>
      <c r="R15" s="1" t="s">
        <v>11</v>
      </c>
      <c r="S15" s="17">
        <f t="shared" ref="S15:AF15" si="7">SUM(C30:C33)</f>
        <v>65</v>
      </c>
      <c r="T15" s="17">
        <f t="shared" si="7"/>
        <v>37</v>
      </c>
      <c r="U15" s="17">
        <f t="shared" si="7"/>
        <v>21</v>
      </c>
      <c r="V15" s="17">
        <f t="shared" si="7"/>
        <v>106</v>
      </c>
      <c r="W15" s="17">
        <f t="shared" si="7"/>
        <v>2</v>
      </c>
      <c r="X15" s="17">
        <f t="shared" si="7"/>
        <v>0</v>
      </c>
      <c r="Y15" s="17">
        <f t="shared" si="7"/>
        <v>17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502</v>
      </c>
      <c r="AD15" s="17">
        <f t="shared" si="7"/>
        <v>0</v>
      </c>
      <c r="AE15" s="31">
        <f t="shared" si="7"/>
        <v>250</v>
      </c>
      <c r="AF15" s="31">
        <f t="shared" si="7"/>
        <v>752</v>
      </c>
    </row>
    <row r="16" spans="2:32" ht="23.1" customHeight="1" x14ac:dyDescent="0.25">
      <c r="B16" s="23" t="s">
        <v>43</v>
      </c>
      <c r="C16" s="50">
        <v>30</v>
      </c>
      <c r="D16" s="50">
        <v>8</v>
      </c>
      <c r="E16" s="50">
        <v>3</v>
      </c>
      <c r="F16" s="50">
        <v>54</v>
      </c>
      <c r="G16" s="50">
        <v>0</v>
      </c>
      <c r="H16" s="50">
        <v>0</v>
      </c>
      <c r="I16" s="50">
        <v>2</v>
      </c>
      <c r="J16" s="50">
        <v>1</v>
      </c>
      <c r="K16" s="50">
        <v>1</v>
      </c>
      <c r="L16" s="50">
        <v>0</v>
      </c>
      <c r="M16" s="50">
        <v>280</v>
      </c>
      <c r="N16" s="50">
        <v>0</v>
      </c>
      <c r="O16" s="15">
        <f t="shared" si="0"/>
        <v>99</v>
      </c>
      <c r="P16" s="15">
        <f t="shared" si="1"/>
        <v>379</v>
      </c>
      <c r="R16" s="1" t="s">
        <v>12</v>
      </c>
      <c r="S16" s="17">
        <f t="shared" ref="S16:AF16" si="8">SUM(C34:C37)</f>
        <v>87</v>
      </c>
      <c r="T16" s="17">
        <f t="shared" si="8"/>
        <v>49</v>
      </c>
      <c r="U16" s="17">
        <f t="shared" si="8"/>
        <v>24</v>
      </c>
      <c r="V16" s="17">
        <f t="shared" si="8"/>
        <v>98</v>
      </c>
      <c r="W16" s="17">
        <f t="shared" si="8"/>
        <v>0</v>
      </c>
      <c r="X16" s="17">
        <f t="shared" si="8"/>
        <v>0</v>
      </c>
      <c r="Y16" s="17">
        <f t="shared" si="8"/>
        <v>18</v>
      </c>
      <c r="Z16" s="17">
        <f t="shared" si="8"/>
        <v>1</v>
      </c>
      <c r="AA16" s="17">
        <f t="shared" si="8"/>
        <v>2</v>
      </c>
      <c r="AB16" s="17">
        <f t="shared" si="8"/>
        <v>0</v>
      </c>
      <c r="AC16" s="17">
        <f t="shared" si="8"/>
        <v>498</v>
      </c>
      <c r="AD16" s="17">
        <f t="shared" si="8"/>
        <v>7</v>
      </c>
      <c r="AE16" s="31">
        <f t="shared" si="8"/>
        <v>210</v>
      </c>
      <c r="AF16" s="31">
        <f t="shared" si="8"/>
        <v>585</v>
      </c>
    </row>
    <row r="17" spans="2:32" ht="23.1" customHeight="1" x14ac:dyDescent="0.25">
      <c r="B17" s="23" t="s">
        <v>44</v>
      </c>
      <c r="C17" s="50">
        <v>30</v>
      </c>
      <c r="D17" s="50">
        <v>15</v>
      </c>
      <c r="E17" s="50">
        <v>3</v>
      </c>
      <c r="F17" s="50">
        <v>58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280</v>
      </c>
      <c r="N17" s="50">
        <v>0</v>
      </c>
      <c r="O17" s="15">
        <f t="shared" si="0"/>
        <v>108</v>
      </c>
      <c r="P17" s="15">
        <f t="shared" si="1"/>
        <v>388</v>
      </c>
      <c r="R17" s="1" t="s">
        <v>13</v>
      </c>
      <c r="S17" s="17">
        <f t="shared" ref="S17:AF17" si="9">SUM(C38:C41)</f>
        <v>79</v>
      </c>
      <c r="T17" s="17">
        <f t="shared" si="9"/>
        <v>28</v>
      </c>
      <c r="U17" s="17">
        <f t="shared" si="9"/>
        <v>15</v>
      </c>
      <c r="V17" s="17">
        <f t="shared" si="9"/>
        <v>75</v>
      </c>
      <c r="W17" s="17">
        <f t="shared" si="9"/>
        <v>0</v>
      </c>
      <c r="X17" s="17">
        <f t="shared" si="9"/>
        <v>0</v>
      </c>
      <c r="Y17" s="17">
        <f t="shared" si="9"/>
        <v>17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485</v>
      </c>
      <c r="AD17" s="17">
        <f t="shared" si="9"/>
        <v>0</v>
      </c>
      <c r="AE17" s="31">
        <f t="shared" si="9"/>
        <v>214</v>
      </c>
      <c r="AF17" s="31">
        <f t="shared" si="9"/>
        <v>699</v>
      </c>
    </row>
    <row r="18" spans="2:32" ht="23.1" customHeight="1" x14ac:dyDescent="0.25">
      <c r="B18" s="23" t="s">
        <v>45</v>
      </c>
      <c r="C18" s="50">
        <v>17</v>
      </c>
      <c r="D18" s="50">
        <v>12</v>
      </c>
      <c r="E18" s="50">
        <v>0</v>
      </c>
      <c r="F18" s="50">
        <v>44</v>
      </c>
      <c r="G18" s="50">
        <v>0</v>
      </c>
      <c r="H18" s="50">
        <v>0</v>
      </c>
      <c r="I18" s="50">
        <v>1</v>
      </c>
      <c r="J18" s="50">
        <v>0</v>
      </c>
      <c r="K18" s="50">
        <v>1</v>
      </c>
      <c r="L18" s="50">
        <v>0</v>
      </c>
      <c r="M18" s="50">
        <v>183</v>
      </c>
      <c r="N18" s="50">
        <v>0</v>
      </c>
      <c r="O18" s="15">
        <f t="shared" si="0"/>
        <v>75</v>
      </c>
      <c r="P18" s="15">
        <f t="shared" si="1"/>
        <v>258</v>
      </c>
      <c r="R18" s="1" t="s">
        <v>14</v>
      </c>
      <c r="S18" s="17">
        <f t="shared" ref="S18:AF18" si="10">SUM(C42:C45)</f>
        <v>73</v>
      </c>
      <c r="T18" s="17">
        <f t="shared" si="10"/>
        <v>51</v>
      </c>
      <c r="U18" s="17">
        <f t="shared" si="10"/>
        <v>17</v>
      </c>
      <c r="V18" s="17">
        <f t="shared" si="10"/>
        <v>80</v>
      </c>
      <c r="W18" s="17">
        <f t="shared" si="10"/>
        <v>1</v>
      </c>
      <c r="X18" s="17">
        <f t="shared" si="10"/>
        <v>0</v>
      </c>
      <c r="Y18" s="17">
        <f t="shared" si="10"/>
        <v>25</v>
      </c>
      <c r="Z18" s="17">
        <f t="shared" si="10"/>
        <v>3</v>
      </c>
      <c r="AA18" s="17">
        <f t="shared" si="10"/>
        <v>1</v>
      </c>
      <c r="AB18" s="17">
        <f t="shared" si="10"/>
        <v>1</v>
      </c>
      <c r="AC18" s="17">
        <f t="shared" si="10"/>
        <v>583</v>
      </c>
      <c r="AD18" s="17">
        <f t="shared" si="10"/>
        <v>0</v>
      </c>
      <c r="AE18" s="31">
        <f t="shared" si="10"/>
        <v>252</v>
      </c>
      <c r="AF18" s="31">
        <f t="shared" si="10"/>
        <v>835</v>
      </c>
    </row>
    <row r="19" spans="2:32" ht="23.1" customHeight="1" x14ac:dyDescent="0.25">
      <c r="B19" s="23" t="s">
        <v>46</v>
      </c>
      <c r="C19" s="50">
        <v>17</v>
      </c>
      <c r="D19" s="50">
        <v>15</v>
      </c>
      <c r="E19" s="50">
        <v>3</v>
      </c>
      <c r="F19" s="50">
        <v>47</v>
      </c>
      <c r="G19" s="50">
        <v>0</v>
      </c>
      <c r="H19" s="50">
        <v>0</v>
      </c>
      <c r="I19" s="50">
        <v>3</v>
      </c>
      <c r="J19" s="50">
        <v>0</v>
      </c>
      <c r="K19" s="50">
        <v>0</v>
      </c>
      <c r="L19" s="50">
        <v>0</v>
      </c>
      <c r="M19" s="50">
        <v>220</v>
      </c>
      <c r="N19" s="50">
        <v>0</v>
      </c>
      <c r="O19" s="15">
        <f t="shared" si="0"/>
        <v>85</v>
      </c>
      <c r="P19" s="15">
        <f t="shared" si="1"/>
        <v>305</v>
      </c>
      <c r="R19" s="1" t="s">
        <v>15</v>
      </c>
      <c r="S19" s="17">
        <f t="shared" ref="S19:AF19" si="11">SUM(C46:C49)</f>
        <v>75</v>
      </c>
      <c r="T19" s="17">
        <f t="shared" si="11"/>
        <v>61</v>
      </c>
      <c r="U19" s="17">
        <f t="shared" si="11"/>
        <v>26</v>
      </c>
      <c r="V19" s="17">
        <f t="shared" si="11"/>
        <v>96</v>
      </c>
      <c r="W19" s="17">
        <f t="shared" si="11"/>
        <v>3</v>
      </c>
      <c r="X19" s="17">
        <f t="shared" si="11"/>
        <v>0</v>
      </c>
      <c r="Y19" s="17">
        <f t="shared" si="11"/>
        <v>18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625</v>
      </c>
      <c r="AD19" s="17">
        <f t="shared" si="11"/>
        <v>0</v>
      </c>
      <c r="AE19" s="31">
        <f t="shared" si="11"/>
        <v>279</v>
      </c>
      <c r="AF19" s="31">
        <f t="shared" si="11"/>
        <v>904</v>
      </c>
    </row>
    <row r="20" spans="2:32" ht="23.1" customHeight="1" x14ac:dyDescent="0.25">
      <c r="B20" s="23" t="s">
        <v>47</v>
      </c>
      <c r="C20" s="50">
        <v>24</v>
      </c>
      <c r="D20" s="50">
        <v>16</v>
      </c>
      <c r="E20" s="50">
        <v>1</v>
      </c>
      <c r="F20" s="50">
        <v>49</v>
      </c>
      <c r="G20" s="50">
        <v>1</v>
      </c>
      <c r="H20" s="50">
        <v>1</v>
      </c>
      <c r="I20" s="50">
        <v>4</v>
      </c>
      <c r="J20" s="50">
        <v>0</v>
      </c>
      <c r="K20" s="50">
        <v>0</v>
      </c>
      <c r="L20" s="50">
        <v>0</v>
      </c>
      <c r="M20" s="50">
        <v>172</v>
      </c>
      <c r="N20" s="50">
        <v>0</v>
      </c>
      <c r="O20" s="15">
        <f t="shared" si="0"/>
        <v>96</v>
      </c>
      <c r="P20" s="15">
        <f t="shared" si="1"/>
        <v>268</v>
      </c>
      <c r="R20" s="1" t="s">
        <v>16</v>
      </c>
      <c r="S20" s="17">
        <f t="shared" ref="S20:AF20" si="12">SUM(C50:C53)</f>
        <v>88</v>
      </c>
      <c r="T20" s="17">
        <f t="shared" si="12"/>
        <v>49</v>
      </c>
      <c r="U20" s="17">
        <f t="shared" si="12"/>
        <v>15</v>
      </c>
      <c r="V20" s="17">
        <f t="shared" si="12"/>
        <v>87</v>
      </c>
      <c r="W20" s="17">
        <f t="shared" si="12"/>
        <v>1</v>
      </c>
      <c r="X20" s="17">
        <f t="shared" si="12"/>
        <v>0</v>
      </c>
      <c r="Y20" s="17">
        <f t="shared" si="12"/>
        <v>20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749</v>
      </c>
      <c r="AD20" s="17">
        <f t="shared" si="12"/>
        <v>0</v>
      </c>
      <c r="AE20" s="31">
        <f t="shared" si="12"/>
        <v>262</v>
      </c>
      <c r="AF20" s="31">
        <f t="shared" si="12"/>
        <v>1011</v>
      </c>
    </row>
    <row r="21" spans="2:32" ht="23.1" customHeight="1" x14ac:dyDescent="0.25">
      <c r="B21" s="23" t="s">
        <v>48</v>
      </c>
      <c r="C21" s="50">
        <v>20</v>
      </c>
      <c r="D21" s="50">
        <v>15</v>
      </c>
      <c r="E21" s="50">
        <v>2</v>
      </c>
      <c r="F21" s="50">
        <v>40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174</v>
      </c>
      <c r="N21" s="50">
        <v>0</v>
      </c>
      <c r="O21" s="15">
        <f t="shared" si="0"/>
        <v>78</v>
      </c>
      <c r="P21" s="15">
        <f t="shared" si="1"/>
        <v>252</v>
      </c>
      <c r="R21" s="36" t="s">
        <v>20</v>
      </c>
      <c r="S21" s="34">
        <f t="shared" ref="S21:AF21" si="13">SUM(C54:C57)</f>
        <v>69</v>
      </c>
      <c r="T21" s="17">
        <f t="shared" si="13"/>
        <v>35</v>
      </c>
      <c r="U21" s="17">
        <f t="shared" si="13"/>
        <v>16</v>
      </c>
      <c r="V21" s="17">
        <f t="shared" si="13"/>
        <v>116</v>
      </c>
      <c r="W21" s="17">
        <f t="shared" si="13"/>
        <v>3</v>
      </c>
      <c r="X21" s="17">
        <f t="shared" si="13"/>
        <v>2</v>
      </c>
      <c r="Y21" s="17">
        <f t="shared" si="13"/>
        <v>11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794</v>
      </c>
      <c r="AD21" s="17">
        <f t="shared" si="13"/>
        <v>0</v>
      </c>
      <c r="AE21" s="31">
        <f t="shared" si="13"/>
        <v>253</v>
      </c>
      <c r="AF21" s="31">
        <f t="shared" si="13"/>
        <v>1047</v>
      </c>
    </row>
    <row r="22" spans="2:32" ht="23.1" customHeight="1" x14ac:dyDescent="0.25">
      <c r="B22" s="23" t="s">
        <v>49</v>
      </c>
      <c r="C22" s="50">
        <v>33</v>
      </c>
      <c r="D22" s="50">
        <v>8</v>
      </c>
      <c r="E22" s="50">
        <v>4</v>
      </c>
      <c r="F22" s="50">
        <v>42</v>
      </c>
      <c r="G22" s="50">
        <v>0</v>
      </c>
      <c r="H22" s="50">
        <v>0</v>
      </c>
      <c r="I22" s="50">
        <v>5</v>
      </c>
      <c r="J22" s="50">
        <v>1</v>
      </c>
      <c r="K22" s="50">
        <v>1</v>
      </c>
      <c r="L22" s="50">
        <v>0</v>
      </c>
      <c r="M22" s="50">
        <v>224</v>
      </c>
      <c r="N22" s="50">
        <v>0</v>
      </c>
      <c r="O22" s="15">
        <f t="shared" si="0"/>
        <v>94</v>
      </c>
      <c r="P22" s="15">
        <f t="shared" si="1"/>
        <v>318</v>
      </c>
      <c r="R22" s="38" t="s">
        <v>90</v>
      </c>
      <c r="S22" s="39">
        <f>MAX(S10:S12)</f>
        <v>138</v>
      </c>
      <c r="T22" s="39">
        <f t="shared" ref="T22:AF22" si="14">MAX(T10:T12)</f>
        <v>68</v>
      </c>
      <c r="U22" s="39">
        <f t="shared" si="14"/>
        <v>15</v>
      </c>
      <c r="V22" s="39">
        <f t="shared" si="14"/>
        <v>253</v>
      </c>
      <c r="W22" s="39">
        <f t="shared" si="14"/>
        <v>2</v>
      </c>
      <c r="X22" s="39">
        <f t="shared" si="14"/>
        <v>1</v>
      </c>
      <c r="Y22" s="39">
        <f t="shared" si="14"/>
        <v>21</v>
      </c>
      <c r="Z22" s="39">
        <f t="shared" si="14"/>
        <v>6</v>
      </c>
      <c r="AA22" s="39">
        <f t="shared" si="14"/>
        <v>1</v>
      </c>
      <c r="AB22" s="39">
        <f t="shared" si="14"/>
        <v>0</v>
      </c>
      <c r="AC22" s="39">
        <f t="shared" si="14"/>
        <v>1037</v>
      </c>
      <c r="AD22" s="39">
        <f t="shared" si="14"/>
        <v>0</v>
      </c>
      <c r="AE22" s="40">
        <f t="shared" si="14"/>
        <v>499</v>
      </c>
      <c r="AF22" s="40">
        <f t="shared" si="14"/>
        <v>1483</v>
      </c>
    </row>
    <row r="23" spans="2:32" ht="23.1" customHeight="1" x14ac:dyDescent="0.25">
      <c r="B23" s="23" t="s">
        <v>50</v>
      </c>
      <c r="C23" s="50">
        <v>15</v>
      </c>
      <c r="D23" s="50">
        <v>15</v>
      </c>
      <c r="E23" s="50">
        <v>10</v>
      </c>
      <c r="F23" s="50">
        <v>34</v>
      </c>
      <c r="G23" s="50">
        <v>1</v>
      </c>
      <c r="H23" s="50">
        <v>0</v>
      </c>
      <c r="I23" s="50">
        <v>3</v>
      </c>
      <c r="J23" s="50">
        <v>1</v>
      </c>
      <c r="K23" s="50">
        <v>0</v>
      </c>
      <c r="L23" s="50">
        <v>0</v>
      </c>
      <c r="M23" s="50">
        <v>205</v>
      </c>
      <c r="N23" s="50">
        <v>0</v>
      </c>
      <c r="O23" s="15">
        <f t="shared" si="0"/>
        <v>79</v>
      </c>
      <c r="P23" s="15">
        <f t="shared" si="1"/>
        <v>284</v>
      </c>
      <c r="R23" s="38" t="s">
        <v>91</v>
      </c>
      <c r="S23" s="39">
        <f>MAX(S13:S18)</f>
        <v>87</v>
      </c>
      <c r="T23" s="39">
        <f t="shared" ref="T23:AF23" si="15">MAX(T13:T18)</f>
        <v>52</v>
      </c>
      <c r="U23" s="39">
        <f t="shared" si="15"/>
        <v>24</v>
      </c>
      <c r="V23" s="39">
        <f t="shared" si="15"/>
        <v>149</v>
      </c>
      <c r="W23" s="39">
        <f t="shared" si="15"/>
        <v>2</v>
      </c>
      <c r="X23" s="39">
        <f t="shared" si="15"/>
        <v>0</v>
      </c>
      <c r="Y23" s="39">
        <f t="shared" si="15"/>
        <v>25</v>
      </c>
      <c r="Z23" s="39">
        <f t="shared" si="15"/>
        <v>4</v>
      </c>
      <c r="AA23" s="39">
        <f t="shared" si="15"/>
        <v>2</v>
      </c>
      <c r="AB23" s="39">
        <f t="shared" si="15"/>
        <v>1</v>
      </c>
      <c r="AC23" s="39">
        <f t="shared" si="15"/>
        <v>752</v>
      </c>
      <c r="AD23" s="39">
        <f t="shared" si="15"/>
        <v>13</v>
      </c>
      <c r="AE23" s="40">
        <f t="shared" si="15"/>
        <v>290</v>
      </c>
      <c r="AF23" s="40">
        <f t="shared" si="15"/>
        <v>959</v>
      </c>
    </row>
    <row r="24" spans="2:32" ht="23.1" customHeight="1" x14ac:dyDescent="0.25">
      <c r="B24" s="23" t="s">
        <v>51</v>
      </c>
      <c r="C24" s="50">
        <v>25</v>
      </c>
      <c r="D24" s="50">
        <v>15</v>
      </c>
      <c r="E24" s="50">
        <v>7</v>
      </c>
      <c r="F24" s="50">
        <v>45</v>
      </c>
      <c r="G24" s="50">
        <v>0</v>
      </c>
      <c r="H24" s="50">
        <v>0</v>
      </c>
      <c r="I24" s="50">
        <v>7</v>
      </c>
      <c r="J24" s="50">
        <v>2</v>
      </c>
      <c r="K24" s="50">
        <v>1</v>
      </c>
      <c r="L24" s="50">
        <v>0</v>
      </c>
      <c r="M24" s="50">
        <v>224</v>
      </c>
      <c r="N24" s="50">
        <v>0</v>
      </c>
      <c r="O24" s="15">
        <f t="shared" si="0"/>
        <v>102</v>
      </c>
      <c r="P24" s="15">
        <f t="shared" si="1"/>
        <v>326</v>
      </c>
      <c r="R24" s="38" t="s">
        <v>92</v>
      </c>
      <c r="S24" s="39">
        <f>MAX(S19:S21)</f>
        <v>88</v>
      </c>
      <c r="T24" s="39">
        <f t="shared" ref="T24:AF24" si="16">MAX(T19:T21)</f>
        <v>61</v>
      </c>
      <c r="U24" s="39">
        <f t="shared" si="16"/>
        <v>26</v>
      </c>
      <c r="V24" s="39">
        <f t="shared" si="16"/>
        <v>116</v>
      </c>
      <c r="W24" s="39">
        <f t="shared" si="16"/>
        <v>3</v>
      </c>
      <c r="X24" s="39">
        <f t="shared" si="16"/>
        <v>2</v>
      </c>
      <c r="Y24" s="39">
        <f t="shared" si="16"/>
        <v>20</v>
      </c>
      <c r="Z24" s="39">
        <f t="shared" si="16"/>
        <v>2</v>
      </c>
      <c r="AA24" s="39">
        <f t="shared" si="16"/>
        <v>1</v>
      </c>
      <c r="AB24" s="39">
        <f t="shared" si="16"/>
        <v>0</v>
      </c>
      <c r="AC24" s="39">
        <f t="shared" si="16"/>
        <v>794</v>
      </c>
      <c r="AD24" s="39">
        <f t="shared" si="16"/>
        <v>0</v>
      </c>
      <c r="AE24" s="40">
        <f t="shared" si="16"/>
        <v>279</v>
      </c>
      <c r="AF24" s="40">
        <f t="shared" si="16"/>
        <v>1047</v>
      </c>
    </row>
    <row r="25" spans="2:32" ht="23.1" customHeight="1" x14ac:dyDescent="0.25">
      <c r="B25" s="23" t="s">
        <v>52</v>
      </c>
      <c r="C25" s="50">
        <v>10</v>
      </c>
      <c r="D25" s="50">
        <v>4</v>
      </c>
      <c r="E25" s="50">
        <v>0</v>
      </c>
      <c r="F25" s="50">
        <v>28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99</v>
      </c>
      <c r="N25" s="50">
        <v>13</v>
      </c>
      <c r="O25" s="15">
        <v>1</v>
      </c>
      <c r="P25" s="15">
        <v>31</v>
      </c>
      <c r="R25" s="37" t="s">
        <v>85</v>
      </c>
      <c r="S25" s="35">
        <v>1</v>
      </c>
      <c r="T25" s="16">
        <v>2</v>
      </c>
      <c r="U25" s="16">
        <f t="shared" ref="U25:AF25" si="17">SUM(U10:U12)</f>
        <v>36</v>
      </c>
      <c r="V25" s="16">
        <f t="shared" si="17"/>
        <v>671</v>
      </c>
      <c r="W25" s="16">
        <f>L32</f>
        <v>0</v>
      </c>
      <c r="X25" s="16">
        <f t="shared" si="17"/>
        <v>1</v>
      </c>
      <c r="Y25" s="16">
        <f t="shared" si="17"/>
        <v>45</v>
      </c>
      <c r="Z25" s="16">
        <f t="shared" si="17"/>
        <v>7</v>
      </c>
      <c r="AA25" s="16">
        <f t="shared" si="17"/>
        <v>3</v>
      </c>
      <c r="AB25" s="16">
        <f t="shared" si="17"/>
        <v>0</v>
      </c>
      <c r="AC25" s="16">
        <f t="shared" si="17"/>
        <v>2753</v>
      </c>
      <c r="AD25" s="16">
        <f t="shared" si="17"/>
        <v>0</v>
      </c>
      <c r="AE25" s="32">
        <f t="shared" si="17"/>
        <v>1279</v>
      </c>
      <c r="AF25" s="32">
        <f t="shared" si="17"/>
        <v>4032</v>
      </c>
    </row>
    <row r="26" spans="2:32" ht="23.1" customHeight="1" x14ac:dyDescent="0.25">
      <c r="B26" s="23" t="s">
        <v>53</v>
      </c>
      <c r="C26" s="50">
        <v>24</v>
      </c>
      <c r="D26" s="50">
        <v>13</v>
      </c>
      <c r="E26" s="50">
        <v>1</v>
      </c>
      <c r="F26" s="50">
        <v>31</v>
      </c>
      <c r="G26" s="50">
        <v>0</v>
      </c>
      <c r="H26" s="50">
        <v>0</v>
      </c>
      <c r="I26" s="50">
        <v>1</v>
      </c>
      <c r="J26" s="50">
        <v>2</v>
      </c>
      <c r="K26" s="50">
        <v>0</v>
      </c>
      <c r="L26" s="50">
        <v>0</v>
      </c>
      <c r="M26" s="50">
        <v>179</v>
      </c>
      <c r="N26" s="50">
        <v>0</v>
      </c>
      <c r="O26" s="15">
        <f t="shared" si="0"/>
        <v>72</v>
      </c>
      <c r="P26" s="15">
        <f t="shared" si="1"/>
        <v>251</v>
      </c>
      <c r="R26" s="28" t="s">
        <v>86</v>
      </c>
      <c r="S26" s="16">
        <f t="shared" ref="S26:AF26" si="18">SUM(S13:S18)</f>
        <v>471</v>
      </c>
      <c r="T26" s="16">
        <f t="shared" si="18"/>
        <v>259</v>
      </c>
      <c r="U26" s="16">
        <f t="shared" si="18"/>
        <v>112</v>
      </c>
      <c r="V26" s="16">
        <f t="shared" si="18"/>
        <v>636</v>
      </c>
      <c r="W26" s="16">
        <f t="shared" si="18"/>
        <v>5</v>
      </c>
      <c r="X26" s="16">
        <f t="shared" si="18"/>
        <v>0</v>
      </c>
      <c r="Y26" s="16">
        <f t="shared" si="18"/>
        <v>101</v>
      </c>
      <c r="Z26" s="16">
        <f t="shared" si="18"/>
        <v>14</v>
      </c>
      <c r="AA26" s="16">
        <f t="shared" si="18"/>
        <v>5</v>
      </c>
      <c r="AB26" s="16">
        <f t="shared" si="18"/>
        <v>1</v>
      </c>
      <c r="AC26" s="16">
        <f t="shared" si="18"/>
        <v>3453</v>
      </c>
      <c r="AD26" s="16">
        <f t="shared" si="18"/>
        <v>20</v>
      </c>
      <c r="AE26" s="32">
        <f t="shared" si="18"/>
        <v>1492</v>
      </c>
      <c r="AF26" s="32">
        <f t="shared" si="18"/>
        <v>4753</v>
      </c>
    </row>
    <row r="27" spans="2:32" ht="23.1" customHeight="1" x14ac:dyDescent="0.25">
      <c r="B27" s="23" t="s">
        <v>54</v>
      </c>
      <c r="C27" s="50">
        <v>22</v>
      </c>
      <c r="D27" s="50">
        <v>12</v>
      </c>
      <c r="E27" s="50">
        <v>4</v>
      </c>
      <c r="F27" s="50">
        <v>32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175</v>
      </c>
      <c r="N27" s="50">
        <v>0</v>
      </c>
      <c r="O27" s="15">
        <f t="shared" si="0"/>
        <v>71</v>
      </c>
      <c r="P27" s="15">
        <f t="shared" si="1"/>
        <v>246</v>
      </c>
      <c r="R27" s="29" t="s">
        <v>87</v>
      </c>
      <c r="S27" s="16">
        <f t="shared" ref="S27:AF27" si="19">SUM(S19:S21)</f>
        <v>232</v>
      </c>
      <c r="T27" s="16">
        <f t="shared" si="19"/>
        <v>145</v>
      </c>
      <c r="U27" s="16">
        <f t="shared" si="19"/>
        <v>57</v>
      </c>
      <c r="V27" s="16">
        <f t="shared" si="19"/>
        <v>299</v>
      </c>
      <c r="W27" s="16">
        <f t="shared" si="19"/>
        <v>7</v>
      </c>
      <c r="X27" s="16">
        <f t="shared" si="19"/>
        <v>2</v>
      </c>
      <c r="Y27" s="16">
        <f t="shared" si="19"/>
        <v>49</v>
      </c>
      <c r="Z27" s="16">
        <f t="shared" si="19"/>
        <v>2</v>
      </c>
      <c r="AA27" s="16">
        <f t="shared" si="19"/>
        <v>1</v>
      </c>
      <c r="AB27" s="16">
        <f t="shared" si="19"/>
        <v>0</v>
      </c>
      <c r="AC27" s="16">
        <f t="shared" si="19"/>
        <v>2168</v>
      </c>
      <c r="AD27" s="16">
        <f t="shared" si="19"/>
        <v>0</v>
      </c>
      <c r="AE27" s="32">
        <f t="shared" si="19"/>
        <v>794</v>
      </c>
      <c r="AF27" s="32">
        <f t="shared" si="19"/>
        <v>2962</v>
      </c>
    </row>
    <row r="28" spans="2:32" ht="23.1" customHeight="1" x14ac:dyDescent="0.25">
      <c r="B28" s="23" t="s">
        <v>55</v>
      </c>
      <c r="C28" s="50">
        <v>22</v>
      </c>
      <c r="D28" s="50">
        <v>17</v>
      </c>
      <c r="E28" s="50">
        <v>5</v>
      </c>
      <c r="F28" s="50">
        <v>36</v>
      </c>
      <c r="G28" s="50">
        <v>1</v>
      </c>
      <c r="H28" s="50">
        <v>0</v>
      </c>
      <c r="I28" s="50">
        <v>1</v>
      </c>
      <c r="J28" s="50">
        <v>2</v>
      </c>
      <c r="K28" s="50">
        <v>0</v>
      </c>
      <c r="L28" s="50">
        <v>0</v>
      </c>
      <c r="M28" s="50">
        <v>160</v>
      </c>
      <c r="N28" s="50">
        <v>0</v>
      </c>
      <c r="O28" s="15">
        <f t="shared" si="0"/>
        <v>84</v>
      </c>
      <c r="P28" s="15">
        <f t="shared" si="1"/>
        <v>244</v>
      </c>
      <c r="R28" s="5" t="s">
        <v>17</v>
      </c>
      <c r="S28" s="16">
        <f t="shared" ref="S28:AF28" si="20">SUM(S10:S21)</f>
        <v>1036</v>
      </c>
      <c r="T28" s="16">
        <f t="shared" si="20"/>
        <v>582</v>
      </c>
      <c r="U28" s="16">
        <f t="shared" si="20"/>
        <v>205</v>
      </c>
      <c r="V28" s="16">
        <f t="shared" si="20"/>
        <v>1606</v>
      </c>
      <c r="W28" s="16">
        <f t="shared" si="20"/>
        <v>17</v>
      </c>
      <c r="X28" s="16">
        <f t="shared" si="20"/>
        <v>3</v>
      </c>
      <c r="Y28" s="16">
        <f t="shared" si="20"/>
        <v>195</v>
      </c>
      <c r="Z28" s="16">
        <f t="shared" si="20"/>
        <v>23</v>
      </c>
      <c r="AA28" s="16">
        <f t="shared" si="20"/>
        <v>9</v>
      </c>
      <c r="AB28" s="16">
        <f t="shared" si="20"/>
        <v>1</v>
      </c>
      <c r="AC28" s="16">
        <f t="shared" si="20"/>
        <v>8374</v>
      </c>
      <c r="AD28" s="16">
        <f t="shared" si="20"/>
        <v>20</v>
      </c>
      <c r="AE28" s="32">
        <f t="shared" si="20"/>
        <v>3565</v>
      </c>
      <c r="AF28" s="32">
        <f t="shared" si="20"/>
        <v>11747</v>
      </c>
    </row>
    <row r="29" spans="2:32" ht="23.1" customHeight="1" x14ac:dyDescent="0.25">
      <c r="B29" s="23" t="s">
        <v>56</v>
      </c>
      <c r="C29" s="50">
        <v>16</v>
      </c>
      <c r="D29" s="50">
        <v>10</v>
      </c>
      <c r="E29" s="50">
        <v>4</v>
      </c>
      <c r="F29" s="50">
        <v>29</v>
      </c>
      <c r="G29" s="50">
        <v>0</v>
      </c>
      <c r="H29" s="50">
        <v>0</v>
      </c>
      <c r="I29" s="50">
        <v>4</v>
      </c>
      <c r="J29" s="50">
        <v>0</v>
      </c>
      <c r="K29" s="50">
        <v>0</v>
      </c>
      <c r="L29" s="50">
        <v>0</v>
      </c>
      <c r="M29" s="50">
        <v>119</v>
      </c>
      <c r="N29" s="50">
        <v>0</v>
      </c>
      <c r="O29" s="15">
        <f t="shared" si="0"/>
        <v>63</v>
      </c>
      <c r="P29" s="15">
        <f t="shared" si="1"/>
        <v>182</v>
      </c>
      <c r="R29"/>
      <c r="S29" s="20"/>
      <c r="T29" s="19"/>
    </row>
    <row r="30" spans="2:32" ht="23.1" customHeight="1" x14ac:dyDescent="0.25">
      <c r="B30" s="23" t="s">
        <v>57</v>
      </c>
      <c r="C30" s="50">
        <v>21</v>
      </c>
      <c r="D30" s="50">
        <v>12</v>
      </c>
      <c r="E30" s="50">
        <v>4</v>
      </c>
      <c r="F30" s="50">
        <v>32</v>
      </c>
      <c r="G30" s="50">
        <v>1</v>
      </c>
      <c r="H30" s="50">
        <v>0</v>
      </c>
      <c r="I30" s="50">
        <v>5</v>
      </c>
      <c r="J30" s="50">
        <v>1</v>
      </c>
      <c r="K30" s="50">
        <v>0</v>
      </c>
      <c r="L30" s="50">
        <v>0</v>
      </c>
      <c r="M30" s="50">
        <v>143</v>
      </c>
      <c r="N30" s="50">
        <v>0</v>
      </c>
      <c r="O30" s="15">
        <f t="shared" si="0"/>
        <v>76</v>
      </c>
      <c r="P30" s="15">
        <f t="shared" si="1"/>
        <v>219</v>
      </c>
    </row>
    <row r="31" spans="2:32" ht="23.1" customHeight="1" x14ac:dyDescent="0.25">
      <c r="B31" s="24" t="s">
        <v>58</v>
      </c>
      <c r="C31" s="50">
        <v>19</v>
      </c>
      <c r="D31" s="50">
        <v>9</v>
      </c>
      <c r="E31" s="50">
        <v>6</v>
      </c>
      <c r="F31" s="50">
        <v>26</v>
      </c>
      <c r="G31" s="50">
        <v>0</v>
      </c>
      <c r="H31" s="50">
        <v>0</v>
      </c>
      <c r="I31" s="50">
        <v>5</v>
      </c>
      <c r="J31" s="50">
        <v>1</v>
      </c>
      <c r="K31" s="50">
        <v>0</v>
      </c>
      <c r="L31" s="50">
        <v>0</v>
      </c>
      <c r="M31" s="50">
        <v>145</v>
      </c>
      <c r="N31" s="50">
        <v>0</v>
      </c>
      <c r="O31" s="15">
        <f t="shared" si="0"/>
        <v>66</v>
      </c>
      <c r="P31" s="15">
        <f t="shared" si="1"/>
        <v>211</v>
      </c>
    </row>
    <row r="32" spans="2:32" ht="23.1" customHeight="1" x14ac:dyDescent="0.25">
      <c r="B32" s="24" t="s">
        <v>59</v>
      </c>
      <c r="C32" s="50">
        <v>13</v>
      </c>
      <c r="D32" s="50">
        <v>8</v>
      </c>
      <c r="E32" s="50">
        <v>5</v>
      </c>
      <c r="F32" s="50">
        <v>28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98</v>
      </c>
      <c r="N32" s="50">
        <v>0</v>
      </c>
      <c r="O32" s="15">
        <f t="shared" si="0"/>
        <v>57</v>
      </c>
      <c r="P32" s="15">
        <f t="shared" si="1"/>
        <v>155</v>
      </c>
    </row>
    <row r="33" spans="2:20" ht="23.1" customHeight="1" x14ac:dyDescent="0.25">
      <c r="B33" s="23" t="s">
        <v>60</v>
      </c>
      <c r="C33" s="50">
        <v>12</v>
      </c>
      <c r="D33" s="50">
        <v>8</v>
      </c>
      <c r="E33" s="50">
        <v>6</v>
      </c>
      <c r="F33" s="50">
        <v>20</v>
      </c>
      <c r="G33" s="50">
        <v>1</v>
      </c>
      <c r="H33" s="50">
        <v>0</v>
      </c>
      <c r="I33" s="50">
        <v>4</v>
      </c>
      <c r="J33" s="50">
        <v>0</v>
      </c>
      <c r="K33" s="50">
        <v>0</v>
      </c>
      <c r="L33" s="50">
        <v>0</v>
      </c>
      <c r="M33" s="50">
        <v>116</v>
      </c>
      <c r="N33" s="50">
        <v>0</v>
      </c>
      <c r="O33" s="15">
        <f t="shared" si="0"/>
        <v>51</v>
      </c>
      <c r="P33" s="15">
        <f t="shared" si="1"/>
        <v>167</v>
      </c>
    </row>
    <row r="34" spans="2:20" ht="23.1" customHeight="1" x14ac:dyDescent="0.25">
      <c r="B34" s="24" t="s">
        <v>61</v>
      </c>
      <c r="C34" s="50">
        <v>19</v>
      </c>
      <c r="D34" s="50">
        <v>14</v>
      </c>
      <c r="E34" s="50">
        <v>3</v>
      </c>
      <c r="F34" s="50">
        <v>21</v>
      </c>
      <c r="G34" s="50">
        <v>0</v>
      </c>
      <c r="H34" s="50">
        <v>0</v>
      </c>
      <c r="I34" s="50">
        <v>6</v>
      </c>
      <c r="J34" s="50">
        <v>0</v>
      </c>
      <c r="K34" s="50">
        <v>1</v>
      </c>
      <c r="L34" s="50">
        <v>0</v>
      </c>
      <c r="M34" s="50">
        <v>119</v>
      </c>
      <c r="N34" s="50">
        <v>0</v>
      </c>
      <c r="O34" s="15">
        <f t="shared" si="0"/>
        <v>64</v>
      </c>
      <c r="P34" s="15">
        <f t="shared" si="1"/>
        <v>183</v>
      </c>
    </row>
    <row r="35" spans="2:20" ht="23.1" customHeight="1" x14ac:dyDescent="0.25">
      <c r="B35" s="24" t="s">
        <v>62</v>
      </c>
      <c r="C35" s="50">
        <v>20</v>
      </c>
      <c r="D35" s="50">
        <v>13</v>
      </c>
      <c r="E35" s="50">
        <v>4</v>
      </c>
      <c r="F35" s="50">
        <v>22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0</v>
      </c>
      <c r="M35" s="50">
        <v>105</v>
      </c>
      <c r="N35" s="50">
        <v>0</v>
      </c>
      <c r="O35" s="15">
        <f t="shared" si="0"/>
        <v>62</v>
      </c>
      <c r="P35" s="15">
        <f t="shared" si="1"/>
        <v>167</v>
      </c>
    </row>
    <row r="36" spans="2:20" ht="23.1" customHeight="1" x14ac:dyDescent="0.25">
      <c r="B36" s="24" t="s">
        <v>63</v>
      </c>
      <c r="C36" s="50">
        <v>26</v>
      </c>
      <c r="D36" s="50">
        <v>12</v>
      </c>
      <c r="E36" s="50">
        <v>8</v>
      </c>
      <c r="F36" s="50">
        <v>27</v>
      </c>
      <c r="G36" s="50">
        <v>0</v>
      </c>
      <c r="H36" s="50">
        <v>0</v>
      </c>
      <c r="I36" s="50">
        <v>5</v>
      </c>
      <c r="J36" s="50">
        <v>0</v>
      </c>
      <c r="K36" s="50">
        <v>0</v>
      </c>
      <c r="L36" s="50">
        <v>0</v>
      </c>
      <c r="M36" s="50">
        <v>139</v>
      </c>
      <c r="N36" s="50">
        <v>0</v>
      </c>
      <c r="O36" s="15">
        <f t="shared" si="0"/>
        <v>78</v>
      </c>
      <c r="P36" s="15">
        <f t="shared" si="1"/>
        <v>217</v>
      </c>
    </row>
    <row r="37" spans="2:20" ht="23.1" customHeight="1" x14ac:dyDescent="0.25">
      <c r="B37" s="23" t="s">
        <v>64</v>
      </c>
      <c r="C37" s="50">
        <v>22</v>
      </c>
      <c r="D37" s="50">
        <v>10</v>
      </c>
      <c r="E37" s="50">
        <v>9</v>
      </c>
      <c r="F37" s="50">
        <v>28</v>
      </c>
      <c r="G37" s="50">
        <v>0</v>
      </c>
      <c r="H37" s="50">
        <v>0</v>
      </c>
      <c r="I37" s="50">
        <v>4</v>
      </c>
      <c r="J37" s="50">
        <v>1</v>
      </c>
      <c r="K37" s="50">
        <v>1</v>
      </c>
      <c r="L37" s="50">
        <v>0</v>
      </c>
      <c r="M37" s="50">
        <v>135</v>
      </c>
      <c r="N37" s="50">
        <v>7</v>
      </c>
      <c r="O37" s="15">
        <v>6</v>
      </c>
      <c r="P37" s="15">
        <v>18</v>
      </c>
    </row>
    <row r="38" spans="2:20" ht="23.1" customHeight="1" x14ac:dyDescent="0.25">
      <c r="B38" s="24" t="s">
        <v>65</v>
      </c>
      <c r="C38" s="50">
        <v>21</v>
      </c>
      <c r="D38" s="50">
        <v>7</v>
      </c>
      <c r="E38" s="50">
        <v>6</v>
      </c>
      <c r="F38" s="50">
        <v>18</v>
      </c>
      <c r="G38" s="50">
        <v>0</v>
      </c>
      <c r="H38" s="50">
        <v>0</v>
      </c>
      <c r="I38" s="50">
        <v>4</v>
      </c>
      <c r="J38" s="50">
        <v>0</v>
      </c>
      <c r="K38" s="50">
        <v>0</v>
      </c>
      <c r="L38" s="50">
        <v>0</v>
      </c>
      <c r="M38" s="50">
        <v>133</v>
      </c>
      <c r="N38" s="50">
        <v>0</v>
      </c>
      <c r="O38" s="15">
        <f t="shared" si="0"/>
        <v>56</v>
      </c>
      <c r="P38" s="15">
        <f t="shared" si="1"/>
        <v>189</v>
      </c>
    </row>
    <row r="39" spans="2:20" ht="23.1" customHeight="1" x14ac:dyDescent="0.25">
      <c r="B39" s="24" t="s">
        <v>66</v>
      </c>
      <c r="C39" s="50">
        <v>16</v>
      </c>
      <c r="D39" s="50">
        <v>7</v>
      </c>
      <c r="E39" s="50">
        <v>2</v>
      </c>
      <c r="F39" s="50">
        <v>19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116</v>
      </c>
      <c r="N39" s="50">
        <v>0</v>
      </c>
      <c r="O39" s="15">
        <f t="shared" si="0"/>
        <v>47</v>
      </c>
      <c r="P39" s="15">
        <f t="shared" si="1"/>
        <v>163</v>
      </c>
    </row>
    <row r="40" spans="2:20" ht="23.1" customHeight="1" x14ac:dyDescent="0.25">
      <c r="B40" s="24" t="s">
        <v>67</v>
      </c>
      <c r="C40" s="50">
        <v>10</v>
      </c>
      <c r="D40" s="50">
        <v>5</v>
      </c>
      <c r="E40" s="50">
        <v>4</v>
      </c>
      <c r="F40" s="50">
        <v>18</v>
      </c>
      <c r="G40" s="50">
        <v>0</v>
      </c>
      <c r="H40" s="50">
        <v>0</v>
      </c>
      <c r="I40" s="50">
        <v>5</v>
      </c>
      <c r="J40" s="50">
        <v>0</v>
      </c>
      <c r="K40" s="50">
        <v>0</v>
      </c>
      <c r="L40" s="50">
        <v>0</v>
      </c>
      <c r="M40" s="50">
        <v>97</v>
      </c>
      <c r="N40" s="50">
        <v>0</v>
      </c>
      <c r="O40" s="15">
        <f t="shared" si="0"/>
        <v>42</v>
      </c>
      <c r="P40" s="15">
        <f t="shared" si="1"/>
        <v>139</v>
      </c>
    </row>
    <row r="41" spans="2:20" ht="23.1" customHeight="1" x14ac:dyDescent="0.25">
      <c r="B41" s="23" t="s">
        <v>68</v>
      </c>
      <c r="C41" s="50">
        <v>32</v>
      </c>
      <c r="D41" s="50">
        <v>9</v>
      </c>
      <c r="E41" s="50">
        <v>3</v>
      </c>
      <c r="F41" s="50">
        <v>20</v>
      </c>
      <c r="G41" s="50">
        <v>0</v>
      </c>
      <c r="H41" s="50">
        <v>0</v>
      </c>
      <c r="I41" s="50">
        <v>5</v>
      </c>
      <c r="J41" s="50">
        <v>0</v>
      </c>
      <c r="K41" s="50">
        <v>0</v>
      </c>
      <c r="L41" s="50">
        <v>0</v>
      </c>
      <c r="M41" s="50">
        <v>139</v>
      </c>
      <c r="N41" s="50">
        <v>0</v>
      </c>
      <c r="O41" s="15">
        <f t="shared" si="0"/>
        <v>69</v>
      </c>
      <c r="P41" s="15">
        <f t="shared" si="1"/>
        <v>208</v>
      </c>
    </row>
    <row r="42" spans="2:20" ht="23.1" customHeight="1" x14ac:dyDescent="0.25">
      <c r="B42" s="24" t="s">
        <v>69</v>
      </c>
      <c r="C42" s="50">
        <v>20</v>
      </c>
      <c r="D42" s="50">
        <v>16</v>
      </c>
      <c r="E42" s="50">
        <v>4</v>
      </c>
      <c r="F42" s="50">
        <v>21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170</v>
      </c>
      <c r="N42" s="50">
        <v>0</v>
      </c>
      <c r="O42" s="15">
        <f t="shared" si="0"/>
        <v>64</v>
      </c>
      <c r="P42" s="15">
        <f t="shared" si="1"/>
        <v>234</v>
      </c>
    </row>
    <row r="43" spans="2:20" ht="23.1" customHeight="1" x14ac:dyDescent="0.25">
      <c r="B43" s="23" t="s">
        <v>70</v>
      </c>
      <c r="C43" s="50">
        <v>17</v>
      </c>
      <c r="D43" s="50">
        <v>9</v>
      </c>
      <c r="E43" s="50">
        <v>4</v>
      </c>
      <c r="F43" s="50">
        <v>19</v>
      </c>
      <c r="G43" s="50">
        <v>0</v>
      </c>
      <c r="H43" s="50">
        <v>0</v>
      </c>
      <c r="I43" s="50">
        <v>8</v>
      </c>
      <c r="J43" s="50">
        <v>2</v>
      </c>
      <c r="K43" s="50">
        <v>0</v>
      </c>
      <c r="L43" s="50">
        <v>0</v>
      </c>
      <c r="M43" s="50">
        <v>126</v>
      </c>
      <c r="N43" s="50">
        <v>0</v>
      </c>
      <c r="O43" s="15">
        <f t="shared" si="0"/>
        <v>59</v>
      </c>
      <c r="P43" s="15">
        <f t="shared" si="1"/>
        <v>185</v>
      </c>
    </row>
    <row r="44" spans="2:20" ht="23.1" customHeight="1" x14ac:dyDescent="0.25">
      <c r="B44" s="25" t="s">
        <v>71</v>
      </c>
      <c r="C44" s="50">
        <v>16</v>
      </c>
      <c r="D44" s="50">
        <v>15</v>
      </c>
      <c r="E44" s="50">
        <v>3</v>
      </c>
      <c r="F44" s="50">
        <v>21</v>
      </c>
      <c r="G44" s="50">
        <v>1</v>
      </c>
      <c r="H44" s="50">
        <v>0</v>
      </c>
      <c r="I44" s="50">
        <v>10</v>
      </c>
      <c r="J44" s="50">
        <v>0</v>
      </c>
      <c r="K44" s="50">
        <v>0</v>
      </c>
      <c r="L44" s="50">
        <v>0</v>
      </c>
      <c r="M44" s="50">
        <v>128</v>
      </c>
      <c r="N44" s="50">
        <v>0</v>
      </c>
      <c r="O44" s="15">
        <f t="shared" si="0"/>
        <v>66</v>
      </c>
      <c r="P44" s="15">
        <f t="shared" si="1"/>
        <v>194</v>
      </c>
    </row>
    <row r="45" spans="2:20" ht="23.1" customHeight="1" x14ac:dyDescent="0.25">
      <c r="B45" s="23" t="s">
        <v>72</v>
      </c>
      <c r="C45" s="50">
        <v>20</v>
      </c>
      <c r="D45" s="50">
        <v>11</v>
      </c>
      <c r="E45" s="50">
        <v>6</v>
      </c>
      <c r="F45" s="50">
        <v>19</v>
      </c>
      <c r="G45" s="50">
        <v>0</v>
      </c>
      <c r="H45" s="50">
        <v>0</v>
      </c>
      <c r="I45" s="50">
        <v>5</v>
      </c>
      <c r="J45" s="50">
        <v>0</v>
      </c>
      <c r="K45" s="50">
        <v>1</v>
      </c>
      <c r="L45" s="50">
        <v>1</v>
      </c>
      <c r="M45" s="50">
        <v>159</v>
      </c>
      <c r="N45" s="50">
        <v>0</v>
      </c>
      <c r="O45" s="15">
        <f t="shared" si="0"/>
        <v>63</v>
      </c>
      <c r="P45" s="15">
        <f t="shared" si="1"/>
        <v>222</v>
      </c>
    </row>
    <row r="46" spans="2:20" ht="23.1" customHeight="1" x14ac:dyDescent="0.25">
      <c r="B46" s="24" t="s">
        <v>73</v>
      </c>
      <c r="C46" s="50">
        <v>23</v>
      </c>
      <c r="D46" s="50">
        <v>16</v>
      </c>
      <c r="E46" s="50">
        <v>10</v>
      </c>
      <c r="F46" s="50">
        <v>24</v>
      </c>
      <c r="G46" s="50">
        <v>0</v>
      </c>
      <c r="H46" s="50">
        <v>0</v>
      </c>
      <c r="I46" s="50">
        <v>4</v>
      </c>
      <c r="J46" s="50">
        <v>0</v>
      </c>
      <c r="K46" s="50">
        <v>0</v>
      </c>
      <c r="L46" s="50">
        <v>0</v>
      </c>
      <c r="M46" s="50">
        <v>144</v>
      </c>
      <c r="N46" s="50">
        <v>0</v>
      </c>
      <c r="O46" s="15">
        <f t="shared" si="0"/>
        <v>77</v>
      </c>
      <c r="P46" s="15">
        <f t="shared" si="1"/>
        <v>221</v>
      </c>
      <c r="R46" s="8"/>
      <c r="T46"/>
    </row>
    <row r="47" spans="2:20" ht="23.1" customHeight="1" x14ac:dyDescent="0.25">
      <c r="B47" s="24" t="s">
        <v>74</v>
      </c>
      <c r="C47" s="50">
        <v>12</v>
      </c>
      <c r="D47" s="50">
        <v>16</v>
      </c>
      <c r="E47" s="50">
        <v>10</v>
      </c>
      <c r="F47" s="50">
        <v>23</v>
      </c>
      <c r="G47" s="50">
        <v>2</v>
      </c>
      <c r="H47" s="50">
        <v>0</v>
      </c>
      <c r="I47" s="50">
        <v>4</v>
      </c>
      <c r="J47" s="50">
        <v>0</v>
      </c>
      <c r="K47" s="50">
        <v>0</v>
      </c>
      <c r="L47" s="50">
        <v>0</v>
      </c>
      <c r="M47" s="50">
        <v>162</v>
      </c>
      <c r="N47" s="50">
        <v>0</v>
      </c>
      <c r="O47" s="15">
        <f t="shared" si="0"/>
        <v>67</v>
      </c>
      <c r="P47" s="15">
        <f t="shared" si="1"/>
        <v>229</v>
      </c>
      <c r="R47" s="8"/>
      <c r="T47"/>
    </row>
    <row r="48" spans="2:20" ht="23.1" customHeight="1" x14ac:dyDescent="0.25">
      <c r="B48" s="24" t="s">
        <v>75</v>
      </c>
      <c r="C48" s="50">
        <v>24</v>
      </c>
      <c r="D48" s="50">
        <v>9</v>
      </c>
      <c r="E48" s="50">
        <v>3</v>
      </c>
      <c r="F48" s="50">
        <v>27</v>
      </c>
      <c r="G48" s="50">
        <v>0</v>
      </c>
      <c r="H48" s="50">
        <v>0</v>
      </c>
      <c r="I48" s="50">
        <v>5</v>
      </c>
      <c r="J48" s="50">
        <v>0</v>
      </c>
      <c r="K48" s="50">
        <v>0</v>
      </c>
      <c r="L48" s="50">
        <v>0</v>
      </c>
      <c r="M48" s="50">
        <v>167</v>
      </c>
      <c r="N48" s="50">
        <v>0</v>
      </c>
      <c r="O48" s="15">
        <f t="shared" si="0"/>
        <v>68</v>
      </c>
      <c r="P48" s="15">
        <f t="shared" si="1"/>
        <v>235</v>
      </c>
      <c r="R48" s="8"/>
      <c r="T48"/>
    </row>
    <row r="49" spans="2:20" ht="23.1" customHeight="1" x14ac:dyDescent="0.25">
      <c r="B49" s="23" t="s">
        <v>76</v>
      </c>
      <c r="C49" s="50">
        <v>16</v>
      </c>
      <c r="D49" s="50">
        <v>20</v>
      </c>
      <c r="E49" s="50">
        <v>3</v>
      </c>
      <c r="F49" s="50">
        <v>22</v>
      </c>
      <c r="G49" s="50">
        <v>1</v>
      </c>
      <c r="H49" s="50">
        <v>0</v>
      </c>
      <c r="I49" s="50">
        <v>5</v>
      </c>
      <c r="J49" s="50">
        <v>0</v>
      </c>
      <c r="K49" s="50">
        <v>0</v>
      </c>
      <c r="L49" s="50">
        <v>0</v>
      </c>
      <c r="M49" s="50">
        <v>152</v>
      </c>
      <c r="N49" s="50">
        <v>0</v>
      </c>
      <c r="O49" s="15">
        <f t="shared" si="0"/>
        <v>67</v>
      </c>
      <c r="P49" s="15">
        <f t="shared" si="1"/>
        <v>219</v>
      </c>
      <c r="R49" s="8"/>
      <c r="T49"/>
    </row>
    <row r="50" spans="2:20" ht="23.1" customHeight="1" x14ac:dyDescent="0.25">
      <c r="B50" s="24" t="s">
        <v>77</v>
      </c>
      <c r="C50" s="50">
        <v>21</v>
      </c>
      <c r="D50" s="50">
        <v>13</v>
      </c>
      <c r="E50" s="50">
        <v>3</v>
      </c>
      <c r="F50" s="50">
        <v>24</v>
      </c>
      <c r="G50" s="50">
        <v>0</v>
      </c>
      <c r="H50" s="50">
        <v>0</v>
      </c>
      <c r="I50" s="50">
        <v>4</v>
      </c>
      <c r="J50" s="50">
        <v>1</v>
      </c>
      <c r="K50" s="50">
        <v>0</v>
      </c>
      <c r="L50" s="50">
        <v>0</v>
      </c>
      <c r="M50" s="50">
        <v>181</v>
      </c>
      <c r="N50" s="50">
        <v>0</v>
      </c>
      <c r="O50" s="15">
        <f t="shared" si="0"/>
        <v>66</v>
      </c>
      <c r="P50" s="15">
        <f t="shared" si="1"/>
        <v>247</v>
      </c>
      <c r="R50" s="8"/>
      <c r="T50"/>
    </row>
    <row r="51" spans="2:20" ht="23.1" customHeight="1" x14ac:dyDescent="0.25">
      <c r="B51" s="24" t="s">
        <v>78</v>
      </c>
      <c r="C51" s="50">
        <v>19</v>
      </c>
      <c r="D51" s="50">
        <v>11</v>
      </c>
      <c r="E51" s="50">
        <v>3</v>
      </c>
      <c r="F51" s="50">
        <v>20</v>
      </c>
      <c r="G51" s="50">
        <v>0</v>
      </c>
      <c r="H51" s="50">
        <v>0</v>
      </c>
      <c r="I51" s="50">
        <v>6</v>
      </c>
      <c r="J51" s="50">
        <v>0</v>
      </c>
      <c r="K51" s="50">
        <v>0</v>
      </c>
      <c r="L51" s="50">
        <v>0</v>
      </c>
      <c r="M51" s="50">
        <v>206</v>
      </c>
      <c r="N51" s="50">
        <v>0</v>
      </c>
      <c r="O51" s="15">
        <f t="shared" si="0"/>
        <v>59</v>
      </c>
      <c r="P51" s="15">
        <f t="shared" si="1"/>
        <v>265</v>
      </c>
      <c r="R51" s="8"/>
      <c r="T51"/>
    </row>
    <row r="52" spans="2:20" ht="23.1" customHeight="1" x14ac:dyDescent="0.25">
      <c r="B52" s="24" t="s">
        <v>79</v>
      </c>
      <c r="C52" s="50">
        <v>32</v>
      </c>
      <c r="D52" s="50">
        <v>18</v>
      </c>
      <c r="E52" s="50">
        <v>4</v>
      </c>
      <c r="F52" s="50">
        <v>25</v>
      </c>
      <c r="G52" s="50">
        <v>1</v>
      </c>
      <c r="H52" s="50">
        <v>0</v>
      </c>
      <c r="I52" s="50">
        <v>6</v>
      </c>
      <c r="J52" s="50">
        <v>1</v>
      </c>
      <c r="K52" s="50">
        <v>0</v>
      </c>
      <c r="L52" s="50">
        <v>0</v>
      </c>
      <c r="M52" s="50">
        <v>156</v>
      </c>
      <c r="N52" s="50">
        <v>0</v>
      </c>
      <c r="O52" s="15">
        <f t="shared" si="0"/>
        <v>87</v>
      </c>
      <c r="P52" s="15">
        <f t="shared" si="1"/>
        <v>243</v>
      </c>
      <c r="R52" s="8"/>
      <c r="T52"/>
    </row>
    <row r="53" spans="2:20" ht="23.1" customHeight="1" x14ac:dyDescent="0.25">
      <c r="B53" s="23" t="s">
        <v>80</v>
      </c>
      <c r="C53" s="50">
        <v>16</v>
      </c>
      <c r="D53" s="50">
        <v>7</v>
      </c>
      <c r="E53" s="50">
        <v>5</v>
      </c>
      <c r="F53" s="50">
        <v>18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0</v>
      </c>
      <c r="M53" s="50">
        <v>206</v>
      </c>
      <c r="N53" s="50">
        <v>0</v>
      </c>
      <c r="O53" s="15">
        <f t="shared" si="0"/>
        <v>50</v>
      </c>
      <c r="P53" s="15">
        <f t="shared" si="1"/>
        <v>256</v>
      </c>
      <c r="R53" s="8"/>
      <c r="T53"/>
    </row>
    <row r="54" spans="2:20" ht="23.1" customHeight="1" x14ac:dyDescent="0.25">
      <c r="B54" s="23" t="s">
        <v>81</v>
      </c>
      <c r="C54" s="50">
        <v>22</v>
      </c>
      <c r="D54" s="50">
        <v>10</v>
      </c>
      <c r="E54" s="50">
        <v>3</v>
      </c>
      <c r="F54" s="50">
        <v>25</v>
      </c>
      <c r="G54" s="50">
        <v>1</v>
      </c>
      <c r="H54" s="50">
        <v>1</v>
      </c>
      <c r="I54" s="50">
        <v>3</v>
      </c>
      <c r="J54" s="50">
        <v>0</v>
      </c>
      <c r="K54" s="50">
        <v>0</v>
      </c>
      <c r="L54" s="50">
        <v>0</v>
      </c>
      <c r="M54" s="50">
        <v>209</v>
      </c>
      <c r="N54" s="50">
        <v>0</v>
      </c>
      <c r="O54" s="15">
        <f t="shared" si="0"/>
        <v>65</v>
      </c>
      <c r="P54" s="15">
        <f t="shared" si="1"/>
        <v>274</v>
      </c>
      <c r="R54" s="8"/>
      <c r="T54"/>
    </row>
    <row r="55" spans="2:20" ht="23.1" customHeight="1" x14ac:dyDescent="0.25">
      <c r="B55" s="23" t="s">
        <v>82</v>
      </c>
      <c r="C55" s="50">
        <v>15</v>
      </c>
      <c r="D55" s="50">
        <v>9</v>
      </c>
      <c r="E55" s="50">
        <v>2</v>
      </c>
      <c r="F55" s="50">
        <v>24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195</v>
      </c>
      <c r="N55" s="50">
        <v>0</v>
      </c>
      <c r="O55" s="15">
        <f t="shared" si="0"/>
        <v>53</v>
      </c>
      <c r="P55" s="15">
        <f t="shared" si="1"/>
        <v>248</v>
      </c>
      <c r="R55" s="8"/>
      <c r="T55"/>
    </row>
    <row r="56" spans="2:20" ht="23.1" customHeight="1" x14ac:dyDescent="0.25">
      <c r="B56" s="23" t="s">
        <v>83</v>
      </c>
      <c r="C56" s="50">
        <v>17</v>
      </c>
      <c r="D56" s="50">
        <v>6</v>
      </c>
      <c r="E56" s="50">
        <v>6</v>
      </c>
      <c r="F56" s="50">
        <v>27</v>
      </c>
      <c r="G56" s="50">
        <v>1</v>
      </c>
      <c r="H56" s="50">
        <v>0</v>
      </c>
      <c r="I56" s="50">
        <v>3</v>
      </c>
      <c r="J56" s="50">
        <v>0</v>
      </c>
      <c r="K56" s="50">
        <v>1</v>
      </c>
      <c r="L56" s="50">
        <v>0</v>
      </c>
      <c r="M56" s="50">
        <v>180</v>
      </c>
      <c r="N56" s="50">
        <v>0</v>
      </c>
      <c r="O56" s="15">
        <f t="shared" si="0"/>
        <v>61</v>
      </c>
      <c r="P56" s="15">
        <f t="shared" si="1"/>
        <v>241</v>
      </c>
      <c r="R56" s="8"/>
      <c r="T56"/>
    </row>
    <row r="57" spans="2:20" ht="23.1" customHeight="1" x14ac:dyDescent="0.25">
      <c r="B57" s="23" t="s">
        <v>84</v>
      </c>
      <c r="C57" s="50">
        <v>15</v>
      </c>
      <c r="D57" s="50">
        <v>10</v>
      </c>
      <c r="E57" s="50">
        <v>5</v>
      </c>
      <c r="F57" s="50">
        <v>40</v>
      </c>
      <c r="G57" s="50">
        <v>1</v>
      </c>
      <c r="H57" s="50">
        <v>1</v>
      </c>
      <c r="I57" s="50">
        <v>2</v>
      </c>
      <c r="J57" s="50">
        <v>0</v>
      </c>
      <c r="K57" s="50">
        <v>0</v>
      </c>
      <c r="L57" s="50">
        <v>0</v>
      </c>
      <c r="M57" s="50">
        <v>210</v>
      </c>
      <c r="N57" s="50">
        <v>0</v>
      </c>
      <c r="O57" s="15">
        <f t="shared" si="0"/>
        <v>74</v>
      </c>
      <c r="P57" s="15">
        <f t="shared" si="1"/>
        <v>284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1036</v>
      </c>
      <c r="D58" s="16">
        <f t="shared" si="21"/>
        <v>582</v>
      </c>
      <c r="E58" s="16">
        <f t="shared" si="21"/>
        <v>205</v>
      </c>
      <c r="F58" s="16">
        <f t="shared" si="21"/>
        <v>1606</v>
      </c>
      <c r="G58" s="16">
        <f t="shared" si="21"/>
        <v>17</v>
      </c>
      <c r="H58" s="16">
        <f t="shared" si="21"/>
        <v>3</v>
      </c>
      <c r="I58" s="16">
        <f t="shared" si="21"/>
        <v>195</v>
      </c>
      <c r="J58" s="16">
        <f t="shared" si="21"/>
        <v>23</v>
      </c>
      <c r="K58" s="16">
        <f t="shared" si="21"/>
        <v>9</v>
      </c>
      <c r="L58" s="16">
        <f t="shared" si="21"/>
        <v>1</v>
      </c>
      <c r="M58" s="16">
        <f t="shared" si="21"/>
        <v>8374</v>
      </c>
      <c r="N58" s="16">
        <f t="shared" si="21"/>
        <v>20</v>
      </c>
      <c r="O58" s="16">
        <f t="shared" si="21"/>
        <v>3565</v>
      </c>
      <c r="P58" s="16">
        <f t="shared" si="21"/>
        <v>11747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8.81927300587384E-2</v>
      </c>
      <c r="D59" s="43">
        <f t="shared" si="22"/>
        <v>4.9544564569677367E-2</v>
      </c>
      <c r="E59" s="43">
        <f t="shared" si="22"/>
        <v>1.7451264152549589E-2</v>
      </c>
      <c r="F59" s="43">
        <f t="shared" si="22"/>
        <v>0.13671575721460799</v>
      </c>
      <c r="G59" s="43">
        <f t="shared" si="22"/>
        <v>1.4471780028943559E-3</v>
      </c>
      <c r="H59" s="43">
        <f t="shared" si="22"/>
        <v>2.5538435345194517E-4</v>
      </c>
      <c r="I59" s="43">
        <f t="shared" si="22"/>
        <v>1.6599982974376436E-2</v>
      </c>
      <c r="J59" s="43">
        <f t="shared" si="22"/>
        <v>1.9579467097982466E-3</v>
      </c>
      <c r="K59" s="43">
        <f t="shared" si="22"/>
        <v>7.6615306035583556E-4</v>
      </c>
      <c r="L59" s="43">
        <f t="shared" si="22"/>
        <v>8.5128117817315056E-5</v>
      </c>
      <c r="M59" s="43">
        <f t="shared" si="22"/>
        <v>0.71286285860219634</v>
      </c>
      <c r="N59" s="43">
        <f t="shared" si="22"/>
        <v>1.7025623563463011E-3</v>
      </c>
      <c r="R59" s="8"/>
      <c r="T59"/>
    </row>
    <row r="60" spans="2:20" ht="23.1" customHeight="1" x14ac:dyDescent="0.25">
      <c r="B60" s="42" t="s">
        <v>94</v>
      </c>
      <c r="C60" s="44">
        <f>C58/$O$58</f>
        <v>0.29060308555399722</v>
      </c>
      <c r="D60" s="44">
        <f t="shared" ref="D60:N60" si="23">D58/$O$58</f>
        <v>0.1632538569424965</v>
      </c>
      <c r="E60" s="44">
        <f t="shared" si="23"/>
        <v>5.7503506311360447E-2</v>
      </c>
      <c r="F60" s="44">
        <f t="shared" si="23"/>
        <v>0.45049088359046285</v>
      </c>
      <c r="G60" s="44">
        <f t="shared" si="23"/>
        <v>4.7685834502103784E-3</v>
      </c>
      <c r="H60" s="44">
        <f t="shared" si="23"/>
        <v>8.4151472650771393E-4</v>
      </c>
      <c r="I60" s="44">
        <f t="shared" si="23"/>
        <v>5.4698457223001401E-2</v>
      </c>
      <c r="J60" s="44">
        <f t="shared" si="23"/>
        <v>6.4516129032258064E-3</v>
      </c>
      <c r="K60" s="44">
        <f t="shared" si="23"/>
        <v>2.5245441795231417E-3</v>
      </c>
      <c r="L60" s="44">
        <f t="shared" si="23"/>
        <v>2.8050490883590464E-4</v>
      </c>
      <c r="M60" s="44"/>
      <c r="N60" s="44">
        <f t="shared" si="23"/>
        <v>5.6100981767180924E-3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F126"/>
  <sheetViews>
    <sheetView view="pageBreakPreview" topLeftCell="A4" zoomScale="6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Kibuye-Munyonyo'!C3:G3</f>
        <v>MCC - C1 - STN01A - SALAMA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166</v>
      </c>
      <c r="E5" s="3"/>
      <c r="F5" s="41" t="s">
        <v>1</v>
      </c>
      <c r="G5" s="64" t="str">
        <f>'24.07 Munyonyo-Kibuye'!G5:H5</f>
        <v>Salama road 1A</v>
      </c>
      <c r="H5" s="65"/>
      <c r="I5" s="14"/>
      <c r="J5" s="2" t="s">
        <v>5</v>
      </c>
      <c r="K5" s="64" t="s">
        <v>172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Kibuye-Munyonyo'!D6:E6</f>
        <v>Kibuye</v>
      </c>
      <c r="E6" s="65"/>
      <c r="F6" s="2" t="s">
        <v>2</v>
      </c>
      <c r="G6" s="64" t="str">
        <f>'22.07 Kibuye-Munyonyo'!G6:H6</f>
        <v>Munyonyo</v>
      </c>
      <c r="H6" s="65"/>
      <c r="J6" s="2" t="s">
        <v>21</v>
      </c>
      <c r="K6" s="64" t="str">
        <f>'24.07 Munyonyo-Kibuye'!K6:L6</f>
        <v>Emma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16</v>
      </c>
      <c r="D10" s="50">
        <v>6</v>
      </c>
      <c r="E10" s="50">
        <v>3</v>
      </c>
      <c r="F10" s="50">
        <v>77</v>
      </c>
      <c r="G10" s="50">
        <v>0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95</v>
      </c>
      <c r="N10" s="50">
        <v>0</v>
      </c>
      <c r="O10" s="15">
        <f t="shared" ref="O10:O57" si="0">SUM(C10:L10,N10)</f>
        <v>105</v>
      </c>
      <c r="P10" s="15">
        <f t="shared" ref="P10:P57" si="1">SUM(C10:N10)</f>
        <v>200</v>
      </c>
      <c r="R10" s="1" t="s">
        <v>6</v>
      </c>
      <c r="S10" s="17">
        <f t="shared" ref="S10:AF10" si="2">SUM(C10:C13)</f>
        <v>56</v>
      </c>
      <c r="T10" s="17">
        <f t="shared" si="2"/>
        <v>14</v>
      </c>
      <c r="U10" s="17">
        <f t="shared" si="2"/>
        <v>5</v>
      </c>
      <c r="V10" s="17">
        <f t="shared" si="2"/>
        <v>272</v>
      </c>
      <c r="W10" s="17">
        <f t="shared" si="2"/>
        <v>2</v>
      </c>
      <c r="X10" s="17">
        <f t="shared" si="2"/>
        <v>1</v>
      </c>
      <c r="Y10" s="17">
        <f t="shared" si="2"/>
        <v>20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580</v>
      </c>
      <c r="AD10" s="17">
        <f t="shared" si="2"/>
        <v>0</v>
      </c>
      <c r="AE10" s="31">
        <f t="shared" si="2"/>
        <v>371</v>
      </c>
      <c r="AF10" s="31">
        <f t="shared" si="2"/>
        <v>951</v>
      </c>
    </row>
    <row r="11" spans="2:32" s="6" customFormat="1" ht="23.1" customHeight="1" x14ac:dyDescent="0.25">
      <c r="B11" s="23" t="s">
        <v>38</v>
      </c>
      <c r="C11" s="50">
        <v>9</v>
      </c>
      <c r="D11" s="50">
        <v>4</v>
      </c>
      <c r="E11" s="50">
        <v>0</v>
      </c>
      <c r="F11" s="50">
        <v>54</v>
      </c>
      <c r="G11" s="50">
        <v>1</v>
      </c>
      <c r="H11" s="50">
        <v>1</v>
      </c>
      <c r="I11" s="50">
        <v>12</v>
      </c>
      <c r="J11" s="50">
        <v>1</v>
      </c>
      <c r="K11" s="50">
        <v>0</v>
      </c>
      <c r="L11" s="50">
        <v>0</v>
      </c>
      <c r="M11" s="50">
        <v>150</v>
      </c>
      <c r="N11" s="50">
        <v>0</v>
      </c>
      <c r="O11" s="15">
        <f t="shared" si="0"/>
        <v>82</v>
      </c>
      <c r="P11" s="15">
        <f t="shared" si="1"/>
        <v>232</v>
      </c>
      <c r="R11" s="1" t="s">
        <v>7</v>
      </c>
      <c r="S11" s="17">
        <f t="shared" ref="S11:AF11" si="3">SUM(C14:C17)</f>
        <v>47</v>
      </c>
      <c r="T11" s="17">
        <f t="shared" si="3"/>
        <v>19</v>
      </c>
      <c r="U11" s="17">
        <f t="shared" si="3"/>
        <v>8</v>
      </c>
      <c r="V11" s="17">
        <f t="shared" si="3"/>
        <v>259</v>
      </c>
      <c r="W11" s="17">
        <f t="shared" si="3"/>
        <v>1</v>
      </c>
      <c r="X11" s="17">
        <f t="shared" si="3"/>
        <v>0</v>
      </c>
      <c r="Y11" s="17">
        <f t="shared" si="3"/>
        <v>7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815</v>
      </c>
      <c r="AD11" s="17">
        <f t="shared" si="3"/>
        <v>0</v>
      </c>
      <c r="AE11" s="31">
        <f t="shared" si="3"/>
        <v>343</v>
      </c>
      <c r="AF11" s="31">
        <f t="shared" si="3"/>
        <v>1158</v>
      </c>
    </row>
    <row r="12" spans="2:32" ht="23.1" customHeight="1" x14ac:dyDescent="0.25">
      <c r="B12" s="23" t="s">
        <v>39</v>
      </c>
      <c r="C12" s="50">
        <v>19</v>
      </c>
      <c r="D12" s="50">
        <v>1</v>
      </c>
      <c r="E12" s="50">
        <v>1</v>
      </c>
      <c r="F12" s="50">
        <v>75</v>
      </c>
      <c r="G12" s="50">
        <v>1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185</v>
      </c>
      <c r="N12" s="50">
        <v>0</v>
      </c>
      <c r="O12" s="15">
        <f t="shared" si="0"/>
        <v>100</v>
      </c>
      <c r="P12" s="15">
        <f t="shared" si="1"/>
        <v>285</v>
      </c>
      <c r="R12" s="1" t="s">
        <v>8</v>
      </c>
      <c r="S12" s="17">
        <f t="shared" ref="S12:AF12" si="4">SUM(C18:C21)</f>
        <v>42</v>
      </c>
      <c r="T12" s="17">
        <f t="shared" si="4"/>
        <v>22</v>
      </c>
      <c r="U12" s="17">
        <f t="shared" si="4"/>
        <v>5</v>
      </c>
      <c r="V12" s="17">
        <f t="shared" si="4"/>
        <v>197</v>
      </c>
      <c r="W12" s="17">
        <f t="shared" si="4"/>
        <v>0</v>
      </c>
      <c r="X12" s="17">
        <f t="shared" si="4"/>
        <v>0</v>
      </c>
      <c r="Y12" s="17">
        <f t="shared" si="4"/>
        <v>10</v>
      </c>
      <c r="Z12" s="17">
        <f t="shared" si="4"/>
        <v>4</v>
      </c>
      <c r="AA12" s="17">
        <f t="shared" si="4"/>
        <v>1</v>
      </c>
      <c r="AB12" s="17">
        <f t="shared" si="4"/>
        <v>0</v>
      </c>
      <c r="AC12" s="17">
        <f t="shared" si="4"/>
        <v>625</v>
      </c>
      <c r="AD12" s="17">
        <f t="shared" si="4"/>
        <v>0</v>
      </c>
      <c r="AE12" s="31">
        <f t="shared" si="4"/>
        <v>281</v>
      </c>
      <c r="AF12" s="31">
        <f t="shared" si="4"/>
        <v>906</v>
      </c>
    </row>
    <row r="13" spans="2:32" ht="23.1" customHeight="1" x14ac:dyDescent="0.25">
      <c r="B13" s="23" t="s">
        <v>40</v>
      </c>
      <c r="C13" s="50">
        <v>12</v>
      </c>
      <c r="D13" s="50">
        <v>3</v>
      </c>
      <c r="E13" s="50">
        <v>1</v>
      </c>
      <c r="F13" s="50">
        <v>66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150</v>
      </c>
      <c r="N13" s="50">
        <v>0</v>
      </c>
      <c r="O13" s="15">
        <f t="shared" si="0"/>
        <v>84</v>
      </c>
      <c r="P13" s="15">
        <f t="shared" si="1"/>
        <v>234</v>
      </c>
      <c r="R13" s="1" t="s">
        <v>9</v>
      </c>
      <c r="S13" s="17">
        <f t="shared" ref="S13:AF13" si="5">SUM(C22:C25)</f>
        <v>62</v>
      </c>
      <c r="T13" s="17">
        <f t="shared" si="5"/>
        <v>25</v>
      </c>
      <c r="U13" s="17">
        <f t="shared" si="5"/>
        <v>10</v>
      </c>
      <c r="V13" s="17">
        <f t="shared" si="5"/>
        <v>149</v>
      </c>
      <c r="W13" s="17">
        <f t="shared" si="5"/>
        <v>0</v>
      </c>
      <c r="X13" s="17">
        <f t="shared" si="5"/>
        <v>0</v>
      </c>
      <c r="Y13" s="17">
        <f t="shared" si="5"/>
        <v>9</v>
      </c>
      <c r="Z13" s="17">
        <f t="shared" si="5"/>
        <v>6</v>
      </c>
      <c r="AA13" s="17">
        <f t="shared" si="5"/>
        <v>3</v>
      </c>
      <c r="AB13" s="17">
        <f t="shared" si="5"/>
        <v>0</v>
      </c>
      <c r="AC13" s="17">
        <f t="shared" si="5"/>
        <v>653</v>
      </c>
      <c r="AD13" s="17">
        <f t="shared" si="5"/>
        <v>0</v>
      </c>
      <c r="AE13" s="31">
        <f t="shared" si="5"/>
        <v>264</v>
      </c>
      <c r="AF13" s="31">
        <f t="shared" si="5"/>
        <v>917</v>
      </c>
    </row>
    <row r="14" spans="2:32" ht="23.1" customHeight="1" x14ac:dyDescent="0.25">
      <c r="B14" s="23" t="s">
        <v>41</v>
      </c>
      <c r="C14" s="50">
        <v>10</v>
      </c>
      <c r="D14" s="50">
        <v>6</v>
      </c>
      <c r="E14" s="50">
        <v>4</v>
      </c>
      <c r="F14" s="50">
        <v>73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210</v>
      </c>
      <c r="N14" s="50">
        <v>0</v>
      </c>
      <c r="O14" s="15">
        <f t="shared" si="0"/>
        <v>94</v>
      </c>
      <c r="P14" s="15">
        <f t="shared" si="1"/>
        <v>304</v>
      </c>
      <c r="R14" s="1" t="s">
        <v>10</v>
      </c>
      <c r="S14" s="17">
        <f t="shared" ref="S14:AF14" si="6">SUM(C26:C29)</f>
        <v>69</v>
      </c>
      <c r="T14" s="17">
        <f t="shared" si="6"/>
        <v>36</v>
      </c>
      <c r="U14" s="17">
        <f t="shared" si="6"/>
        <v>6</v>
      </c>
      <c r="V14" s="17">
        <f t="shared" si="6"/>
        <v>128</v>
      </c>
      <c r="W14" s="17">
        <f t="shared" si="6"/>
        <v>0</v>
      </c>
      <c r="X14" s="17">
        <f t="shared" si="6"/>
        <v>0</v>
      </c>
      <c r="Y14" s="17">
        <f t="shared" si="6"/>
        <v>13</v>
      </c>
      <c r="Z14" s="17">
        <f t="shared" si="6"/>
        <v>2</v>
      </c>
      <c r="AA14" s="17">
        <f t="shared" si="6"/>
        <v>1</v>
      </c>
      <c r="AB14" s="17">
        <f t="shared" si="6"/>
        <v>0</v>
      </c>
      <c r="AC14" s="17">
        <f t="shared" si="6"/>
        <v>591</v>
      </c>
      <c r="AD14" s="17">
        <f t="shared" si="6"/>
        <v>0</v>
      </c>
      <c r="AE14" s="31">
        <f t="shared" si="6"/>
        <v>255</v>
      </c>
      <c r="AF14" s="31">
        <f t="shared" si="6"/>
        <v>846</v>
      </c>
    </row>
    <row r="15" spans="2:32" ht="23.1" customHeight="1" x14ac:dyDescent="0.25">
      <c r="B15" s="23" t="s">
        <v>42</v>
      </c>
      <c r="C15" s="50">
        <v>15</v>
      </c>
      <c r="D15" s="50">
        <v>3</v>
      </c>
      <c r="E15" s="50">
        <v>1</v>
      </c>
      <c r="F15" s="50">
        <v>58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205</v>
      </c>
      <c r="N15" s="50">
        <v>0</v>
      </c>
      <c r="O15" s="15">
        <f t="shared" si="0"/>
        <v>79</v>
      </c>
      <c r="P15" s="15">
        <f t="shared" si="1"/>
        <v>284</v>
      </c>
      <c r="R15" s="1" t="s">
        <v>11</v>
      </c>
      <c r="S15" s="17">
        <f t="shared" ref="S15:AF15" si="7">SUM(C30:C33)</f>
        <v>41</v>
      </c>
      <c r="T15" s="17">
        <f t="shared" si="7"/>
        <v>28</v>
      </c>
      <c r="U15" s="17">
        <f t="shared" si="7"/>
        <v>10</v>
      </c>
      <c r="V15" s="17">
        <f t="shared" si="7"/>
        <v>82</v>
      </c>
      <c r="W15" s="17">
        <f t="shared" si="7"/>
        <v>0</v>
      </c>
      <c r="X15" s="17">
        <f t="shared" si="7"/>
        <v>0</v>
      </c>
      <c r="Y15" s="17">
        <f t="shared" si="7"/>
        <v>9</v>
      </c>
      <c r="Z15" s="17">
        <f t="shared" si="7"/>
        <v>2</v>
      </c>
      <c r="AA15" s="17">
        <f t="shared" si="7"/>
        <v>2</v>
      </c>
      <c r="AB15" s="17">
        <f t="shared" si="7"/>
        <v>0</v>
      </c>
      <c r="AC15" s="17">
        <f t="shared" si="7"/>
        <v>425</v>
      </c>
      <c r="AD15" s="17">
        <f t="shared" si="7"/>
        <v>0</v>
      </c>
      <c r="AE15" s="31">
        <f t="shared" si="7"/>
        <v>174</v>
      </c>
      <c r="AF15" s="31">
        <f t="shared" si="7"/>
        <v>599</v>
      </c>
    </row>
    <row r="16" spans="2:32" ht="23.1" customHeight="1" x14ac:dyDescent="0.25">
      <c r="B16" s="23" t="s">
        <v>43</v>
      </c>
      <c r="C16" s="50">
        <v>12</v>
      </c>
      <c r="D16" s="50">
        <v>6</v>
      </c>
      <c r="E16" s="50">
        <v>1</v>
      </c>
      <c r="F16" s="50">
        <v>69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215</v>
      </c>
      <c r="N16" s="50">
        <v>0</v>
      </c>
      <c r="O16" s="15">
        <f t="shared" si="0"/>
        <v>89</v>
      </c>
      <c r="P16" s="15">
        <f t="shared" si="1"/>
        <v>304</v>
      </c>
      <c r="R16" s="1" t="s">
        <v>12</v>
      </c>
      <c r="S16" s="17">
        <f t="shared" ref="S16:AF16" si="8">SUM(C34:C37)</f>
        <v>51</v>
      </c>
      <c r="T16" s="17">
        <f t="shared" si="8"/>
        <v>22</v>
      </c>
      <c r="U16" s="17">
        <f t="shared" si="8"/>
        <v>14</v>
      </c>
      <c r="V16" s="17">
        <f t="shared" si="8"/>
        <v>95</v>
      </c>
      <c r="W16" s="17">
        <f t="shared" si="8"/>
        <v>1</v>
      </c>
      <c r="X16" s="17">
        <f t="shared" si="8"/>
        <v>0</v>
      </c>
      <c r="Y16" s="17">
        <f t="shared" si="8"/>
        <v>6</v>
      </c>
      <c r="Z16" s="17">
        <f t="shared" si="8"/>
        <v>1</v>
      </c>
      <c r="AA16" s="17">
        <f t="shared" si="8"/>
        <v>1</v>
      </c>
      <c r="AB16" s="17">
        <f t="shared" si="8"/>
        <v>1</v>
      </c>
      <c r="AC16" s="17">
        <f t="shared" si="8"/>
        <v>334</v>
      </c>
      <c r="AD16" s="17">
        <f t="shared" si="8"/>
        <v>0</v>
      </c>
      <c r="AE16" s="31">
        <f t="shared" si="8"/>
        <v>192</v>
      </c>
      <c r="AF16" s="31">
        <f t="shared" si="8"/>
        <v>526</v>
      </c>
    </row>
    <row r="17" spans="2:32" ht="23.1" customHeight="1" x14ac:dyDescent="0.25">
      <c r="B17" s="23" t="s">
        <v>44</v>
      </c>
      <c r="C17" s="50">
        <v>10</v>
      </c>
      <c r="D17" s="50">
        <v>4</v>
      </c>
      <c r="E17" s="50">
        <v>2</v>
      </c>
      <c r="F17" s="50">
        <v>59</v>
      </c>
      <c r="G17" s="50">
        <v>1</v>
      </c>
      <c r="H17" s="50">
        <v>0</v>
      </c>
      <c r="I17" s="50">
        <v>3</v>
      </c>
      <c r="J17" s="50">
        <v>2</v>
      </c>
      <c r="K17" s="50">
        <v>0</v>
      </c>
      <c r="L17" s="50">
        <v>0</v>
      </c>
      <c r="M17" s="50">
        <v>185</v>
      </c>
      <c r="N17" s="50">
        <v>0</v>
      </c>
      <c r="O17" s="15">
        <f t="shared" si="0"/>
        <v>81</v>
      </c>
      <c r="P17" s="15">
        <f t="shared" si="1"/>
        <v>266</v>
      </c>
      <c r="R17" s="1" t="s">
        <v>13</v>
      </c>
      <c r="S17" s="17">
        <f t="shared" ref="S17:AF17" si="9">SUM(C38:C41)</f>
        <v>63</v>
      </c>
      <c r="T17" s="17">
        <f t="shared" si="9"/>
        <v>30</v>
      </c>
      <c r="U17" s="17">
        <f t="shared" si="9"/>
        <v>7</v>
      </c>
      <c r="V17" s="17">
        <f t="shared" si="9"/>
        <v>61</v>
      </c>
      <c r="W17" s="17">
        <f t="shared" si="9"/>
        <v>0</v>
      </c>
      <c r="X17" s="17">
        <f t="shared" si="9"/>
        <v>0</v>
      </c>
      <c r="Y17" s="17">
        <f t="shared" si="9"/>
        <v>26</v>
      </c>
      <c r="Z17" s="17">
        <f t="shared" si="9"/>
        <v>0</v>
      </c>
      <c r="AA17" s="17">
        <f t="shared" si="9"/>
        <v>1</v>
      </c>
      <c r="AB17" s="17">
        <f t="shared" si="9"/>
        <v>0</v>
      </c>
      <c r="AC17" s="17">
        <f t="shared" si="9"/>
        <v>342</v>
      </c>
      <c r="AD17" s="17">
        <f t="shared" si="9"/>
        <v>0</v>
      </c>
      <c r="AE17" s="31">
        <f t="shared" si="9"/>
        <v>188</v>
      </c>
      <c r="AF17" s="31">
        <f t="shared" si="9"/>
        <v>530</v>
      </c>
    </row>
    <row r="18" spans="2:32" ht="23.1" customHeight="1" x14ac:dyDescent="0.25">
      <c r="B18" s="23" t="s">
        <v>45</v>
      </c>
      <c r="C18" s="50">
        <v>12</v>
      </c>
      <c r="D18" s="50">
        <v>5</v>
      </c>
      <c r="E18" s="50">
        <v>1</v>
      </c>
      <c r="F18" s="50">
        <v>48</v>
      </c>
      <c r="G18" s="50">
        <v>0</v>
      </c>
      <c r="H18" s="50">
        <v>0</v>
      </c>
      <c r="I18" s="50">
        <v>4</v>
      </c>
      <c r="J18" s="50">
        <v>2</v>
      </c>
      <c r="K18" s="50">
        <v>0</v>
      </c>
      <c r="L18" s="50">
        <v>0</v>
      </c>
      <c r="M18" s="50">
        <v>185</v>
      </c>
      <c r="N18" s="50">
        <v>0</v>
      </c>
      <c r="O18" s="15">
        <f t="shared" si="0"/>
        <v>72</v>
      </c>
      <c r="P18" s="15">
        <f t="shared" si="1"/>
        <v>257</v>
      </c>
      <c r="R18" s="1" t="s">
        <v>14</v>
      </c>
      <c r="S18" s="17">
        <f t="shared" ref="S18:AF18" si="10">SUM(C42:C45)</f>
        <v>75</v>
      </c>
      <c r="T18" s="17">
        <f t="shared" si="10"/>
        <v>33</v>
      </c>
      <c r="U18" s="17">
        <f t="shared" si="10"/>
        <v>10</v>
      </c>
      <c r="V18" s="17">
        <f t="shared" si="10"/>
        <v>93</v>
      </c>
      <c r="W18" s="17">
        <f t="shared" si="10"/>
        <v>0</v>
      </c>
      <c r="X18" s="17">
        <f t="shared" si="10"/>
        <v>0</v>
      </c>
      <c r="Y18" s="17">
        <f t="shared" si="10"/>
        <v>16</v>
      </c>
      <c r="Z18" s="17">
        <f t="shared" si="10"/>
        <v>2</v>
      </c>
      <c r="AA18" s="17">
        <f t="shared" si="10"/>
        <v>1</v>
      </c>
      <c r="AB18" s="17">
        <f t="shared" si="10"/>
        <v>0</v>
      </c>
      <c r="AC18" s="17">
        <f t="shared" si="10"/>
        <v>389</v>
      </c>
      <c r="AD18" s="17">
        <f t="shared" si="10"/>
        <v>0</v>
      </c>
      <c r="AE18" s="31">
        <f t="shared" si="10"/>
        <v>230</v>
      </c>
      <c r="AF18" s="31">
        <f t="shared" si="10"/>
        <v>619</v>
      </c>
    </row>
    <row r="19" spans="2:32" ht="23.1" customHeight="1" x14ac:dyDescent="0.25">
      <c r="B19" s="23" t="s">
        <v>46</v>
      </c>
      <c r="C19" s="50">
        <v>17</v>
      </c>
      <c r="D19" s="50">
        <v>9</v>
      </c>
      <c r="E19" s="50">
        <v>0</v>
      </c>
      <c r="F19" s="50">
        <v>64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160</v>
      </c>
      <c r="N19" s="50">
        <v>0</v>
      </c>
      <c r="O19" s="15">
        <f t="shared" si="0"/>
        <v>91</v>
      </c>
      <c r="P19" s="15">
        <f t="shared" si="1"/>
        <v>251</v>
      </c>
      <c r="R19" s="1" t="s">
        <v>15</v>
      </c>
      <c r="S19" s="17">
        <f t="shared" ref="S19:AF19" si="11">SUM(C46:C49)</f>
        <v>89</v>
      </c>
      <c r="T19" s="17">
        <f t="shared" si="11"/>
        <v>45</v>
      </c>
      <c r="U19" s="17">
        <f t="shared" si="11"/>
        <v>13</v>
      </c>
      <c r="V19" s="17">
        <f t="shared" si="11"/>
        <v>90</v>
      </c>
      <c r="W19" s="17">
        <f t="shared" si="11"/>
        <v>1</v>
      </c>
      <c r="X19" s="17">
        <f t="shared" si="11"/>
        <v>0</v>
      </c>
      <c r="Y19" s="17">
        <f t="shared" si="11"/>
        <v>20</v>
      </c>
      <c r="Z19" s="17">
        <f t="shared" si="11"/>
        <v>0</v>
      </c>
      <c r="AA19" s="17">
        <f t="shared" si="11"/>
        <v>1</v>
      </c>
      <c r="AB19" s="17">
        <f t="shared" si="11"/>
        <v>0</v>
      </c>
      <c r="AC19" s="17">
        <f t="shared" si="11"/>
        <v>435</v>
      </c>
      <c r="AD19" s="17">
        <f t="shared" si="11"/>
        <v>0</v>
      </c>
      <c r="AE19" s="31">
        <f t="shared" si="11"/>
        <v>259</v>
      </c>
      <c r="AF19" s="31">
        <f t="shared" si="11"/>
        <v>694</v>
      </c>
    </row>
    <row r="20" spans="2:32" ht="23.1" customHeight="1" x14ac:dyDescent="0.25">
      <c r="B20" s="23" t="s">
        <v>47</v>
      </c>
      <c r="C20" s="50">
        <v>8</v>
      </c>
      <c r="D20" s="50">
        <v>1</v>
      </c>
      <c r="E20" s="50">
        <v>1</v>
      </c>
      <c r="F20" s="50">
        <v>42</v>
      </c>
      <c r="G20" s="50">
        <v>0</v>
      </c>
      <c r="H20" s="50">
        <v>0</v>
      </c>
      <c r="I20" s="50">
        <v>1</v>
      </c>
      <c r="J20" s="50">
        <v>1</v>
      </c>
      <c r="K20" s="50">
        <v>1</v>
      </c>
      <c r="L20" s="50">
        <v>0</v>
      </c>
      <c r="M20" s="50">
        <v>130</v>
      </c>
      <c r="N20" s="50">
        <v>0</v>
      </c>
      <c r="O20" s="15">
        <f t="shared" si="0"/>
        <v>55</v>
      </c>
      <c r="P20" s="15">
        <f t="shared" si="1"/>
        <v>185</v>
      </c>
      <c r="R20" s="1" t="s">
        <v>16</v>
      </c>
      <c r="S20" s="17">
        <f t="shared" ref="S20:AF20" si="12">SUM(C50:C53)</f>
        <v>162</v>
      </c>
      <c r="T20" s="17">
        <f t="shared" si="12"/>
        <v>83</v>
      </c>
      <c r="U20" s="17">
        <f t="shared" si="12"/>
        <v>17</v>
      </c>
      <c r="V20" s="17">
        <f t="shared" si="12"/>
        <v>137</v>
      </c>
      <c r="W20" s="17">
        <f t="shared" si="12"/>
        <v>1</v>
      </c>
      <c r="X20" s="17">
        <f t="shared" si="12"/>
        <v>1</v>
      </c>
      <c r="Y20" s="17">
        <f t="shared" si="12"/>
        <v>13</v>
      </c>
      <c r="Z20" s="17">
        <f t="shared" si="12"/>
        <v>4</v>
      </c>
      <c r="AA20" s="17">
        <f t="shared" si="12"/>
        <v>1</v>
      </c>
      <c r="AB20" s="17">
        <f t="shared" si="12"/>
        <v>0</v>
      </c>
      <c r="AC20" s="17">
        <f t="shared" si="12"/>
        <v>429</v>
      </c>
      <c r="AD20" s="17">
        <f t="shared" si="12"/>
        <v>0</v>
      </c>
      <c r="AE20" s="31">
        <f t="shared" si="12"/>
        <v>419</v>
      </c>
      <c r="AF20" s="31">
        <f t="shared" si="12"/>
        <v>848</v>
      </c>
    </row>
    <row r="21" spans="2:32" ht="23.1" customHeight="1" x14ac:dyDescent="0.25">
      <c r="B21" s="23" t="s">
        <v>48</v>
      </c>
      <c r="C21" s="50">
        <v>5</v>
      </c>
      <c r="D21" s="50">
        <v>7</v>
      </c>
      <c r="E21" s="50">
        <v>3</v>
      </c>
      <c r="F21" s="50">
        <v>43</v>
      </c>
      <c r="G21" s="50">
        <v>0</v>
      </c>
      <c r="H21" s="50">
        <v>0</v>
      </c>
      <c r="I21" s="50">
        <v>4</v>
      </c>
      <c r="J21" s="50">
        <v>1</v>
      </c>
      <c r="K21" s="50">
        <v>0</v>
      </c>
      <c r="L21" s="50">
        <v>0</v>
      </c>
      <c r="M21" s="50">
        <v>150</v>
      </c>
      <c r="N21" s="50">
        <v>0</v>
      </c>
      <c r="O21" s="15">
        <f t="shared" si="0"/>
        <v>63</v>
      </c>
      <c r="P21" s="15">
        <f t="shared" si="1"/>
        <v>213</v>
      </c>
      <c r="R21" s="36" t="s">
        <v>20</v>
      </c>
      <c r="S21" s="34">
        <f t="shared" ref="S21:AF21" si="13">SUM(C54:C57)</f>
        <v>123</v>
      </c>
      <c r="T21" s="17">
        <f t="shared" si="13"/>
        <v>80</v>
      </c>
      <c r="U21" s="17">
        <f t="shared" si="13"/>
        <v>9</v>
      </c>
      <c r="V21" s="17">
        <f t="shared" si="13"/>
        <v>134</v>
      </c>
      <c r="W21" s="17">
        <f t="shared" si="13"/>
        <v>1</v>
      </c>
      <c r="X21" s="17">
        <f t="shared" si="13"/>
        <v>0</v>
      </c>
      <c r="Y21" s="17">
        <f t="shared" si="13"/>
        <v>13</v>
      </c>
      <c r="Z21" s="17">
        <f t="shared" si="13"/>
        <v>1</v>
      </c>
      <c r="AA21" s="17">
        <f t="shared" si="13"/>
        <v>1</v>
      </c>
      <c r="AB21" s="17">
        <f t="shared" si="13"/>
        <v>0</v>
      </c>
      <c r="AC21" s="17">
        <f t="shared" si="13"/>
        <v>485</v>
      </c>
      <c r="AD21" s="17">
        <f t="shared" si="13"/>
        <v>0</v>
      </c>
      <c r="AE21" s="31">
        <f t="shared" si="13"/>
        <v>362</v>
      </c>
      <c r="AF21" s="31">
        <f t="shared" si="13"/>
        <v>847</v>
      </c>
    </row>
    <row r="22" spans="2:32" ht="23.1" customHeight="1" x14ac:dyDescent="0.25">
      <c r="B22" s="23" t="s">
        <v>49</v>
      </c>
      <c r="C22" s="50">
        <v>5</v>
      </c>
      <c r="D22" s="50">
        <v>2</v>
      </c>
      <c r="E22" s="50">
        <v>2</v>
      </c>
      <c r="F22" s="50">
        <v>33</v>
      </c>
      <c r="G22" s="50">
        <v>0</v>
      </c>
      <c r="H22" s="50">
        <v>0</v>
      </c>
      <c r="I22" s="50">
        <v>0</v>
      </c>
      <c r="J22" s="50">
        <v>3</v>
      </c>
      <c r="K22" s="50">
        <v>1</v>
      </c>
      <c r="L22" s="50">
        <v>0</v>
      </c>
      <c r="M22" s="50">
        <v>150</v>
      </c>
      <c r="N22" s="50">
        <v>0</v>
      </c>
      <c r="O22" s="15">
        <f t="shared" si="0"/>
        <v>46</v>
      </c>
      <c r="P22" s="15">
        <f t="shared" si="1"/>
        <v>196</v>
      </c>
      <c r="R22" s="38" t="s">
        <v>90</v>
      </c>
      <c r="S22" s="39">
        <f>MAX(S10:S12)</f>
        <v>56</v>
      </c>
      <c r="T22" s="39">
        <f t="shared" ref="T22:AF22" si="14">MAX(T10:T12)</f>
        <v>22</v>
      </c>
      <c r="U22" s="39">
        <f t="shared" si="14"/>
        <v>8</v>
      </c>
      <c r="V22" s="39">
        <f t="shared" si="14"/>
        <v>272</v>
      </c>
      <c r="W22" s="39">
        <f t="shared" si="14"/>
        <v>2</v>
      </c>
      <c r="X22" s="39">
        <f t="shared" si="14"/>
        <v>1</v>
      </c>
      <c r="Y22" s="39">
        <f t="shared" si="14"/>
        <v>20</v>
      </c>
      <c r="Z22" s="39">
        <f t="shared" si="14"/>
        <v>4</v>
      </c>
      <c r="AA22" s="39">
        <f t="shared" si="14"/>
        <v>1</v>
      </c>
      <c r="AB22" s="39">
        <f t="shared" si="14"/>
        <v>0</v>
      </c>
      <c r="AC22" s="39">
        <f t="shared" si="14"/>
        <v>815</v>
      </c>
      <c r="AD22" s="39">
        <f t="shared" si="14"/>
        <v>0</v>
      </c>
      <c r="AE22" s="40">
        <f t="shared" si="14"/>
        <v>371</v>
      </c>
      <c r="AF22" s="40">
        <f t="shared" si="14"/>
        <v>1158</v>
      </c>
    </row>
    <row r="23" spans="2:32" ht="23.1" customHeight="1" x14ac:dyDescent="0.25">
      <c r="B23" s="23" t="s">
        <v>50</v>
      </c>
      <c r="C23" s="50">
        <v>19</v>
      </c>
      <c r="D23" s="50">
        <v>8</v>
      </c>
      <c r="E23" s="50">
        <v>2</v>
      </c>
      <c r="F23" s="50">
        <v>43</v>
      </c>
      <c r="G23" s="50">
        <v>0</v>
      </c>
      <c r="H23" s="50">
        <v>0</v>
      </c>
      <c r="I23" s="50">
        <v>3</v>
      </c>
      <c r="J23" s="50">
        <v>2</v>
      </c>
      <c r="K23" s="50">
        <v>2</v>
      </c>
      <c r="L23" s="50">
        <v>0</v>
      </c>
      <c r="M23" s="50">
        <v>170</v>
      </c>
      <c r="N23" s="50">
        <v>0</v>
      </c>
      <c r="O23" s="15">
        <f t="shared" si="0"/>
        <v>79</v>
      </c>
      <c r="P23" s="15">
        <f t="shared" si="1"/>
        <v>249</v>
      </c>
      <c r="R23" s="38" t="s">
        <v>91</v>
      </c>
      <c r="S23" s="39">
        <f>MAX(S13:S18)</f>
        <v>75</v>
      </c>
      <c r="T23" s="39">
        <f t="shared" ref="T23:AF23" si="15">MAX(T13:T18)</f>
        <v>36</v>
      </c>
      <c r="U23" s="39">
        <f t="shared" si="15"/>
        <v>14</v>
      </c>
      <c r="V23" s="39">
        <f t="shared" si="15"/>
        <v>149</v>
      </c>
      <c r="W23" s="39">
        <f t="shared" si="15"/>
        <v>1</v>
      </c>
      <c r="X23" s="39">
        <f t="shared" si="15"/>
        <v>0</v>
      </c>
      <c r="Y23" s="39">
        <f t="shared" si="15"/>
        <v>26</v>
      </c>
      <c r="Z23" s="39">
        <f t="shared" si="15"/>
        <v>6</v>
      </c>
      <c r="AA23" s="39">
        <f t="shared" si="15"/>
        <v>3</v>
      </c>
      <c r="AB23" s="39">
        <f t="shared" si="15"/>
        <v>1</v>
      </c>
      <c r="AC23" s="39">
        <f t="shared" si="15"/>
        <v>653</v>
      </c>
      <c r="AD23" s="39">
        <f t="shared" si="15"/>
        <v>0</v>
      </c>
      <c r="AE23" s="40">
        <f t="shared" si="15"/>
        <v>264</v>
      </c>
      <c r="AF23" s="40">
        <f t="shared" si="15"/>
        <v>917</v>
      </c>
    </row>
    <row r="24" spans="2:32" ht="23.1" customHeight="1" x14ac:dyDescent="0.25">
      <c r="B24" s="23" t="s">
        <v>51</v>
      </c>
      <c r="C24" s="50">
        <v>16</v>
      </c>
      <c r="D24" s="50">
        <v>6</v>
      </c>
      <c r="E24" s="50">
        <v>3</v>
      </c>
      <c r="F24" s="50">
        <v>35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175</v>
      </c>
      <c r="N24" s="50">
        <v>0</v>
      </c>
      <c r="O24" s="15">
        <f t="shared" si="0"/>
        <v>62</v>
      </c>
      <c r="P24" s="15">
        <f t="shared" si="1"/>
        <v>237</v>
      </c>
      <c r="R24" s="38" t="s">
        <v>92</v>
      </c>
      <c r="S24" s="39">
        <f>MAX(S19:S21)</f>
        <v>162</v>
      </c>
      <c r="T24" s="39">
        <f t="shared" ref="T24:AF24" si="16">MAX(T19:T21)</f>
        <v>83</v>
      </c>
      <c r="U24" s="39">
        <f t="shared" si="16"/>
        <v>17</v>
      </c>
      <c r="V24" s="39">
        <f t="shared" si="16"/>
        <v>137</v>
      </c>
      <c r="W24" s="39">
        <f t="shared" si="16"/>
        <v>1</v>
      </c>
      <c r="X24" s="39">
        <f t="shared" si="16"/>
        <v>1</v>
      </c>
      <c r="Y24" s="39">
        <f t="shared" si="16"/>
        <v>20</v>
      </c>
      <c r="Z24" s="39">
        <f t="shared" si="16"/>
        <v>4</v>
      </c>
      <c r="AA24" s="39">
        <f t="shared" si="16"/>
        <v>1</v>
      </c>
      <c r="AB24" s="39">
        <f t="shared" si="16"/>
        <v>0</v>
      </c>
      <c r="AC24" s="39">
        <f t="shared" si="16"/>
        <v>485</v>
      </c>
      <c r="AD24" s="39">
        <f t="shared" si="16"/>
        <v>0</v>
      </c>
      <c r="AE24" s="40">
        <f t="shared" si="16"/>
        <v>419</v>
      </c>
      <c r="AF24" s="40">
        <f t="shared" si="16"/>
        <v>848</v>
      </c>
    </row>
    <row r="25" spans="2:32" ht="23.1" customHeight="1" x14ac:dyDescent="0.25">
      <c r="B25" s="23" t="s">
        <v>52</v>
      </c>
      <c r="C25" s="50">
        <v>22</v>
      </c>
      <c r="D25" s="50">
        <v>9</v>
      </c>
      <c r="E25" s="50">
        <v>3</v>
      </c>
      <c r="F25" s="50">
        <v>38</v>
      </c>
      <c r="G25" s="50">
        <v>0</v>
      </c>
      <c r="H25" s="50">
        <v>0</v>
      </c>
      <c r="I25" s="50">
        <v>4</v>
      </c>
      <c r="J25" s="50">
        <v>1</v>
      </c>
      <c r="K25" s="50">
        <v>0</v>
      </c>
      <c r="L25" s="50">
        <v>0</v>
      </c>
      <c r="M25" s="50">
        <v>158</v>
      </c>
      <c r="N25" s="50">
        <v>0</v>
      </c>
      <c r="O25" s="15">
        <f t="shared" si="0"/>
        <v>77</v>
      </c>
      <c r="P25" s="15">
        <f t="shared" si="1"/>
        <v>235</v>
      </c>
      <c r="R25" s="37" t="s">
        <v>85</v>
      </c>
      <c r="S25" s="35">
        <f t="shared" ref="S25:AF25" si="17">SUM(S10:S12)</f>
        <v>145</v>
      </c>
      <c r="T25" s="16">
        <f t="shared" si="17"/>
        <v>55</v>
      </c>
      <c r="U25" s="16">
        <f t="shared" si="17"/>
        <v>18</v>
      </c>
      <c r="V25" s="16">
        <f t="shared" si="17"/>
        <v>728</v>
      </c>
      <c r="W25" s="16">
        <f t="shared" si="17"/>
        <v>3</v>
      </c>
      <c r="X25" s="16">
        <f t="shared" si="17"/>
        <v>1</v>
      </c>
      <c r="Y25" s="16">
        <f t="shared" si="17"/>
        <v>37</v>
      </c>
      <c r="Z25" s="16">
        <f t="shared" si="17"/>
        <v>7</v>
      </c>
      <c r="AA25" s="16">
        <f t="shared" si="17"/>
        <v>1</v>
      </c>
      <c r="AB25" s="16">
        <f t="shared" si="17"/>
        <v>0</v>
      </c>
      <c r="AC25" s="16">
        <f t="shared" si="17"/>
        <v>2020</v>
      </c>
      <c r="AD25" s="16">
        <f t="shared" si="17"/>
        <v>0</v>
      </c>
      <c r="AE25" s="32">
        <f t="shared" si="17"/>
        <v>995</v>
      </c>
      <c r="AF25" s="32">
        <f t="shared" si="17"/>
        <v>3015</v>
      </c>
    </row>
    <row r="26" spans="2:32" ht="23.1" customHeight="1" x14ac:dyDescent="0.25">
      <c r="B26" s="23" t="s">
        <v>53</v>
      </c>
      <c r="C26" s="50">
        <v>21</v>
      </c>
      <c r="D26" s="50">
        <v>8</v>
      </c>
      <c r="E26" s="50">
        <v>0</v>
      </c>
      <c r="F26" s="50">
        <v>36</v>
      </c>
      <c r="G26" s="50">
        <v>0</v>
      </c>
      <c r="H26" s="50">
        <v>0</v>
      </c>
      <c r="I26" s="50">
        <v>3</v>
      </c>
      <c r="J26" s="50">
        <v>0</v>
      </c>
      <c r="K26" s="50">
        <v>1</v>
      </c>
      <c r="L26" s="50">
        <v>0</v>
      </c>
      <c r="M26" s="50">
        <v>150</v>
      </c>
      <c r="N26" s="50">
        <v>0</v>
      </c>
      <c r="O26" s="15">
        <f t="shared" si="0"/>
        <v>69</v>
      </c>
      <c r="P26" s="15">
        <f t="shared" si="1"/>
        <v>219</v>
      </c>
      <c r="R26" s="28" t="s">
        <v>86</v>
      </c>
      <c r="S26" s="16">
        <f t="shared" ref="S26:AF26" si="18">SUM(S13:S18)</f>
        <v>361</v>
      </c>
      <c r="T26" s="16">
        <f t="shared" si="18"/>
        <v>174</v>
      </c>
      <c r="U26" s="16">
        <f t="shared" si="18"/>
        <v>57</v>
      </c>
      <c r="V26" s="16">
        <f t="shared" si="18"/>
        <v>608</v>
      </c>
      <c r="W26" s="16">
        <f t="shared" si="18"/>
        <v>1</v>
      </c>
      <c r="X26" s="16">
        <f t="shared" si="18"/>
        <v>0</v>
      </c>
      <c r="Y26" s="16">
        <f t="shared" si="18"/>
        <v>79</v>
      </c>
      <c r="Z26" s="16">
        <f t="shared" si="18"/>
        <v>13</v>
      </c>
      <c r="AA26" s="16">
        <f t="shared" si="18"/>
        <v>9</v>
      </c>
      <c r="AB26" s="16">
        <f t="shared" si="18"/>
        <v>1</v>
      </c>
      <c r="AC26" s="16">
        <f t="shared" si="18"/>
        <v>2734</v>
      </c>
      <c r="AD26" s="16">
        <f t="shared" si="18"/>
        <v>0</v>
      </c>
      <c r="AE26" s="32">
        <f t="shared" si="18"/>
        <v>1303</v>
      </c>
      <c r="AF26" s="32">
        <f t="shared" si="18"/>
        <v>4037</v>
      </c>
    </row>
    <row r="27" spans="2:32" ht="23.1" customHeight="1" x14ac:dyDescent="0.25">
      <c r="B27" s="23" t="s">
        <v>54</v>
      </c>
      <c r="C27" s="50">
        <v>16</v>
      </c>
      <c r="D27" s="50">
        <v>13</v>
      </c>
      <c r="E27" s="50">
        <v>4</v>
      </c>
      <c r="F27" s="50">
        <v>35</v>
      </c>
      <c r="G27" s="50">
        <v>0</v>
      </c>
      <c r="H27" s="50">
        <v>0</v>
      </c>
      <c r="I27" s="50">
        <v>5</v>
      </c>
      <c r="J27" s="50">
        <v>0</v>
      </c>
      <c r="K27" s="50">
        <v>0</v>
      </c>
      <c r="L27" s="50">
        <v>0</v>
      </c>
      <c r="M27" s="50">
        <v>136</v>
      </c>
      <c r="N27" s="50">
        <v>0</v>
      </c>
      <c r="O27" s="15">
        <f t="shared" si="0"/>
        <v>73</v>
      </c>
      <c r="P27" s="15">
        <f t="shared" si="1"/>
        <v>209</v>
      </c>
      <c r="R27" s="29" t="s">
        <v>87</v>
      </c>
      <c r="S27" s="16">
        <f t="shared" ref="S27:AF27" si="19">SUM(S19:S21)</f>
        <v>374</v>
      </c>
      <c r="T27" s="16">
        <f t="shared" si="19"/>
        <v>208</v>
      </c>
      <c r="U27" s="16">
        <f t="shared" si="19"/>
        <v>39</v>
      </c>
      <c r="V27" s="16">
        <f t="shared" si="19"/>
        <v>361</v>
      </c>
      <c r="W27" s="16">
        <f t="shared" si="19"/>
        <v>3</v>
      </c>
      <c r="X27" s="16">
        <f t="shared" si="19"/>
        <v>1</v>
      </c>
      <c r="Y27" s="16">
        <f t="shared" si="19"/>
        <v>46</v>
      </c>
      <c r="Z27" s="16">
        <f t="shared" si="19"/>
        <v>5</v>
      </c>
      <c r="AA27" s="16">
        <f t="shared" si="19"/>
        <v>3</v>
      </c>
      <c r="AB27" s="16">
        <f t="shared" si="19"/>
        <v>0</v>
      </c>
      <c r="AC27" s="16">
        <f t="shared" si="19"/>
        <v>1349</v>
      </c>
      <c r="AD27" s="16">
        <f t="shared" si="19"/>
        <v>0</v>
      </c>
      <c r="AE27" s="32">
        <f t="shared" si="19"/>
        <v>1040</v>
      </c>
      <c r="AF27" s="32">
        <f t="shared" si="19"/>
        <v>2389</v>
      </c>
    </row>
    <row r="28" spans="2:32" ht="23.1" customHeight="1" x14ac:dyDescent="0.25">
      <c r="B28" s="23" t="s">
        <v>55</v>
      </c>
      <c r="C28" s="50">
        <v>8</v>
      </c>
      <c r="D28" s="50">
        <v>7</v>
      </c>
      <c r="E28" s="50">
        <v>0</v>
      </c>
      <c r="F28" s="50">
        <v>21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155</v>
      </c>
      <c r="N28" s="50">
        <v>0</v>
      </c>
      <c r="O28" s="15">
        <f t="shared" si="0"/>
        <v>38</v>
      </c>
      <c r="P28" s="15">
        <f t="shared" si="1"/>
        <v>193</v>
      </c>
      <c r="R28" s="5" t="s">
        <v>17</v>
      </c>
      <c r="S28" s="16">
        <f t="shared" ref="S28:AF28" si="20">SUM(S10:S21)</f>
        <v>880</v>
      </c>
      <c r="T28" s="16">
        <f t="shared" si="20"/>
        <v>437</v>
      </c>
      <c r="U28" s="16">
        <f t="shared" si="20"/>
        <v>114</v>
      </c>
      <c r="V28" s="16">
        <f t="shared" si="20"/>
        <v>1697</v>
      </c>
      <c r="W28" s="16">
        <f t="shared" si="20"/>
        <v>7</v>
      </c>
      <c r="X28" s="16">
        <f t="shared" si="20"/>
        <v>2</v>
      </c>
      <c r="Y28" s="16">
        <f t="shared" si="20"/>
        <v>162</v>
      </c>
      <c r="Z28" s="16">
        <f t="shared" si="20"/>
        <v>25</v>
      </c>
      <c r="AA28" s="16">
        <f t="shared" si="20"/>
        <v>13</v>
      </c>
      <c r="AB28" s="16">
        <f t="shared" si="20"/>
        <v>1</v>
      </c>
      <c r="AC28" s="16">
        <f t="shared" si="20"/>
        <v>6103</v>
      </c>
      <c r="AD28" s="16">
        <f t="shared" si="20"/>
        <v>0</v>
      </c>
      <c r="AE28" s="32">
        <f t="shared" si="20"/>
        <v>3338</v>
      </c>
      <c r="AF28" s="32">
        <f t="shared" si="20"/>
        <v>9441</v>
      </c>
    </row>
    <row r="29" spans="2:32" ht="23.1" customHeight="1" x14ac:dyDescent="0.25">
      <c r="B29" s="23" t="s">
        <v>56</v>
      </c>
      <c r="C29" s="50">
        <v>24</v>
      </c>
      <c r="D29" s="50">
        <v>8</v>
      </c>
      <c r="E29" s="50">
        <v>2</v>
      </c>
      <c r="F29" s="50">
        <v>36</v>
      </c>
      <c r="G29" s="50">
        <v>0</v>
      </c>
      <c r="H29" s="50">
        <v>0</v>
      </c>
      <c r="I29" s="50">
        <v>3</v>
      </c>
      <c r="J29" s="50">
        <v>2</v>
      </c>
      <c r="K29" s="50">
        <v>0</v>
      </c>
      <c r="L29" s="50">
        <v>0</v>
      </c>
      <c r="M29" s="50">
        <v>150</v>
      </c>
      <c r="N29" s="50">
        <v>0</v>
      </c>
      <c r="O29" s="15">
        <f t="shared" si="0"/>
        <v>75</v>
      </c>
      <c r="P29" s="15">
        <f t="shared" si="1"/>
        <v>225</v>
      </c>
      <c r="R29"/>
      <c r="S29" s="20"/>
      <c r="T29" s="19"/>
    </row>
    <row r="30" spans="2:32" ht="23.1" customHeight="1" x14ac:dyDescent="0.25">
      <c r="B30" s="23" t="s">
        <v>57</v>
      </c>
      <c r="C30" s="50">
        <v>10</v>
      </c>
      <c r="D30" s="50">
        <v>7</v>
      </c>
      <c r="E30" s="50">
        <v>3</v>
      </c>
      <c r="F30" s="50">
        <v>25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145</v>
      </c>
      <c r="N30" s="50">
        <v>0</v>
      </c>
      <c r="O30" s="15">
        <f t="shared" si="0"/>
        <v>48</v>
      </c>
      <c r="P30" s="15">
        <f t="shared" si="1"/>
        <v>193</v>
      </c>
    </row>
    <row r="31" spans="2:32" ht="23.1" customHeight="1" x14ac:dyDescent="0.25">
      <c r="B31" s="24" t="s">
        <v>58</v>
      </c>
      <c r="C31" s="50">
        <v>11</v>
      </c>
      <c r="D31" s="50">
        <v>8</v>
      </c>
      <c r="E31" s="50">
        <v>3</v>
      </c>
      <c r="F31" s="50">
        <v>17</v>
      </c>
      <c r="G31" s="50">
        <v>0</v>
      </c>
      <c r="H31" s="50">
        <v>0</v>
      </c>
      <c r="I31" s="50">
        <v>3</v>
      </c>
      <c r="J31" s="50">
        <v>2</v>
      </c>
      <c r="K31" s="50">
        <v>1</v>
      </c>
      <c r="L31" s="50">
        <v>0</v>
      </c>
      <c r="M31" s="50">
        <v>85</v>
      </c>
      <c r="N31" s="50">
        <v>0</v>
      </c>
      <c r="O31" s="15">
        <f t="shared" si="0"/>
        <v>45</v>
      </c>
      <c r="P31" s="15">
        <f t="shared" si="1"/>
        <v>130</v>
      </c>
    </row>
    <row r="32" spans="2:32" ht="23.1" customHeight="1" x14ac:dyDescent="0.25">
      <c r="B32" s="24" t="s">
        <v>59</v>
      </c>
      <c r="C32" s="50">
        <v>8</v>
      </c>
      <c r="D32" s="50">
        <v>6</v>
      </c>
      <c r="E32" s="50">
        <v>4</v>
      </c>
      <c r="F32" s="50">
        <v>18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95</v>
      </c>
      <c r="N32" s="50">
        <v>0</v>
      </c>
      <c r="O32" s="15">
        <f t="shared" si="0"/>
        <v>38</v>
      </c>
      <c r="P32" s="15">
        <f t="shared" si="1"/>
        <v>133</v>
      </c>
    </row>
    <row r="33" spans="2:20" ht="23.1" customHeight="1" x14ac:dyDescent="0.25">
      <c r="B33" s="23" t="s">
        <v>60</v>
      </c>
      <c r="C33" s="50">
        <v>12</v>
      </c>
      <c r="D33" s="50">
        <v>7</v>
      </c>
      <c r="E33" s="50">
        <v>0</v>
      </c>
      <c r="F33" s="50">
        <v>22</v>
      </c>
      <c r="G33" s="50">
        <v>0</v>
      </c>
      <c r="H33" s="50">
        <v>0</v>
      </c>
      <c r="I33" s="50">
        <v>1</v>
      </c>
      <c r="J33" s="50">
        <v>0</v>
      </c>
      <c r="K33" s="50">
        <v>1</v>
      </c>
      <c r="L33" s="50">
        <v>0</v>
      </c>
      <c r="M33" s="50">
        <v>100</v>
      </c>
      <c r="N33" s="50">
        <v>0</v>
      </c>
      <c r="O33" s="15">
        <f t="shared" si="0"/>
        <v>43</v>
      </c>
      <c r="P33" s="15">
        <f t="shared" si="1"/>
        <v>143</v>
      </c>
    </row>
    <row r="34" spans="2:20" ht="23.1" customHeight="1" x14ac:dyDescent="0.25">
      <c r="B34" s="24" t="s">
        <v>61</v>
      </c>
      <c r="C34" s="50">
        <v>13</v>
      </c>
      <c r="D34" s="50">
        <v>4</v>
      </c>
      <c r="E34" s="50">
        <v>2</v>
      </c>
      <c r="F34" s="50">
        <v>38</v>
      </c>
      <c r="G34" s="50">
        <v>1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85</v>
      </c>
      <c r="N34" s="50">
        <v>0</v>
      </c>
      <c r="O34" s="15">
        <f t="shared" si="0"/>
        <v>60</v>
      </c>
      <c r="P34" s="15">
        <f t="shared" si="1"/>
        <v>145</v>
      </c>
    </row>
    <row r="35" spans="2:20" ht="23.1" customHeight="1" x14ac:dyDescent="0.25">
      <c r="B35" s="24" t="s">
        <v>62</v>
      </c>
      <c r="C35" s="50">
        <v>14</v>
      </c>
      <c r="D35" s="50">
        <v>6</v>
      </c>
      <c r="E35" s="50">
        <v>6</v>
      </c>
      <c r="F35" s="50">
        <v>28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1</v>
      </c>
      <c r="M35" s="50">
        <v>85</v>
      </c>
      <c r="N35" s="50">
        <v>0</v>
      </c>
      <c r="O35" s="15">
        <f t="shared" si="0"/>
        <v>56</v>
      </c>
      <c r="P35" s="15">
        <f t="shared" si="1"/>
        <v>141</v>
      </c>
    </row>
    <row r="36" spans="2:20" ht="23.1" customHeight="1" x14ac:dyDescent="0.25">
      <c r="B36" s="24" t="s">
        <v>63</v>
      </c>
      <c r="C36" s="50">
        <v>13</v>
      </c>
      <c r="D36" s="50">
        <v>5</v>
      </c>
      <c r="E36" s="50">
        <v>5</v>
      </c>
      <c r="F36" s="50">
        <v>21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70</v>
      </c>
      <c r="N36" s="50">
        <v>0</v>
      </c>
      <c r="O36" s="15">
        <f t="shared" si="0"/>
        <v>46</v>
      </c>
      <c r="P36" s="15">
        <f t="shared" si="1"/>
        <v>116</v>
      </c>
    </row>
    <row r="37" spans="2:20" ht="23.1" customHeight="1" x14ac:dyDescent="0.25">
      <c r="B37" s="23" t="s">
        <v>64</v>
      </c>
      <c r="C37" s="50">
        <v>11</v>
      </c>
      <c r="D37" s="50">
        <v>7</v>
      </c>
      <c r="E37" s="50">
        <v>1</v>
      </c>
      <c r="F37" s="50">
        <v>8</v>
      </c>
      <c r="G37" s="50">
        <v>0</v>
      </c>
      <c r="H37" s="50">
        <v>0</v>
      </c>
      <c r="I37" s="50">
        <v>2</v>
      </c>
      <c r="J37" s="50">
        <v>0</v>
      </c>
      <c r="K37" s="50">
        <v>1</v>
      </c>
      <c r="L37" s="50">
        <v>0</v>
      </c>
      <c r="M37" s="50">
        <v>94</v>
      </c>
      <c r="N37" s="50">
        <v>0</v>
      </c>
      <c r="O37" s="15">
        <f t="shared" si="0"/>
        <v>30</v>
      </c>
      <c r="P37" s="15">
        <f t="shared" si="1"/>
        <v>124</v>
      </c>
    </row>
    <row r="38" spans="2:20" ht="23.1" customHeight="1" x14ac:dyDescent="0.25">
      <c r="B38" s="24" t="s">
        <v>65</v>
      </c>
      <c r="C38" s="50">
        <v>16</v>
      </c>
      <c r="D38" s="50">
        <v>8</v>
      </c>
      <c r="E38" s="50">
        <v>3</v>
      </c>
      <c r="F38" s="50">
        <v>2</v>
      </c>
      <c r="G38" s="50">
        <v>0</v>
      </c>
      <c r="H38" s="50">
        <v>0</v>
      </c>
      <c r="I38" s="50">
        <v>10</v>
      </c>
      <c r="J38" s="50">
        <v>0</v>
      </c>
      <c r="K38" s="50">
        <v>0</v>
      </c>
      <c r="L38" s="50">
        <v>0</v>
      </c>
      <c r="M38" s="50">
        <v>103</v>
      </c>
      <c r="N38" s="50">
        <v>0</v>
      </c>
      <c r="O38" s="15">
        <f t="shared" si="0"/>
        <v>39</v>
      </c>
      <c r="P38" s="15">
        <f t="shared" si="1"/>
        <v>142</v>
      </c>
    </row>
    <row r="39" spans="2:20" ht="23.1" customHeight="1" x14ac:dyDescent="0.25">
      <c r="B39" s="24" t="s">
        <v>66</v>
      </c>
      <c r="C39" s="50">
        <v>15</v>
      </c>
      <c r="D39" s="50">
        <v>5</v>
      </c>
      <c r="E39" s="50">
        <v>1</v>
      </c>
      <c r="F39" s="50">
        <v>24</v>
      </c>
      <c r="G39" s="50">
        <v>0</v>
      </c>
      <c r="H39" s="50">
        <v>0</v>
      </c>
      <c r="I39" s="50">
        <v>7</v>
      </c>
      <c r="J39" s="50">
        <v>0</v>
      </c>
      <c r="K39" s="50">
        <v>0</v>
      </c>
      <c r="L39" s="50">
        <v>0</v>
      </c>
      <c r="M39" s="50">
        <v>105</v>
      </c>
      <c r="N39" s="50">
        <v>0</v>
      </c>
      <c r="O39" s="15">
        <f t="shared" si="0"/>
        <v>52</v>
      </c>
      <c r="P39" s="15">
        <f t="shared" si="1"/>
        <v>157</v>
      </c>
    </row>
    <row r="40" spans="2:20" ht="23.1" customHeight="1" x14ac:dyDescent="0.25">
      <c r="B40" s="24" t="s">
        <v>67</v>
      </c>
      <c r="C40" s="50">
        <v>21</v>
      </c>
      <c r="D40" s="50">
        <v>9</v>
      </c>
      <c r="E40" s="50">
        <v>2</v>
      </c>
      <c r="F40" s="50">
        <v>16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74</v>
      </c>
      <c r="N40" s="50">
        <v>0</v>
      </c>
      <c r="O40" s="15">
        <f t="shared" si="0"/>
        <v>51</v>
      </c>
      <c r="P40" s="15">
        <f t="shared" si="1"/>
        <v>125</v>
      </c>
    </row>
    <row r="41" spans="2:20" ht="23.1" customHeight="1" x14ac:dyDescent="0.25">
      <c r="B41" s="23" t="s">
        <v>68</v>
      </c>
      <c r="C41" s="50">
        <v>11</v>
      </c>
      <c r="D41" s="50">
        <v>8</v>
      </c>
      <c r="E41" s="50">
        <v>1</v>
      </c>
      <c r="F41" s="50">
        <v>19</v>
      </c>
      <c r="G41" s="50">
        <v>0</v>
      </c>
      <c r="H41" s="50">
        <v>0</v>
      </c>
      <c r="I41" s="50">
        <v>6</v>
      </c>
      <c r="J41" s="50">
        <v>0</v>
      </c>
      <c r="K41" s="50">
        <v>1</v>
      </c>
      <c r="L41" s="50">
        <v>0</v>
      </c>
      <c r="M41" s="50">
        <v>60</v>
      </c>
      <c r="N41" s="50">
        <v>0</v>
      </c>
      <c r="O41" s="15">
        <f t="shared" si="0"/>
        <v>46</v>
      </c>
      <c r="P41" s="15">
        <f t="shared" si="1"/>
        <v>106</v>
      </c>
    </row>
    <row r="42" spans="2:20" ht="23.1" customHeight="1" x14ac:dyDescent="0.25">
      <c r="B42" s="24" t="s">
        <v>69</v>
      </c>
      <c r="C42" s="50">
        <v>15</v>
      </c>
      <c r="D42" s="50">
        <v>9</v>
      </c>
      <c r="E42" s="50">
        <v>1</v>
      </c>
      <c r="F42" s="50">
        <v>25</v>
      </c>
      <c r="G42" s="50">
        <v>0</v>
      </c>
      <c r="H42" s="50">
        <v>0</v>
      </c>
      <c r="I42" s="50">
        <v>2</v>
      </c>
      <c r="J42" s="50">
        <v>1</v>
      </c>
      <c r="K42" s="50">
        <v>1</v>
      </c>
      <c r="L42" s="50">
        <v>0</v>
      </c>
      <c r="M42" s="50">
        <v>80</v>
      </c>
      <c r="N42" s="50">
        <v>0</v>
      </c>
      <c r="O42" s="15">
        <f t="shared" si="0"/>
        <v>54</v>
      </c>
      <c r="P42" s="15">
        <f t="shared" si="1"/>
        <v>134</v>
      </c>
    </row>
    <row r="43" spans="2:20" ht="23.1" customHeight="1" x14ac:dyDescent="0.25">
      <c r="B43" s="23" t="s">
        <v>70</v>
      </c>
      <c r="C43" s="50">
        <v>24</v>
      </c>
      <c r="D43" s="50">
        <v>7</v>
      </c>
      <c r="E43" s="50">
        <v>3</v>
      </c>
      <c r="F43" s="50">
        <v>22</v>
      </c>
      <c r="G43" s="50">
        <v>0</v>
      </c>
      <c r="H43" s="50">
        <v>0</v>
      </c>
      <c r="I43" s="50">
        <v>9</v>
      </c>
      <c r="J43" s="50">
        <v>0</v>
      </c>
      <c r="K43" s="50">
        <v>0</v>
      </c>
      <c r="L43" s="50">
        <v>0</v>
      </c>
      <c r="M43" s="50">
        <v>125</v>
      </c>
      <c r="N43" s="50">
        <v>0</v>
      </c>
      <c r="O43" s="15">
        <f t="shared" si="0"/>
        <v>65</v>
      </c>
      <c r="P43" s="15">
        <f t="shared" si="1"/>
        <v>190</v>
      </c>
    </row>
    <row r="44" spans="2:20" ht="23.1" customHeight="1" x14ac:dyDescent="0.25">
      <c r="B44" s="25" t="s">
        <v>71</v>
      </c>
      <c r="C44" s="50">
        <v>13</v>
      </c>
      <c r="D44" s="50">
        <v>11</v>
      </c>
      <c r="E44" s="50">
        <v>2</v>
      </c>
      <c r="F44" s="50">
        <v>33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0</v>
      </c>
      <c r="M44" s="50">
        <v>79</v>
      </c>
      <c r="N44" s="50">
        <v>0</v>
      </c>
      <c r="O44" s="15">
        <f t="shared" si="0"/>
        <v>61</v>
      </c>
      <c r="P44" s="15">
        <f t="shared" si="1"/>
        <v>140</v>
      </c>
    </row>
    <row r="45" spans="2:20" ht="23.1" customHeight="1" x14ac:dyDescent="0.25">
      <c r="B45" s="23" t="s">
        <v>72</v>
      </c>
      <c r="C45" s="50">
        <v>23</v>
      </c>
      <c r="D45" s="50">
        <v>6</v>
      </c>
      <c r="E45" s="50">
        <v>4</v>
      </c>
      <c r="F45" s="50">
        <v>13</v>
      </c>
      <c r="G45" s="50">
        <v>0</v>
      </c>
      <c r="H45" s="50">
        <v>0</v>
      </c>
      <c r="I45" s="50">
        <v>4</v>
      </c>
      <c r="J45" s="50">
        <v>0</v>
      </c>
      <c r="K45" s="50">
        <v>0</v>
      </c>
      <c r="L45" s="50">
        <v>0</v>
      </c>
      <c r="M45" s="50">
        <v>105</v>
      </c>
      <c r="N45" s="50">
        <v>0</v>
      </c>
      <c r="O45" s="15">
        <f t="shared" si="0"/>
        <v>50</v>
      </c>
      <c r="P45" s="15">
        <f t="shared" si="1"/>
        <v>155</v>
      </c>
    </row>
    <row r="46" spans="2:20" ht="23.1" customHeight="1" x14ac:dyDescent="0.25">
      <c r="B46" s="24" t="s">
        <v>73</v>
      </c>
      <c r="C46" s="50">
        <v>20</v>
      </c>
      <c r="D46" s="50">
        <v>11</v>
      </c>
      <c r="E46" s="50">
        <v>4</v>
      </c>
      <c r="F46" s="50">
        <v>24</v>
      </c>
      <c r="G46" s="50">
        <v>0</v>
      </c>
      <c r="H46" s="50">
        <v>0</v>
      </c>
      <c r="I46" s="50">
        <v>6</v>
      </c>
      <c r="J46" s="50">
        <v>0</v>
      </c>
      <c r="K46" s="50">
        <v>0</v>
      </c>
      <c r="L46" s="50">
        <v>0</v>
      </c>
      <c r="M46" s="50">
        <v>81</v>
      </c>
      <c r="N46" s="50">
        <v>0</v>
      </c>
      <c r="O46" s="15">
        <f t="shared" si="0"/>
        <v>65</v>
      </c>
      <c r="P46" s="15">
        <f t="shared" si="1"/>
        <v>146</v>
      </c>
      <c r="R46" s="8"/>
      <c r="T46"/>
    </row>
    <row r="47" spans="2:20" ht="23.1" customHeight="1" x14ac:dyDescent="0.25">
      <c r="B47" s="24" t="s">
        <v>74</v>
      </c>
      <c r="C47" s="50">
        <v>21</v>
      </c>
      <c r="D47" s="50">
        <v>10</v>
      </c>
      <c r="E47" s="50">
        <v>2</v>
      </c>
      <c r="F47" s="50">
        <v>22</v>
      </c>
      <c r="G47" s="50">
        <v>0</v>
      </c>
      <c r="H47" s="50">
        <v>0</v>
      </c>
      <c r="I47" s="50">
        <v>4</v>
      </c>
      <c r="J47" s="50">
        <v>0</v>
      </c>
      <c r="K47" s="50">
        <v>1</v>
      </c>
      <c r="L47" s="50">
        <v>0</v>
      </c>
      <c r="M47" s="50">
        <v>119</v>
      </c>
      <c r="N47" s="50">
        <v>0</v>
      </c>
      <c r="O47" s="15">
        <f t="shared" si="0"/>
        <v>60</v>
      </c>
      <c r="P47" s="15">
        <f t="shared" si="1"/>
        <v>179</v>
      </c>
      <c r="R47" s="8"/>
      <c r="T47"/>
    </row>
    <row r="48" spans="2:20" ht="23.1" customHeight="1" x14ac:dyDescent="0.25">
      <c r="B48" s="24" t="s">
        <v>75</v>
      </c>
      <c r="C48" s="50">
        <v>28</v>
      </c>
      <c r="D48" s="50">
        <v>7</v>
      </c>
      <c r="E48" s="50">
        <v>3</v>
      </c>
      <c r="F48" s="50">
        <v>19</v>
      </c>
      <c r="G48" s="50">
        <v>0</v>
      </c>
      <c r="H48" s="50">
        <v>0</v>
      </c>
      <c r="I48" s="50">
        <v>4</v>
      </c>
      <c r="J48" s="50">
        <v>0</v>
      </c>
      <c r="K48" s="50">
        <v>0</v>
      </c>
      <c r="L48" s="50">
        <v>0</v>
      </c>
      <c r="M48" s="50">
        <v>125</v>
      </c>
      <c r="N48" s="50">
        <v>0</v>
      </c>
      <c r="O48" s="15">
        <f t="shared" si="0"/>
        <v>61</v>
      </c>
      <c r="P48" s="15">
        <f t="shared" si="1"/>
        <v>186</v>
      </c>
      <c r="R48" s="8"/>
      <c r="T48"/>
    </row>
    <row r="49" spans="2:20" ht="23.1" customHeight="1" x14ac:dyDescent="0.25">
      <c r="B49" s="23" t="s">
        <v>76</v>
      </c>
      <c r="C49" s="50">
        <v>20</v>
      </c>
      <c r="D49" s="50">
        <v>17</v>
      </c>
      <c r="E49" s="50">
        <v>4</v>
      </c>
      <c r="F49" s="50">
        <v>25</v>
      </c>
      <c r="G49" s="50">
        <v>1</v>
      </c>
      <c r="H49" s="50">
        <v>0</v>
      </c>
      <c r="I49" s="50">
        <v>6</v>
      </c>
      <c r="J49" s="50">
        <v>0</v>
      </c>
      <c r="K49" s="50">
        <v>0</v>
      </c>
      <c r="L49" s="50">
        <v>0</v>
      </c>
      <c r="M49" s="50">
        <v>110</v>
      </c>
      <c r="N49" s="50">
        <v>0</v>
      </c>
      <c r="O49" s="15">
        <f t="shared" si="0"/>
        <v>73</v>
      </c>
      <c r="P49" s="15">
        <f t="shared" si="1"/>
        <v>183</v>
      </c>
      <c r="R49" s="8"/>
      <c r="T49"/>
    </row>
    <row r="50" spans="2:20" ht="23.1" customHeight="1" x14ac:dyDescent="0.25">
      <c r="B50" s="24" t="s">
        <v>77</v>
      </c>
      <c r="C50" s="50">
        <v>27</v>
      </c>
      <c r="D50" s="50">
        <v>19</v>
      </c>
      <c r="E50" s="50">
        <v>1</v>
      </c>
      <c r="F50" s="50">
        <v>22</v>
      </c>
      <c r="G50" s="50">
        <v>1</v>
      </c>
      <c r="H50" s="50">
        <v>1</v>
      </c>
      <c r="I50" s="50">
        <v>1</v>
      </c>
      <c r="J50" s="50">
        <v>2</v>
      </c>
      <c r="K50" s="50">
        <v>0</v>
      </c>
      <c r="L50" s="50">
        <v>0</v>
      </c>
      <c r="M50" s="50">
        <v>135</v>
      </c>
      <c r="N50" s="50">
        <v>0</v>
      </c>
      <c r="O50" s="15">
        <f t="shared" si="0"/>
        <v>74</v>
      </c>
      <c r="P50" s="15">
        <f t="shared" si="1"/>
        <v>209</v>
      </c>
      <c r="R50" s="8"/>
      <c r="T50"/>
    </row>
    <row r="51" spans="2:20" ht="23.1" customHeight="1" x14ac:dyDescent="0.25">
      <c r="B51" s="24" t="s">
        <v>78</v>
      </c>
      <c r="C51" s="50">
        <v>60</v>
      </c>
      <c r="D51" s="50">
        <v>18</v>
      </c>
      <c r="E51" s="50">
        <v>6</v>
      </c>
      <c r="F51" s="50">
        <v>43</v>
      </c>
      <c r="G51" s="50">
        <v>0</v>
      </c>
      <c r="H51" s="50">
        <v>0</v>
      </c>
      <c r="I51" s="50">
        <v>6</v>
      </c>
      <c r="J51" s="50">
        <v>1</v>
      </c>
      <c r="K51" s="50">
        <v>0</v>
      </c>
      <c r="L51" s="50">
        <v>0</v>
      </c>
      <c r="M51" s="50">
        <v>76</v>
      </c>
      <c r="N51" s="50">
        <v>0</v>
      </c>
      <c r="O51" s="15">
        <f t="shared" si="0"/>
        <v>134</v>
      </c>
      <c r="P51" s="15">
        <f t="shared" si="1"/>
        <v>210</v>
      </c>
      <c r="R51" s="8"/>
      <c r="T51"/>
    </row>
    <row r="52" spans="2:20" ht="23.1" customHeight="1" x14ac:dyDescent="0.25">
      <c r="B52" s="24" t="s">
        <v>79</v>
      </c>
      <c r="C52" s="50">
        <v>40</v>
      </c>
      <c r="D52" s="50">
        <v>15</v>
      </c>
      <c r="E52" s="50">
        <v>3</v>
      </c>
      <c r="F52" s="50">
        <v>50</v>
      </c>
      <c r="G52" s="50">
        <v>0</v>
      </c>
      <c r="H52" s="50">
        <v>0</v>
      </c>
      <c r="I52" s="50">
        <v>4</v>
      </c>
      <c r="J52" s="50">
        <v>0</v>
      </c>
      <c r="K52" s="50">
        <v>0</v>
      </c>
      <c r="L52" s="50">
        <v>0</v>
      </c>
      <c r="M52" s="50">
        <v>100</v>
      </c>
      <c r="N52" s="50">
        <v>0</v>
      </c>
      <c r="O52" s="15">
        <f t="shared" si="0"/>
        <v>112</v>
      </c>
      <c r="P52" s="15">
        <f t="shared" si="1"/>
        <v>212</v>
      </c>
      <c r="R52" s="8"/>
      <c r="T52"/>
    </row>
    <row r="53" spans="2:20" ht="23.1" customHeight="1" x14ac:dyDescent="0.25">
      <c r="B53" s="23" t="s">
        <v>80</v>
      </c>
      <c r="C53" s="50">
        <v>35</v>
      </c>
      <c r="D53" s="50">
        <v>31</v>
      </c>
      <c r="E53" s="50">
        <v>7</v>
      </c>
      <c r="F53" s="50">
        <v>22</v>
      </c>
      <c r="G53" s="50">
        <v>0</v>
      </c>
      <c r="H53" s="50">
        <v>0</v>
      </c>
      <c r="I53" s="50">
        <v>2</v>
      </c>
      <c r="J53" s="50">
        <v>1</v>
      </c>
      <c r="K53" s="50">
        <v>1</v>
      </c>
      <c r="L53" s="50">
        <v>0</v>
      </c>
      <c r="M53" s="50">
        <v>118</v>
      </c>
      <c r="N53" s="50">
        <v>0</v>
      </c>
      <c r="O53" s="15">
        <f t="shared" si="0"/>
        <v>99</v>
      </c>
      <c r="P53" s="15">
        <f t="shared" si="1"/>
        <v>217</v>
      </c>
      <c r="R53" s="8"/>
      <c r="T53"/>
    </row>
    <row r="54" spans="2:20" ht="23.1" customHeight="1" x14ac:dyDescent="0.25">
      <c r="B54" s="23" t="s">
        <v>81</v>
      </c>
      <c r="C54" s="50">
        <v>36</v>
      </c>
      <c r="D54" s="50">
        <v>18</v>
      </c>
      <c r="E54" s="50">
        <v>3</v>
      </c>
      <c r="F54" s="50">
        <v>26</v>
      </c>
      <c r="G54" s="50">
        <v>1</v>
      </c>
      <c r="H54" s="50">
        <v>0</v>
      </c>
      <c r="I54" s="50">
        <v>3</v>
      </c>
      <c r="J54" s="50">
        <v>1</v>
      </c>
      <c r="K54" s="50">
        <v>0</v>
      </c>
      <c r="L54" s="50">
        <v>0</v>
      </c>
      <c r="M54" s="50">
        <v>105</v>
      </c>
      <c r="N54" s="50">
        <v>0</v>
      </c>
      <c r="O54" s="15">
        <f t="shared" si="0"/>
        <v>88</v>
      </c>
      <c r="P54" s="15">
        <f t="shared" si="1"/>
        <v>193</v>
      </c>
      <c r="R54" s="8"/>
      <c r="T54"/>
    </row>
    <row r="55" spans="2:20" ht="23.1" customHeight="1" x14ac:dyDescent="0.25">
      <c r="B55" s="23" t="s">
        <v>82</v>
      </c>
      <c r="C55" s="50">
        <v>33</v>
      </c>
      <c r="D55" s="50">
        <v>28</v>
      </c>
      <c r="E55" s="50">
        <v>3</v>
      </c>
      <c r="F55" s="50">
        <v>45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110</v>
      </c>
      <c r="N55" s="50">
        <v>0</v>
      </c>
      <c r="O55" s="15">
        <f t="shared" si="0"/>
        <v>111</v>
      </c>
      <c r="P55" s="15">
        <f t="shared" si="1"/>
        <v>221</v>
      </c>
      <c r="R55" s="8"/>
      <c r="T55"/>
    </row>
    <row r="56" spans="2:20" ht="23.1" customHeight="1" x14ac:dyDescent="0.25">
      <c r="B56" s="23" t="s">
        <v>83</v>
      </c>
      <c r="C56" s="50">
        <v>29</v>
      </c>
      <c r="D56" s="50">
        <v>21</v>
      </c>
      <c r="E56" s="50">
        <v>2</v>
      </c>
      <c r="F56" s="50">
        <v>43</v>
      </c>
      <c r="G56" s="50">
        <v>0</v>
      </c>
      <c r="H56" s="50">
        <v>0</v>
      </c>
      <c r="I56" s="50">
        <v>6</v>
      </c>
      <c r="J56" s="50">
        <v>0</v>
      </c>
      <c r="K56" s="50">
        <v>0</v>
      </c>
      <c r="L56" s="50">
        <v>0</v>
      </c>
      <c r="M56" s="50">
        <v>125</v>
      </c>
      <c r="N56" s="50">
        <v>0</v>
      </c>
      <c r="O56" s="15">
        <f t="shared" si="0"/>
        <v>101</v>
      </c>
      <c r="P56" s="15">
        <f t="shared" si="1"/>
        <v>226</v>
      </c>
      <c r="R56" s="8"/>
      <c r="T56"/>
    </row>
    <row r="57" spans="2:20" ht="23.1" customHeight="1" x14ac:dyDescent="0.25">
      <c r="B57" s="23" t="s">
        <v>84</v>
      </c>
      <c r="C57" s="50">
        <v>25</v>
      </c>
      <c r="D57" s="50">
        <v>13</v>
      </c>
      <c r="E57" s="50">
        <v>1</v>
      </c>
      <c r="F57" s="50">
        <v>20</v>
      </c>
      <c r="G57" s="50">
        <v>0</v>
      </c>
      <c r="H57" s="50">
        <v>0</v>
      </c>
      <c r="I57" s="50">
        <v>2</v>
      </c>
      <c r="J57" s="50">
        <v>0</v>
      </c>
      <c r="K57" s="50">
        <v>1</v>
      </c>
      <c r="L57" s="50">
        <v>0</v>
      </c>
      <c r="M57" s="50">
        <v>145</v>
      </c>
      <c r="N57" s="50">
        <v>0</v>
      </c>
      <c r="O57" s="15">
        <f t="shared" si="0"/>
        <v>62</v>
      </c>
      <c r="P57" s="15">
        <f t="shared" si="1"/>
        <v>207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880</v>
      </c>
      <c r="D58" s="16">
        <f t="shared" si="21"/>
        <v>437</v>
      </c>
      <c r="E58" s="16">
        <f t="shared" si="21"/>
        <v>114</v>
      </c>
      <c r="F58" s="16">
        <f t="shared" si="21"/>
        <v>1697</v>
      </c>
      <c r="G58" s="16">
        <f t="shared" si="21"/>
        <v>7</v>
      </c>
      <c r="H58" s="16">
        <f t="shared" si="21"/>
        <v>2</v>
      </c>
      <c r="I58" s="16">
        <f t="shared" si="21"/>
        <v>162</v>
      </c>
      <c r="J58" s="16">
        <f t="shared" si="21"/>
        <v>25</v>
      </c>
      <c r="K58" s="16">
        <f t="shared" si="21"/>
        <v>13</v>
      </c>
      <c r="L58" s="16">
        <f t="shared" si="21"/>
        <v>1</v>
      </c>
      <c r="M58" s="16">
        <f t="shared" si="21"/>
        <v>6103</v>
      </c>
      <c r="N58" s="16">
        <f t="shared" si="21"/>
        <v>0</v>
      </c>
      <c r="O58" s="16">
        <f t="shared" si="21"/>
        <v>3338</v>
      </c>
      <c r="P58" s="16">
        <f t="shared" si="21"/>
        <v>9441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9.3210464993115139E-2</v>
      </c>
      <c r="D59" s="43">
        <f t="shared" si="22"/>
        <v>4.6287469547717404E-2</v>
      </c>
      <c r="E59" s="43">
        <f t="shared" si="22"/>
        <v>1.2074992055926279E-2</v>
      </c>
      <c r="F59" s="43">
        <f t="shared" si="22"/>
        <v>0.1797479080605868</v>
      </c>
      <c r="G59" s="43">
        <f t="shared" si="22"/>
        <v>7.4144688062705217E-4</v>
      </c>
      <c r="H59" s="43">
        <f t="shared" si="22"/>
        <v>2.1184196589344348E-4</v>
      </c>
      <c r="I59" s="43">
        <f t="shared" si="22"/>
        <v>1.7159199237368923E-2</v>
      </c>
      <c r="J59" s="43">
        <f t="shared" si="22"/>
        <v>2.6480245736680437E-3</v>
      </c>
      <c r="K59" s="43">
        <f t="shared" si="22"/>
        <v>1.3769727783073827E-3</v>
      </c>
      <c r="L59" s="43">
        <f t="shared" si="22"/>
        <v>1.0592098294672174E-4</v>
      </c>
      <c r="M59" s="43">
        <f t="shared" si="22"/>
        <v>0.64643575892384286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0.26363091671659677</v>
      </c>
      <c r="D60" s="44">
        <f t="shared" ref="D60:N60" si="23">D58/$O$58</f>
        <v>0.13091671659676454</v>
      </c>
      <c r="E60" s="44">
        <f t="shared" si="23"/>
        <v>3.4152186938286401E-2</v>
      </c>
      <c r="F60" s="44">
        <f t="shared" si="23"/>
        <v>0.50838825644098262</v>
      </c>
      <c r="G60" s="44">
        <f t="shared" si="23"/>
        <v>2.097064110245656E-3</v>
      </c>
      <c r="H60" s="44">
        <f t="shared" si="23"/>
        <v>5.9916117435590175E-4</v>
      </c>
      <c r="I60" s="44">
        <f t="shared" si="23"/>
        <v>4.8532055122828044E-2</v>
      </c>
      <c r="J60" s="44">
        <f t="shared" si="23"/>
        <v>7.4895146794487716E-3</v>
      </c>
      <c r="K60" s="44">
        <f t="shared" si="23"/>
        <v>3.8945476333133613E-3</v>
      </c>
      <c r="L60" s="44">
        <f t="shared" si="23"/>
        <v>2.9958058717795088E-4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F126"/>
  <sheetViews>
    <sheetView view="pageBreakPreview" topLeftCell="A43" zoomScale="60" workbookViewId="0">
      <selection activeCell="B57" sqref="B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Munyonyo-Kibuye'!C3:G3</f>
        <v>MCC - C1 - STN01A - SALAMA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'25.07 Kibuye-Munyonyo'!D5</f>
        <v>25.07.19</v>
      </c>
      <c r="E5" s="3"/>
      <c r="F5" s="41" t="s">
        <v>1</v>
      </c>
      <c r="G5" s="64" t="str">
        <f>'25.07 Kibuye-Munyonyo'!G5:H5</f>
        <v>Salama road 1A</v>
      </c>
      <c r="H5" s="65"/>
      <c r="I5" s="14"/>
      <c r="J5" s="2" t="s">
        <v>5</v>
      </c>
      <c r="K5" s="64" t="s">
        <v>174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Munyonyo-Kibuye'!D6:E6</f>
        <v>Munyonyo</v>
      </c>
      <c r="E6" s="65"/>
      <c r="F6" s="2" t="s">
        <v>2</v>
      </c>
      <c r="G6" s="64" t="str">
        <f>'22.07 Munyonyo-Kibuye'!G6:H6</f>
        <v>Kibuye</v>
      </c>
      <c r="H6" s="65"/>
      <c r="J6" s="2" t="s">
        <v>21</v>
      </c>
      <c r="K6" s="64" t="str">
        <f>'25.07 Kibuye-Munyonyo'!K6:L6</f>
        <v>Emma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39</v>
      </c>
      <c r="D10" s="50">
        <v>17</v>
      </c>
      <c r="E10" s="50">
        <v>3</v>
      </c>
      <c r="F10" s="50">
        <v>61</v>
      </c>
      <c r="G10" s="50">
        <v>1</v>
      </c>
      <c r="H10" s="50">
        <v>0</v>
      </c>
      <c r="I10" s="50">
        <v>8</v>
      </c>
      <c r="J10" s="50">
        <v>0</v>
      </c>
      <c r="K10" s="50">
        <v>0</v>
      </c>
      <c r="L10" s="50">
        <v>0</v>
      </c>
      <c r="M10" s="50">
        <v>270</v>
      </c>
      <c r="N10" s="50">
        <v>0</v>
      </c>
      <c r="O10" s="15">
        <f t="shared" ref="O10:O57" si="0">SUM(C10:L10,N10)</f>
        <v>129</v>
      </c>
      <c r="P10" s="15">
        <f t="shared" ref="P10:P57" si="1">SUM(C10:N10)</f>
        <v>399</v>
      </c>
      <c r="R10" s="1" t="s">
        <v>6</v>
      </c>
      <c r="S10" s="17">
        <f t="shared" ref="S10:AF10" si="2">SUM(C10:C13)</f>
        <v>127</v>
      </c>
      <c r="T10" s="17">
        <f t="shared" si="2"/>
        <v>60</v>
      </c>
      <c r="U10" s="17">
        <f t="shared" si="2"/>
        <v>9</v>
      </c>
      <c r="V10" s="17">
        <f t="shared" si="2"/>
        <v>228</v>
      </c>
      <c r="W10" s="17">
        <f t="shared" si="2"/>
        <v>2</v>
      </c>
      <c r="X10" s="17">
        <f t="shared" si="2"/>
        <v>0</v>
      </c>
      <c r="Y10" s="17">
        <f t="shared" si="2"/>
        <v>20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1139</v>
      </c>
      <c r="AD10" s="17">
        <f t="shared" si="2"/>
        <v>0</v>
      </c>
      <c r="AE10" s="31">
        <f t="shared" si="2"/>
        <v>447</v>
      </c>
      <c r="AF10" s="31">
        <f t="shared" si="2"/>
        <v>1586</v>
      </c>
    </row>
    <row r="11" spans="2:32" s="6" customFormat="1" ht="23.1" customHeight="1" x14ac:dyDescent="0.25">
      <c r="B11" s="23" t="s">
        <v>38</v>
      </c>
      <c r="C11" s="50">
        <v>36</v>
      </c>
      <c r="D11" s="50">
        <v>9</v>
      </c>
      <c r="E11" s="50">
        <v>3</v>
      </c>
      <c r="F11" s="50">
        <v>55</v>
      </c>
      <c r="G11" s="50">
        <v>0</v>
      </c>
      <c r="H11" s="50">
        <v>0</v>
      </c>
      <c r="I11" s="50">
        <v>6</v>
      </c>
      <c r="J11" s="50">
        <v>1</v>
      </c>
      <c r="K11" s="50">
        <v>0</v>
      </c>
      <c r="L11" s="50">
        <v>0</v>
      </c>
      <c r="M11" s="50">
        <v>280</v>
      </c>
      <c r="N11" s="50">
        <v>0</v>
      </c>
      <c r="O11" s="15">
        <f t="shared" si="0"/>
        <v>110</v>
      </c>
      <c r="P11" s="15">
        <f t="shared" si="1"/>
        <v>390</v>
      </c>
      <c r="R11" s="1" t="s">
        <v>7</v>
      </c>
      <c r="S11" s="17">
        <f t="shared" ref="S11:AF11" si="3">SUM(C14:C17)</f>
        <v>111</v>
      </c>
      <c r="T11" s="17">
        <f t="shared" si="3"/>
        <v>58</v>
      </c>
      <c r="U11" s="17">
        <f t="shared" si="3"/>
        <v>15</v>
      </c>
      <c r="V11" s="17">
        <f t="shared" si="3"/>
        <v>193</v>
      </c>
      <c r="W11" s="17">
        <f t="shared" si="3"/>
        <v>2</v>
      </c>
      <c r="X11" s="17">
        <f t="shared" si="3"/>
        <v>0</v>
      </c>
      <c r="Y11" s="17">
        <f t="shared" si="3"/>
        <v>14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922</v>
      </c>
      <c r="AD11" s="17">
        <f t="shared" si="3"/>
        <v>0</v>
      </c>
      <c r="AE11" s="31">
        <f t="shared" si="3"/>
        <v>394</v>
      </c>
      <c r="AF11" s="31">
        <f t="shared" si="3"/>
        <v>1316</v>
      </c>
    </row>
    <row r="12" spans="2:32" ht="23.1" customHeight="1" x14ac:dyDescent="0.25">
      <c r="B12" s="23" t="s">
        <v>39</v>
      </c>
      <c r="C12" s="50">
        <v>21</v>
      </c>
      <c r="D12" s="50">
        <v>20</v>
      </c>
      <c r="E12" s="50">
        <v>3</v>
      </c>
      <c r="F12" s="50">
        <v>58</v>
      </c>
      <c r="G12" s="50">
        <v>0</v>
      </c>
      <c r="H12" s="50">
        <v>0</v>
      </c>
      <c r="I12" s="50">
        <v>4</v>
      </c>
      <c r="J12" s="50">
        <v>0</v>
      </c>
      <c r="K12" s="50">
        <v>0</v>
      </c>
      <c r="L12" s="50">
        <v>0</v>
      </c>
      <c r="M12" s="50">
        <v>304</v>
      </c>
      <c r="N12" s="50">
        <v>0</v>
      </c>
      <c r="O12" s="15">
        <f t="shared" si="0"/>
        <v>106</v>
      </c>
      <c r="P12" s="15">
        <f t="shared" si="1"/>
        <v>410</v>
      </c>
      <c r="R12" s="1" t="s">
        <v>8</v>
      </c>
      <c r="S12" s="17">
        <f t="shared" ref="S12:AF12" si="4">SUM(C18:C21)</f>
        <v>108</v>
      </c>
      <c r="T12" s="17">
        <f t="shared" si="4"/>
        <v>55</v>
      </c>
      <c r="U12" s="17">
        <f t="shared" si="4"/>
        <v>15</v>
      </c>
      <c r="V12" s="17">
        <f t="shared" si="4"/>
        <v>173</v>
      </c>
      <c r="W12" s="17">
        <f t="shared" si="4"/>
        <v>1</v>
      </c>
      <c r="X12" s="17">
        <f t="shared" si="4"/>
        <v>0</v>
      </c>
      <c r="Y12" s="17">
        <f t="shared" si="4"/>
        <v>8</v>
      </c>
      <c r="Z12" s="17">
        <f t="shared" si="4"/>
        <v>1</v>
      </c>
      <c r="AA12" s="17">
        <f t="shared" si="4"/>
        <v>0</v>
      </c>
      <c r="AB12" s="17">
        <f t="shared" si="4"/>
        <v>1</v>
      </c>
      <c r="AC12" s="17">
        <f t="shared" si="4"/>
        <v>803</v>
      </c>
      <c r="AD12" s="17">
        <f t="shared" si="4"/>
        <v>0</v>
      </c>
      <c r="AE12" s="31">
        <f t="shared" si="4"/>
        <v>362</v>
      </c>
      <c r="AF12" s="31">
        <f t="shared" si="4"/>
        <v>1165</v>
      </c>
    </row>
    <row r="13" spans="2:32" ht="23.1" customHeight="1" x14ac:dyDescent="0.25">
      <c r="B13" s="23" t="s">
        <v>40</v>
      </c>
      <c r="C13" s="50">
        <v>31</v>
      </c>
      <c r="D13" s="50">
        <v>14</v>
      </c>
      <c r="E13" s="50">
        <v>0</v>
      </c>
      <c r="F13" s="50">
        <v>54</v>
      </c>
      <c r="G13" s="50">
        <v>1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285</v>
      </c>
      <c r="N13" s="50">
        <v>0</v>
      </c>
      <c r="O13" s="15">
        <f t="shared" si="0"/>
        <v>102</v>
      </c>
      <c r="P13" s="15">
        <f t="shared" si="1"/>
        <v>387</v>
      </c>
      <c r="R13" s="1" t="s">
        <v>9</v>
      </c>
      <c r="S13" s="17">
        <f t="shared" ref="S13:AF13" si="5">SUM(C22:C25)</f>
        <v>90</v>
      </c>
      <c r="T13" s="17">
        <f t="shared" si="5"/>
        <v>58</v>
      </c>
      <c r="U13" s="17">
        <f t="shared" si="5"/>
        <v>19</v>
      </c>
      <c r="V13" s="17">
        <f t="shared" si="5"/>
        <v>136</v>
      </c>
      <c r="W13" s="17">
        <f t="shared" si="5"/>
        <v>0</v>
      </c>
      <c r="X13" s="17">
        <f t="shared" si="5"/>
        <v>1</v>
      </c>
      <c r="Y13" s="17">
        <f t="shared" si="5"/>
        <v>18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641</v>
      </c>
      <c r="AD13" s="17">
        <f t="shared" si="5"/>
        <v>0</v>
      </c>
      <c r="AE13" s="31">
        <f t="shared" si="5"/>
        <v>323</v>
      </c>
      <c r="AF13" s="31">
        <f t="shared" si="5"/>
        <v>964</v>
      </c>
    </row>
    <row r="14" spans="2:32" ht="23.1" customHeight="1" x14ac:dyDescent="0.25">
      <c r="B14" s="23" t="s">
        <v>41</v>
      </c>
      <c r="C14" s="50">
        <v>25</v>
      </c>
      <c r="D14" s="50">
        <v>17</v>
      </c>
      <c r="E14" s="50">
        <v>6</v>
      </c>
      <c r="F14" s="50">
        <v>55</v>
      </c>
      <c r="G14" s="50">
        <v>1</v>
      </c>
      <c r="H14" s="50">
        <v>0</v>
      </c>
      <c r="I14" s="50">
        <v>2</v>
      </c>
      <c r="J14" s="50">
        <v>0</v>
      </c>
      <c r="K14" s="50">
        <v>1</v>
      </c>
      <c r="L14" s="50">
        <v>0</v>
      </c>
      <c r="M14" s="50">
        <v>254</v>
      </c>
      <c r="N14" s="50">
        <v>0</v>
      </c>
      <c r="O14" s="15">
        <f t="shared" si="0"/>
        <v>107</v>
      </c>
      <c r="P14" s="15">
        <f t="shared" si="1"/>
        <v>361</v>
      </c>
      <c r="R14" s="1" t="s">
        <v>10</v>
      </c>
      <c r="S14" s="17">
        <f t="shared" ref="S14:AF14" si="6">SUM(C26:C29)</f>
        <v>67</v>
      </c>
      <c r="T14" s="17">
        <f t="shared" si="6"/>
        <v>42</v>
      </c>
      <c r="U14" s="17">
        <f t="shared" si="6"/>
        <v>8</v>
      </c>
      <c r="V14" s="17">
        <f t="shared" si="6"/>
        <v>111</v>
      </c>
      <c r="W14" s="17">
        <f t="shared" si="6"/>
        <v>1</v>
      </c>
      <c r="X14" s="17">
        <f t="shared" si="6"/>
        <v>0</v>
      </c>
      <c r="Y14" s="17">
        <f t="shared" si="6"/>
        <v>8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596</v>
      </c>
      <c r="AD14" s="17">
        <f t="shared" si="6"/>
        <v>0</v>
      </c>
      <c r="AE14" s="31">
        <f t="shared" si="6"/>
        <v>240</v>
      </c>
      <c r="AF14" s="31">
        <f t="shared" si="6"/>
        <v>836</v>
      </c>
    </row>
    <row r="15" spans="2:32" ht="23.1" customHeight="1" x14ac:dyDescent="0.25">
      <c r="B15" s="23" t="s">
        <v>42</v>
      </c>
      <c r="C15" s="50">
        <v>31</v>
      </c>
      <c r="D15" s="50">
        <v>19</v>
      </c>
      <c r="E15" s="50">
        <v>2</v>
      </c>
      <c r="F15" s="50">
        <v>49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230</v>
      </c>
      <c r="N15" s="50">
        <v>0</v>
      </c>
      <c r="O15" s="15">
        <f t="shared" si="0"/>
        <v>103</v>
      </c>
      <c r="P15" s="15">
        <f t="shared" si="1"/>
        <v>333</v>
      </c>
      <c r="R15" s="1" t="s">
        <v>11</v>
      </c>
      <c r="S15" s="17">
        <f t="shared" ref="S15:AF15" si="7">SUM(C30:C33)</f>
        <v>54</v>
      </c>
      <c r="T15" s="17">
        <f t="shared" si="7"/>
        <v>41</v>
      </c>
      <c r="U15" s="17">
        <f t="shared" si="7"/>
        <v>17</v>
      </c>
      <c r="V15" s="17">
        <f t="shared" si="7"/>
        <v>110</v>
      </c>
      <c r="W15" s="17">
        <f t="shared" si="7"/>
        <v>1</v>
      </c>
      <c r="X15" s="17">
        <f t="shared" si="7"/>
        <v>0</v>
      </c>
      <c r="Y15" s="17">
        <f t="shared" si="7"/>
        <v>16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598</v>
      </c>
      <c r="AD15" s="17">
        <f t="shared" si="7"/>
        <v>0</v>
      </c>
      <c r="AE15" s="31">
        <f t="shared" si="7"/>
        <v>241</v>
      </c>
      <c r="AF15" s="31">
        <f t="shared" si="7"/>
        <v>839</v>
      </c>
    </row>
    <row r="16" spans="2:32" ht="23.1" customHeight="1" x14ac:dyDescent="0.25">
      <c r="B16" s="23" t="s">
        <v>43</v>
      </c>
      <c r="C16" s="50">
        <v>29</v>
      </c>
      <c r="D16" s="50">
        <v>8</v>
      </c>
      <c r="E16" s="50">
        <v>5</v>
      </c>
      <c r="F16" s="50">
        <v>56</v>
      </c>
      <c r="G16" s="50">
        <v>0</v>
      </c>
      <c r="H16" s="50">
        <v>0</v>
      </c>
      <c r="I16" s="50">
        <v>4</v>
      </c>
      <c r="J16" s="50">
        <v>0</v>
      </c>
      <c r="K16" s="50">
        <v>0</v>
      </c>
      <c r="L16" s="50">
        <v>0</v>
      </c>
      <c r="M16" s="50">
        <v>273</v>
      </c>
      <c r="N16" s="50">
        <v>0</v>
      </c>
      <c r="O16" s="15">
        <f t="shared" si="0"/>
        <v>102</v>
      </c>
      <c r="P16" s="15">
        <f t="shared" si="1"/>
        <v>375</v>
      </c>
      <c r="R16" s="1" t="s">
        <v>12</v>
      </c>
      <c r="S16" s="17">
        <f t="shared" ref="S16:AF16" si="8">SUM(C34:C37)</f>
        <v>83</v>
      </c>
      <c r="T16" s="17">
        <f t="shared" si="8"/>
        <v>42</v>
      </c>
      <c r="U16" s="17">
        <f t="shared" si="8"/>
        <v>9</v>
      </c>
      <c r="V16" s="17">
        <f t="shared" si="8"/>
        <v>96</v>
      </c>
      <c r="W16" s="17">
        <f t="shared" si="8"/>
        <v>0</v>
      </c>
      <c r="X16" s="17">
        <f t="shared" si="8"/>
        <v>0</v>
      </c>
      <c r="Y16" s="17">
        <f t="shared" si="8"/>
        <v>17</v>
      </c>
      <c r="Z16" s="17">
        <f t="shared" si="8"/>
        <v>3</v>
      </c>
      <c r="AA16" s="17">
        <f t="shared" si="8"/>
        <v>0</v>
      </c>
      <c r="AB16" s="17">
        <f t="shared" si="8"/>
        <v>0</v>
      </c>
      <c r="AC16" s="17">
        <f t="shared" si="8"/>
        <v>569</v>
      </c>
      <c r="AD16" s="17">
        <f t="shared" si="8"/>
        <v>0</v>
      </c>
      <c r="AE16" s="31">
        <f t="shared" si="8"/>
        <v>250</v>
      </c>
      <c r="AF16" s="31">
        <f t="shared" si="8"/>
        <v>819</v>
      </c>
    </row>
    <row r="17" spans="2:32" ht="23.1" customHeight="1" x14ac:dyDescent="0.25">
      <c r="B17" s="23" t="s">
        <v>44</v>
      </c>
      <c r="C17" s="50">
        <v>26</v>
      </c>
      <c r="D17" s="50">
        <v>14</v>
      </c>
      <c r="E17" s="50">
        <v>2</v>
      </c>
      <c r="F17" s="50">
        <v>33</v>
      </c>
      <c r="G17" s="50">
        <v>1</v>
      </c>
      <c r="H17" s="50">
        <v>0</v>
      </c>
      <c r="I17" s="50">
        <v>6</v>
      </c>
      <c r="J17" s="50">
        <v>0</v>
      </c>
      <c r="K17" s="50">
        <v>0</v>
      </c>
      <c r="L17" s="50">
        <v>0</v>
      </c>
      <c r="M17" s="50">
        <v>165</v>
      </c>
      <c r="N17" s="50">
        <v>0</v>
      </c>
      <c r="O17" s="15">
        <f t="shared" si="0"/>
        <v>82</v>
      </c>
      <c r="P17" s="15">
        <f t="shared" si="1"/>
        <v>247</v>
      </c>
      <c r="R17" s="1" t="s">
        <v>13</v>
      </c>
      <c r="S17" s="17">
        <f t="shared" ref="S17:AF17" si="9">SUM(C38:C41)</f>
        <v>65</v>
      </c>
      <c r="T17" s="17">
        <f t="shared" si="9"/>
        <v>86</v>
      </c>
      <c r="U17" s="17">
        <f t="shared" si="9"/>
        <v>13</v>
      </c>
      <c r="V17" s="17">
        <f t="shared" si="9"/>
        <v>66</v>
      </c>
      <c r="W17" s="17">
        <f t="shared" si="9"/>
        <v>1</v>
      </c>
      <c r="X17" s="17">
        <f t="shared" si="9"/>
        <v>0</v>
      </c>
      <c r="Y17" s="17">
        <f t="shared" si="9"/>
        <v>7</v>
      </c>
      <c r="Z17" s="17">
        <f t="shared" si="9"/>
        <v>4</v>
      </c>
      <c r="AA17" s="17">
        <f t="shared" si="9"/>
        <v>0</v>
      </c>
      <c r="AB17" s="17">
        <f t="shared" si="9"/>
        <v>1</v>
      </c>
      <c r="AC17" s="17">
        <f t="shared" si="9"/>
        <v>419</v>
      </c>
      <c r="AD17" s="17">
        <f t="shared" si="9"/>
        <v>0</v>
      </c>
      <c r="AE17" s="31">
        <f t="shared" si="9"/>
        <v>243</v>
      </c>
      <c r="AF17" s="31">
        <f t="shared" si="9"/>
        <v>662</v>
      </c>
    </row>
    <row r="18" spans="2:32" ht="23.1" customHeight="1" x14ac:dyDescent="0.25">
      <c r="B18" s="23" t="s">
        <v>45</v>
      </c>
      <c r="C18" s="50">
        <v>28</v>
      </c>
      <c r="D18" s="50">
        <v>16</v>
      </c>
      <c r="E18" s="50">
        <v>2</v>
      </c>
      <c r="F18" s="50">
        <v>49</v>
      </c>
      <c r="G18" s="50">
        <v>0</v>
      </c>
      <c r="H18" s="50">
        <v>0</v>
      </c>
      <c r="I18" s="50">
        <v>3</v>
      </c>
      <c r="J18" s="50">
        <v>1</v>
      </c>
      <c r="K18" s="50">
        <v>0</v>
      </c>
      <c r="L18" s="50">
        <v>0</v>
      </c>
      <c r="M18" s="50">
        <v>194</v>
      </c>
      <c r="N18" s="50">
        <v>0</v>
      </c>
      <c r="O18" s="15">
        <f t="shared" si="0"/>
        <v>99</v>
      </c>
      <c r="P18" s="15">
        <f t="shared" si="1"/>
        <v>293</v>
      </c>
      <c r="R18" s="1" t="s">
        <v>14</v>
      </c>
      <c r="S18" s="17">
        <f t="shared" ref="S18:AF18" si="10">SUM(C42:C45)</f>
        <v>70</v>
      </c>
      <c r="T18" s="17">
        <f t="shared" si="10"/>
        <v>40</v>
      </c>
      <c r="U18" s="17">
        <f t="shared" si="10"/>
        <v>11</v>
      </c>
      <c r="V18" s="17">
        <f t="shared" si="10"/>
        <v>89</v>
      </c>
      <c r="W18" s="17">
        <f t="shared" si="10"/>
        <v>1</v>
      </c>
      <c r="X18" s="17">
        <f t="shared" si="10"/>
        <v>0</v>
      </c>
      <c r="Y18" s="17">
        <f t="shared" si="10"/>
        <v>12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583</v>
      </c>
      <c r="AD18" s="17">
        <f t="shared" si="10"/>
        <v>0</v>
      </c>
      <c r="AE18" s="31">
        <f t="shared" si="10"/>
        <v>225</v>
      </c>
      <c r="AF18" s="31">
        <f t="shared" si="10"/>
        <v>808</v>
      </c>
    </row>
    <row r="19" spans="2:32" ht="23.1" customHeight="1" x14ac:dyDescent="0.25">
      <c r="B19" s="23" t="s">
        <v>46</v>
      </c>
      <c r="C19" s="50">
        <v>29</v>
      </c>
      <c r="D19" s="50">
        <v>10</v>
      </c>
      <c r="E19" s="50">
        <v>2</v>
      </c>
      <c r="F19" s="50">
        <v>43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205</v>
      </c>
      <c r="N19" s="50">
        <v>0</v>
      </c>
      <c r="O19" s="15">
        <f t="shared" si="0"/>
        <v>86</v>
      </c>
      <c r="P19" s="15">
        <f t="shared" si="1"/>
        <v>291</v>
      </c>
      <c r="R19" s="1" t="s">
        <v>15</v>
      </c>
      <c r="S19" s="17">
        <f t="shared" ref="S19:AF19" si="11">SUM(C46:C49)</f>
        <v>73</v>
      </c>
      <c r="T19" s="17">
        <f t="shared" si="11"/>
        <v>42</v>
      </c>
      <c r="U19" s="17">
        <f t="shared" si="11"/>
        <v>18</v>
      </c>
      <c r="V19" s="17">
        <f t="shared" si="11"/>
        <v>71</v>
      </c>
      <c r="W19" s="17">
        <f t="shared" si="11"/>
        <v>0</v>
      </c>
      <c r="X19" s="17">
        <f t="shared" si="11"/>
        <v>0</v>
      </c>
      <c r="Y19" s="17">
        <f t="shared" si="11"/>
        <v>7</v>
      </c>
      <c r="Z19" s="17">
        <f t="shared" si="11"/>
        <v>1</v>
      </c>
      <c r="AA19" s="17">
        <f t="shared" si="11"/>
        <v>1</v>
      </c>
      <c r="AB19" s="17">
        <f t="shared" si="11"/>
        <v>2</v>
      </c>
      <c r="AC19" s="17">
        <f t="shared" si="11"/>
        <v>578</v>
      </c>
      <c r="AD19" s="17">
        <f t="shared" si="11"/>
        <v>0</v>
      </c>
      <c r="AE19" s="31">
        <f t="shared" si="11"/>
        <v>215</v>
      </c>
      <c r="AF19" s="31">
        <f t="shared" si="11"/>
        <v>793</v>
      </c>
    </row>
    <row r="20" spans="2:32" ht="23.1" customHeight="1" x14ac:dyDescent="0.25">
      <c r="B20" s="23" t="s">
        <v>47</v>
      </c>
      <c r="C20" s="50">
        <v>20</v>
      </c>
      <c r="D20" s="50">
        <v>12</v>
      </c>
      <c r="E20" s="50">
        <v>6</v>
      </c>
      <c r="F20" s="50">
        <v>40</v>
      </c>
      <c r="G20" s="50">
        <v>1</v>
      </c>
      <c r="H20" s="50">
        <v>0</v>
      </c>
      <c r="I20" s="50">
        <v>2</v>
      </c>
      <c r="J20" s="50">
        <v>0</v>
      </c>
      <c r="K20" s="50">
        <v>0</v>
      </c>
      <c r="L20" s="50">
        <v>1</v>
      </c>
      <c r="M20" s="50">
        <v>195</v>
      </c>
      <c r="N20" s="50">
        <v>0</v>
      </c>
      <c r="O20" s="15">
        <f t="shared" si="0"/>
        <v>82</v>
      </c>
      <c r="P20" s="15">
        <f t="shared" si="1"/>
        <v>277</v>
      </c>
      <c r="R20" s="1" t="s">
        <v>16</v>
      </c>
      <c r="S20" s="17">
        <f t="shared" ref="S20:AF20" si="12">SUM(C50:C53)</f>
        <v>80</v>
      </c>
      <c r="T20" s="17">
        <f t="shared" si="12"/>
        <v>59</v>
      </c>
      <c r="U20" s="17">
        <f t="shared" si="12"/>
        <v>10</v>
      </c>
      <c r="V20" s="17">
        <f t="shared" si="12"/>
        <v>91</v>
      </c>
      <c r="W20" s="17">
        <f t="shared" si="12"/>
        <v>2</v>
      </c>
      <c r="X20" s="17">
        <f t="shared" si="12"/>
        <v>0</v>
      </c>
      <c r="Y20" s="17">
        <f t="shared" si="12"/>
        <v>10</v>
      </c>
      <c r="Z20" s="17">
        <f t="shared" si="12"/>
        <v>3</v>
      </c>
      <c r="AA20" s="17">
        <f t="shared" si="12"/>
        <v>0</v>
      </c>
      <c r="AB20" s="17">
        <f t="shared" si="12"/>
        <v>1</v>
      </c>
      <c r="AC20" s="17">
        <f t="shared" si="12"/>
        <v>755</v>
      </c>
      <c r="AD20" s="17">
        <f t="shared" si="12"/>
        <v>0</v>
      </c>
      <c r="AE20" s="31">
        <f t="shared" si="12"/>
        <v>256</v>
      </c>
      <c r="AF20" s="31">
        <f t="shared" si="12"/>
        <v>1011</v>
      </c>
    </row>
    <row r="21" spans="2:32" ht="23.1" customHeight="1" x14ac:dyDescent="0.25">
      <c r="B21" s="23" t="s">
        <v>48</v>
      </c>
      <c r="C21" s="50">
        <v>31</v>
      </c>
      <c r="D21" s="50">
        <v>17</v>
      </c>
      <c r="E21" s="50">
        <v>5</v>
      </c>
      <c r="F21" s="50">
        <v>41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209</v>
      </c>
      <c r="N21" s="50">
        <v>0</v>
      </c>
      <c r="O21" s="15">
        <f t="shared" si="0"/>
        <v>95</v>
      </c>
      <c r="P21" s="15">
        <f t="shared" si="1"/>
        <v>304</v>
      </c>
      <c r="R21" s="36" t="s">
        <v>20</v>
      </c>
      <c r="S21" s="34">
        <f t="shared" ref="S21:AF21" si="13">SUM(C54:C57)</f>
        <v>66</v>
      </c>
      <c r="T21" s="17">
        <f t="shared" si="13"/>
        <v>44</v>
      </c>
      <c r="U21" s="17">
        <f t="shared" si="13"/>
        <v>10</v>
      </c>
      <c r="V21" s="17">
        <f t="shared" si="13"/>
        <v>92</v>
      </c>
      <c r="W21" s="17">
        <f t="shared" si="13"/>
        <v>3</v>
      </c>
      <c r="X21" s="17">
        <f t="shared" si="13"/>
        <v>1</v>
      </c>
      <c r="Y21" s="17">
        <f t="shared" si="13"/>
        <v>6</v>
      </c>
      <c r="Z21" s="17">
        <f t="shared" si="13"/>
        <v>1</v>
      </c>
      <c r="AA21" s="17">
        <f t="shared" si="13"/>
        <v>1</v>
      </c>
      <c r="AB21" s="17">
        <f t="shared" si="13"/>
        <v>1</v>
      </c>
      <c r="AC21" s="17">
        <f t="shared" si="13"/>
        <v>638</v>
      </c>
      <c r="AD21" s="17">
        <f t="shared" si="13"/>
        <v>0</v>
      </c>
      <c r="AE21" s="31">
        <f t="shared" si="13"/>
        <v>225</v>
      </c>
      <c r="AF21" s="31">
        <f t="shared" si="13"/>
        <v>863</v>
      </c>
    </row>
    <row r="22" spans="2:32" ht="23.1" customHeight="1" x14ac:dyDescent="0.25">
      <c r="B22" s="23" t="s">
        <v>49</v>
      </c>
      <c r="C22" s="50">
        <v>26</v>
      </c>
      <c r="D22" s="50">
        <v>22</v>
      </c>
      <c r="E22" s="50">
        <v>4</v>
      </c>
      <c r="F22" s="50">
        <v>38</v>
      </c>
      <c r="G22" s="50">
        <v>0</v>
      </c>
      <c r="H22" s="50">
        <v>0</v>
      </c>
      <c r="I22" s="50">
        <v>4</v>
      </c>
      <c r="J22" s="50">
        <v>0</v>
      </c>
      <c r="K22" s="50">
        <v>0</v>
      </c>
      <c r="L22" s="50">
        <v>0</v>
      </c>
      <c r="M22" s="50">
        <v>149</v>
      </c>
      <c r="N22" s="50">
        <v>0</v>
      </c>
      <c r="O22" s="15">
        <f t="shared" si="0"/>
        <v>94</v>
      </c>
      <c r="P22" s="15">
        <f t="shared" si="1"/>
        <v>243</v>
      </c>
      <c r="R22" s="38" t="s">
        <v>90</v>
      </c>
      <c r="S22" s="39">
        <f>MAX(S10:S12)</f>
        <v>127</v>
      </c>
      <c r="T22" s="39">
        <f t="shared" ref="T22:AF22" si="14">MAX(T10:T12)</f>
        <v>60</v>
      </c>
      <c r="U22" s="39">
        <f t="shared" si="14"/>
        <v>15</v>
      </c>
      <c r="V22" s="39">
        <f t="shared" si="14"/>
        <v>228</v>
      </c>
      <c r="W22" s="39">
        <f t="shared" si="14"/>
        <v>2</v>
      </c>
      <c r="X22" s="39">
        <f t="shared" si="14"/>
        <v>0</v>
      </c>
      <c r="Y22" s="39">
        <f t="shared" si="14"/>
        <v>20</v>
      </c>
      <c r="Z22" s="39">
        <f t="shared" si="14"/>
        <v>1</v>
      </c>
      <c r="AA22" s="39">
        <f t="shared" si="14"/>
        <v>1</v>
      </c>
      <c r="AB22" s="39">
        <f t="shared" si="14"/>
        <v>1</v>
      </c>
      <c r="AC22" s="39">
        <f t="shared" si="14"/>
        <v>1139</v>
      </c>
      <c r="AD22" s="39">
        <f t="shared" si="14"/>
        <v>0</v>
      </c>
      <c r="AE22" s="40">
        <f t="shared" si="14"/>
        <v>447</v>
      </c>
      <c r="AF22" s="40">
        <f t="shared" si="14"/>
        <v>1586</v>
      </c>
    </row>
    <row r="23" spans="2:32" ht="23.1" customHeight="1" x14ac:dyDescent="0.25">
      <c r="B23" s="23" t="s">
        <v>50</v>
      </c>
      <c r="C23" s="50">
        <v>23</v>
      </c>
      <c r="D23" s="50">
        <v>15</v>
      </c>
      <c r="E23" s="50">
        <v>6</v>
      </c>
      <c r="F23" s="50">
        <v>33</v>
      </c>
      <c r="G23" s="50">
        <v>0</v>
      </c>
      <c r="H23" s="50">
        <v>1</v>
      </c>
      <c r="I23" s="50">
        <v>5</v>
      </c>
      <c r="J23" s="50">
        <v>0</v>
      </c>
      <c r="K23" s="50">
        <v>0</v>
      </c>
      <c r="L23" s="50">
        <v>0</v>
      </c>
      <c r="M23" s="50">
        <v>160</v>
      </c>
      <c r="N23" s="50">
        <v>0</v>
      </c>
      <c r="O23" s="15">
        <f t="shared" si="0"/>
        <v>83</v>
      </c>
      <c r="P23" s="15">
        <f t="shared" si="1"/>
        <v>243</v>
      </c>
      <c r="R23" s="38" t="s">
        <v>91</v>
      </c>
      <c r="S23" s="39">
        <f>MAX(S13:S18)</f>
        <v>90</v>
      </c>
      <c r="T23" s="39">
        <f t="shared" ref="T23:AF23" si="15">MAX(T13:T18)</f>
        <v>86</v>
      </c>
      <c r="U23" s="39">
        <f t="shared" si="15"/>
        <v>19</v>
      </c>
      <c r="V23" s="39">
        <f t="shared" si="15"/>
        <v>136</v>
      </c>
      <c r="W23" s="39">
        <f t="shared" si="15"/>
        <v>1</v>
      </c>
      <c r="X23" s="39">
        <f t="shared" si="15"/>
        <v>1</v>
      </c>
      <c r="Y23" s="39">
        <f t="shared" si="15"/>
        <v>18</v>
      </c>
      <c r="Z23" s="39">
        <f t="shared" si="15"/>
        <v>4</v>
      </c>
      <c r="AA23" s="39">
        <f t="shared" si="15"/>
        <v>0</v>
      </c>
      <c r="AB23" s="39">
        <f t="shared" si="15"/>
        <v>1</v>
      </c>
      <c r="AC23" s="39">
        <f t="shared" si="15"/>
        <v>641</v>
      </c>
      <c r="AD23" s="39">
        <f t="shared" si="15"/>
        <v>0</v>
      </c>
      <c r="AE23" s="40">
        <f t="shared" si="15"/>
        <v>323</v>
      </c>
      <c r="AF23" s="40">
        <f t="shared" si="15"/>
        <v>964</v>
      </c>
    </row>
    <row r="24" spans="2:32" ht="23.1" customHeight="1" x14ac:dyDescent="0.25">
      <c r="B24" s="23" t="s">
        <v>51</v>
      </c>
      <c r="C24" s="50">
        <v>21</v>
      </c>
      <c r="D24" s="50">
        <v>12</v>
      </c>
      <c r="E24" s="50">
        <v>3</v>
      </c>
      <c r="F24" s="50">
        <v>38</v>
      </c>
      <c r="G24" s="50">
        <v>0</v>
      </c>
      <c r="H24" s="50">
        <v>0</v>
      </c>
      <c r="I24" s="50">
        <v>4</v>
      </c>
      <c r="J24" s="50">
        <v>0</v>
      </c>
      <c r="K24" s="50">
        <v>0</v>
      </c>
      <c r="L24" s="50">
        <v>0</v>
      </c>
      <c r="M24" s="50">
        <v>139</v>
      </c>
      <c r="N24" s="50">
        <v>0</v>
      </c>
      <c r="O24" s="15">
        <f t="shared" si="0"/>
        <v>78</v>
      </c>
      <c r="P24" s="15">
        <f t="shared" si="1"/>
        <v>217</v>
      </c>
      <c r="R24" s="38" t="s">
        <v>92</v>
      </c>
      <c r="S24" s="39">
        <f>MAX(S19:S21)</f>
        <v>80</v>
      </c>
      <c r="T24" s="39">
        <f t="shared" ref="T24:AF24" si="16">MAX(T19:T21)</f>
        <v>59</v>
      </c>
      <c r="U24" s="39">
        <f t="shared" si="16"/>
        <v>18</v>
      </c>
      <c r="V24" s="39">
        <f t="shared" si="16"/>
        <v>92</v>
      </c>
      <c r="W24" s="39">
        <f t="shared" si="16"/>
        <v>3</v>
      </c>
      <c r="X24" s="39">
        <f t="shared" si="16"/>
        <v>1</v>
      </c>
      <c r="Y24" s="39">
        <f t="shared" si="16"/>
        <v>10</v>
      </c>
      <c r="Z24" s="39">
        <f t="shared" si="16"/>
        <v>3</v>
      </c>
      <c r="AA24" s="39">
        <f t="shared" si="16"/>
        <v>1</v>
      </c>
      <c r="AB24" s="39">
        <f t="shared" si="16"/>
        <v>2</v>
      </c>
      <c r="AC24" s="39">
        <f t="shared" si="16"/>
        <v>755</v>
      </c>
      <c r="AD24" s="39">
        <f t="shared" si="16"/>
        <v>0</v>
      </c>
      <c r="AE24" s="40">
        <f t="shared" si="16"/>
        <v>256</v>
      </c>
      <c r="AF24" s="40">
        <f t="shared" si="16"/>
        <v>1011</v>
      </c>
    </row>
    <row r="25" spans="2:32" ht="23.1" customHeight="1" x14ac:dyDescent="0.25">
      <c r="B25" s="23" t="s">
        <v>52</v>
      </c>
      <c r="C25" s="50">
        <v>20</v>
      </c>
      <c r="D25" s="50">
        <v>9</v>
      </c>
      <c r="E25" s="50">
        <v>6</v>
      </c>
      <c r="F25" s="50">
        <v>27</v>
      </c>
      <c r="G25" s="50">
        <v>0</v>
      </c>
      <c r="H25" s="50">
        <v>0</v>
      </c>
      <c r="I25" s="50">
        <v>5</v>
      </c>
      <c r="J25" s="50">
        <v>1</v>
      </c>
      <c r="K25" s="50">
        <v>0</v>
      </c>
      <c r="L25" s="50">
        <v>0</v>
      </c>
      <c r="M25" s="50">
        <v>193</v>
      </c>
      <c r="N25" s="50">
        <v>0</v>
      </c>
      <c r="O25" s="15">
        <f t="shared" si="0"/>
        <v>68</v>
      </c>
      <c r="P25" s="15">
        <f t="shared" si="1"/>
        <v>261</v>
      </c>
      <c r="R25" s="37" t="s">
        <v>85</v>
      </c>
      <c r="S25" s="35">
        <f t="shared" ref="S25:AF25" si="17">SUM(S10:S12)</f>
        <v>346</v>
      </c>
      <c r="T25" s="16">
        <f t="shared" si="17"/>
        <v>173</v>
      </c>
      <c r="U25" s="16">
        <f t="shared" si="17"/>
        <v>39</v>
      </c>
      <c r="V25" s="16">
        <f t="shared" si="17"/>
        <v>594</v>
      </c>
      <c r="W25" s="16">
        <f t="shared" si="17"/>
        <v>5</v>
      </c>
      <c r="X25" s="16">
        <f t="shared" si="17"/>
        <v>0</v>
      </c>
      <c r="Y25" s="16">
        <f t="shared" si="17"/>
        <v>42</v>
      </c>
      <c r="Z25" s="16">
        <f t="shared" si="17"/>
        <v>2</v>
      </c>
      <c r="AA25" s="16">
        <f t="shared" si="17"/>
        <v>1</v>
      </c>
      <c r="AB25" s="16">
        <f t="shared" si="17"/>
        <v>1</v>
      </c>
      <c r="AC25" s="16">
        <f t="shared" si="17"/>
        <v>2864</v>
      </c>
      <c r="AD25" s="16">
        <f t="shared" si="17"/>
        <v>0</v>
      </c>
      <c r="AE25" s="32">
        <f t="shared" si="17"/>
        <v>1203</v>
      </c>
      <c r="AF25" s="32">
        <f t="shared" si="17"/>
        <v>4067</v>
      </c>
    </row>
    <row r="26" spans="2:32" ht="23.1" customHeight="1" x14ac:dyDescent="0.25">
      <c r="B26" s="23" t="s">
        <v>53</v>
      </c>
      <c r="C26" s="50">
        <v>20</v>
      </c>
      <c r="D26" s="50">
        <v>12</v>
      </c>
      <c r="E26" s="50">
        <v>2</v>
      </c>
      <c r="F26" s="50">
        <v>33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149</v>
      </c>
      <c r="N26" s="50">
        <v>0</v>
      </c>
      <c r="O26" s="15">
        <f t="shared" si="0"/>
        <v>70</v>
      </c>
      <c r="P26" s="15">
        <f t="shared" si="1"/>
        <v>219</v>
      </c>
      <c r="R26" s="28" t="s">
        <v>86</v>
      </c>
      <c r="S26" s="16">
        <f t="shared" ref="S26:AF26" si="18">SUM(S13:S18)</f>
        <v>429</v>
      </c>
      <c r="T26" s="16">
        <f t="shared" si="18"/>
        <v>309</v>
      </c>
      <c r="U26" s="16">
        <f t="shared" si="18"/>
        <v>77</v>
      </c>
      <c r="V26" s="16">
        <f t="shared" si="18"/>
        <v>608</v>
      </c>
      <c r="W26" s="16">
        <f t="shared" si="18"/>
        <v>4</v>
      </c>
      <c r="X26" s="16">
        <f t="shared" si="18"/>
        <v>1</v>
      </c>
      <c r="Y26" s="16">
        <f t="shared" si="18"/>
        <v>78</v>
      </c>
      <c r="Z26" s="16">
        <f t="shared" si="18"/>
        <v>15</v>
      </c>
      <c r="AA26" s="16">
        <f t="shared" si="18"/>
        <v>0</v>
      </c>
      <c r="AB26" s="16">
        <f t="shared" si="18"/>
        <v>1</v>
      </c>
      <c r="AC26" s="16">
        <f t="shared" si="18"/>
        <v>3406</v>
      </c>
      <c r="AD26" s="16">
        <f t="shared" si="18"/>
        <v>0</v>
      </c>
      <c r="AE26" s="32">
        <f t="shared" si="18"/>
        <v>1522</v>
      </c>
      <c r="AF26" s="32">
        <f t="shared" si="18"/>
        <v>4928</v>
      </c>
    </row>
    <row r="27" spans="2:32" ht="23.1" customHeight="1" x14ac:dyDescent="0.25">
      <c r="B27" s="23" t="s">
        <v>54</v>
      </c>
      <c r="C27" s="50">
        <v>16</v>
      </c>
      <c r="D27" s="50">
        <v>6</v>
      </c>
      <c r="E27" s="50">
        <v>1</v>
      </c>
      <c r="F27" s="50">
        <v>26</v>
      </c>
      <c r="G27" s="50">
        <v>1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135</v>
      </c>
      <c r="N27" s="50">
        <v>0</v>
      </c>
      <c r="O27" s="15">
        <f t="shared" si="0"/>
        <v>51</v>
      </c>
      <c r="P27" s="15">
        <f t="shared" si="1"/>
        <v>186</v>
      </c>
      <c r="R27" s="29" t="s">
        <v>87</v>
      </c>
      <c r="S27" s="16">
        <f t="shared" ref="S27:AF27" si="19">SUM(S19:S21)</f>
        <v>219</v>
      </c>
      <c r="T27" s="16">
        <f t="shared" si="19"/>
        <v>145</v>
      </c>
      <c r="U27" s="16">
        <f t="shared" si="19"/>
        <v>38</v>
      </c>
      <c r="V27" s="16">
        <f t="shared" si="19"/>
        <v>254</v>
      </c>
      <c r="W27" s="16">
        <f t="shared" si="19"/>
        <v>5</v>
      </c>
      <c r="X27" s="16">
        <f t="shared" si="19"/>
        <v>1</v>
      </c>
      <c r="Y27" s="16">
        <f t="shared" si="19"/>
        <v>23</v>
      </c>
      <c r="Z27" s="16">
        <f t="shared" si="19"/>
        <v>5</v>
      </c>
      <c r="AA27" s="16">
        <f t="shared" si="19"/>
        <v>2</v>
      </c>
      <c r="AB27" s="16">
        <f t="shared" si="19"/>
        <v>4</v>
      </c>
      <c r="AC27" s="16">
        <f t="shared" si="19"/>
        <v>1971</v>
      </c>
      <c r="AD27" s="16">
        <f t="shared" si="19"/>
        <v>0</v>
      </c>
      <c r="AE27" s="32">
        <f t="shared" si="19"/>
        <v>696</v>
      </c>
      <c r="AF27" s="32">
        <f t="shared" si="19"/>
        <v>2667</v>
      </c>
    </row>
    <row r="28" spans="2:32" ht="23.1" customHeight="1" x14ac:dyDescent="0.25">
      <c r="B28" s="23" t="s">
        <v>55</v>
      </c>
      <c r="C28" s="50">
        <v>11</v>
      </c>
      <c r="D28" s="50">
        <v>7</v>
      </c>
      <c r="E28" s="50">
        <v>2</v>
      </c>
      <c r="F28" s="50">
        <v>31</v>
      </c>
      <c r="G28" s="50">
        <v>0</v>
      </c>
      <c r="H28" s="50">
        <v>0</v>
      </c>
      <c r="I28" s="50">
        <v>1</v>
      </c>
      <c r="J28" s="50">
        <v>1</v>
      </c>
      <c r="K28" s="50">
        <v>0</v>
      </c>
      <c r="L28" s="50">
        <v>0</v>
      </c>
      <c r="M28" s="50">
        <v>133</v>
      </c>
      <c r="N28" s="50">
        <v>0</v>
      </c>
      <c r="O28" s="15">
        <f t="shared" si="0"/>
        <v>53</v>
      </c>
      <c r="P28" s="15">
        <f t="shared" si="1"/>
        <v>186</v>
      </c>
      <c r="R28" s="5" t="s">
        <v>17</v>
      </c>
      <c r="S28" s="16">
        <f t="shared" ref="S28:AF28" si="20">SUM(S10:S21)</f>
        <v>994</v>
      </c>
      <c r="T28" s="16">
        <f t="shared" si="20"/>
        <v>627</v>
      </c>
      <c r="U28" s="16">
        <f t="shared" si="20"/>
        <v>154</v>
      </c>
      <c r="V28" s="16">
        <f t="shared" si="20"/>
        <v>1456</v>
      </c>
      <c r="W28" s="16">
        <f t="shared" si="20"/>
        <v>14</v>
      </c>
      <c r="X28" s="16">
        <f t="shared" si="20"/>
        <v>2</v>
      </c>
      <c r="Y28" s="16">
        <f t="shared" si="20"/>
        <v>143</v>
      </c>
      <c r="Z28" s="16">
        <f t="shared" si="20"/>
        <v>22</v>
      </c>
      <c r="AA28" s="16">
        <f t="shared" si="20"/>
        <v>3</v>
      </c>
      <c r="AB28" s="16">
        <f t="shared" si="20"/>
        <v>6</v>
      </c>
      <c r="AC28" s="16">
        <f t="shared" si="20"/>
        <v>8241</v>
      </c>
      <c r="AD28" s="16">
        <f t="shared" si="20"/>
        <v>0</v>
      </c>
      <c r="AE28" s="32">
        <f t="shared" si="20"/>
        <v>3421</v>
      </c>
      <c r="AF28" s="32">
        <f t="shared" si="20"/>
        <v>11662</v>
      </c>
    </row>
    <row r="29" spans="2:32" ht="23.1" customHeight="1" x14ac:dyDescent="0.25">
      <c r="B29" s="23" t="s">
        <v>56</v>
      </c>
      <c r="C29" s="50">
        <v>20</v>
      </c>
      <c r="D29" s="50">
        <v>17</v>
      </c>
      <c r="E29" s="50">
        <v>3</v>
      </c>
      <c r="F29" s="50">
        <v>21</v>
      </c>
      <c r="G29" s="50">
        <v>0</v>
      </c>
      <c r="H29" s="50">
        <v>0</v>
      </c>
      <c r="I29" s="50">
        <v>3</v>
      </c>
      <c r="J29" s="50">
        <v>2</v>
      </c>
      <c r="K29" s="50">
        <v>0</v>
      </c>
      <c r="L29" s="50">
        <v>0</v>
      </c>
      <c r="M29" s="50">
        <v>179</v>
      </c>
      <c r="N29" s="50">
        <v>0</v>
      </c>
      <c r="O29" s="15">
        <f t="shared" si="0"/>
        <v>66</v>
      </c>
      <c r="P29" s="15">
        <f t="shared" si="1"/>
        <v>245</v>
      </c>
      <c r="R29"/>
      <c r="S29" s="20"/>
      <c r="T29" s="19"/>
    </row>
    <row r="30" spans="2:32" ht="23.1" customHeight="1" x14ac:dyDescent="0.25">
      <c r="B30" s="23" t="s">
        <v>57</v>
      </c>
      <c r="C30" s="50">
        <v>19</v>
      </c>
      <c r="D30" s="50">
        <v>10</v>
      </c>
      <c r="E30" s="50">
        <v>4</v>
      </c>
      <c r="F30" s="50">
        <v>29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170</v>
      </c>
      <c r="N30" s="50">
        <v>0</v>
      </c>
      <c r="O30" s="15">
        <f t="shared" si="0"/>
        <v>65</v>
      </c>
      <c r="P30" s="15">
        <f t="shared" si="1"/>
        <v>235</v>
      </c>
    </row>
    <row r="31" spans="2:32" ht="23.1" customHeight="1" x14ac:dyDescent="0.25">
      <c r="B31" s="24" t="s">
        <v>58</v>
      </c>
      <c r="C31" s="50">
        <v>8</v>
      </c>
      <c r="D31" s="50">
        <v>12</v>
      </c>
      <c r="E31" s="50">
        <v>5</v>
      </c>
      <c r="F31" s="50">
        <v>28</v>
      </c>
      <c r="G31" s="50">
        <v>0</v>
      </c>
      <c r="H31" s="50">
        <v>0</v>
      </c>
      <c r="I31" s="50">
        <v>4</v>
      </c>
      <c r="J31" s="50">
        <v>2</v>
      </c>
      <c r="K31" s="50">
        <v>0</v>
      </c>
      <c r="L31" s="50">
        <v>0</v>
      </c>
      <c r="M31" s="50">
        <v>106</v>
      </c>
      <c r="N31" s="50">
        <v>0</v>
      </c>
      <c r="O31" s="15">
        <f t="shared" si="0"/>
        <v>59</v>
      </c>
      <c r="P31" s="15">
        <f t="shared" si="1"/>
        <v>165</v>
      </c>
    </row>
    <row r="32" spans="2:32" ht="23.1" customHeight="1" x14ac:dyDescent="0.25">
      <c r="B32" s="24" t="s">
        <v>59</v>
      </c>
      <c r="C32" s="50">
        <v>14</v>
      </c>
      <c r="D32" s="50">
        <v>6</v>
      </c>
      <c r="E32" s="50">
        <v>2</v>
      </c>
      <c r="F32" s="50">
        <v>25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0</v>
      </c>
      <c r="M32" s="50">
        <v>149</v>
      </c>
      <c r="N32" s="50">
        <v>0</v>
      </c>
      <c r="O32" s="15">
        <f t="shared" si="0"/>
        <v>51</v>
      </c>
      <c r="P32" s="15">
        <f t="shared" si="1"/>
        <v>200</v>
      </c>
    </row>
    <row r="33" spans="2:20" ht="23.1" customHeight="1" x14ac:dyDescent="0.25">
      <c r="B33" s="23" t="s">
        <v>60</v>
      </c>
      <c r="C33" s="50">
        <v>13</v>
      </c>
      <c r="D33" s="50">
        <v>13</v>
      </c>
      <c r="E33" s="50">
        <v>6</v>
      </c>
      <c r="F33" s="50">
        <v>28</v>
      </c>
      <c r="G33" s="50">
        <v>1</v>
      </c>
      <c r="H33" s="50">
        <v>0</v>
      </c>
      <c r="I33" s="50">
        <v>5</v>
      </c>
      <c r="J33" s="50">
        <v>0</v>
      </c>
      <c r="K33" s="50">
        <v>0</v>
      </c>
      <c r="L33" s="50">
        <v>0</v>
      </c>
      <c r="M33" s="50">
        <v>173</v>
      </c>
      <c r="N33" s="50">
        <v>0</v>
      </c>
      <c r="O33" s="15">
        <f t="shared" si="0"/>
        <v>66</v>
      </c>
      <c r="P33" s="15">
        <f t="shared" si="1"/>
        <v>239</v>
      </c>
    </row>
    <row r="34" spans="2:20" ht="23.1" customHeight="1" x14ac:dyDescent="0.25">
      <c r="B34" s="24" t="s">
        <v>61</v>
      </c>
      <c r="C34" s="50">
        <v>21</v>
      </c>
      <c r="D34" s="50">
        <v>10</v>
      </c>
      <c r="E34" s="50">
        <v>6</v>
      </c>
      <c r="F34" s="50">
        <v>21</v>
      </c>
      <c r="G34" s="50">
        <v>0</v>
      </c>
      <c r="H34" s="50">
        <v>0</v>
      </c>
      <c r="I34" s="50">
        <v>2</v>
      </c>
      <c r="J34" s="50">
        <v>1</v>
      </c>
      <c r="K34" s="50">
        <v>0</v>
      </c>
      <c r="L34" s="50">
        <v>0</v>
      </c>
      <c r="M34" s="50">
        <v>144</v>
      </c>
      <c r="N34" s="50">
        <v>0</v>
      </c>
      <c r="O34" s="15">
        <f t="shared" si="0"/>
        <v>61</v>
      </c>
      <c r="P34" s="15">
        <f t="shared" si="1"/>
        <v>205</v>
      </c>
    </row>
    <row r="35" spans="2:20" ht="23.1" customHeight="1" x14ac:dyDescent="0.25">
      <c r="B35" s="24" t="s">
        <v>62</v>
      </c>
      <c r="C35" s="50">
        <v>23</v>
      </c>
      <c r="D35" s="50">
        <v>10</v>
      </c>
      <c r="E35" s="50">
        <v>1</v>
      </c>
      <c r="F35" s="50">
        <v>25</v>
      </c>
      <c r="G35" s="50">
        <v>0</v>
      </c>
      <c r="H35" s="50">
        <v>0</v>
      </c>
      <c r="I35" s="50">
        <v>8</v>
      </c>
      <c r="J35" s="50">
        <v>0</v>
      </c>
      <c r="K35" s="50">
        <v>0</v>
      </c>
      <c r="L35" s="50">
        <v>0</v>
      </c>
      <c r="M35" s="50">
        <v>115</v>
      </c>
      <c r="N35" s="50">
        <v>0</v>
      </c>
      <c r="O35" s="15">
        <f t="shared" si="0"/>
        <v>67</v>
      </c>
      <c r="P35" s="15">
        <f t="shared" si="1"/>
        <v>182</v>
      </c>
    </row>
    <row r="36" spans="2:20" ht="23.1" customHeight="1" x14ac:dyDescent="0.25">
      <c r="B36" s="24" t="s">
        <v>63</v>
      </c>
      <c r="C36" s="50">
        <v>22</v>
      </c>
      <c r="D36" s="50">
        <v>9</v>
      </c>
      <c r="E36" s="50">
        <v>0</v>
      </c>
      <c r="F36" s="50">
        <v>29</v>
      </c>
      <c r="G36" s="50">
        <v>0</v>
      </c>
      <c r="H36" s="50">
        <v>0</v>
      </c>
      <c r="I36" s="50">
        <v>4</v>
      </c>
      <c r="J36" s="50">
        <v>2</v>
      </c>
      <c r="K36" s="50">
        <v>0</v>
      </c>
      <c r="L36" s="50">
        <v>0</v>
      </c>
      <c r="M36" s="50">
        <v>150</v>
      </c>
      <c r="N36" s="50">
        <v>0</v>
      </c>
      <c r="O36" s="15">
        <f t="shared" si="0"/>
        <v>66</v>
      </c>
      <c r="P36" s="15">
        <f t="shared" si="1"/>
        <v>216</v>
      </c>
    </row>
    <row r="37" spans="2:20" ht="23.1" customHeight="1" x14ac:dyDescent="0.25">
      <c r="B37" s="23" t="s">
        <v>64</v>
      </c>
      <c r="C37" s="50">
        <v>17</v>
      </c>
      <c r="D37" s="50">
        <v>13</v>
      </c>
      <c r="E37" s="50">
        <v>2</v>
      </c>
      <c r="F37" s="50">
        <v>21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160</v>
      </c>
      <c r="N37" s="50">
        <v>0</v>
      </c>
      <c r="O37" s="15">
        <f t="shared" si="0"/>
        <v>56</v>
      </c>
      <c r="P37" s="15">
        <f t="shared" si="1"/>
        <v>216</v>
      </c>
    </row>
    <row r="38" spans="2:20" ht="23.1" customHeight="1" x14ac:dyDescent="0.25">
      <c r="B38" s="24" t="s">
        <v>65</v>
      </c>
      <c r="C38" s="50">
        <v>23</v>
      </c>
      <c r="D38" s="50">
        <v>4</v>
      </c>
      <c r="E38" s="50">
        <v>2</v>
      </c>
      <c r="F38" s="50">
        <v>23</v>
      </c>
      <c r="G38" s="50">
        <v>0</v>
      </c>
      <c r="H38" s="50">
        <v>0</v>
      </c>
      <c r="I38" s="50">
        <v>3</v>
      </c>
      <c r="J38" s="50">
        <v>2</v>
      </c>
      <c r="K38" s="50">
        <v>0</v>
      </c>
      <c r="L38" s="50">
        <v>0</v>
      </c>
      <c r="M38" s="50">
        <v>121</v>
      </c>
      <c r="N38" s="50">
        <v>0</v>
      </c>
      <c r="O38" s="15">
        <f t="shared" si="0"/>
        <v>57</v>
      </c>
      <c r="P38" s="15">
        <f t="shared" si="1"/>
        <v>178</v>
      </c>
    </row>
    <row r="39" spans="2:20" ht="23.1" customHeight="1" x14ac:dyDescent="0.25">
      <c r="B39" s="24" t="s">
        <v>66</v>
      </c>
      <c r="C39" s="50">
        <v>17</v>
      </c>
      <c r="D39" s="50">
        <v>7</v>
      </c>
      <c r="E39" s="50">
        <v>5</v>
      </c>
      <c r="F39" s="50">
        <v>25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1</v>
      </c>
      <c r="M39" s="50">
        <v>145</v>
      </c>
      <c r="N39" s="50">
        <v>0</v>
      </c>
      <c r="O39" s="15">
        <f t="shared" si="0"/>
        <v>56</v>
      </c>
      <c r="P39" s="15">
        <f t="shared" si="1"/>
        <v>201</v>
      </c>
    </row>
    <row r="40" spans="2:20" ht="23.1" customHeight="1" x14ac:dyDescent="0.25">
      <c r="B40" s="24" t="s">
        <v>67</v>
      </c>
      <c r="C40" s="50">
        <v>17</v>
      </c>
      <c r="D40" s="50">
        <v>70</v>
      </c>
      <c r="E40" s="50">
        <v>2</v>
      </c>
      <c r="F40" s="50">
        <v>12</v>
      </c>
      <c r="G40" s="50">
        <v>1</v>
      </c>
      <c r="H40" s="50">
        <v>0</v>
      </c>
      <c r="I40" s="50">
        <v>1</v>
      </c>
      <c r="J40" s="50">
        <v>1</v>
      </c>
      <c r="K40" s="50">
        <v>0</v>
      </c>
      <c r="L40" s="50">
        <v>0</v>
      </c>
      <c r="M40" s="50">
        <v>91</v>
      </c>
      <c r="N40" s="50">
        <v>0</v>
      </c>
      <c r="O40" s="15">
        <f t="shared" si="0"/>
        <v>104</v>
      </c>
      <c r="P40" s="15">
        <f t="shared" si="1"/>
        <v>195</v>
      </c>
    </row>
    <row r="41" spans="2:20" ht="23.1" customHeight="1" x14ac:dyDescent="0.25">
      <c r="B41" s="23" t="s">
        <v>68</v>
      </c>
      <c r="C41" s="50">
        <v>8</v>
      </c>
      <c r="D41" s="50">
        <v>5</v>
      </c>
      <c r="E41" s="50">
        <v>4</v>
      </c>
      <c r="F41" s="50">
        <v>6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0</v>
      </c>
      <c r="M41" s="50">
        <v>62</v>
      </c>
      <c r="N41" s="50">
        <v>0</v>
      </c>
      <c r="O41" s="15">
        <f t="shared" si="0"/>
        <v>26</v>
      </c>
      <c r="P41" s="15">
        <f t="shared" si="1"/>
        <v>88</v>
      </c>
    </row>
    <row r="42" spans="2:20" ht="23.1" customHeight="1" x14ac:dyDescent="0.25">
      <c r="B42" s="24" t="s">
        <v>69</v>
      </c>
      <c r="C42" s="50">
        <v>13</v>
      </c>
      <c r="D42" s="50">
        <v>7</v>
      </c>
      <c r="E42" s="50">
        <v>2</v>
      </c>
      <c r="F42" s="50">
        <v>25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140</v>
      </c>
      <c r="N42" s="50">
        <v>0</v>
      </c>
      <c r="O42" s="15">
        <f t="shared" si="0"/>
        <v>48</v>
      </c>
      <c r="P42" s="15">
        <f t="shared" si="1"/>
        <v>188</v>
      </c>
    </row>
    <row r="43" spans="2:20" ht="23.1" customHeight="1" x14ac:dyDescent="0.25">
      <c r="B43" s="23" t="s">
        <v>70</v>
      </c>
      <c r="C43" s="50">
        <v>22</v>
      </c>
      <c r="D43" s="50">
        <v>12</v>
      </c>
      <c r="E43" s="50">
        <v>2</v>
      </c>
      <c r="F43" s="50">
        <v>20</v>
      </c>
      <c r="G43" s="50">
        <v>0</v>
      </c>
      <c r="H43" s="50">
        <v>0</v>
      </c>
      <c r="I43" s="50">
        <v>4</v>
      </c>
      <c r="J43" s="50">
        <v>0</v>
      </c>
      <c r="K43" s="50">
        <v>0</v>
      </c>
      <c r="L43" s="50">
        <v>0</v>
      </c>
      <c r="M43" s="50">
        <v>154</v>
      </c>
      <c r="N43" s="50">
        <v>0</v>
      </c>
      <c r="O43" s="15">
        <f t="shared" si="0"/>
        <v>60</v>
      </c>
      <c r="P43" s="15">
        <f t="shared" si="1"/>
        <v>214</v>
      </c>
    </row>
    <row r="44" spans="2:20" ht="23.1" customHeight="1" x14ac:dyDescent="0.25">
      <c r="B44" s="25" t="s">
        <v>71</v>
      </c>
      <c r="C44" s="50">
        <v>17</v>
      </c>
      <c r="D44" s="50">
        <v>7</v>
      </c>
      <c r="E44" s="50">
        <v>3</v>
      </c>
      <c r="F44" s="50">
        <v>20</v>
      </c>
      <c r="G44" s="50">
        <v>0</v>
      </c>
      <c r="H44" s="50">
        <v>0</v>
      </c>
      <c r="I44" s="50">
        <v>3</v>
      </c>
      <c r="J44" s="50">
        <v>2</v>
      </c>
      <c r="K44" s="50">
        <v>0</v>
      </c>
      <c r="L44" s="50">
        <v>0</v>
      </c>
      <c r="M44" s="50">
        <v>159</v>
      </c>
      <c r="N44" s="50">
        <v>0</v>
      </c>
      <c r="O44" s="15">
        <f t="shared" si="0"/>
        <v>52</v>
      </c>
      <c r="P44" s="15">
        <f t="shared" si="1"/>
        <v>211</v>
      </c>
    </row>
    <row r="45" spans="2:20" ht="23.1" customHeight="1" x14ac:dyDescent="0.25">
      <c r="B45" s="23" t="s">
        <v>72</v>
      </c>
      <c r="C45" s="50">
        <v>18</v>
      </c>
      <c r="D45" s="50">
        <v>14</v>
      </c>
      <c r="E45" s="50">
        <v>4</v>
      </c>
      <c r="F45" s="50">
        <v>24</v>
      </c>
      <c r="G45" s="50">
        <v>1</v>
      </c>
      <c r="H45" s="50">
        <v>0</v>
      </c>
      <c r="I45" s="50">
        <v>4</v>
      </c>
      <c r="J45" s="50">
        <v>0</v>
      </c>
      <c r="K45" s="50">
        <v>0</v>
      </c>
      <c r="L45" s="50">
        <v>0</v>
      </c>
      <c r="M45" s="50">
        <v>130</v>
      </c>
      <c r="N45" s="50">
        <v>0</v>
      </c>
      <c r="O45" s="15">
        <f t="shared" si="0"/>
        <v>65</v>
      </c>
      <c r="P45" s="15">
        <f t="shared" si="1"/>
        <v>195</v>
      </c>
    </row>
    <row r="46" spans="2:20" ht="23.1" customHeight="1" x14ac:dyDescent="0.25">
      <c r="B46" s="24" t="s">
        <v>73</v>
      </c>
      <c r="C46" s="50">
        <v>18</v>
      </c>
      <c r="D46" s="50">
        <v>12</v>
      </c>
      <c r="E46" s="50">
        <v>9</v>
      </c>
      <c r="F46" s="50">
        <v>17</v>
      </c>
      <c r="G46" s="50">
        <v>0</v>
      </c>
      <c r="H46" s="50">
        <v>0</v>
      </c>
      <c r="I46" s="50">
        <v>1</v>
      </c>
      <c r="J46" s="50">
        <v>1</v>
      </c>
      <c r="K46" s="50">
        <v>0</v>
      </c>
      <c r="L46" s="50">
        <v>0</v>
      </c>
      <c r="M46" s="50">
        <v>167</v>
      </c>
      <c r="N46" s="50">
        <v>0</v>
      </c>
      <c r="O46" s="15">
        <f t="shared" si="0"/>
        <v>58</v>
      </c>
      <c r="P46" s="15">
        <f t="shared" si="1"/>
        <v>225</v>
      </c>
      <c r="R46" s="8"/>
      <c r="T46"/>
    </row>
    <row r="47" spans="2:20" ht="23.1" customHeight="1" x14ac:dyDescent="0.25">
      <c r="B47" s="24" t="s">
        <v>74</v>
      </c>
      <c r="C47" s="50">
        <v>12</v>
      </c>
      <c r="D47" s="50">
        <v>10</v>
      </c>
      <c r="E47" s="50">
        <v>0</v>
      </c>
      <c r="F47" s="50">
        <v>20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111</v>
      </c>
      <c r="N47" s="50">
        <v>0</v>
      </c>
      <c r="O47" s="15">
        <f t="shared" si="0"/>
        <v>44</v>
      </c>
      <c r="P47" s="15">
        <f t="shared" si="1"/>
        <v>155</v>
      </c>
      <c r="R47" s="8"/>
      <c r="T47"/>
    </row>
    <row r="48" spans="2:20" ht="23.1" customHeight="1" x14ac:dyDescent="0.25">
      <c r="B48" s="24" t="s">
        <v>75</v>
      </c>
      <c r="C48" s="50">
        <v>25</v>
      </c>
      <c r="D48" s="50">
        <v>14</v>
      </c>
      <c r="E48" s="50">
        <v>7</v>
      </c>
      <c r="F48" s="50">
        <v>17</v>
      </c>
      <c r="G48" s="50">
        <v>0</v>
      </c>
      <c r="H48" s="50">
        <v>0</v>
      </c>
      <c r="I48" s="50">
        <v>2</v>
      </c>
      <c r="J48" s="50">
        <v>0</v>
      </c>
      <c r="K48" s="50">
        <v>1</v>
      </c>
      <c r="L48" s="50">
        <v>1</v>
      </c>
      <c r="M48" s="50">
        <v>146</v>
      </c>
      <c r="N48" s="50">
        <v>0</v>
      </c>
      <c r="O48" s="15">
        <f t="shared" si="0"/>
        <v>67</v>
      </c>
      <c r="P48" s="15">
        <f t="shared" si="1"/>
        <v>213</v>
      </c>
      <c r="R48" s="8"/>
      <c r="T48"/>
    </row>
    <row r="49" spans="2:20" ht="23.1" customHeight="1" x14ac:dyDescent="0.25">
      <c r="B49" s="23" t="s">
        <v>76</v>
      </c>
      <c r="C49" s="50">
        <v>18</v>
      </c>
      <c r="D49" s="50">
        <v>6</v>
      </c>
      <c r="E49" s="50">
        <v>2</v>
      </c>
      <c r="F49" s="50">
        <v>17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1</v>
      </c>
      <c r="M49" s="50">
        <v>154</v>
      </c>
      <c r="N49" s="50">
        <v>0</v>
      </c>
      <c r="O49" s="15">
        <f t="shared" si="0"/>
        <v>46</v>
      </c>
      <c r="P49" s="15">
        <f t="shared" si="1"/>
        <v>200</v>
      </c>
      <c r="R49" s="8"/>
      <c r="T49"/>
    </row>
    <row r="50" spans="2:20" ht="23.1" customHeight="1" x14ac:dyDescent="0.25">
      <c r="B50" s="24" t="s">
        <v>77</v>
      </c>
      <c r="C50" s="50">
        <v>26</v>
      </c>
      <c r="D50" s="50">
        <v>20</v>
      </c>
      <c r="E50" s="50">
        <v>1</v>
      </c>
      <c r="F50" s="50">
        <v>27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178</v>
      </c>
      <c r="N50" s="50">
        <v>0</v>
      </c>
      <c r="O50" s="15">
        <f t="shared" si="0"/>
        <v>76</v>
      </c>
      <c r="P50" s="15">
        <f t="shared" si="1"/>
        <v>254</v>
      </c>
      <c r="R50" s="8"/>
      <c r="T50"/>
    </row>
    <row r="51" spans="2:20" ht="23.1" customHeight="1" x14ac:dyDescent="0.25">
      <c r="B51" s="24" t="s">
        <v>78</v>
      </c>
      <c r="C51" s="50">
        <v>21</v>
      </c>
      <c r="D51" s="50">
        <v>12</v>
      </c>
      <c r="E51" s="50">
        <v>2</v>
      </c>
      <c r="F51" s="50">
        <v>18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190</v>
      </c>
      <c r="N51" s="50">
        <v>0</v>
      </c>
      <c r="O51" s="15">
        <f t="shared" si="0"/>
        <v>56</v>
      </c>
      <c r="P51" s="15">
        <f t="shared" si="1"/>
        <v>246</v>
      </c>
      <c r="R51" s="8"/>
      <c r="T51"/>
    </row>
    <row r="52" spans="2:20" ht="23.1" customHeight="1" x14ac:dyDescent="0.25">
      <c r="B52" s="24" t="s">
        <v>79</v>
      </c>
      <c r="C52" s="50">
        <v>20</v>
      </c>
      <c r="D52" s="50">
        <v>14</v>
      </c>
      <c r="E52" s="50">
        <v>2</v>
      </c>
      <c r="F52" s="50">
        <v>21</v>
      </c>
      <c r="G52" s="50">
        <v>1</v>
      </c>
      <c r="H52" s="50">
        <v>0</v>
      </c>
      <c r="I52" s="50">
        <v>4</v>
      </c>
      <c r="J52" s="50">
        <v>0</v>
      </c>
      <c r="K52" s="50">
        <v>0</v>
      </c>
      <c r="L52" s="50">
        <v>0</v>
      </c>
      <c r="M52" s="50">
        <v>207</v>
      </c>
      <c r="N52" s="50">
        <v>0</v>
      </c>
      <c r="O52" s="15">
        <f t="shared" si="0"/>
        <v>62</v>
      </c>
      <c r="P52" s="15">
        <f t="shared" si="1"/>
        <v>269</v>
      </c>
      <c r="R52" s="8"/>
      <c r="T52"/>
    </row>
    <row r="53" spans="2:20" ht="23.1" customHeight="1" x14ac:dyDescent="0.25">
      <c r="B53" s="23" t="s">
        <v>80</v>
      </c>
      <c r="C53" s="50">
        <v>13</v>
      </c>
      <c r="D53" s="50">
        <v>13</v>
      </c>
      <c r="E53" s="50">
        <v>5</v>
      </c>
      <c r="F53" s="50">
        <v>25</v>
      </c>
      <c r="G53" s="50">
        <v>1</v>
      </c>
      <c r="H53" s="50">
        <v>0</v>
      </c>
      <c r="I53" s="50">
        <v>1</v>
      </c>
      <c r="J53" s="50">
        <v>3</v>
      </c>
      <c r="K53" s="50">
        <v>0</v>
      </c>
      <c r="L53" s="50">
        <v>1</v>
      </c>
      <c r="M53" s="50">
        <v>180</v>
      </c>
      <c r="N53" s="50">
        <v>0</v>
      </c>
      <c r="O53" s="15">
        <f t="shared" si="0"/>
        <v>62</v>
      </c>
      <c r="P53" s="15">
        <f t="shared" si="1"/>
        <v>242</v>
      </c>
      <c r="R53" s="8"/>
      <c r="T53"/>
    </row>
    <row r="54" spans="2:20" ht="23.1" customHeight="1" x14ac:dyDescent="0.25">
      <c r="B54" s="23" t="s">
        <v>81</v>
      </c>
      <c r="C54" s="50">
        <v>21</v>
      </c>
      <c r="D54" s="50">
        <v>19</v>
      </c>
      <c r="E54" s="50">
        <v>3</v>
      </c>
      <c r="F54" s="50">
        <v>27</v>
      </c>
      <c r="G54" s="50">
        <v>0</v>
      </c>
      <c r="H54" s="50">
        <v>1</v>
      </c>
      <c r="I54" s="50">
        <v>3</v>
      </c>
      <c r="J54" s="50">
        <v>0</v>
      </c>
      <c r="K54" s="50">
        <v>1</v>
      </c>
      <c r="L54" s="50">
        <v>1</v>
      </c>
      <c r="M54" s="50">
        <v>216</v>
      </c>
      <c r="N54" s="50">
        <v>0</v>
      </c>
      <c r="O54" s="15">
        <f t="shared" si="0"/>
        <v>76</v>
      </c>
      <c r="P54" s="15">
        <f t="shared" si="1"/>
        <v>292</v>
      </c>
      <c r="R54" s="8"/>
      <c r="T54"/>
    </row>
    <row r="55" spans="2:20" ht="23.1" customHeight="1" x14ac:dyDescent="0.25">
      <c r="B55" s="23" t="s">
        <v>82</v>
      </c>
      <c r="C55" s="50">
        <v>12</v>
      </c>
      <c r="D55" s="50">
        <v>12</v>
      </c>
      <c r="E55" s="50">
        <v>3</v>
      </c>
      <c r="F55" s="50">
        <v>22</v>
      </c>
      <c r="G55" s="50">
        <v>0</v>
      </c>
      <c r="H55" s="50">
        <v>0</v>
      </c>
      <c r="I55" s="50">
        <v>2</v>
      </c>
      <c r="J55" s="50">
        <v>1</v>
      </c>
      <c r="K55" s="50">
        <v>0</v>
      </c>
      <c r="L55" s="50">
        <v>0</v>
      </c>
      <c r="M55" s="50">
        <v>149</v>
      </c>
      <c r="N55" s="50">
        <v>0</v>
      </c>
      <c r="O55" s="15">
        <f t="shared" si="0"/>
        <v>52</v>
      </c>
      <c r="P55" s="15">
        <f t="shared" si="1"/>
        <v>201</v>
      </c>
      <c r="R55" s="8"/>
      <c r="T55"/>
    </row>
    <row r="56" spans="2:20" ht="23.1" customHeight="1" x14ac:dyDescent="0.25">
      <c r="B56" s="23" t="s">
        <v>83</v>
      </c>
      <c r="C56" s="50">
        <v>15</v>
      </c>
      <c r="D56" s="50">
        <v>6</v>
      </c>
      <c r="E56" s="50">
        <v>1</v>
      </c>
      <c r="F56" s="50">
        <v>20</v>
      </c>
      <c r="G56" s="50">
        <v>2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116</v>
      </c>
      <c r="N56" s="50">
        <v>0</v>
      </c>
      <c r="O56" s="15">
        <f t="shared" si="0"/>
        <v>44</v>
      </c>
      <c r="P56" s="15">
        <f t="shared" si="1"/>
        <v>160</v>
      </c>
      <c r="R56" s="8"/>
      <c r="T56"/>
    </row>
    <row r="57" spans="2:20" ht="23.1" customHeight="1" x14ac:dyDescent="0.25">
      <c r="B57" s="23" t="s">
        <v>84</v>
      </c>
      <c r="C57" s="50">
        <v>18</v>
      </c>
      <c r="D57" s="50">
        <v>7</v>
      </c>
      <c r="E57" s="50">
        <v>3</v>
      </c>
      <c r="F57" s="50">
        <v>23</v>
      </c>
      <c r="G57" s="50">
        <v>1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157</v>
      </c>
      <c r="N57" s="50">
        <v>0</v>
      </c>
      <c r="O57" s="15">
        <f t="shared" si="0"/>
        <v>53</v>
      </c>
      <c r="P57" s="15">
        <f t="shared" si="1"/>
        <v>210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994</v>
      </c>
      <c r="D58" s="16">
        <f t="shared" si="21"/>
        <v>627</v>
      </c>
      <c r="E58" s="16">
        <f t="shared" si="21"/>
        <v>154</v>
      </c>
      <c r="F58" s="16">
        <f t="shared" si="21"/>
        <v>1456</v>
      </c>
      <c r="G58" s="16">
        <f t="shared" si="21"/>
        <v>14</v>
      </c>
      <c r="H58" s="16">
        <f t="shared" si="21"/>
        <v>2</v>
      </c>
      <c r="I58" s="16">
        <f t="shared" si="21"/>
        <v>143</v>
      </c>
      <c r="J58" s="16">
        <f t="shared" si="21"/>
        <v>22</v>
      </c>
      <c r="K58" s="16">
        <f t="shared" si="21"/>
        <v>3</v>
      </c>
      <c r="L58" s="16">
        <f t="shared" si="21"/>
        <v>6</v>
      </c>
      <c r="M58" s="16">
        <f t="shared" si="21"/>
        <v>8241</v>
      </c>
      <c r="N58" s="16">
        <f t="shared" si="21"/>
        <v>0</v>
      </c>
      <c r="O58" s="16">
        <f t="shared" si="21"/>
        <v>3421</v>
      </c>
      <c r="P58" s="16">
        <f t="shared" si="21"/>
        <v>11662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8.5234093637454988E-2</v>
      </c>
      <c r="D59" s="43">
        <f t="shared" si="22"/>
        <v>5.3764362888012347E-2</v>
      </c>
      <c r="E59" s="43">
        <f t="shared" si="22"/>
        <v>1.3205282112845138E-2</v>
      </c>
      <c r="F59" s="43">
        <f t="shared" si="22"/>
        <v>0.12484993997599039</v>
      </c>
      <c r="G59" s="43">
        <f t="shared" si="22"/>
        <v>1.2004801920768306E-3</v>
      </c>
      <c r="H59" s="43">
        <f t="shared" si="22"/>
        <v>1.7149717029669011E-4</v>
      </c>
      <c r="I59" s="43">
        <f t="shared" si="22"/>
        <v>1.2262047676213342E-2</v>
      </c>
      <c r="J59" s="43">
        <f t="shared" si="22"/>
        <v>1.8864688732635911E-3</v>
      </c>
      <c r="K59" s="43">
        <f t="shared" si="22"/>
        <v>2.5724575544503516E-4</v>
      </c>
      <c r="L59" s="43">
        <f t="shared" si="22"/>
        <v>5.1449151089007032E-4</v>
      </c>
      <c r="M59" s="43">
        <f t="shared" si="22"/>
        <v>0.70665409020751158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0.29055831628178896</v>
      </c>
      <c r="D60" s="44">
        <f t="shared" ref="D60:N60" si="23">D58/$O$58</f>
        <v>0.18327974276527331</v>
      </c>
      <c r="E60" s="44">
        <f t="shared" si="23"/>
        <v>4.5016077170418008E-2</v>
      </c>
      <c r="F60" s="44">
        <f t="shared" si="23"/>
        <v>0.42560654779304297</v>
      </c>
      <c r="G60" s="44">
        <f t="shared" si="23"/>
        <v>4.0923706518561824E-3</v>
      </c>
      <c r="H60" s="44">
        <f t="shared" si="23"/>
        <v>5.8462437883659746E-4</v>
      </c>
      <c r="I60" s="44">
        <f t="shared" si="23"/>
        <v>4.1800643086816719E-2</v>
      </c>
      <c r="J60" s="44">
        <f t="shared" si="23"/>
        <v>6.4308681672025723E-3</v>
      </c>
      <c r="K60" s="44">
        <f t="shared" si="23"/>
        <v>8.7693656825489619E-4</v>
      </c>
      <c r="L60" s="44">
        <f t="shared" si="23"/>
        <v>1.7538731365097924E-3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249977111117893"/>
  </sheetPr>
  <dimension ref="B1:AF174"/>
  <sheetViews>
    <sheetView view="pageBreakPreview" topLeftCell="A85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Kibuye-Munyonyo'!C3:G3</f>
        <v>MCC - C1 - STN01A - SALAMA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64" t="str">
        <f>'25.07 Munyonyo-Kibuye'!G5:H5</f>
        <v>Salama road 1A</v>
      </c>
      <c r="H5" s="65"/>
      <c r="I5" s="14"/>
      <c r="J5" s="2" t="s">
        <v>5</v>
      </c>
      <c r="K5" s="64" t="s">
        <v>175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Kibuye-Munyonyo'!D6:E6</f>
        <v>Kibuye</v>
      </c>
      <c r="E6" s="65"/>
      <c r="F6" s="2" t="s">
        <v>2</v>
      </c>
      <c r="G6" s="64" t="str">
        <f>'22.07 Kibuye-Munyonyo'!G6:H6</f>
        <v>Munyonyo</v>
      </c>
      <c r="H6" s="65"/>
      <c r="J6" s="2" t="s">
        <v>21</v>
      </c>
      <c r="K6" s="64" t="str">
        <f>'25.07 Munyonyo-Kibuye'!K6:L6</f>
        <v>Emma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26</v>
      </c>
      <c r="D10" s="50">
        <v>8</v>
      </c>
      <c r="E10" s="50">
        <v>2</v>
      </c>
      <c r="F10" s="50">
        <v>63</v>
      </c>
      <c r="G10" s="50">
        <v>0</v>
      </c>
      <c r="H10" s="50">
        <v>0</v>
      </c>
      <c r="I10" s="50">
        <v>1</v>
      </c>
      <c r="J10" s="50">
        <v>0</v>
      </c>
      <c r="K10" s="50">
        <v>2</v>
      </c>
      <c r="L10" s="50">
        <v>0</v>
      </c>
      <c r="M10" s="50">
        <v>114</v>
      </c>
      <c r="N10" s="50">
        <v>0</v>
      </c>
      <c r="O10" s="15">
        <f t="shared" ref="O10:O57" si="0">SUM(C10:L10,N10)</f>
        <v>102</v>
      </c>
      <c r="P10" s="15">
        <f t="shared" ref="P10:P57" si="1">SUM(C10:N10)</f>
        <v>216</v>
      </c>
      <c r="R10" s="1" t="s">
        <v>6</v>
      </c>
      <c r="S10" s="17">
        <f t="shared" ref="S10:AF10" si="2">SUM(C10:C13)</f>
        <v>52</v>
      </c>
      <c r="T10" s="17">
        <f t="shared" si="2"/>
        <v>27</v>
      </c>
      <c r="U10" s="17">
        <f t="shared" si="2"/>
        <v>5</v>
      </c>
      <c r="V10" s="17">
        <f t="shared" si="2"/>
        <v>292</v>
      </c>
      <c r="W10" s="17">
        <f t="shared" si="2"/>
        <v>1</v>
      </c>
      <c r="X10" s="17">
        <f t="shared" si="2"/>
        <v>0</v>
      </c>
      <c r="Y10" s="17">
        <f t="shared" si="2"/>
        <v>7</v>
      </c>
      <c r="Z10" s="17">
        <f t="shared" si="2"/>
        <v>3</v>
      </c>
      <c r="AA10" s="17">
        <f t="shared" si="2"/>
        <v>4</v>
      </c>
      <c r="AB10" s="17">
        <f t="shared" si="2"/>
        <v>0</v>
      </c>
      <c r="AC10" s="17">
        <f t="shared" si="2"/>
        <v>483</v>
      </c>
      <c r="AD10" s="17">
        <f t="shared" si="2"/>
        <v>0</v>
      </c>
      <c r="AE10" s="31">
        <f t="shared" si="2"/>
        <v>391</v>
      </c>
      <c r="AF10" s="31">
        <f t="shared" si="2"/>
        <v>874</v>
      </c>
    </row>
    <row r="11" spans="2:32" s="6" customFormat="1" ht="23.1" customHeight="1" x14ac:dyDescent="0.25">
      <c r="B11" s="45" t="s">
        <v>38</v>
      </c>
      <c r="C11" s="50">
        <v>12</v>
      </c>
      <c r="D11" s="50">
        <v>11</v>
      </c>
      <c r="E11" s="50">
        <v>0</v>
      </c>
      <c r="F11" s="50">
        <v>85</v>
      </c>
      <c r="G11" s="50">
        <v>0</v>
      </c>
      <c r="H11" s="50">
        <v>0</v>
      </c>
      <c r="I11" s="50">
        <v>2</v>
      </c>
      <c r="J11" s="50">
        <v>2</v>
      </c>
      <c r="K11" s="50">
        <v>1</v>
      </c>
      <c r="L11" s="50">
        <v>0</v>
      </c>
      <c r="M11" s="50">
        <v>119</v>
      </c>
      <c r="N11" s="50">
        <v>0</v>
      </c>
      <c r="O11" s="15">
        <f t="shared" si="0"/>
        <v>113</v>
      </c>
      <c r="P11" s="15">
        <f t="shared" si="1"/>
        <v>232</v>
      </c>
      <c r="R11" s="1" t="s">
        <v>7</v>
      </c>
      <c r="S11" s="17">
        <f t="shared" ref="S11:AF11" si="3">SUM(C14:C17)</f>
        <v>39</v>
      </c>
      <c r="T11" s="17">
        <f t="shared" si="3"/>
        <v>8</v>
      </c>
      <c r="U11" s="17">
        <f t="shared" si="3"/>
        <v>4</v>
      </c>
      <c r="V11" s="17">
        <f t="shared" si="3"/>
        <v>239</v>
      </c>
      <c r="W11" s="17">
        <f t="shared" si="3"/>
        <v>4</v>
      </c>
      <c r="X11" s="17">
        <f t="shared" si="3"/>
        <v>0</v>
      </c>
      <c r="Y11" s="17">
        <f t="shared" si="3"/>
        <v>7</v>
      </c>
      <c r="Z11" s="17">
        <f t="shared" si="3"/>
        <v>2</v>
      </c>
      <c r="AA11" s="17">
        <f t="shared" si="3"/>
        <v>2</v>
      </c>
      <c r="AB11" s="17">
        <f t="shared" si="3"/>
        <v>0</v>
      </c>
      <c r="AC11" s="17">
        <f t="shared" si="3"/>
        <v>525</v>
      </c>
      <c r="AD11" s="17">
        <f t="shared" si="3"/>
        <v>1</v>
      </c>
      <c r="AE11" s="31">
        <f t="shared" si="3"/>
        <v>306</v>
      </c>
      <c r="AF11" s="31">
        <f t="shared" si="3"/>
        <v>831</v>
      </c>
    </row>
    <row r="12" spans="2:32" ht="23.1" customHeight="1" x14ac:dyDescent="0.25">
      <c r="B12" s="45" t="s">
        <v>39</v>
      </c>
      <c r="C12" s="50">
        <v>10</v>
      </c>
      <c r="D12" s="50">
        <v>5</v>
      </c>
      <c r="E12" s="50">
        <v>0</v>
      </c>
      <c r="F12" s="50">
        <v>74</v>
      </c>
      <c r="G12" s="50">
        <v>1</v>
      </c>
      <c r="H12" s="50">
        <v>0</v>
      </c>
      <c r="I12" s="50">
        <v>4</v>
      </c>
      <c r="J12" s="50">
        <v>0</v>
      </c>
      <c r="K12" s="50">
        <v>0</v>
      </c>
      <c r="L12" s="50">
        <v>0</v>
      </c>
      <c r="M12" s="50">
        <v>130</v>
      </c>
      <c r="N12" s="50">
        <v>0</v>
      </c>
      <c r="O12" s="15">
        <f t="shared" si="0"/>
        <v>94</v>
      </c>
      <c r="P12" s="15">
        <f t="shared" si="1"/>
        <v>224</v>
      </c>
      <c r="R12" s="1" t="s">
        <v>8</v>
      </c>
      <c r="S12" s="17">
        <f t="shared" ref="S12:AF12" si="4">SUM(C18:C21)</f>
        <v>51</v>
      </c>
      <c r="T12" s="17">
        <f t="shared" si="4"/>
        <v>18</v>
      </c>
      <c r="U12" s="17">
        <f t="shared" si="4"/>
        <v>11</v>
      </c>
      <c r="V12" s="17">
        <f t="shared" si="4"/>
        <v>179</v>
      </c>
      <c r="W12" s="17">
        <f t="shared" si="4"/>
        <v>1</v>
      </c>
      <c r="X12" s="17">
        <f t="shared" si="4"/>
        <v>0</v>
      </c>
      <c r="Y12" s="17">
        <f t="shared" si="4"/>
        <v>11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580</v>
      </c>
      <c r="AD12" s="17">
        <f t="shared" si="4"/>
        <v>0</v>
      </c>
      <c r="AE12" s="31">
        <f t="shared" si="4"/>
        <v>272</v>
      </c>
      <c r="AF12" s="31">
        <f t="shared" si="4"/>
        <v>852</v>
      </c>
    </row>
    <row r="13" spans="2:32" ht="23.1" customHeight="1" x14ac:dyDescent="0.25">
      <c r="B13" s="45" t="s">
        <v>40</v>
      </c>
      <c r="C13" s="50">
        <v>4</v>
      </c>
      <c r="D13" s="50">
        <v>3</v>
      </c>
      <c r="E13" s="50">
        <v>3</v>
      </c>
      <c r="F13" s="50">
        <v>70</v>
      </c>
      <c r="G13" s="50">
        <v>0</v>
      </c>
      <c r="H13" s="50">
        <v>0</v>
      </c>
      <c r="I13" s="50">
        <v>0</v>
      </c>
      <c r="J13" s="50">
        <v>1</v>
      </c>
      <c r="K13" s="50">
        <v>1</v>
      </c>
      <c r="L13" s="50">
        <v>0</v>
      </c>
      <c r="M13" s="50">
        <v>120</v>
      </c>
      <c r="N13" s="50">
        <v>0</v>
      </c>
      <c r="O13" s="15">
        <f t="shared" si="0"/>
        <v>82</v>
      </c>
      <c r="P13" s="15">
        <f t="shared" si="1"/>
        <v>202</v>
      </c>
      <c r="R13" s="1" t="s">
        <v>9</v>
      </c>
      <c r="S13" s="17">
        <f t="shared" ref="S13:AF13" si="5">SUM(C22:C25)</f>
        <v>34</v>
      </c>
      <c r="T13" s="17">
        <f t="shared" si="5"/>
        <v>13</v>
      </c>
      <c r="U13" s="17">
        <f t="shared" si="5"/>
        <v>9</v>
      </c>
      <c r="V13" s="17">
        <f t="shared" si="5"/>
        <v>118</v>
      </c>
      <c r="W13" s="17">
        <f t="shared" si="5"/>
        <v>0</v>
      </c>
      <c r="X13" s="17">
        <f t="shared" si="5"/>
        <v>0</v>
      </c>
      <c r="Y13" s="17">
        <f t="shared" si="5"/>
        <v>17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429</v>
      </c>
      <c r="AD13" s="17">
        <f t="shared" si="5"/>
        <v>0</v>
      </c>
      <c r="AE13" s="31">
        <f t="shared" si="5"/>
        <v>191</v>
      </c>
      <c r="AF13" s="31">
        <f t="shared" si="5"/>
        <v>620</v>
      </c>
    </row>
    <row r="14" spans="2:32" ht="23.1" customHeight="1" x14ac:dyDescent="0.25">
      <c r="B14" s="45" t="s">
        <v>41</v>
      </c>
      <c r="C14" s="50">
        <v>15</v>
      </c>
      <c r="D14" s="50">
        <v>2</v>
      </c>
      <c r="E14" s="50">
        <v>0</v>
      </c>
      <c r="F14" s="50">
        <v>81</v>
      </c>
      <c r="G14" s="50">
        <v>0</v>
      </c>
      <c r="H14" s="50">
        <v>0</v>
      </c>
      <c r="I14" s="50">
        <v>3</v>
      </c>
      <c r="J14" s="50">
        <v>1</v>
      </c>
      <c r="K14" s="50">
        <v>0</v>
      </c>
      <c r="L14" s="50">
        <v>0</v>
      </c>
      <c r="M14" s="50">
        <v>130</v>
      </c>
      <c r="N14" s="50">
        <v>1</v>
      </c>
      <c r="O14" s="15">
        <f t="shared" si="0"/>
        <v>103</v>
      </c>
      <c r="P14" s="15">
        <f t="shared" si="1"/>
        <v>233</v>
      </c>
      <c r="R14" s="1" t="s">
        <v>10</v>
      </c>
      <c r="S14" s="17">
        <f t="shared" ref="S14:AF14" si="6">SUM(C26:C29)</f>
        <v>55</v>
      </c>
      <c r="T14" s="17">
        <f t="shared" si="6"/>
        <v>14</v>
      </c>
      <c r="U14" s="17">
        <f t="shared" si="6"/>
        <v>10</v>
      </c>
      <c r="V14" s="17">
        <f t="shared" si="6"/>
        <v>81</v>
      </c>
      <c r="W14" s="17">
        <f t="shared" si="6"/>
        <v>0</v>
      </c>
      <c r="X14" s="17">
        <f t="shared" si="6"/>
        <v>0</v>
      </c>
      <c r="Y14" s="17">
        <f t="shared" si="6"/>
        <v>16</v>
      </c>
      <c r="Z14" s="17">
        <f t="shared" si="6"/>
        <v>2</v>
      </c>
      <c r="AA14" s="17">
        <f t="shared" si="6"/>
        <v>4</v>
      </c>
      <c r="AB14" s="17">
        <f t="shared" si="6"/>
        <v>0</v>
      </c>
      <c r="AC14" s="17">
        <f t="shared" si="6"/>
        <v>590</v>
      </c>
      <c r="AD14" s="17">
        <f t="shared" si="6"/>
        <v>0</v>
      </c>
      <c r="AE14" s="31">
        <f t="shared" si="6"/>
        <v>182</v>
      </c>
      <c r="AF14" s="31">
        <f t="shared" si="6"/>
        <v>772</v>
      </c>
    </row>
    <row r="15" spans="2:32" ht="23.1" customHeight="1" x14ac:dyDescent="0.25">
      <c r="B15" s="45" t="s">
        <v>42</v>
      </c>
      <c r="C15" s="50">
        <v>4</v>
      </c>
      <c r="D15" s="50">
        <v>5</v>
      </c>
      <c r="E15" s="50">
        <v>2</v>
      </c>
      <c r="F15" s="50">
        <v>58</v>
      </c>
      <c r="G15" s="50">
        <v>4</v>
      </c>
      <c r="H15" s="50">
        <v>0</v>
      </c>
      <c r="I15" s="50">
        <v>1</v>
      </c>
      <c r="J15" s="50">
        <v>1</v>
      </c>
      <c r="K15" s="50">
        <v>1</v>
      </c>
      <c r="L15" s="50">
        <v>0</v>
      </c>
      <c r="M15" s="50">
        <v>130</v>
      </c>
      <c r="N15" s="50">
        <v>0</v>
      </c>
      <c r="O15" s="15">
        <f t="shared" si="0"/>
        <v>76</v>
      </c>
      <c r="P15" s="15">
        <f t="shared" si="1"/>
        <v>206</v>
      </c>
      <c r="R15" s="1" t="s">
        <v>11</v>
      </c>
      <c r="S15" s="17">
        <f t="shared" ref="S15:AF15" si="7">SUM(C30:C33)</f>
        <v>58</v>
      </c>
      <c r="T15" s="17">
        <f t="shared" si="7"/>
        <v>13</v>
      </c>
      <c r="U15" s="17">
        <f t="shared" si="7"/>
        <v>9</v>
      </c>
      <c r="V15" s="17">
        <f t="shared" si="7"/>
        <v>121</v>
      </c>
      <c r="W15" s="17">
        <f t="shared" si="7"/>
        <v>1</v>
      </c>
      <c r="X15" s="17">
        <f t="shared" si="7"/>
        <v>0</v>
      </c>
      <c r="Y15" s="17">
        <f t="shared" si="7"/>
        <v>8</v>
      </c>
      <c r="Z15" s="17">
        <f t="shared" si="7"/>
        <v>3</v>
      </c>
      <c r="AA15" s="17">
        <f t="shared" si="7"/>
        <v>2</v>
      </c>
      <c r="AB15" s="17">
        <f t="shared" si="7"/>
        <v>0</v>
      </c>
      <c r="AC15" s="17">
        <f t="shared" si="7"/>
        <v>565</v>
      </c>
      <c r="AD15" s="17">
        <f t="shared" si="7"/>
        <v>0</v>
      </c>
      <c r="AE15" s="31">
        <f t="shared" si="7"/>
        <v>215</v>
      </c>
      <c r="AF15" s="31">
        <f t="shared" si="7"/>
        <v>780</v>
      </c>
    </row>
    <row r="16" spans="2:32" ht="23.1" customHeight="1" x14ac:dyDescent="0.25">
      <c r="B16" s="45" t="s">
        <v>43</v>
      </c>
      <c r="C16" s="50">
        <v>9</v>
      </c>
      <c r="D16" s="50">
        <v>1</v>
      </c>
      <c r="E16" s="50">
        <v>1</v>
      </c>
      <c r="F16" s="50">
        <v>65</v>
      </c>
      <c r="G16" s="50">
        <v>0</v>
      </c>
      <c r="H16" s="50">
        <v>0</v>
      </c>
      <c r="I16" s="50">
        <v>2</v>
      </c>
      <c r="J16" s="50">
        <v>0</v>
      </c>
      <c r="K16" s="50">
        <v>1</v>
      </c>
      <c r="L16" s="50">
        <v>0</v>
      </c>
      <c r="M16" s="50">
        <v>160</v>
      </c>
      <c r="N16" s="50">
        <v>0</v>
      </c>
      <c r="O16" s="15">
        <f t="shared" si="0"/>
        <v>79</v>
      </c>
      <c r="P16" s="15">
        <f t="shared" si="1"/>
        <v>239</v>
      </c>
      <c r="R16" s="1" t="s">
        <v>12</v>
      </c>
      <c r="S16" s="17">
        <f t="shared" ref="S16:AF16" si="8">SUM(C34:C37)</f>
        <v>69</v>
      </c>
      <c r="T16" s="17">
        <f t="shared" si="8"/>
        <v>35</v>
      </c>
      <c r="U16" s="17">
        <f t="shared" si="8"/>
        <v>15</v>
      </c>
      <c r="V16" s="17">
        <f t="shared" si="8"/>
        <v>89</v>
      </c>
      <c r="W16" s="17">
        <f t="shared" si="8"/>
        <v>1</v>
      </c>
      <c r="X16" s="17">
        <f t="shared" si="8"/>
        <v>0</v>
      </c>
      <c r="Y16" s="17">
        <f t="shared" si="8"/>
        <v>16</v>
      </c>
      <c r="Z16" s="17">
        <f t="shared" si="8"/>
        <v>3</v>
      </c>
      <c r="AA16" s="17">
        <f t="shared" si="8"/>
        <v>1</v>
      </c>
      <c r="AB16" s="17">
        <f t="shared" si="8"/>
        <v>0</v>
      </c>
      <c r="AC16" s="17">
        <f t="shared" si="8"/>
        <v>500</v>
      </c>
      <c r="AD16" s="17">
        <f t="shared" si="8"/>
        <v>0</v>
      </c>
      <c r="AE16" s="31">
        <f t="shared" si="8"/>
        <v>229</v>
      </c>
      <c r="AF16" s="31">
        <f t="shared" si="8"/>
        <v>729</v>
      </c>
    </row>
    <row r="17" spans="2:32" ht="23.1" customHeight="1" x14ac:dyDescent="0.25">
      <c r="B17" s="45" t="s">
        <v>44</v>
      </c>
      <c r="C17" s="50">
        <v>11</v>
      </c>
      <c r="D17" s="50">
        <v>0</v>
      </c>
      <c r="E17" s="50">
        <v>1</v>
      </c>
      <c r="F17" s="50">
        <v>35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105</v>
      </c>
      <c r="N17" s="50">
        <v>0</v>
      </c>
      <c r="O17" s="15">
        <f t="shared" si="0"/>
        <v>48</v>
      </c>
      <c r="P17" s="15">
        <f t="shared" si="1"/>
        <v>153</v>
      </c>
      <c r="R17" s="1" t="s">
        <v>13</v>
      </c>
      <c r="S17" s="17">
        <f t="shared" ref="S17:AF17" si="9">SUM(C38:C41)</f>
        <v>87</v>
      </c>
      <c r="T17" s="17">
        <f t="shared" si="9"/>
        <v>42</v>
      </c>
      <c r="U17" s="17">
        <f t="shared" si="9"/>
        <v>17</v>
      </c>
      <c r="V17" s="17">
        <f t="shared" si="9"/>
        <v>82</v>
      </c>
      <c r="W17" s="17">
        <f t="shared" si="9"/>
        <v>0</v>
      </c>
      <c r="X17" s="17">
        <f t="shared" si="9"/>
        <v>0</v>
      </c>
      <c r="Y17" s="17">
        <f t="shared" si="9"/>
        <v>12</v>
      </c>
      <c r="Z17" s="17">
        <f t="shared" si="9"/>
        <v>0</v>
      </c>
      <c r="AA17" s="17">
        <f t="shared" si="9"/>
        <v>2</v>
      </c>
      <c r="AB17" s="17">
        <f t="shared" si="9"/>
        <v>0</v>
      </c>
      <c r="AC17" s="17">
        <f t="shared" si="9"/>
        <v>578</v>
      </c>
      <c r="AD17" s="17">
        <f t="shared" si="9"/>
        <v>0</v>
      </c>
      <c r="AE17" s="31">
        <f t="shared" si="9"/>
        <v>242</v>
      </c>
      <c r="AF17" s="31">
        <f t="shared" si="9"/>
        <v>820</v>
      </c>
    </row>
    <row r="18" spans="2:32" ht="23.1" customHeight="1" x14ac:dyDescent="0.25">
      <c r="B18" s="45" t="s">
        <v>45</v>
      </c>
      <c r="C18" s="50">
        <v>11</v>
      </c>
      <c r="D18" s="50">
        <v>4</v>
      </c>
      <c r="E18" s="50">
        <v>2</v>
      </c>
      <c r="F18" s="50">
        <v>56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160</v>
      </c>
      <c r="N18" s="50">
        <v>0</v>
      </c>
      <c r="O18" s="15">
        <f t="shared" si="0"/>
        <v>76</v>
      </c>
      <c r="P18" s="15">
        <f t="shared" si="1"/>
        <v>236</v>
      </c>
      <c r="R18" s="1" t="s">
        <v>14</v>
      </c>
      <c r="S18" s="17">
        <f t="shared" ref="S18:AF18" si="10">SUM(C42:C45)</f>
        <v>105</v>
      </c>
      <c r="T18" s="17">
        <f t="shared" si="10"/>
        <v>48</v>
      </c>
      <c r="U18" s="17">
        <f t="shared" si="10"/>
        <v>12</v>
      </c>
      <c r="V18" s="17">
        <f t="shared" si="10"/>
        <v>63</v>
      </c>
      <c r="W18" s="17">
        <f t="shared" si="10"/>
        <v>1</v>
      </c>
      <c r="X18" s="17">
        <f t="shared" si="10"/>
        <v>0</v>
      </c>
      <c r="Y18" s="17">
        <f t="shared" si="10"/>
        <v>17</v>
      </c>
      <c r="Z18" s="17">
        <f t="shared" si="10"/>
        <v>1</v>
      </c>
      <c r="AA18" s="17">
        <f t="shared" si="10"/>
        <v>2</v>
      </c>
      <c r="AB18" s="17">
        <f t="shared" si="10"/>
        <v>0</v>
      </c>
      <c r="AC18" s="17">
        <f t="shared" si="10"/>
        <v>304</v>
      </c>
      <c r="AD18" s="17">
        <f t="shared" si="10"/>
        <v>0</v>
      </c>
      <c r="AE18" s="31">
        <f t="shared" si="10"/>
        <v>249</v>
      </c>
      <c r="AF18" s="31">
        <f t="shared" si="10"/>
        <v>553</v>
      </c>
    </row>
    <row r="19" spans="2:32" ht="23.1" customHeight="1" x14ac:dyDescent="0.25">
      <c r="B19" s="45" t="s">
        <v>46</v>
      </c>
      <c r="C19" s="50">
        <v>14</v>
      </c>
      <c r="D19" s="50">
        <v>5</v>
      </c>
      <c r="E19" s="50">
        <v>3</v>
      </c>
      <c r="F19" s="50">
        <v>50</v>
      </c>
      <c r="G19" s="50">
        <v>0</v>
      </c>
      <c r="H19" s="50">
        <v>0</v>
      </c>
      <c r="I19" s="50">
        <v>4</v>
      </c>
      <c r="J19" s="50">
        <v>0</v>
      </c>
      <c r="K19" s="50">
        <v>0</v>
      </c>
      <c r="L19" s="50">
        <v>0</v>
      </c>
      <c r="M19" s="50">
        <v>135</v>
      </c>
      <c r="N19" s="50">
        <v>0</v>
      </c>
      <c r="O19" s="15">
        <f t="shared" si="0"/>
        <v>76</v>
      </c>
      <c r="P19" s="15">
        <f t="shared" si="1"/>
        <v>211</v>
      </c>
      <c r="R19" s="1" t="s">
        <v>15</v>
      </c>
      <c r="S19" s="17">
        <f t="shared" ref="S19:AF19" si="11">SUM(C46:C49)</f>
        <v>86</v>
      </c>
      <c r="T19" s="17">
        <f t="shared" si="11"/>
        <v>36</v>
      </c>
      <c r="U19" s="17">
        <f t="shared" si="11"/>
        <v>23</v>
      </c>
      <c r="V19" s="17">
        <f t="shared" si="11"/>
        <v>85</v>
      </c>
      <c r="W19" s="17">
        <f t="shared" si="11"/>
        <v>3</v>
      </c>
      <c r="X19" s="17">
        <f t="shared" si="11"/>
        <v>0</v>
      </c>
      <c r="Y19" s="17">
        <f t="shared" si="11"/>
        <v>22</v>
      </c>
      <c r="Z19" s="17">
        <f t="shared" si="11"/>
        <v>4</v>
      </c>
      <c r="AA19" s="17">
        <f t="shared" si="11"/>
        <v>1</v>
      </c>
      <c r="AB19" s="17">
        <f t="shared" si="11"/>
        <v>0</v>
      </c>
      <c r="AC19" s="17">
        <f t="shared" si="11"/>
        <v>355</v>
      </c>
      <c r="AD19" s="17">
        <f t="shared" si="11"/>
        <v>0</v>
      </c>
      <c r="AE19" s="31">
        <f t="shared" si="11"/>
        <v>260</v>
      </c>
      <c r="AF19" s="31">
        <f t="shared" si="11"/>
        <v>615</v>
      </c>
    </row>
    <row r="20" spans="2:32" ht="23.1" customHeight="1" x14ac:dyDescent="0.25">
      <c r="B20" s="45" t="s">
        <v>47</v>
      </c>
      <c r="C20" s="50">
        <v>21</v>
      </c>
      <c r="D20" s="50">
        <v>5</v>
      </c>
      <c r="E20" s="50">
        <v>2</v>
      </c>
      <c r="F20" s="50">
        <v>35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130</v>
      </c>
      <c r="N20" s="50">
        <v>0</v>
      </c>
      <c r="O20" s="15">
        <f t="shared" si="0"/>
        <v>65</v>
      </c>
      <c r="P20" s="15">
        <f t="shared" si="1"/>
        <v>195</v>
      </c>
      <c r="R20" s="1" t="s">
        <v>16</v>
      </c>
      <c r="S20" s="17">
        <f t="shared" ref="S20:AF20" si="12">SUM(C50:C53)</f>
        <v>119</v>
      </c>
      <c r="T20" s="17">
        <f t="shared" si="12"/>
        <v>47</v>
      </c>
      <c r="U20" s="17">
        <f t="shared" si="12"/>
        <v>25</v>
      </c>
      <c r="V20" s="17">
        <f t="shared" si="12"/>
        <v>99</v>
      </c>
      <c r="W20" s="17">
        <f t="shared" si="12"/>
        <v>2</v>
      </c>
      <c r="X20" s="17">
        <f t="shared" si="12"/>
        <v>1</v>
      </c>
      <c r="Y20" s="17">
        <f t="shared" si="12"/>
        <v>16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335</v>
      </c>
      <c r="AD20" s="17">
        <f t="shared" si="12"/>
        <v>0</v>
      </c>
      <c r="AE20" s="31">
        <f t="shared" si="12"/>
        <v>311</v>
      </c>
      <c r="AF20" s="31">
        <f t="shared" si="12"/>
        <v>646</v>
      </c>
    </row>
    <row r="21" spans="2:32" ht="23.1" customHeight="1" x14ac:dyDescent="0.25">
      <c r="B21" s="45" t="s">
        <v>48</v>
      </c>
      <c r="C21" s="50">
        <v>5</v>
      </c>
      <c r="D21" s="50">
        <v>4</v>
      </c>
      <c r="E21" s="50">
        <v>4</v>
      </c>
      <c r="F21" s="50">
        <v>38</v>
      </c>
      <c r="G21" s="50">
        <v>1</v>
      </c>
      <c r="H21" s="50">
        <v>0</v>
      </c>
      <c r="I21" s="50">
        <v>2</v>
      </c>
      <c r="J21" s="50">
        <v>1</v>
      </c>
      <c r="K21" s="50">
        <v>0</v>
      </c>
      <c r="L21" s="50">
        <v>0</v>
      </c>
      <c r="M21" s="50">
        <v>155</v>
      </c>
      <c r="N21" s="50">
        <v>0</v>
      </c>
      <c r="O21" s="15">
        <f t="shared" si="0"/>
        <v>55</v>
      </c>
      <c r="P21" s="15">
        <f t="shared" si="1"/>
        <v>210</v>
      </c>
      <c r="R21" s="36" t="s">
        <v>20</v>
      </c>
      <c r="S21" s="34">
        <f t="shared" ref="S21:AF21" si="13">SUM(C54:C57)</f>
        <v>136</v>
      </c>
      <c r="T21" s="17">
        <f t="shared" si="13"/>
        <v>68</v>
      </c>
      <c r="U21" s="17">
        <f t="shared" si="13"/>
        <v>11</v>
      </c>
      <c r="V21" s="17">
        <f t="shared" si="13"/>
        <v>130</v>
      </c>
      <c r="W21" s="17">
        <f t="shared" si="13"/>
        <v>3</v>
      </c>
      <c r="X21" s="17">
        <f t="shared" si="13"/>
        <v>0</v>
      </c>
      <c r="Y21" s="17">
        <f t="shared" si="13"/>
        <v>22</v>
      </c>
      <c r="Z21" s="17">
        <f t="shared" si="13"/>
        <v>4</v>
      </c>
      <c r="AA21" s="17">
        <f t="shared" si="13"/>
        <v>0</v>
      </c>
      <c r="AB21" s="17">
        <f t="shared" si="13"/>
        <v>0</v>
      </c>
      <c r="AC21" s="17">
        <f t="shared" si="13"/>
        <v>389</v>
      </c>
      <c r="AD21" s="17">
        <f t="shared" si="13"/>
        <v>0</v>
      </c>
      <c r="AE21" s="31">
        <f t="shared" si="13"/>
        <v>374</v>
      </c>
      <c r="AF21" s="31">
        <f t="shared" si="13"/>
        <v>763</v>
      </c>
    </row>
    <row r="22" spans="2:32" ht="23.1" customHeight="1" x14ac:dyDescent="0.25">
      <c r="B22" s="45" t="s">
        <v>49</v>
      </c>
      <c r="C22" s="50">
        <v>11</v>
      </c>
      <c r="D22" s="50">
        <v>4</v>
      </c>
      <c r="E22" s="50">
        <v>2</v>
      </c>
      <c r="F22" s="50">
        <v>33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180</v>
      </c>
      <c r="N22" s="50">
        <v>0</v>
      </c>
      <c r="O22" s="15">
        <f t="shared" si="0"/>
        <v>53</v>
      </c>
      <c r="P22" s="15">
        <f t="shared" si="1"/>
        <v>233</v>
      </c>
      <c r="R22" s="36" t="s">
        <v>146</v>
      </c>
      <c r="S22" s="34">
        <f>SUM(C58:C61)</f>
        <v>83</v>
      </c>
      <c r="T22" s="34">
        <f t="shared" ref="T22:AF22" si="14">SUM(D58:D61)</f>
        <v>27</v>
      </c>
      <c r="U22" s="34">
        <f t="shared" si="14"/>
        <v>26</v>
      </c>
      <c r="V22" s="34">
        <f t="shared" si="14"/>
        <v>157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0</v>
      </c>
      <c r="AA22" s="34">
        <f t="shared" si="14"/>
        <v>2</v>
      </c>
      <c r="AB22" s="34">
        <f t="shared" si="14"/>
        <v>0</v>
      </c>
      <c r="AC22" s="34">
        <f t="shared" si="14"/>
        <v>265</v>
      </c>
      <c r="AD22" s="34">
        <f t="shared" si="14"/>
        <v>0</v>
      </c>
      <c r="AE22" s="31">
        <f t="shared" si="14"/>
        <v>295</v>
      </c>
      <c r="AF22" s="31">
        <f t="shared" si="14"/>
        <v>560</v>
      </c>
    </row>
    <row r="23" spans="2:32" ht="23.1" customHeight="1" x14ac:dyDescent="0.25">
      <c r="B23" s="45" t="s">
        <v>50</v>
      </c>
      <c r="C23" s="50">
        <v>5</v>
      </c>
      <c r="D23" s="50">
        <v>4</v>
      </c>
      <c r="E23" s="50">
        <v>3</v>
      </c>
      <c r="F23" s="50">
        <v>31</v>
      </c>
      <c r="G23" s="50">
        <v>0</v>
      </c>
      <c r="H23" s="50">
        <v>0</v>
      </c>
      <c r="I23" s="50">
        <v>8</v>
      </c>
      <c r="J23" s="50">
        <v>0</v>
      </c>
      <c r="K23" s="50">
        <v>0</v>
      </c>
      <c r="L23" s="50">
        <v>0</v>
      </c>
      <c r="M23" s="50">
        <v>14</v>
      </c>
      <c r="N23" s="50">
        <v>0</v>
      </c>
      <c r="O23" s="15">
        <f t="shared" si="0"/>
        <v>51</v>
      </c>
      <c r="P23" s="15">
        <f t="shared" si="1"/>
        <v>65</v>
      </c>
      <c r="R23" s="36" t="s">
        <v>147</v>
      </c>
      <c r="S23" s="34">
        <f>SUM(C62:C65)</f>
        <v>110</v>
      </c>
      <c r="T23" s="34">
        <f t="shared" ref="T23:AF23" si="15">SUM(D62:D65)</f>
        <v>32</v>
      </c>
      <c r="U23" s="34">
        <f t="shared" si="15"/>
        <v>13</v>
      </c>
      <c r="V23" s="34">
        <f t="shared" si="15"/>
        <v>133</v>
      </c>
      <c r="W23" s="34">
        <f t="shared" si="15"/>
        <v>2</v>
      </c>
      <c r="X23" s="34">
        <f t="shared" si="15"/>
        <v>0</v>
      </c>
      <c r="Y23" s="34">
        <f t="shared" si="15"/>
        <v>1</v>
      </c>
      <c r="Z23" s="34">
        <f t="shared" si="15"/>
        <v>0</v>
      </c>
      <c r="AA23" s="34">
        <f t="shared" si="15"/>
        <v>2</v>
      </c>
      <c r="AB23" s="34">
        <f t="shared" si="15"/>
        <v>0</v>
      </c>
      <c r="AC23" s="34">
        <f t="shared" si="15"/>
        <v>435</v>
      </c>
      <c r="AD23" s="34">
        <f t="shared" si="15"/>
        <v>0</v>
      </c>
      <c r="AE23" s="31">
        <f t="shared" si="15"/>
        <v>293</v>
      </c>
      <c r="AF23" s="31">
        <f t="shared" si="15"/>
        <v>728</v>
      </c>
    </row>
    <row r="24" spans="2:32" ht="23.1" customHeight="1" x14ac:dyDescent="0.25">
      <c r="B24" s="45" t="s">
        <v>51</v>
      </c>
      <c r="C24" s="50">
        <v>6</v>
      </c>
      <c r="D24" s="50">
        <v>2</v>
      </c>
      <c r="E24" s="50">
        <v>1</v>
      </c>
      <c r="F24" s="50">
        <v>9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70</v>
      </c>
      <c r="N24" s="50">
        <v>0</v>
      </c>
      <c r="O24" s="15">
        <f t="shared" si="0"/>
        <v>19</v>
      </c>
      <c r="P24" s="15">
        <f t="shared" si="1"/>
        <v>89</v>
      </c>
      <c r="R24" s="36" t="s">
        <v>148</v>
      </c>
      <c r="S24" s="34">
        <f>SUM(C66:C69)</f>
        <v>107</v>
      </c>
      <c r="T24" s="34">
        <f t="shared" ref="T24:AF24" si="16">SUM(D66:D69)</f>
        <v>42</v>
      </c>
      <c r="U24" s="34">
        <f t="shared" si="16"/>
        <v>12</v>
      </c>
      <c r="V24" s="34">
        <f t="shared" si="16"/>
        <v>152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6</v>
      </c>
      <c r="AA24" s="34">
        <f t="shared" si="16"/>
        <v>6</v>
      </c>
      <c r="AB24" s="34">
        <f t="shared" si="16"/>
        <v>0</v>
      </c>
      <c r="AC24" s="34">
        <f t="shared" si="16"/>
        <v>265</v>
      </c>
      <c r="AD24" s="34">
        <f t="shared" si="16"/>
        <v>1</v>
      </c>
      <c r="AE24" s="31">
        <f t="shared" si="16"/>
        <v>326</v>
      </c>
      <c r="AF24" s="31">
        <f t="shared" si="16"/>
        <v>591</v>
      </c>
    </row>
    <row r="25" spans="2:32" ht="23.1" customHeight="1" x14ac:dyDescent="0.25">
      <c r="B25" s="45" t="s">
        <v>52</v>
      </c>
      <c r="C25" s="50">
        <v>12</v>
      </c>
      <c r="D25" s="50">
        <v>3</v>
      </c>
      <c r="E25" s="50">
        <v>3</v>
      </c>
      <c r="F25" s="50">
        <v>45</v>
      </c>
      <c r="G25" s="50">
        <v>0</v>
      </c>
      <c r="H25" s="50">
        <v>0</v>
      </c>
      <c r="I25" s="50">
        <v>5</v>
      </c>
      <c r="J25" s="50">
        <v>0</v>
      </c>
      <c r="K25" s="50">
        <v>0</v>
      </c>
      <c r="L25" s="50">
        <v>0</v>
      </c>
      <c r="M25" s="50">
        <v>165</v>
      </c>
      <c r="N25" s="50">
        <v>0</v>
      </c>
      <c r="O25" s="15">
        <f t="shared" si="0"/>
        <v>68</v>
      </c>
      <c r="P25" s="15">
        <f t="shared" si="1"/>
        <v>233</v>
      </c>
      <c r="R25" s="36" t="s">
        <v>149</v>
      </c>
      <c r="S25" s="34">
        <f>SUM(C70:C73)</f>
        <v>83</v>
      </c>
      <c r="T25" s="34">
        <f t="shared" ref="T25:AF25" si="17">SUM(D70:D73)</f>
        <v>26</v>
      </c>
      <c r="U25" s="34">
        <f t="shared" si="17"/>
        <v>7</v>
      </c>
      <c r="V25" s="34">
        <f t="shared" si="17"/>
        <v>83</v>
      </c>
      <c r="W25" s="34">
        <f t="shared" si="17"/>
        <v>1</v>
      </c>
      <c r="X25" s="34">
        <f t="shared" si="17"/>
        <v>0</v>
      </c>
      <c r="Y25" s="34">
        <f t="shared" si="17"/>
        <v>0</v>
      </c>
      <c r="Z25" s="34">
        <f t="shared" si="17"/>
        <v>1</v>
      </c>
      <c r="AA25" s="34">
        <f t="shared" si="17"/>
        <v>2</v>
      </c>
      <c r="AB25" s="34">
        <f t="shared" si="17"/>
        <v>0</v>
      </c>
      <c r="AC25" s="34">
        <f t="shared" si="17"/>
        <v>140</v>
      </c>
      <c r="AD25" s="34">
        <f t="shared" si="17"/>
        <v>0</v>
      </c>
      <c r="AE25" s="31">
        <f t="shared" si="17"/>
        <v>203</v>
      </c>
      <c r="AF25" s="31">
        <f t="shared" si="17"/>
        <v>343</v>
      </c>
    </row>
    <row r="26" spans="2:32" ht="23.1" customHeight="1" x14ac:dyDescent="0.25">
      <c r="B26" s="45" t="s">
        <v>53</v>
      </c>
      <c r="C26" s="50">
        <v>10</v>
      </c>
      <c r="D26" s="50">
        <v>9</v>
      </c>
      <c r="E26" s="50">
        <v>3</v>
      </c>
      <c r="F26" s="50">
        <v>5</v>
      </c>
      <c r="G26" s="50">
        <v>0</v>
      </c>
      <c r="H26" s="50">
        <v>0</v>
      </c>
      <c r="I26" s="50">
        <v>7</v>
      </c>
      <c r="J26" s="50">
        <v>1</v>
      </c>
      <c r="K26" s="50">
        <v>0</v>
      </c>
      <c r="L26" s="50">
        <v>0</v>
      </c>
      <c r="M26" s="50">
        <v>175</v>
      </c>
      <c r="N26" s="50">
        <v>0</v>
      </c>
      <c r="O26" s="15">
        <f t="shared" si="0"/>
        <v>35</v>
      </c>
      <c r="P26" s="15">
        <f t="shared" si="1"/>
        <v>210</v>
      </c>
      <c r="R26" s="36" t="s">
        <v>150</v>
      </c>
      <c r="S26" s="34">
        <f>SUM(C74:C77)</f>
        <v>91</v>
      </c>
      <c r="T26" s="34">
        <f t="shared" ref="T26:AF26" si="18">SUM(D74:D77)</f>
        <v>12</v>
      </c>
      <c r="U26" s="34">
        <f t="shared" si="18"/>
        <v>5</v>
      </c>
      <c r="V26" s="34">
        <f t="shared" si="18"/>
        <v>58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3</v>
      </c>
      <c r="AA26" s="34">
        <f t="shared" si="18"/>
        <v>2</v>
      </c>
      <c r="AB26" s="34">
        <f t="shared" si="18"/>
        <v>0</v>
      </c>
      <c r="AC26" s="34">
        <f t="shared" si="18"/>
        <v>105</v>
      </c>
      <c r="AD26" s="34">
        <f t="shared" si="18"/>
        <v>0</v>
      </c>
      <c r="AE26" s="31">
        <f t="shared" si="18"/>
        <v>172</v>
      </c>
      <c r="AF26" s="31">
        <f t="shared" si="18"/>
        <v>277</v>
      </c>
    </row>
    <row r="27" spans="2:32" ht="23.1" customHeight="1" x14ac:dyDescent="0.25">
      <c r="B27" s="45" t="s">
        <v>54</v>
      </c>
      <c r="C27" s="50">
        <v>14</v>
      </c>
      <c r="D27" s="50">
        <v>1</v>
      </c>
      <c r="E27" s="50">
        <v>3</v>
      </c>
      <c r="F27" s="50">
        <v>32</v>
      </c>
      <c r="G27" s="50">
        <v>0</v>
      </c>
      <c r="H27" s="50">
        <v>0</v>
      </c>
      <c r="I27" s="50">
        <v>5</v>
      </c>
      <c r="J27" s="50">
        <v>0</v>
      </c>
      <c r="K27" s="50">
        <v>1</v>
      </c>
      <c r="L27" s="50">
        <v>0</v>
      </c>
      <c r="M27" s="50">
        <v>150</v>
      </c>
      <c r="N27" s="50">
        <v>0</v>
      </c>
      <c r="O27" s="15">
        <f t="shared" si="0"/>
        <v>56</v>
      </c>
      <c r="P27" s="15">
        <f t="shared" si="1"/>
        <v>206</v>
      </c>
      <c r="R27" s="36" t="s">
        <v>151</v>
      </c>
      <c r="S27" s="34">
        <f>SUM(C78:C81)</f>
        <v>49</v>
      </c>
      <c r="T27" s="34">
        <f t="shared" ref="T27:AF27" si="19">SUM(D78:D81)</f>
        <v>6</v>
      </c>
      <c r="U27" s="34">
        <f t="shared" si="19"/>
        <v>8</v>
      </c>
      <c r="V27" s="34">
        <f t="shared" si="19"/>
        <v>43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4</v>
      </c>
      <c r="AA27" s="34">
        <f t="shared" si="19"/>
        <v>0</v>
      </c>
      <c r="AB27" s="34">
        <f t="shared" si="19"/>
        <v>0</v>
      </c>
      <c r="AC27" s="34">
        <f t="shared" si="19"/>
        <v>110</v>
      </c>
      <c r="AD27" s="34">
        <f t="shared" si="19"/>
        <v>0</v>
      </c>
      <c r="AE27" s="31">
        <f t="shared" si="19"/>
        <v>110</v>
      </c>
      <c r="AF27" s="31">
        <f t="shared" si="19"/>
        <v>220</v>
      </c>
    </row>
    <row r="28" spans="2:32" ht="23.1" customHeight="1" x14ac:dyDescent="0.25">
      <c r="B28" s="45" t="s">
        <v>55</v>
      </c>
      <c r="C28" s="50">
        <v>13</v>
      </c>
      <c r="D28" s="50">
        <v>0</v>
      </c>
      <c r="E28" s="50">
        <v>0</v>
      </c>
      <c r="F28" s="50">
        <v>16</v>
      </c>
      <c r="G28" s="50">
        <v>0</v>
      </c>
      <c r="H28" s="50">
        <v>0</v>
      </c>
      <c r="I28" s="50">
        <v>1</v>
      </c>
      <c r="J28" s="50">
        <v>1</v>
      </c>
      <c r="K28" s="50">
        <v>2</v>
      </c>
      <c r="L28" s="50">
        <v>0</v>
      </c>
      <c r="M28" s="50">
        <v>130</v>
      </c>
      <c r="N28" s="50">
        <v>0</v>
      </c>
      <c r="O28" s="15">
        <f t="shared" si="0"/>
        <v>33</v>
      </c>
      <c r="P28" s="15">
        <f t="shared" si="1"/>
        <v>163</v>
      </c>
      <c r="R28" s="36" t="s">
        <v>152</v>
      </c>
      <c r="S28" s="34">
        <f>SUM(C82:C85)</f>
        <v>33</v>
      </c>
      <c r="T28" s="34">
        <f t="shared" ref="T28:AF28" si="20">SUM(D82:D85)</f>
        <v>12</v>
      </c>
      <c r="U28" s="34">
        <f t="shared" si="20"/>
        <v>2</v>
      </c>
      <c r="V28" s="34">
        <f t="shared" si="20"/>
        <v>13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3</v>
      </c>
      <c r="AA28" s="34">
        <f t="shared" si="20"/>
        <v>0</v>
      </c>
      <c r="AB28" s="34">
        <f t="shared" si="20"/>
        <v>0</v>
      </c>
      <c r="AC28" s="34">
        <f t="shared" si="20"/>
        <v>95</v>
      </c>
      <c r="AD28" s="34">
        <f t="shared" si="20"/>
        <v>0</v>
      </c>
      <c r="AE28" s="31">
        <f t="shared" si="20"/>
        <v>63</v>
      </c>
      <c r="AF28" s="31">
        <f t="shared" si="20"/>
        <v>158</v>
      </c>
    </row>
    <row r="29" spans="2:32" ht="23.1" customHeight="1" x14ac:dyDescent="0.25">
      <c r="B29" s="45" t="s">
        <v>56</v>
      </c>
      <c r="C29" s="50">
        <v>18</v>
      </c>
      <c r="D29" s="50">
        <v>4</v>
      </c>
      <c r="E29" s="50">
        <v>4</v>
      </c>
      <c r="F29" s="50">
        <v>28</v>
      </c>
      <c r="G29" s="50">
        <v>0</v>
      </c>
      <c r="H29" s="50">
        <v>0</v>
      </c>
      <c r="I29" s="50">
        <v>3</v>
      </c>
      <c r="J29" s="50">
        <v>0</v>
      </c>
      <c r="K29" s="50">
        <v>1</v>
      </c>
      <c r="L29" s="50">
        <v>0</v>
      </c>
      <c r="M29" s="50">
        <v>135</v>
      </c>
      <c r="N29" s="50">
        <v>0</v>
      </c>
      <c r="O29" s="15">
        <f t="shared" si="0"/>
        <v>58</v>
      </c>
      <c r="P29" s="15">
        <f t="shared" si="1"/>
        <v>193</v>
      </c>
      <c r="R29" s="36" t="s">
        <v>153</v>
      </c>
      <c r="S29" s="34">
        <f>SUM(C86:C89)</f>
        <v>27</v>
      </c>
      <c r="T29" s="34">
        <f t="shared" ref="T29:AF29" si="21">SUM(D86:D89)</f>
        <v>8</v>
      </c>
      <c r="U29" s="34">
        <f t="shared" si="21"/>
        <v>5</v>
      </c>
      <c r="V29" s="34">
        <f t="shared" si="21"/>
        <v>22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3</v>
      </c>
      <c r="AB29" s="34">
        <f t="shared" si="21"/>
        <v>0</v>
      </c>
      <c r="AC29" s="34">
        <f t="shared" si="21"/>
        <v>50</v>
      </c>
      <c r="AD29" s="34">
        <f t="shared" si="21"/>
        <v>0</v>
      </c>
      <c r="AE29" s="31">
        <f t="shared" si="21"/>
        <v>65</v>
      </c>
      <c r="AF29" s="31">
        <f t="shared" si="21"/>
        <v>115</v>
      </c>
    </row>
    <row r="30" spans="2:32" ht="23.1" customHeight="1" x14ac:dyDescent="0.25">
      <c r="B30" s="45" t="s">
        <v>57</v>
      </c>
      <c r="C30" s="50">
        <v>15</v>
      </c>
      <c r="D30" s="50">
        <v>6</v>
      </c>
      <c r="E30" s="50">
        <v>3</v>
      </c>
      <c r="F30" s="50">
        <v>40</v>
      </c>
      <c r="G30" s="50">
        <v>0</v>
      </c>
      <c r="H30" s="50">
        <v>0</v>
      </c>
      <c r="I30" s="50">
        <v>1</v>
      </c>
      <c r="J30" s="50">
        <v>1</v>
      </c>
      <c r="K30" s="50">
        <v>1</v>
      </c>
      <c r="L30" s="50">
        <v>0</v>
      </c>
      <c r="M30" s="50">
        <v>145</v>
      </c>
      <c r="N30" s="50">
        <v>0</v>
      </c>
      <c r="O30" s="15">
        <f t="shared" si="0"/>
        <v>67</v>
      </c>
      <c r="P30" s="15">
        <f t="shared" si="1"/>
        <v>212</v>
      </c>
      <c r="R30" s="36" t="s">
        <v>154</v>
      </c>
      <c r="S30" s="34">
        <f>SUM(C90:C93)</f>
        <v>31</v>
      </c>
      <c r="T30" s="34">
        <f t="shared" ref="T30:AF30" si="22">SUM(D90:D93)</f>
        <v>9</v>
      </c>
      <c r="U30" s="34">
        <f t="shared" si="22"/>
        <v>8</v>
      </c>
      <c r="V30" s="34">
        <f t="shared" si="22"/>
        <v>40</v>
      </c>
      <c r="W30" s="34">
        <f t="shared" si="22"/>
        <v>6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2</v>
      </c>
      <c r="AB30" s="34">
        <f t="shared" si="22"/>
        <v>0</v>
      </c>
      <c r="AC30" s="34">
        <f t="shared" si="22"/>
        <v>115</v>
      </c>
      <c r="AD30" s="34">
        <f t="shared" si="22"/>
        <v>0</v>
      </c>
      <c r="AE30" s="31">
        <f t="shared" si="22"/>
        <v>96</v>
      </c>
      <c r="AF30" s="31">
        <f t="shared" si="22"/>
        <v>211</v>
      </c>
    </row>
    <row r="31" spans="2:32" ht="23.1" customHeight="1" x14ac:dyDescent="0.25">
      <c r="B31" s="46" t="s">
        <v>58</v>
      </c>
      <c r="C31" s="50">
        <v>12</v>
      </c>
      <c r="D31" s="50">
        <v>3</v>
      </c>
      <c r="E31" s="50">
        <v>3</v>
      </c>
      <c r="F31" s="50">
        <v>32</v>
      </c>
      <c r="G31" s="50">
        <v>1</v>
      </c>
      <c r="H31" s="50">
        <v>0</v>
      </c>
      <c r="I31" s="50">
        <v>2</v>
      </c>
      <c r="J31" s="50">
        <v>1</v>
      </c>
      <c r="K31" s="50">
        <v>1</v>
      </c>
      <c r="L31" s="50">
        <v>0</v>
      </c>
      <c r="M31" s="50">
        <v>135</v>
      </c>
      <c r="N31" s="50">
        <v>0</v>
      </c>
      <c r="O31" s="15">
        <f t="shared" si="0"/>
        <v>55</v>
      </c>
      <c r="P31" s="15">
        <f t="shared" si="1"/>
        <v>190</v>
      </c>
      <c r="R31" s="36" t="s">
        <v>155</v>
      </c>
      <c r="S31" s="34">
        <f>SUM(C94:C97)</f>
        <v>48</v>
      </c>
      <c r="T31" s="34">
        <f t="shared" ref="T31:AF31" si="23">SUM(D94:D97)</f>
        <v>8</v>
      </c>
      <c r="U31" s="34">
        <f t="shared" si="23"/>
        <v>2</v>
      </c>
      <c r="V31" s="34">
        <f t="shared" si="23"/>
        <v>4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4</v>
      </c>
      <c r="AB31" s="34">
        <f t="shared" si="23"/>
        <v>0</v>
      </c>
      <c r="AC31" s="34">
        <f t="shared" si="23"/>
        <v>114</v>
      </c>
      <c r="AD31" s="34">
        <f t="shared" si="23"/>
        <v>0</v>
      </c>
      <c r="AE31" s="31">
        <f t="shared" si="23"/>
        <v>66</v>
      </c>
      <c r="AF31" s="31">
        <f t="shared" si="23"/>
        <v>180</v>
      </c>
    </row>
    <row r="32" spans="2:32" ht="23.1" customHeight="1" x14ac:dyDescent="0.25">
      <c r="B32" s="46" t="s">
        <v>59</v>
      </c>
      <c r="C32" s="50">
        <v>18</v>
      </c>
      <c r="D32" s="50">
        <v>4</v>
      </c>
      <c r="E32" s="50">
        <v>2</v>
      </c>
      <c r="F32" s="50">
        <v>21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0</v>
      </c>
      <c r="M32" s="50">
        <v>135</v>
      </c>
      <c r="N32" s="50">
        <v>0</v>
      </c>
      <c r="O32" s="15">
        <f t="shared" si="0"/>
        <v>49</v>
      </c>
      <c r="P32" s="15">
        <f t="shared" si="1"/>
        <v>184</v>
      </c>
      <c r="R32" s="33" t="s">
        <v>156</v>
      </c>
      <c r="S32" s="34">
        <f>SUM(C98:C101)</f>
        <v>32</v>
      </c>
      <c r="T32" s="34">
        <f t="shared" ref="T32:AF32" si="24">SUM(D98:D101)</f>
        <v>1</v>
      </c>
      <c r="U32" s="34">
        <f t="shared" si="24"/>
        <v>3</v>
      </c>
      <c r="V32" s="34">
        <f t="shared" si="24"/>
        <v>2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2</v>
      </c>
      <c r="AB32" s="34">
        <f t="shared" si="24"/>
        <v>0</v>
      </c>
      <c r="AC32" s="34">
        <f t="shared" si="24"/>
        <v>130</v>
      </c>
      <c r="AD32" s="34">
        <f t="shared" si="24"/>
        <v>0</v>
      </c>
      <c r="AE32" s="31">
        <f t="shared" si="24"/>
        <v>41</v>
      </c>
      <c r="AF32" s="31">
        <f t="shared" si="24"/>
        <v>171</v>
      </c>
    </row>
    <row r="33" spans="2:32" ht="23.1" customHeight="1" x14ac:dyDescent="0.25">
      <c r="B33" s="45" t="s">
        <v>60</v>
      </c>
      <c r="C33" s="50">
        <v>13</v>
      </c>
      <c r="D33" s="50">
        <v>0</v>
      </c>
      <c r="E33" s="50">
        <v>1</v>
      </c>
      <c r="F33" s="50">
        <v>28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v>0</v>
      </c>
      <c r="M33" s="50">
        <v>150</v>
      </c>
      <c r="N33" s="50">
        <v>0</v>
      </c>
      <c r="O33" s="15">
        <f t="shared" si="0"/>
        <v>44</v>
      </c>
      <c r="P33" s="15">
        <f t="shared" si="1"/>
        <v>194</v>
      </c>
      <c r="R33" s="33" t="s">
        <v>157</v>
      </c>
      <c r="S33" s="34">
        <f>SUM(C102:C105)</f>
        <v>17</v>
      </c>
      <c r="T33" s="34">
        <f t="shared" ref="T33:AF33" si="25">SUM(D102:D105)</f>
        <v>9</v>
      </c>
      <c r="U33" s="34">
        <f t="shared" si="25"/>
        <v>1</v>
      </c>
      <c r="V33" s="34">
        <f t="shared" si="25"/>
        <v>10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4</v>
      </c>
      <c r="AB33" s="34">
        <f t="shared" si="25"/>
        <v>0</v>
      </c>
      <c r="AC33" s="34">
        <f t="shared" si="25"/>
        <v>103</v>
      </c>
      <c r="AD33" s="34">
        <f t="shared" si="25"/>
        <v>0</v>
      </c>
      <c r="AE33" s="31">
        <f t="shared" si="25"/>
        <v>41</v>
      </c>
      <c r="AF33" s="31">
        <f t="shared" si="25"/>
        <v>144</v>
      </c>
    </row>
    <row r="34" spans="2:32" ht="23.1" customHeight="1" x14ac:dyDescent="0.25">
      <c r="B34" s="46" t="s">
        <v>61</v>
      </c>
      <c r="C34" s="50">
        <v>19</v>
      </c>
      <c r="D34" s="50">
        <v>10</v>
      </c>
      <c r="E34" s="50">
        <v>2</v>
      </c>
      <c r="F34" s="50">
        <v>25</v>
      </c>
      <c r="G34" s="50">
        <v>1</v>
      </c>
      <c r="H34" s="50">
        <v>0</v>
      </c>
      <c r="I34" s="50">
        <v>5</v>
      </c>
      <c r="J34" s="50">
        <v>2</v>
      </c>
      <c r="K34" s="50">
        <v>0</v>
      </c>
      <c r="L34" s="50">
        <v>0</v>
      </c>
      <c r="M34" s="50">
        <v>130</v>
      </c>
      <c r="N34" s="50">
        <v>0</v>
      </c>
      <c r="O34" s="15">
        <f t="shared" si="0"/>
        <v>64</v>
      </c>
      <c r="P34" s="15">
        <f t="shared" si="1"/>
        <v>194</v>
      </c>
      <c r="R34" s="38" t="s">
        <v>90</v>
      </c>
      <c r="S34" s="39">
        <f t="shared" ref="S34:AF34" si="26">MAX(S10:S12)</f>
        <v>52</v>
      </c>
      <c r="T34" s="39">
        <f t="shared" si="26"/>
        <v>27</v>
      </c>
      <c r="U34" s="39">
        <f t="shared" si="26"/>
        <v>11</v>
      </c>
      <c r="V34" s="39">
        <f t="shared" si="26"/>
        <v>292</v>
      </c>
      <c r="W34" s="39">
        <f t="shared" si="26"/>
        <v>4</v>
      </c>
      <c r="X34" s="39">
        <f t="shared" si="26"/>
        <v>0</v>
      </c>
      <c r="Y34" s="39">
        <f t="shared" si="26"/>
        <v>11</v>
      </c>
      <c r="Z34" s="39">
        <f t="shared" si="26"/>
        <v>3</v>
      </c>
      <c r="AA34" s="39">
        <f t="shared" si="26"/>
        <v>4</v>
      </c>
      <c r="AB34" s="39">
        <f t="shared" si="26"/>
        <v>0</v>
      </c>
      <c r="AC34" s="39">
        <f t="shared" si="26"/>
        <v>580</v>
      </c>
      <c r="AD34" s="39">
        <f t="shared" si="26"/>
        <v>1</v>
      </c>
      <c r="AE34" s="40">
        <f t="shared" si="26"/>
        <v>391</v>
      </c>
      <c r="AF34" s="40">
        <f t="shared" si="26"/>
        <v>874</v>
      </c>
    </row>
    <row r="35" spans="2:32" ht="23.1" customHeight="1" x14ac:dyDescent="0.25">
      <c r="B35" s="46" t="s">
        <v>62</v>
      </c>
      <c r="C35" s="50">
        <v>16</v>
      </c>
      <c r="D35" s="50">
        <v>6</v>
      </c>
      <c r="E35" s="50">
        <v>2</v>
      </c>
      <c r="F35" s="50">
        <v>15</v>
      </c>
      <c r="G35" s="50">
        <v>0</v>
      </c>
      <c r="H35" s="50">
        <v>0</v>
      </c>
      <c r="I35" s="50">
        <v>4</v>
      </c>
      <c r="J35" s="50">
        <v>1</v>
      </c>
      <c r="K35" s="50">
        <v>1</v>
      </c>
      <c r="L35" s="50">
        <v>0</v>
      </c>
      <c r="M35" s="50">
        <v>100</v>
      </c>
      <c r="N35" s="50">
        <v>0</v>
      </c>
      <c r="O35" s="15">
        <f t="shared" si="0"/>
        <v>45</v>
      </c>
      <c r="P35" s="15">
        <f t="shared" si="1"/>
        <v>145</v>
      </c>
      <c r="R35" s="38" t="s">
        <v>91</v>
      </c>
      <c r="S35" s="39">
        <f t="shared" ref="S35:AF35" si="27">MAX(S13:S18)</f>
        <v>105</v>
      </c>
      <c r="T35" s="39">
        <f t="shared" si="27"/>
        <v>48</v>
      </c>
      <c r="U35" s="39">
        <f t="shared" si="27"/>
        <v>17</v>
      </c>
      <c r="V35" s="39">
        <f t="shared" si="27"/>
        <v>121</v>
      </c>
      <c r="W35" s="39">
        <f t="shared" si="27"/>
        <v>1</v>
      </c>
      <c r="X35" s="39">
        <f t="shared" si="27"/>
        <v>0</v>
      </c>
      <c r="Y35" s="39">
        <f t="shared" si="27"/>
        <v>17</v>
      </c>
      <c r="Z35" s="39">
        <f t="shared" si="27"/>
        <v>3</v>
      </c>
      <c r="AA35" s="39">
        <f t="shared" si="27"/>
        <v>4</v>
      </c>
      <c r="AB35" s="39">
        <f t="shared" si="27"/>
        <v>0</v>
      </c>
      <c r="AC35" s="39">
        <f t="shared" si="27"/>
        <v>590</v>
      </c>
      <c r="AD35" s="39">
        <f t="shared" si="27"/>
        <v>0</v>
      </c>
      <c r="AE35" s="40">
        <f t="shared" si="27"/>
        <v>249</v>
      </c>
      <c r="AF35" s="40">
        <f t="shared" si="27"/>
        <v>820</v>
      </c>
    </row>
    <row r="36" spans="2:32" ht="23.1" customHeight="1" x14ac:dyDescent="0.25">
      <c r="B36" s="46" t="s">
        <v>63</v>
      </c>
      <c r="C36" s="50">
        <v>12</v>
      </c>
      <c r="D36" s="50">
        <v>8</v>
      </c>
      <c r="E36" s="50">
        <v>4</v>
      </c>
      <c r="F36" s="50">
        <v>23</v>
      </c>
      <c r="G36" s="50">
        <v>0</v>
      </c>
      <c r="H36" s="50">
        <v>0</v>
      </c>
      <c r="I36" s="50">
        <v>5</v>
      </c>
      <c r="J36" s="50">
        <v>0</v>
      </c>
      <c r="K36" s="50">
        <v>0</v>
      </c>
      <c r="L36" s="50">
        <v>0</v>
      </c>
      <c r="M36" s="50">
        <v>130</v>
      </c>
      <c r="N36" s="50">
        <v>0</v>
      </c>
      <c r="O36" s="15">
        <f t="shared" si="0"/>
        <v>52</v>
      </c>
      <c r="P36" s="15">
        <f t="shared" si="1"/>
        <v>182</v>
      </c>
      <c r="R36" s="38" t="s">
        <v>92</v>
      </c>
      <c r="S36" s="39">
        <f t="shared" ref="S36:AF36" si="28">MAX(S19:S21)</f>
        <v>136</v>
      </c>
      <c r="T36" s="39">
        <f t="shared" si="28"/>
        <v>68</v>
      </c>
      <c r="U36" s="39">
        <f t="shared" si="28"/>
        <v>25</v>
      </c>
      <c r="V36" s="39">
        <f t="shared" si="28"/>
        <v>130</v>
      </c>
      <c r="W36" s="39">
        <f t="shared" si="28"/>
        <v>3</v>
      </c>
      <c r="X36" s="39">
        <f t="shared" si="28"/>
        <v>1</v>
      </c>
      <c r="Y36" s="39">
        <f t="shared" si="28"/>
        <v>22</v>
      </c>
      <c r="Z36" s="39">
        <f t="shared" si="28"/>
        <v>4</v>
      </c>
      <c r="AA36" s="39">
        <f t="shared" si="28"/>
        <v>1</v>
      </c>
      <c r="AB36" s="39">
        <f t="shared" si="28"/>
        <v>0</v>
      </c>
      <c r="AC36" s="39">
        <f t="shared" si="28"/>
        <v>389</v>
      </c>
      <c r="AD36" s="39">
        <f t="shared" si="28"/>
        <v>0</v>
      </c>
      <c r="AE36" s="40">
        <f t="shared" si="28"/>
        <v>374</v>
      </c>
      <c r="AF36" s="40">
        <f t="shared" si="28"/>
        <v>763</v>
      </c>
    </row>
    <row r="37" spans="2:32" ht="23.1" customHeight="1" x14ac:dyDescent="0.25">
      <c r="B37" s="45" t="s">
        <v>64</v>
      </c>
      <c r="C37" s="50">
        <v>22</v>
      </c>
      <c r="D37" s="50">
        <v>11</v>
      </c>
      <c r="E37" s="50">
        <v>7</v>
      </c>
      <c r="F37" s="50">
        <v>26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140</v>
      </c>
      <c r="N37" s="50">
        <v>0</v>
      </c>
      <c r="O37" s="15">
        <f t="shared" si="0"/>
        <v>68</v>
      </c>
      <c r="P37" s="15">
        <f t="shared" si="1"/>
        <v>208</v>
      </c>
      <c r="R37" s="37" t="s">
        <v>85</v>
      </c>
      <c r="S37" s="35">
        <f t="shared" ref="S37:AF37" si="29">SUM(S10:S12)</f>
        <v>142</v>
      </c>
      <c r="T37" s="16">
        <f t="shared" si="29"/>
        <v>53</v>
      </c>
      <c r="U37" s="16">
        <f t="shared" si="29"/>
        <v>20</v>
      </c>
      <c r="V37" s="16">
        <f t="shared" si="29"/>
        <v>710</v>
      </c>
      <c r="W37" s="16">
        <f t="shared" si="29"/>
        <v>6</v>
      </c>
      <c r="X37" s="16">
        <f t="shared" si="29"/>
        <v>0</v>
      </c>
      <c r="Y37" s="16">
        <f t="shared" si="29"/>
        <v>25</v>
      </c>
      <c r="Z37" s="16">
        <f t="shared" si="29"/>
        <v>6</v>
      </c>
      <c r="AA37" s="16">
        <f t="shared" si="29"/>
        <v>6</v>
      </c>
      <c r="AB37" s="16">
        <f t="shared" si="29"/>
        <v>0</v>
      </c>
      <c r="AC37" s="16">
        <f t="shared" si="29"/>
        <v>1588</v>
      </c>
      <c r="AD37" s="16">
        <f t="shared" si="29"/>
        <v>1</v>
      </c>
      <c r="AE37" s="32">
        <f t="shared" si="29"/>
        <v>969</v>
      </c>
      <c r="AF37" s="32">
        <f t="shared" si="29"/>
        <v>2557</v>
      </c>
    </row>
    <row r="38" spans="2:32" ht="23.1" customHeight="1" x14ac:dyDescent="0.25">
      <c r="B38" s="46" t="s">
        <v>65</v>
      </c>
      <c r="C38" s="50">
        <v>15</v>
      </c>
      <c r="D38" s="50">
        <v>12</v>
      </c>
      <c r="E38" s="50">
        <v>5</v>
      </c>
      <c r="F38" s="50">
        <v>27</v>
      </c>
      <c r="G38" s="50">
        <v>0</v>
      </c>
      <c r="H38" s="50">
        <v>0</v>
      </c>
      <c r="I38" s="50">
        <v>3</v>
      </c>
      <c r="J38" s="50">
        <v>0</v>
      </c>
      <c r="K38" s="50">
        <v>2</v>
      </c>
      <c r="L38" s="50">
        <v>0</v>
      </c>
      <c r="M38" s="50">
        <v>175</v>
      </c>
      <c r="N38" s="50">
        <v>0</v>
      </c>
      <c r="O38" s="15">
        <f t="shared" si="0"/>
        <v>64</v>
      </c>
      <c r="P38" s="15">
        <f t="shared" si="1"/>
        <v>239</v>
      </c>
      <c r="R38" s="28" t="s">
        <v>86</v>
      </c>
      <c r="S38" s="16">
        <f t="shared" ref="S38:AF38" si="30">SUM(S13:S18)</f>
        <v>408</v>
      </c>
      <c r="T38" s="16">
        <f t="shared" si="30"/>
        <v>165</v>
      </c>
      <c r="U38" s="16">
        <f t="shared" si="30"/>
        <v>72</v>
      </c>
      <c r="V38" s="16">
        <f t="shared" si="30"/>
        <v>554</v>
      </c>
      <c r="W38" s="16">
        <f t="shared" si="30"/>
        <v>3</v>
      </c>
      <c r="X38" s="16">
        <f t="shared" si="30"/>
        <v>0</v>
      </c>
      <c r="Y38" s="16">
        <f t="shared" si="30"/>
        <v>86</v>
      </c>
      <c r="Z38" s="16">
        <f t="shared" si="30"/>
        <v>9</v>
      </c>
      <c r="AA38" s="16">
        <f t="shared" si="30"/>
        <v>11</v>
      </c>
      <c r="AB38" s="16">
        <f t="shared" si="30"/>
        <v>0</v>
      </c>
      <c r="AC38" s="16">
        <f t="shared" si="30"/>
        <v>2966</v>
      </c>
      <c r="AD38" s="16">
        <f t="shared" si="30"/>
        <v>0</v>
      </c>
      <c r="AE38" s="32">
        <f t="shared" si="30"/>
        <v>1308</v>
      </c>
      <c r="AF38" s="32">
        <f t="shared" si="30"/>
        <v>4274</v>
      </c>
    </row>
    <row r="39" spans="2:32" ht="23.1" customHeight="1" x14ac:dyDescent="0.25">
      <c r="B39" s="46" t="s">
        <v>66</v>
      </c>
      <c r="C39" s="50">
        <v>23</v>
      </c>
      <c r="D39" s="50">
        <v>12</v>
      </c>
      <c r="E39" s="50">
        <v>5</v>
      </c>
      <c r="F39" s="50">
        <v>16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150</v>
      </c>
      <c r="N39" s="50">
        <v>0</v>
      </c>
      <c r="O39" s="15">
        <f t="shared" si="0"/>
        <v>57</v>
      </c>
      <c r="P39" s="15">
        <f t="shared" si="1"/>
        <v>207</v>
      </c>
      <c r="R39" s="29" t="s">
        <v>87</v>
      </c>
      <c r="S39" s="16">
        <f t="shared" ref="S39:AF39" si="31">SUM(S19:S21)</f>
        <v>341</v>
      </c>
      <c r="T39" s="16">
        <f t="shared" si="31"/>
        <v>151</v>
      </c>
      <c r="U39" s="16">
        <f t="shared" si="31"/>
        <v>59</v>
      </c>
      <c r="V39" s="16">
        <f t="shared" si="31"/>
        <v>314</v>
      </c>
      <c r="W39" s="16">
        <f t="shared" si="31"/>
        <v>8</v>
      </c>
      <c r="X39" s="16">
        <f t="shared" si="31"/>
        <v>1</v>
      </c>
      <c r="Y39" s="16">
        <f t="shared" si="31"/>
        <v>60</v>
      </c>
      <c r="Z39" s="16">
        <f t="shared" si="31"/>
        <v>10</v>
      </c>
      <c r="AA39" s="16">
        <f t="shared" si="31"/>
        <v>1</v>
      </c>
      <c r="AB39" s="16">
        <f t="shared" si="31"/>
        <v>0</v>
      </c>
      <c r="AC39" s="16">
        <f t="shared" si="31"/>
        <v>1079</v>
      </c>
      <c r="AD39" s="16">
        <f t="shared" si="31"/>
        <v>0</v>
      </c>
      <c r="AE39" s="32">
        <f t="shared" si="31"/>
        <v>945</v>
      </c>
      <c r="AF39" s="32">
        <f t="shared" si="31"/>
        <v>2024</v>
      </c>
    </row>
    <row r="40" spans="2:32" ht="23.1" customHeight="1" x14ac:dyDescent="0.25">
      <c r="B40" s="46" t="s">
        <v>67</v>
      </c>
      <c r="C40" s="50">
        <v>23</v>
      </c>
      <c r="D40" s="50">
        <v>5</v>
      </c>
      <c r="E40" s="50">
        <v>0</v>
      </c>
      <c r="F40" s="50">
        <v>22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170</v>
      </c>
      <c r="N40" s="50">
        <v>0</v>
      </c>
      <c r="O40" s="15">
        <f t="shared" si="0"/>
        <v>52</v>
      </c>
      <c r="P40" s="15">
        <f t="shared" si="1"/>
        <v>222</v>
      </c>
      <c r="R40" s="5" t="s">
        <v>17</v>
      </c>
      <c r="S40" s="16">
        <f t="shared" ref="S40:AF40" si="32">SUM(S10:S21)</f>
        <v>891</v>
      </c>
      <c r="T40" s="16">
        <f t="shared" si="32"/>
        <v>369</v>
      </c>
      <c r="U40" s="16">
        <f t="shared" si="32"/>
        <v>151</v>
      </c>
      <c r="V40" s="16">
        <f t="shared" si="32"/>
        <v>1578</v>
      </c>
      <c r="W40" s="16">
        <f t="shared" si="32"/>
        <v>17</v>
      </c>
      <c r="X40" s="16">
        <f t="shared" si="32"/>
        <v>1</v>
      </c>
      <c r="Y40" s="16">
        <f t="shared" si="32"/>
        <v>171</v>
      </c>
      <c r="Z40" s="16">
        <f t="shared" si="32"/>
        <v>25</v>
      </c>
      <c r="AA40" s="16">
        <f t="shared" si="32"/>
        <v>18</v>
      </c>
      <c r="AB40" s="16">
        <f t="shared" si="32"/>
        <v>0</v>
      </c>
      <c r="AC40" s="16">
        <f t="shared" si="32"/>
        <v>5633</v>
      </c>
      <c r="AD40" s="16">
        <f t="shared" si="32"/>
        <v>1</v>
      </c>
      <c r="AE40" s="32">
        <f t="shared" si="32"/>
        <v>3222</v>
      </c>
      <c r="AF40" s="32">
        <f t="shared" si="32"/>
        <v>8855</v>
      </c>
    </row>
    <row r="41" spans="2:32" ht="23.1" customHeight="1" x14ac:dyDescent="0.25">
      <c r="B41" s="45" t="s">
        <v>68</v>
      </c>
      <c r="C41" s="50">
        <v>26</v>
      </c>
      <c r="D41" s="50">
        <v>13</v>
      </c>
      <c r="E41" s="50">
        <v>7</v>
      </c>
      <c r="F41" s="50">
        <v>17</v>
      </c>
      <c r="G41" s="50">
        <v>0</v>
      </c>
      <c r="H41" s="50">
        <v>0</v>
      </c>
      <c r="I41" s="50">
        <v>6</v>
      </c>
      <c r="J41" s="50">
        <v>0</v>
      </c>
      <c r="K41" s="50">
        <v>0</v>
      </c>
      <c r="L41" s="50">
        <v>0</v>
      </c>
      <c r="M41" s="50">
        <v>83</v>
      </c>
      <c r="N41" s="50">
        <v>0</v>
      </c>
      <c r="O41" s="15">
        <f t="shared" si="0"/>
        <v>69</v>
      </c>
      <c r="P41" s="15">
        <f t="shared" si="1"/>
        <v>152</v>
      </c>
      <c r="R41" s="5" t="s">
        <v>159</v>
      </c>
      <c r="S41" s="16">
        <f>SUM(S10:S33)</f>
        <v>1602</v>
      </c>
      <c r="T41" s="16">
        <f t="shared" ref="T41:AF41" si="33">SUM(T10:T33)</f>
        <v>561</v>
      </c>
      <c r="U41" s="16">
        <f t="shared" si="33"/>
        <v>243</v>
      </c>
      <c r="V41" s="16">
        <f t="shared" si="33"/>
        <v>2295</v>
      </c>
      <c r="W41" s="16">
        <f t="shared" si="33"/>
        <v>26</v>
      </c>
      <c r="X41" s="16">
        <f t="shared" si="33"/>
        <v>1</v>
      </c>
      <c r="Y41" s="16">
        <f t="shared" si="33"/>
        <v>174</v>
      </c>
      <c r="Z41" s="16">
        <f t="shared" si="33"/>
        <v>42</v>
      </c>
      <c r="AA41" s="16">
        <f t="shared" si="33"/>
        <v>47</v>
      </c>
      <c r="AB41" s="16">
        <f t="shared" si="33"/>
        <v>0</v>
      </c>
      <c r="AC41" s="16">
        <f t="shared" si="33"/>
        <v>7560</v>
      </c>
      <c r="AD41" s="16">
        <f t="shared" si="33"/>
        <v>2</v>
      </c>
      <c r="AE41" s="32">
        <f t="shared" si="33"/>
        <v>4993</v>
      </c>
      <c r="AF41" s="32">
        <f t="shared" si="33"/>
        <v>12553</v>
      </c>
    </row>
    <row r="42" spans="2:32" ht="23.1" customHeight="1" x14ac:dyDescent="0.25">
      <c r="B42" s="46" t="s">
        <v>69</v>
      </c>
      <c r="C42" s="50">
        <v>22</v>
      </c>
      <c r="D42" s="50">
        <v>11</v>
      </c>
      <c r="E42" s="50">
        <v>3</v>
      </c>
      <c r="F42" s="50">
        <v>24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56</v>
      </c>
      <c r="N42" s="50">
        <v>0</v>
      </c>
      <c r="O42" s="15">
        <f t="shared" si="0"/>
        <v>62</v>
      </c>
      <c r="P42" s="15">
        <f t="shared" si="1"/>
        <v>118</v>
      </c>
      <c r="R42" s="5" t="s">
        <v>160</v>
      </c>
      <c r="S42" s="48">
        <f>S41/S40</f>
        <v>1.797979797979798</v>
      </c>
      <c r="T42" s="48">
        <f t="shared" ref="T42:AF42" si="34">T41/T40</f>
        <v>1.5203252032520325</v>
      </c>
      <c r="U42" s="48">
        <f t="shared" si="34"/>
        <v>1.6092715231788079</v>
      </c>
      <c r="V42" s="48">
        <f t="shared" si="34"/>
        <v>1.4543726235741445</v>
      </c>
      <c r="W42" s="48">
        <f t="shared" si="34"/>
        <v>1.5294117647058822</v>
      </c>
      <c r="X42" s="48">
        <f t="shared" si="34"/>
        <v>1</v>
      </c>
      <c r="Y42" s="48">
        <f t="shared" si="34"/>
        <v>1.0175438596491229</v>
      </c>
      <c r="Z42" s="48">
        <f t="shared" si="34"/>
        <v>1.68</v>
      </c>
      <c r="AA42" s="48">
        <f t="shared" si="34"/>
        <v>2.6111111111111112</v>
      </c>
      <c r="AB42" s="48" t="e">
        <f t="shared" si="34"/>
        <v>#DIV/0!</v>
      </c>
      <c r="AC42" s="48">
        <f t="shared" si="34"/>
        <v>1.3420912480028404</v>
      </c>
      <c r="AD42" s="48">
        <f t="shared" si="34"/>
        <v>2</v>
      </c>
      <c r="AE42" s="48">
        <f t="shared" si="34"/>
        <v>1.5496585971446306</v>
      </c>
      <c r="AF42" s="48">
        <f t="shared" si="34"/>
        <v>1.4176171654432523</v>
      </c>
    </row>
    <row r="43" spans="2:32" ht="23.1" customHeight="1" x14ac:dyDescent="0.25">
      <c r="B43" s="45" t="s">
        <v>70</v>
      </c>
      <c r="C43" s="50">
        <v>29</v>
      </c>
      <c r="D43" s="50">
        <v>15</v>
      </c>
      <c r="E43" s="50">
        <v>6</v>
      </c>
      <c r="F43" s="50">
        <v>13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117</v>
      </c>
      <c r="N43" s="50">
        <v>0</v>
      </c>
      <c r="O43" s="15">
        <f t="shared" si="0"/>
        <v>66</v>
      </c>
      <c r="P43" s="15">
        <f t="shared" si="1"/>
        <v>183</v>
      </c>
    </row>
    <row r="44" spans="2:32" ht="23.1" customHeight="1" x14ac:dyDescent="0.25">
      <c r="B44" s="47" t="s">
        <v>71</v>
      </c>
      <c r="C44" s="50">
        <v>27</v>
      </c>
      <c r="D44" s="50">
        <v>14</v>
      </c>
      <c r="E44" s="50">
        <v>2</v>
      </c>
      <c r="F44" s="50">
        <v>17</v>
      </c>
      <c r="G44" s="50">
        <v>1</v>
      </c>
      <c r="H44" s="50">
        <v>0</v>
      </c>
      <c r="I44" s="50">
        <v>6</v>
      </c>
      <c r="J44" s="50">
        <v>0</v>
      </c>
      <c r="K44" s="50">
        <v>1</v>
      </c>
      <c r="L44" s="50">
        <v>0</v>
      </c>
      <c r="M44" s="50">
        <v>81</v>
      </c>
      <c r="N44" s="50">
        <v>0</v>
      </c>
      <c r="O44" s="15">
        <f t="shared" si="0"/>
        <v>68</v>
      </c>
      <c r="P44" s="15">
        <f t="shared" si="1"/>
        <v>149</v>
      </c>
    </row>
    <row r="45" spans="2:32" ht="23.1" customHeight="1" x14ac:dyDescent="0.25">
      <c r="B45" s="45" t="s">
        <v>72</v>
      </c>
      <c r="C45" s="50">
        <v>27</v>
      </c>
      <c r="D45" s="50">
        <v>8</v>
      </c>
      <c r="E45" s="50">
        <v>1</v>
      </c>
      <c r="F45" s="50">
        <v>9</v>
      </c>
      <c r="G45" s="50">
        <v>0</v>
      </c>
      <c r="H45" s="50">
        <v>0</v>
      </c>
      <c r="I45" s="50">
        <v>6</v>
      </c>
      <c r="J45" s="50">
        <v>1</v>
      </c>
      <c r="K45" s="50">
        <v>1</v>
      </c>
      <c r="L45" s="50">
        <v>0</v>
      </c>
      <c r="M45" s="50">
        <v>50</v>
      </c>
      <c r="N45" s="50">
        <v>0</v>
      </c>
      <c r="O45" s="15">
        <f t="shared" si="0"/>
        <v>53</v>
      </c>
      <c r="P45" s="15">
        <f t="shared" si="1"/>
        <v>103</v>
      </c>
    </row>
    <row r="46" spans="2:32" ht="23.1" customHeight="1" x14ac:dyDescent="0.25">
      <c r="B46" s="46" t="s">
        <v>73</v>
      </c>
      <c r="C46" s="50">
        <v>18</v>
      </c>
      <c r="D46" s="50">
        <v>6</v>
      </c>
      <c r="E46" s="50">
        <v>4</v>
      </c>
      <c r="F46" s="50">
        <v>22</v>
      </c>
      <c r="G46" s="50">
        <v>0</v>
      </c>
      <c r="H46" s="50">
        <v>0</v>
      </c>
      <c r="I46" s="50">
        <v>5</v>
      </c>
      <c r="J46" s="50">
        <v>0</v>
      </c>
      <c r="K46" s="50">
        <v>0</v>
      </c>
      <c r="L46" s="50">
        <v>0</v>
      </c>
      <c r="M46" s="50">
        <v>65</v>
      </c>
      <c r="N46" s="50">
        <v>0</v>
      </c>
      <c r="O46" s="15">
        <f t="shared" si="0"/>
        <v>55</v>
      </c>
      <c r="P46" s="15">
        <f t="shared" si="1"/>
        <v>120</v>
      </c>
      <c r="R46" s="8"/>
      <c r="T46"/>
    </row>
    <row r="47" spans="2:32" ht="23.1" customHeight="1" x14ac:dyDescent="0.25">
      <c r="B47" s="46" t="s">
        <v>74</v>
      </c>
      <c r="C47" s="50">
        <v>24</v>
      </c>
      <c r="D47" s="50">
        <v>13</v>
      </c>
      <c r="E47" s="50">
        <v>5</v>
      </c>
      <c r="F47" s="50">
        <v>18</v>
      </c>
      <c r="G47" s="50">
        <v>1</v>
      </c>
      <c r="H47" s="50">
        <v>0</v>
      </c>
      <c r="I47" s="50">
        <v>10</v>
      </c>
      <c r="J47" s="50">
        <v>2</v>
      </c>
      <c r="K47" s="50">
        <v>0</v>
      </c>
      <c r="L47" s="50">
        <v>0</v>
      </c>
      <c r="M47" s="50">
        <v>120</v>
      </c>
      <c r="N47" s="50">
        <v>0</v>
      </c>
      <c r="O47" s="15">
        <f t="shared" si="0"/>
        <v>73</v>
      </c>
      <c r="P47" s="15">
        <f t="shared" si="1"/>
        <v>193</v>
      </c>
      <c r="R47" s="8"/>
      <c r="T47"/>
    </row>
    <row r="48" spans="2:32" ht="23.1" customHeight="1" x14ac:dyDescent="0.25">
      <c r="B48" s="46" t="s">
        <v>75</v>
      </c>
      <c r="C48" s="50">
        <v>23</v>
      </c>
      <c r="D48" s="50">
        <v>13</v>
      </c>
      <c r="E48" s="50">
        <v>8</v>
      </c>
      <c r="F48" s="50">
        <v>24</v>
      </c>
      <c r="G48" s="50">
        <v>0</v>
      </c>
      <c r="H48" s="50">
        <v>0</v>
      </c>
      <c r="I48" s="50">
        <v>5</v>
      </c>
      <c r="J48" s="50">
        <v>1</v>
      </c>
      <c r="K48" s="50">
        <v>0</v>
      </c>
      <c r="L48" s="50">
        <v>0</v>
      </c>
      <c r="M48" s="50">
        <v>95</v>
      </c>
      <c r="N48" s="50">
        <v>0</v>
      </c>
      <c r="O48" s="15">
        <f t="shared" si="0"/>
        <v>74</v>
      </c>
      <c r="P48" s="15">
        <f t="shared" si="1"/>
        <v>169</v>
      </c>
      <c r="R48" s="8"/>
      <c r="T48"/>
    </row>
    <row r="49" spans="2:20" ht="23.1" customHeight="1" x14ac:dyDescent="0.25">
      <c r="B49" s="45" t="s">
        <v>76</v>
      </c>
      <c r="C49" s="50">
        <v>21</v>
      </c>
      <c r="D49" s="50">
        <v>4</v>
      </c>
      <c r="E49" s="50">
        <v>6</v>
      </c>
      <c r="F49" s="50">
        <v>21</v>
      </c>
      <c r="G49" s="50">
        <v>2</v>
      </c>
      <c r="H49" s="50">
        <v>0</v>
      </c>
      <c r="I49" s="50">
        <v>2</v>
      </c>
      <c r="J49" s="50">
        <v>1</v>
      </c>
      <c r="K49" s="50">
        <v>1</v>
      </c>
      <c r="L49" s="50">
        <v>0</v>
      </c>
      <c r="M49" s="50">
        <v>75</v>
      </c>
      <c r="N49" s="50">
        <v>0</v>
      </c>
      <c r="O49" s="15">
        <f t="shared" si="0"/>
        <v>58</v>
      </c>
      <c r="P49" s="15">
        <f t="shared" si="1"/>
        <v>133</v>
      </c>
      <c r="R49" s="8"/>
      <c r="T49"/>
    </row>
    <row r="50" spans="2:20" ht="23.1" customHeight="1" x14ac:dyDescent="0.25">
      <c r="B50" s="46" t="s">
        <v>77</v>
      </c>
      <c r="C50" s="50">
        <v>23</v>
      </c>
      <c r="D50" s="50">
        <v>8</v>
      </c>
      <c r="E50" s="50">
        <v>3</v>
      </c>
      <c r="F50" s="50">
        <v>21</v>
      </c>
      <c r="G50" s="50">
        <v>0</v>
      </c>
      <c r="H50" s="50">
        <v>1</v>
      </c>
      <c r="I50" s="50">
        <v>3</v>
      </c>
      <c r="J50" s="50">
        <v>0</v>
      </c>
      <c r="K50" s="50">
        <v>0</v>
      </c>
      <c r="L50" s="50">
        <v>0</v>
      </c>
      <c r="M50" s="50">
        <v>75</v>
      </c>
      <c r="N50" s="50">
        <v>0</v>
      </c>
      <c r="O50" s="15">
        <f t="shared" si="0"/>
        <v>59</v>
      </c>
      <c r="P50" s="15">
        <f t="shared" si="1"/>
        <v>134</v>
      </c>
      <c r="R50" s="8"/>
      <c r="T50"/>
    </row>
    <row r="51" spans="2:20" ht="23.1" customHeight="1" x14ac:dyDescent="0.25">
      <c r="B51" s="46" t="s">
        <v>78</v>
      </c>
      <c r="C51" s="50">
        <v>31</v>
      </c>
      <c r="D51" s="50">
        <v>8</v>
      </c>
      <c r="E51" s="50">
        <v>8</v>
      </c>
      <c r="F51" s="50">
        <v>26</v>
      </c>
      <c r="G51" s="50">
        <v>2</v>
      </c>
      <c r="H51" s="50">
        <v>0</v>
      </c>
      <c r="I51" s="50">
        <v>6</v>
      </c>
      <c r="J51" s="50">
        <v>1</v>
      </c>
      <c r="K51" s="50">
        <v>0</v>
      </c>
      <c r="L51" s="50">
        <v>0</v>
      </c>
      <c r="M51" s="50">
        <v>100</v>
      </c>
      <c r="N51" s="50">
        <v>0</v>
      </c>
      <c r="O51" s="15">
        <f t="shared" si="0"/>
        <v>82</v>
      </c>
      <c r="P51" s="15">
        <f t="shared" si="1"/>
        <v>182</v>
      </c>
      <c r="R51" s="8"/>
      <c r="T51"/>
    </row>
    <row r="52" spans="2:20" ht="23.1" customHeight="1" x14ac:dyDescent="0.25">
      <c r="B52" s="46" t="s">
        <v>79</v>
      </c>
      <c r="C52" s="50">
        <v>36</v>
      </c>
      <c r="D52" s="50">
        <v>16</v>
      </c>
      <c r="E52" s="50">
        <v>8</v>
      </c>
      <c r="F52" s="50">
        <v>17</v>
      </c>
      <c r="G52" s="50">
        <v>0</v>
      </c>
      <c r="H52" s="50">
        <v>0</v>
      </c>
      <c r="I52" s="50">
        <v>3</v>
      </c>
      <c r="J52" s="50">
        <v>1</v>
      </c>
      <c r="K52" s="50">
        <v>0</v>
      </c>
      <c r="L52" s="50">
        <v>0</v>
      </c>
      <c r="M52" s="50">
        <v>85</v>
      </c>
      <c r="N52" s="50">
        <v>0</v>
      </c>
      <c r="O52" s="15">
        <f t="shared" si="0"/>
        <v>81</v>
      </c>
      <c r="P52" s="15">
        <f t="shared" si="1"/>
        <v>166</v>
      </c>
      <c r="R52" s="8"/>
      <c r="T52"/>
    </row>
    <row r="53" spans="2:20" ht="23.1" customHeight="1" x14ac:dyDescent="0.25">
      <c r="B53" s="45" t="s">
        <v>80</v>
      </c>
      <c r="C53" s="50">
        <v>29</v>
      </c>
      <c r="D53" s="50">
        <v>15</v>
      </c>
      <c r="E53" s="50">
        <v>6</v>
      </c>
      <c r="F53" s="50">
        <v>35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0</v>
      </c>
      <c r="M53" s="50">
        <v>75</v>
      </c>
      <c r="N53" s="50">
        <v>0</v>
      </c>
      <c r="O53" s="15">
        <f t="shared" si="0"/>
        <v>89</v>
      </c>
      <c r="P53" s="15">
        <f t="shared" si="1"/>
        <v>164</v>
      </c>
      <c r="R53" s="8"/>
      <c r="T53"/>
    </row>
    <row r="54" spans="2:20" ht="23.1" customHeight="1" x14ac:dyDescent="0.25">
      <c r="B54" s="45" t="s">
        <v>81</v>
      </c>
      <c r="C54" s="50">
        <v>36</v>
      </c>
      <c r="D54" s="50">
        <v>18</v>
      </c>
      <c r="E54" s="50">
        <v>2</v>
      </c>
      <c r="F54" s="50">
        <v>28</v>
      </c>
      <c r="G54" s="50">
        <v>1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90</v>
      </c>
      <c r="N54" s="50">
        <v>0</v>
      </c>
      <c r="O54" s="15">
        <f t="shared" si="0"/>
        <v>87</v>
      </c>
      <c r="P54" s="15">
        <f t="shared" si="1"/>
        <v>177</v>
      </c>
      <c r="R54" s="8"/>
      <c r="T54"/>
    </row>
    <row r="55" spans="2:20" ht="23.1" customHeight="1" x14ac:dyDescent="0.25">
      <c r="B55" s="45" t="s">
        <v>82</v>
      </c>
      <c r="C55" s="50">
        <v>30</v>
      </c>
      <c r="D55" s="50">
        <v>25</v>
      </c>
      <c r="E55" s="50">
        <v>2</v>
      </c>
      <c r="F55" s="50">
        <v>35</v>
      </c>
      <c r="G55" s="50">
        <v>1</v>
      </c>
      <c r="H55" s="50">
        <v>0</v>
      </c>
      <c r="I55" s="50">
        <v>7</v>
      </c>
      <c r="J55" s="50">
        <v>3</v>
      </c>
      <c r="K55" s="50">
        <v>0</v>
      </c>
      <c r="L55" s="50">
        <v>0</v>
      </c>
      <c r="M55" s="50">
        <v>95</v>
      </c>
      <c r="N55" s="50">
        <v>0</v>
      </c>
      <c r="O55" s="15">
        <f t="shared" si="0"/>
        <v>103</v>
      </c>
      <c r="P55" s="15">
        <f t="shared" si="1"/>
        <v>198</v>
      </c>
      <c r="R55" s="8"/>
      <c r="T55"/>
    </row>
    <row r="56" spans="2:20" ht="23.1" customHeight="1" x14ac:dyDescent="0.25">
      <c r="B56" s="45" t="s">
        <v>83</v>
      </c>
      <c r="C56" s="50">
        <v>34</v>
      </c>
      <c r="D56" s="50">
        <v>13</v>
      </c>
      <c r="E56" s="50">
        <v>3</v>
      </c>
      <c r="F56" s="50">
        <v>26</v>
      </c>
      <c r="G56" s="50">
        <v>0</v>
      </c>
      <c r="H56" s="50">
        <v>0</v>
      </c>
      <c r="I56" s="50">
        <v>6</v>
      </c>
      <c r="J56" s="50">
        <v>0</v>
      </c>
      <c r="K56" s="50">
        <v>0</v>
      </c>
      <c r="L56" s="50">
        <v>0</v>
      </c>
      <c r="M56" s="50">
        <v>99</v>
      </c>
      <c r="N56" s="50">
        <v>0</v>
      </c>
      <c r="O56" s="15">
        <f t="shared" si="0"/>
        <v>82</v>
      </c>
      <c r="P56" s="15">
        <f t="shared" si="1"/>
        <v>181</v>
      </c>
      <c r="R56" s="8"/>
      <c r="T56"/>
    </row>
    <row r="57" spans="2:20" ht="23.1" customHeight="1" x14ac:dyDescent="0.25">
      <c r="B57" s="45" t="s">
        <v>84</v>
      </c>
      <c r="C57" s="50">
        <v>36</v>
      </c>
      <c r="D57" s="50">
        <v>12</v>
      </c>
      <c r="E57" s="50">
        <v>4</v>
      </c>
      <c r="F57" s="50">
        <v>41</v>
      </c>
      <c r="G57" s="50">
        <v>1</v>
      </c>
      <c r="H57" s="50">
        <v>0</v>
      </c>
      <c r="I57" s="50">
        <v>7</v>
      </c>
      <c r="J57" s="50">
        <v>1</v>
      </c>
      <c r="K57" s="50">
        <v>0</v>
      </c>
      <c r="L57" s="50">
        <v>0</v>
      </c>
      <c r="M57" s="50">
        <v>105</v>
      </c>
      <c r="N57" s="50">
        <v>0</v>
      </c>
      <c r="O57" s="15">
        <f t="shared" si="0"/>
        <v>102</v>
      </c>
      <c r="P57" s="15">
        <f t="shared" si="1"/>
        <v>207</v>
      </c>
      <c r="R57" s="8"/>
      <c r="T57"/>
    </row>
    <row r="58" spans="2:20" ht="23.1" customHeight="1" x14ac:dyDescent="0.25">
      <c r="B58" s="45" t="s">
        <v>99</v>
      </c>
      <c r="C58" s="50">
        <v>20</v>
      </c>
      <c r="D58" s="50">
        <v>5</v>
      </c>
      <c r="E58" s="50">
        <v>7</v>
      </c>
      <c r="F58" s="50">
        <v>35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35</v>
      </c>
      <c r="N58" s="50">
        <v>0</v>
      </c>
      <c r="O58" s="15">
        <f t="shared" ref="O58:O105" si="35">SUM(C58:L58,N58)</f>
        <v>67</v>
      </c>
      <c r="P58" s="15">
        <f t="shared" ref="P58:P105" si="36">SUM(C58:N58)</f>
        <v>102</v>
      </c>
      <c r="R58" s="8"/>
      <c r="T58"/>
    </row>
    <row r="59" spans="2:20" ht="23.1" customHeight="1" x14ac:dyDescent="0.25">
      <c r="B59" s="45" t="s">
        <v>100</v>
      </c>
      <c r="C59" s="50">
        <v>8</v>
      </c>
      <c r="D59" s="50">
        <v>5</v>
      </c>
      <c r="E59" s="50">
        <v>5</v>
      </c>
      <c r="F59" s="50">
        <v>22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55</v>
      </c>
      <c r="N59" s="50">
        <v>0</v>
      </c>
      <c r="O59" s="15">
        <f t="shared" si="35"/>
        <v>40</v>
      </c>
      <c r="P59" s="15">
        <f t="shared" si="36"/>
        <v>95</v>
      </c>
      <c r="R59" s="8"/>
      <c r="T59"/>
    </row>
    <row r="60" spans="2:20" ht="23.1" customHeight="1" x14ac:dyDescent="0.25">
      <c r="B60" s="45" t="s">
        <v>101</v>
      </c>
      <c r="C60" s="50">
        <v>35</v>
      </c>
      <c r="D60" s="50">
        <v>11</v>
      </c>
      <c r="E60" s="50">
        <v>10</v>
      </c>
      <c r="F60" s="50">
        <v>65</v>
      </c>
      <c r="G60" s="50">
        <v>0</v>
      </c>
      <c r="H60" s="50">
        <v>0</v>
      </c>
      <c r="I60" s="50">
        <v>0</v>
      </c>
      <c r="J60" s="50">
        <v>0</v>
      </c>
      <c r="K60" s="50">
        <v>2</v>
      </c>
      <c r="L60" s="50">
        <v>0</v>
      </c>
      <c r="M60" s="50">
        <v>105</v>
      </c>
      <c r="N60" s="50">
        <v>0</v>
      </c>
      <c r="O60" s="15">
        <f t="shared" si="35"/>
        <v>123</v>
      </c>
      <c r="P60" s="15">
        <f t="shared" si="36"/>
        <v>228</v>
      </c>
      <c r="R60" s="8"/>
      <c r="T60"/>
    </row>
    <row r="61" spans="2:20" ht="23.1" customHeight="1" x14ac:dyDescent="0.25">
      <c r="B61" s="45" t="s">
        <v>102</v>
      </c>
      <c r="C61" s="50">
        <v>20</v>
      </c>
      <c r="D61" s="50">
        <v>6</v>
      </c>
      <c r="E61" s="50">
        <v>4</v>
      </c>
      <c r="F61" s="50">
        <v>35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70</v>
      </c>
      <c r="N61" s="50">
        <v>0</v>
      </c>
      <c r="O61" s="15">
        <f t="shared" si="35"/>
        <v>65</v>
      </c>
      <c r="P61" s="15">
        <f t="shared" si="36"/>
        <v>135</v>
      </c>
      <c r="R61" s="8"/>
      <c r="T61"/>
    </row>
    <row r="62" spans="2:20" ht="23.1" customHeight="1" x14ac:dyDescent="0.25">
      <c r="B62" s="45" t="s">
        <v>107</v>
      </c>
      <c r="C62" s="50">
        <v>26</v>
      </c>
      <c r="D62" s="50">
        <v>11</v>
      </c>
      <c r="E62" s="50">
        <v>7</v>
      </c>
      <c r="F62" s="50">
        <v>48</v>
      </c>
      <c r="G62" s="50">
        <v>2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140</v>
      </c>
      <c r="N62" s="50">
        <v>0</v>
      </c>
      <c r="O62" s="15">
        <f t="shared" si="35"/>
        <v>94</v>
      </c>
      <c r="P62" s="15">
        <f t="shared" si="36"/>
        <v>234</v>
      </c>
      <c r="R62" s="8"/>
      <c r="T62"/>
    </row>
    <row r="63" spans="2:20" ht="23.1" customHeight="1" x14ac:dyDescent="0.25">
      <c r="B63" s="45" t="s">
        <v>108</v>
      </c>
      <c r="C63" s="50">
        <v>28</v>
      </c>
      <c r="D63" s="50">
        <v>8</v>
      </c>
      <c r="E63" s="50">
        <v>1</v>
      </c>
      <c r="F63" s="50">
        <v>33</v>
      </c>
      <c r="G63" s="50">
        <v>0</v>
      </c>
      <c r="H63" s="50">
        <v>0</v>
      </c>
      <c r="I63" s="50">
        <v>1</v>
      </c>
      <c r="J63" s="50">
        <v>0</v>
      </c>
      <c r="K63" s="50">
        <v>0</v>
      </c>
      <c r="L63" s="50">
        <v>0</v>
      </c>
      <c r="M63" s="50">
        <v>95</v>
      </c>
      <c r="N63" s="50">
        <v>0</v>
      </c>
      <c r="O63" s="15">
        <f t="shared" si="35"/>
        <v>71</v>
      </c>
      <c r="P63" s="15">
        <f t="shared" si="36"/>
        <v>166</v>
      </c>
      <c r="R63" s="8"/>
      <c r="T63"/>
    </row>
    <row r="64" spans="2:20" ht="23.1" customHeight="1" x14ac:dyDescent="0.25">
      <c r="B64" s="45" t="s">
        <v>109</v>
      </c>
      <c r="C64" s="50">
        <v>26</v>
      </c>
      <c r="D64" s="50">
        <v>7</v>
      </c>
      <c r="E64" s="50">
        <v>3</v>
      </c>
      <c r="F64" s="50">
        <v>22</v>
      </c>
      <c r="G64" s="50">
        <v>0</v>
      </c>
      <c r="H64" s="50">
        <v>0</v>
      </c>
      <c r="I64" s="50">
        <v>0</v>
      </c>
      <c r="J64" s="50">
        <v>0</v>
      </c>
      <c r="K64" s="50">
        <v>2</v>
      </c>
      <c r="L64" s="50">
        <v>0</v>
      </c>
      <c r="M64" s="50">
        <v>100</v>
      </c>
      <c r="N64" s="50">
        <v>0</v>
      </c>
      <c r="O64" s="15">
        <f t="shared" si="35"/>
        <v>60</v>
      </c>
      <c r="P64" s="15">
        <f t="shared" si="36"/>
        <v>160</v>
      </c>
      <c r="R64" s="8"/>
      <c r="T64"/>
    </row>
    <row r="65" spans="2:20" ht="23.1" customHeight="1" x14ac:dyDescent="0.25">
      <c r="B65" s="45" t="s">
        <v>158</v>
      </c>
      <c r="C65" s="50">
        <v>30</v>
      </c>
      <c r="D65" s="50">
        <v>6</v>
      </c>
      <c r="E65" s="50">
        <v>2</v>
      </c>
      <c r="F65" s="50">
        <v>30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100</v>
      </c>
      <c r="N65" s="50">
        <v>0</v>
      </c>
      <c r="O65" s="15">
        <f t="shared" si="35"/>
        <v>68</v>
      </c>
      <c r="P65" s="15">
        <f t="shared" si="36"/>
        <v>168</v>
      </c>
      <c r="R65" s="8"/>
      <c r="T65"/>
    </row>
    <row r="66" spans="2:20" ht="23.1" customHeight="1" x14ac:dyDescent="0.25">
      <c r="B66" s="45" t="s">
        <v>103</v>
      </c>
      <c r="C66" s="50">
        <v>40</v>
      </c>
      <c r="D66" s="50">
        <v>12</v>
      </c>
      <c r="E66" s="50">
        <v>5</v>
      </c>
      <c r="F66" s="50">
        <v>50</v>
      </c>
      <c r="G66" s="50">
        <v>0</v>
      </c>
      <c r="H66" s="50">
        <v>0</v>
      </c>
      <c r="I66" s="50">
        <v>0</v>
      </c>
      <c r="J66" s="50">
        <v>0</v>
      </c>
      <c r="K66" s="50">
        <v>3</v>
      </c>
      <c r="L66" s="50">
        <v>0</v>
      </c>
      <c r="M66" s="50">
        <v>80</v>
      </c>
      <c r="N66" s="50">
        <v>1</v>
      </c>
      <c r="O66" s="15">
        <f t="shared" si="35"/>
        <v>111</v>
      </c>
      <c r="P66" s="15">
        <f t="shared" si="36"/>
        <v>191</v>
      </c>
      <c r="R66" s="8"/>
      <c r="T66"/>
    </row>
    <row r="67" spans="2:20" ht="23.1" customHeight="1" x14ac:dyDescent="0.25">
      <c r="B67" s="45" t="s">
        <v>104</v>
      </c>
      <c r="C67" s="50">
        <v>20</v>
      </c>
      <c r="D67" s="50">
        <v>16</v>
      </c>
      <c r="E67" s="50">
        <v>2</v>
      </c>
      <c r="F67" s="50">
        <v>37</v>
      </c>
      <c r="G67" s="50">
        <v>0</v>
      </c>
      <c r="H67" s="50">
        <v>0</v>
      </c>
      <c r="I67" s="50">
        <v>0</v>
      </c>
      <c r="J67" s="50">
        <v>3</v>
      </c>
      <c r="K67" s="50">
        <v>0</v>
      </c>
      <c r="L67" s="50">
        <v>0</v>
      </c>
      <c r="M67" s="50">
        <v>70</v>
      </c>
      <c r="N67" s="50">
        <v>0</v>
      </c>
      <c r="O67" s="15">
        <f t="shared" si="35"/>
        <v>78</v>
      </c>
      <c r="P67" s="15">
        <f t="shared" si="36"/>
        <v>148</v>
      </c>
      <c r="R67" s="8"/>
      <c r="T67"/>
    </row>
    <row r="68" spans="2:20" ht="23.1" customHeight="1" x14ac:dyDescent="0.25">
      <c r="B68" s="45" t="s">
        <v>105</v>
      </c>
      <c r="C68" s="50">
        <v>20</v>
      </c>
      <c r="D68" s="50">
        <v>6</v>
      </c>
      <c r="E68" s="50">
        <v>2</v>
      </c>
      <c r="F68" s="50">
        <v>30</v>
      </c>
      <c r="G68" s="50">
        <v>0</v>
      </c>
      <c r="H68" s="50">
        <v>0</v>
      </c>
      <c r="I68" s="50">
        <v>0</v>
      </c>
      <c r="J68" s="50">
        <v>3</v>
      </c>
      <c r="K68" s="50">
        <v>2</v>
      </c>
      <c r="L68" s="50">
        <v>0</v>
      </c>
      <c r="M68" s="50">
        <v>65</v>
      </c>
      <c r="N68" s="50">
        <v>0</v>
      </c>
      <c r="O68" s="15">
        <f t="shared" si="35"/>
        <v>63</v>
      </c>
      <c r="P68" s="15">
        <f t="shared" si="36"/>
        <v>128</v>
      </c>
      <c r="R68" s="8"/>
      <c r="T68"/>
    </row>
    <row r="69" spans="2:20" ht="23.1" customHeight="1" x14ac:dyDescent="0.25">
      <c r="B69" s="45" t="s">
        <v>106</v>
      </c>
      <c r="C69" s="50">
        <v>27</v>
      </c>
      <c r="D69" s="50">
        <v>8</v>
      </c>
      <c r="E69" s="50">
        <v>3</v>
      </c>
      <c r="F69" s="50">
        <v>35</v>
      </c>
      <c r="G69" s="50">
        <v>0</v>
      </c>
      <c r="H69" s="50">
        <v>0</v>
      </c>
      <c r="I69" s="50">
        <v>0</v>
      </c>
      <c r="J69" s="50">
        <v>0</v>
      </c>
      <c r="K69" s="50">
        <v>1</v>
      </c>
      <c r="L69" s="50">
        <v>0</v>
      </c>
      <c r="M69" s="50">
        <v>50</v>
      </c>
      <c r="N69" s="50">
        <v>0</v>
      </c>
      <c r="O69" s="15">
        <f t="shared" si="35"/>
        <v>74</v>
      </c>
      <c r="P69" s="15">
        <f t="shared" si="36"/>
        <v>124</v>
      </c>
      <c r="R69" s="8"/>
      <c r="T69"/>
    </row>
    <row r="70" spans="2:20" ht="23.1" customHeight="1" x14ac:dyDescent="0.25">
      <c r="B70" s="45" t="s">
        <v>110</v>
      </c>
      <c r="C70" s="50">
        <v>35</v>
      </c>
      <c r="D70" s="50">
        <v>10</v>
      </c>
      <c r="E70" s="50">
        <v>4</v>
      </c>
      <c r="F70" s="50">
        <v>30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50</v>
      </c>
      <c r="N70" s="50">
        <v>0</v>
      </c>
      <c r="O70" s="15">
        <f t="shared" si="35"/>
        <v>79</v>
      </c>
      <c r="P70" s="15">
        <f t="shared" si="36"/>
        <v>129</v>
      </c>
      <c r="R70" s="8"/>
      <c r="T70"/>
    </row>
    <row r="71" spans="2:20" ht="23.1" customHeight="1" x14ac:dyDescent="0.25">
      <c r="B71" s="45" t="s">
        <v>111</v>
      </c>
      <c r="C71" s="50">
        <v>15</v>
      </c>
      <c r="D71" s="50">
        <v>5</v>
      </c>
      <c r="E71" s="50">
        <v>1</v>
      </c>
      <c r="F71" s="50">
        <v>20</v>
      </c>
      <c r="G71" s="50">
        <v>1</v>
      </c>
      <c r="H71" s="50">
        <v>0</v>
      </c>
      <c r="I71" s="50">
        <v>0</v>
      </c>
      <c r="J71" s="50">
        <v>1</v>
      </c>
      <c r="K71" s="50">
        <v>0</v>
      </c>
      <c r="L71" s="50">
        <v>0</v>
      </c>
      <c r="M71" s="50">
        <v>30</v>
      </c>
      <c r="N71" s="50">
        <v>0</v>
      </c>
      <c r="O71" s="15">
        <f t="shared" si="35"/>
        <v>43</v>
      </c>
      <c r="P71" s="15">
        <f t="shared" si="36"/>
        <v>73</v>
      </c>
      <c r="R71" s="8"/>
      <c r="T71"/>
    </row>
    <row r="72" spans="2:20" ht="23.1" customHeight="1" x14ac:dyDescent="0.25">
      <c r="B72" s="45" t="s">
        <v>112</v>
      </c>
      <c r="C72" s="50">
        <v>20</v>
      </c>
      <c r="D72" s="50">
        <v>10</v>
      </c>
      <c r="E72" s="50">
        <v>2</v>
      </c>
      <c r="F72" s="50">
        <v>25</v>
      </c>
      <c r="G72" s="50">
        <v>0</v>
      </c>
      <c r="H72" s="50">
        <v>0</v>
      </c>
      <c r="I72" s="50">
        <v>0</v>
      </c>
      <c r="J72" s="50">
        <v>0</v>
      </c>
      <c r="K72" s="50">
        <v>1</v>
      </c>
      <c r="L72" s="50">
        <v>0</v>
      </c>
      <c r="M72" s="50">
        <v>30</v>
      </c>
      <c r="N72" s="50">
        <v>0</v>
      </c>
      <c r="O72" s="15">
        <f t="shared" si="35"/>
        <v>58</v>
      </c>
      <c r="P72" s="15">
        <f t="shared" si="36"/>
        <v>88</v>
      </c>
      <c r="R72" s="8"/>
      <c r="T72"/>
    </row>
    <row r="73" spans="2:20" ht="23.1" customHeight="1" x14ac:dyDescent="0.25">
      <c r="B73" s="45" t="s">
        <v>113</v>
      </c>
      <c r="C73" s="50">
        <v>13</v>
      </c>
      <c r="D73" s="50">
        <v>1</v>
      </c>
      <c r="E73" s="50">
        <v>0</v>
      </c>
      <c r="F73" s="50">
        <v>8</v>
      </c>
      <c r="G73" s="50">
        <v>0</v>
      </c>
      <c r="H73" s="50">
        <v>0</v>
      </c>
      <c r="I73" s="50">
        <v>0</v>
      </c>
      <c r="J73" s="50">
        <v>0</v>
      </c>
      <c r="K73" s="50">
        <v>1</v>
      </c>
      <c r="L73" s="50">
        <v>0</v>
      </c>
      <c r="M73" s="50">
        <v>30</v>
      </c>
      <c r="N73" s="50">
        <v>0</v>
      </c>
      <c r="O73" s="15">
        <f t="shared" si="35"/>
        <v>23</v>
      </c>
      <c r="P73" s="15">
        <f t="shared" si="36"/>
        <v>53</v>
      </c>
      <c r="R73" s="8"/>
      <c r="T73"/>
    </row>
    <row r="74" spans="2:20" ht="23.1" customHeight="1" x14ac:dyDescent="0.25">
      <c r="B74" s="45" t="s">
        <v>114</v>
      </c>
      <c r="C74" s="50">
        <v>20</v>
      </c>
      <c r="D74" s="50">
        <v>3</v>
      </c>
      <c r="E74" s="50">
        <v>2</v>
      </c>
      <c r="F74" s="50">
        <v>23</v>
      </c>
      <c r="G74" s="50">
        <v>0</v>
      </c>
      <c r="H74" s="50">
        <v>0</v>
      </c>
      <c r="I74" s="50">
        <v>0</v>
      </c>
      <c r="J74" s="50">
        <v>3</v>
      </c>
      <c r="K74" s="50">
        <v>0</v>
      </c>
      <c r="L74" s="50">
        <v>0</v>
      </c>
      <c r="M74" s="50">
        <v>30</v>
      </c>
      <c r="N74" s="50">
        <v>0</v>
      </c>
      <c r="O74" s="15">
        <f t="shared" si="35"/>
        <v>51</v>
      </c>
      <c r="P74" s="15">
        <f t="shared" si="36"/>
        <v>81</v>
      </c>
      <c r="R74" s="8"/>
      <c r="T74"/>
    </row>
    <row r="75" spans="2:20" ht="23.1" customHeight="1" x14ac:dyDescent="0.25">
      <c r="B75" s="45" t="s">
        <v>115</v>
      </c>
      <c r="C75" s="50">
        <v>40</v>
      </c>
      <c r="D75" s="50">
        <v>7</v>
      </c>
      <c r="E75" s="50">
        <v>2</v>
      </c>
      <c r="F75" s="50">
        <v>21</v>
      </c>
      <c r="G75" s="50">
        <v>0</v>
      </c>
      <c r="H75" s="50">
        <v>0</v>
      </c>
      <c r="I75" s="50">
        <v>0</v>
      </c>
      <c r="J75" s="50">
        <v>0</v>
      </c>
      <c r="K75" s="50">
        <v>2</v>
      </c>
      <c r="L75" s="50">
        <v>0</v>
      </c>
      <c r="M75" s="50">
        <v>35</v>
      </c>
      <c r="N75" s="50">
        <v>0</v>
      </c>
      <c r="O75" s="15">
        <f t="shared" si="35"/>
        <v>72</v>
      </c>
      <c r="P75" s="15">
        <f t="shared" si="36"/>
        <v>107</v>
      </c>
      <c r="R75" s="8"/>
      <c r="T75"/>
    </row>
    <row r="76" spans="2:20" ht="23.1" customHeight="1" x14ac:dyDescent="0.25">
      <c r="B76" s="45" t="s">
        <v>116</v>
      </c>
      <c r="C76" s="50">
        <v>16</v>
      </c>
      <c r="D76" s="50">
        <v>1</v>
      </c>
      <c r="E76" s="50">
        <v>0</v>
      </c>
      <c r="F76" s="50">
        <v>6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0</v>
      </c>
      <c r="M76" s="50">
        <v>25</v>
      </c>
      <c r="N76" s="50">
        <v>0</v>
      </c>
      <c r="O76" s="15">
        <f t="shared" si="35"/>
        <v>24</v>
      </c>
      <c r="P76" s="15">
        <f t="shared" si="36"/>
        <v>49</v>
      </c>
      <c r="R76" s="8"/>
      <c r="T76"/>
    </row>
    <row r="77" spans="2:20" ht="23.1" customHeight="1" x14ac:dyDescent="0.25">
      <c r="B77" s="45" t="s">
        <v>117</v>
      </c>
      <c r="C77" s="50">
        <v>15</v>
      </c>
      <c r="D77" s="50">
        <v>1</v>
      </c>
      <c r="E77" s="50">
        <v>1</v>
      </c>
      <c r="F77" s="50">
        <v>8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15</v>
      </c>
      <c r="N77" s="50">
        <v>0</v>
      </c>
      <c r="O77" s="15">
        <f t="shared" si="35"/>
        <v>25</v>
      </c>
      <c r="P77" s="15">
        <f t="shared" si="36"/>
        <v>40</v>
      </c>
      <c r="R77" s="8"/>
      <c r="T77"/>
    </row>
    <row r="78" spans="2:20" ht="23.1" customHeight="1" x14ac:dyDescent="0.25">
      <c r="B78" s="46" t="s">
        <v>118</v>
      </c>
      <c r="C78" s="50">
        <v>20</v>
      </c>
      <c r="D78" s="50">
        <v>3</v>
      </c>
      <c r="E78" s="50">
        <v>3</v>
      </c>
      <c r="F78" s="50">
        <v>20</v>
      </c>
      <c r="G78" s="50">
        <v>0</v>
      </c>
      <c r="H78" s="50">
        <v>0</v>
      </c>
      <c r="I78" s="50">
        <v>0</v>
      </c>
      <c r="J78" s="50">
        <v>2</v>
      </c>
      <c r="K78" s="50">
        <v>0</v>
      </c>
      <c r="L78" s="50">
        <v>0</v>
      </c>
      <c r="M78" s="50">
        <v>40</v>
      </c>
      <c r="N78" s="50">
        <v>0</v>
      </c>
      <c r="O78" s="15">
        <f t="shared" si="35"/>
        <v>48</v>
      </c>
      <c r="P78" s="15">
        <f t="shared" si="36"/>
        <v>88</v>
      </c>
      <c r="R78" s="8"/>
      <c r="T78"/>
    </row>
    <row r="79" spans="2:20" ht="23.1" customHeight="1" x14ac:dyDescent="0.25">
      <c r="B79" s="45" t="s">
        <v>119</v>
      </c>
      <c r="C79" s="50">
        <v>6</v>
      </c>
      <c r="D79" s="50">
        <v>0</v>
      </c>
      <c r="E79" s="50">
        <v>3</v>
      </c>
      <c r="F79" s="50">
        <v>1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15</v>
      </c>
      <c r="N79" s="50">
        <v>0</v>
      </c>
      <c r="O79" s="15">
        <f t="shared" si="35"/>
        <v>10</v>
      </c>
      <c r="P79" s="15">
        <f t="shared" si="36"/>
        <v>25</v>
      </c>
      <c r="R79" s="8"/>
      <c r="T79"/>
    </row>
    <row r="80" spans="2:20" ht="23.1" customHeight="1" x14ac:dyDescent="0.25">
      <c r="B80" s="47" t="s">
        <v>120</v>
      </c>
      <c r="C80" s="50">
        <v>15</v>
      </c>
      <c r="D80" s="50">
        <v>2</v>
      </c>
      <c r="E80" s="50">
        <v>1</v>
      </c>
      <c r="F80" s="50">
        <v>15</v>
      </c>
      <c r="G80" s="50">
        <v>0</v>
      </c>
      <c r="H80" s="50">
        <v>0</v>
      </c>
      <c r="I80" s="50">
        <v>0</v>
      </c>
      <c r="J80" s="50">
        <v>1</v>
      </c>
      <c r="K80" s="50">
        <v>0</v>
      </c>
      <c r="L80" s="50">
        <v>0</v>
      </c>
      <c r="M80" s="50">
        <v>30</v>
      </c>
      <c r="N80" s="50">
        <v>0</v>
      </c>
      <c r="O80" s="15">
        <f t="shared" si="35"/>
        <v>34</v>
      </c>
      <c r="P80" s="15">
        <f t="shared" si="36"/>
        <v>64</v>
      </c>
      <c r="R80" s="8"/>
      <c r="T80"/>
    </row>
    <row r="81" spans="2:20" ht="23.1" customHeight="1" x14ac:dyDescent="0.25">
      <c r="B81" s="45" t="s">
        <v>121</v>
      </c>
      <c r="C81" s="50">
        <v>8</v>
      </c>
      <c r="D81" s="50">
        <v>1</v>
      </c>
      <c r="E81" s="50">
        <v>1</v>
      </c>
      <c r="F81" s="50">
        <v>7</v>
      </c>
      <c r="G81" s="50">
        <v>0</v>
      </c>
      <c r="H81" s="50">
        <v>0</v>
      </c>
      <c r="I81" s="50">
        <v>0</v>
      </c>
      <c r="J81" s="50">
        <v>1</v>
      </c>
      <c r="K81" s="50">
        <v>0</v>
      </c>
      <c r="L81" s="50">
        <v>0</v>
      </c>
      <c r="M81" s="50">
        <v>25</v>
      </c>
      <c r="N81" s="50">
        <v>0</v>
      </c>
      <c r="O81" s="15">
        <f t="shared" si="35"/>
        <v>18</v>
      </c>
      <c r="P81" s="15">
        <f t="shared" si="36"/>
        <v>43</v>
      </c>
      <c r="R81" s="8"/>
      <c r="T81"/>
    </row>
    <row r="82" spans="2:20" ht="23.1" customHeight="1" x14ac:dyDescent="0.25">
      <c r="B82" s="46" t="s">
        <v>122</v>
      </c>
      <c r="C82" s="50">
        <v>13</v>
      </c>
      <c r="D82" s="50">
        <v>1</v>
      </c>
      <c r="E82" s="50">
        <v>2</v>
      </c>
      <c r="F82" s="50">
        <v>2</v>
      </c>
      <c r="G82" s="50">
        <v>0</v>
      </c>
      <c r="H82" s="50">
        <v>0</v>
      </c>
      <c r="I82" s="50">
        <v>0</v>
      </c>
      <c r="J82" s="50">
        <v>1</v>
      </c>
      <c r="K82" s="50">
        <v>0</v>
      </c>
      <c r="L82" s="50">
        <v>0</v>
      </c>
      <c r="M82" s="50">
        <v>20</v>
      </c>
      <c r="N82" s="50">
        <v>0</v>
      </c>
      <c r="O82" s="15">
        <f t="shared" si="35"/>
        <v>19</v>
      </c>
      <c r="P82" s="15">
        <f t="shared" si="36"/>
        <v>39</v>
      </c>
      <c r="R82" s="8"/>
      <c r="T82"/>
    </row>
    <row r="83" spans="2:20" ht="23.1" customHeight="1" x14ac:dyDescent="0.25">
      <c r="B83" s="45" t="s">
        <v>123</v>
      </c>
      <c r="C83" s="50">
        <v>10</v>
      </c>
      <c r="D83" s="50">
        <v>0</v>
      </c>
      <c r="E83" s="50">
        <v>0</v>
      </c>
      <c r="F83" s="50">
        <v>5</v>
      </c>
      <c r="G83" s="50">
        <v>0</v>
      </c>
      <c r="H83" s="50">
        <v>0</v>
      </c>
      <c r="I83" s="50">
        <v>0</v>
      </c>
      <c r="J83" s="50">
        <v>1</v>
      </c>
      <c r="K83" s="50">
        <v>0</v>
      </c>
      <c r="L83" s="50">
        <v>0</v>
      </c>
      <c r="M83" s="50">
        <v>20</v>
      </c>
      <c r="N83" s="50">
        <v>0</v>
      </c>
      <c r="O83" s="15">
        <f t="shared" si="35"/>
        <v>16</v>
      </c>
      <c r="P83" s="15">
        <f t="shared" si="36"/>
        <v>36</v>
      </c>
      <c r="R83" s="8"/>
      <c r="T83"/>
    </row>
    <row r="84" spans="2:20" ht="23.1" customHeight="1" x14ac:dyDescent="0.25">
      <c r="B84" s="47" t="s">
        <v>124</v>
      </c>
      <c r="C84" s="50">
        <v>5</v>
      </c>
      <c r="D84" s="50">
        <v>8</v>
      </c>
      <c r="E84" s="50">
        <v>0</v>
      </c>
      <c r="F84" s="50">
        <v>6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20</v>
      </c>
      <c r="N84" s="50">
        <v>0</v>
      </c>
      <c r="O84" s="15">
        <f t="shared" si="35"/>
        <v>19</v>
      </c>
      <c r="P84" s="15">
        <f t="shared" si="36"/>
        <v>39</v>
      </c>
      <c r="R84" s="8"/>
      <c r="T84"/>
    </row>
    <row r="85" spans="2:20" ht="23.1" customHeight="1" x14ac:dyDescent="0.25">
      <c r="B85" s="45" t="s">
        <v>125</v>
      </c>
      <c r="C85" s="50">
        <v>5</v>
      </c>
      <c r="D85" s="50">
        <v>3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1</v>
      </c>
      <c r="K85" s="50">
        <v>0</v>
      </c>
      <c r="L85" s="50">
        <v>0</v>
      </c>
      <c r="M85" s="50">
        <v>35</v>
      </c>
      <c r="N85" s="50">
        <v>0</v>
      </c>
      <c r="O85" s="15">
        <f t="shared" si="35"/>
        <v>9</v>
      </c>
      <c r="P85" s="15">
        <f t="shared" si="36"/>
        <v>44</v>
      </c>
      <c r="R85" s="8"/>
      <c r="T85"/>
    </row>
    <row r="86" spans="2:20" ht="23.1" customHeight="1" x14ac:dyDescent="0.25">
      <c r="B86" s="46" t="s">
        <v>126</v>
      </c>
      <c r="C86" s="50">
        <v>3</v>
      </c>
      <c r="D86" s="50">
        <v>0</v>
      </c>
      <c r="E86" s="50">
        <v>0</v>
      </c>
      <c r="F86" s="50">
        <v>3</v>
      </c>
      <c r="G86" s="50">
        <v>0</v>
      </c>
      <c r="H86" s="50">
        <v>0</v>
      </c>
      <c r="I86" s="50">
        <v>0</v>
      </c>
      <c r="J86" s="50">
        <v>0</v>
      </c>
      <c r="K86" s="50">
        <v>1</v>
      </c>
      <c r="L86" s="50">
        <v>0</v>
      </c>
      <c r="M86" s="50">
        <v>5</v>
      </c>
      <c r="N86" s="50">
        <v>0</v>
      </c>
      <c r="O86" s="15">
        <f t="shared" si="35"/>
        <v>7</v>
      </c>
      <c r="P86" s="15">
        <f t="shared" si="36"/>
        <v>12</v>
      </c>
      <c r="R86" s="8"/>
      <c r="T86"/>
    </row>
    <row r="87" spans="2:20" ht="23.1" customHeight="1" x14ac:dyDescent="0.25">
      <c r="B87" s="45" t="s">
        <v>127</v>
      </c>
      <c r="C87" s="50">
        <v>8</v>
      </c>
      <c r="D87" s="50">
        <v>0</v>
      </c>
      <c r="E87" s="50">
        <v>3</v>
      </c>
      <c r="F87" s="50">
        <v>4</v>
      </c>
      <c r="G87" s="50">
        <v>0</v>
      </c>
      <c r="H87" s="50">
        <v>0</v>
      </c>
      <c r="I87" s="50">
        <v>0</v>
      </c>
      <c r="J87" s="50">
        <v>0</v>
      </c>
      <c r="K87" s="50">
        <v>1</v>
      </c>
      <c r="L87" s="50">
        <v>0</v>
      </c>
      <c r="M87" s="50">
        <v>10</v>
      </c>
      <c r="N87" s="50">
        <v>0</v>
      </c>
      <c r="O87" s="15">
        <f t="shared" si="35"/>
        <v>16</v>
      </c>
      <c r="P87" s="15">
        <f t="shared" si="36"/>
        <v>26</v>
      </c>
      <c r="R87" s="8"/>
      <c r="T87"/>
    </row>
    <row r="88" spans="2:20" ht="23.1" customHeight="1" x14ac:dyDescent="0.25">
      <c r="B88" s="47" t="s">
        <v>128</v>
      </c>
      <c r="C88" s="50">
        <v>6</v>
      </c>
      <c r="D88" s="50">
        <v>3</v>
      </c>
      <c r="E88" s="50">
        <v>2</v>
      </c>
      <c r="F88" s="50">
        <v>5</v>
      </c>
      <c r="G88" s="50">
        <v>0</v>
      </c>
      <c r="H88" s="50">
        <v>0</v>
      </c>
      <c r="I88" s="50">
        <v>0</v>
      </c>
      <c r="J88" s="50">
        <v>0</v>
      </c>
      <c r="K88" s="50">
        <v>1</v>
      </c>
      <c r="L88" s="50">
        <v>0</v>
      </c>
      <c r="M88" s="50">
        <v>25</v>
      </c>
      <c r="N88" s="50">
        <v>0</v>
      </c>
      <c r="O88" s="15">
        <f t="shared" si="35"/>
        <v>17</v>
      </c>
      <c r="P88" s="15">
        <f t="shared" si="36"/>
        <v>42</v>
      </c>
      <c r="R88" s="8"/>
      <c r="T88"/>
    </row>
    <row r="89" spans="2:20" ht="23.1" customHeight="1" x14ac:dyDescent="0.25">
      <c r="B89" s="45" t="s">
        <v>129</v>
      </c>
      <c r="C89" s="50">
        <v>10</v>
      </c>
      <c r="D89" s="50">
        <v>5</v>
      </c>
      <c r="E89" s="50">
        <v>0</v>
      </c>
      <c r="F89" s="50">
        <v>10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10</v>
      </c>
      <c r="N89" s="50">
        <v>0</v>
      </c>
      <c r="O89" s="15">
        <f t="shared" si="35"/>
        <v>25</v>
      </c>
      <c r="P89" s="15">
        <f t="shared" si="36"/>
        <v>35</v>
      </c>
      <c r="R89" s="8"/>
      <c r="T89"/>
    </row>
    <row r="90" spans="2:20" ht="23.1" customHeight="1" x14ac:dyDescent="0.25">
      <c r="B90" s="46" t="s">
        <v>130</v>
      </c>
      <c r="C90" s="50">
        <v>20</v>
      </c>
      <c r="D90" s="50">
        <v>5</v>
      </c>
      <c r="E90" s="50">
        <v>5</v>
      </c>
      <c r="F90" s="50">
        <v>20</v>
      </c>
      <c r="G90" s="50">
        <v>0</v>
      </c>
      <c r="H90" s="50">
        <v>0</v>
      </c>
      <c r="I90" s="50">
        <v>0</v>
      </c>
      <c r="J90" s="50">
        <v>0</v>
      </c>
      <c r="K90" s="50">
        <v>1</v>
      </c>
      <c r="L90" s="50">
        <v>0</v>
      </c>
      <c r="M90" s="50">
        <v>30</v>
      </c>
      <c r="N90" s="50">
        <v>0</v>
      </c>
      <c r="O90" s="15">
        <f t="shared" si="35"/>
        <v>51</v>
      </c>
      <c r="P90" s="15">
        <f t="shared" si="36"/>
        <v>81</v>
      </c>
      <c r="R90" s="8"/>
      <c r="T90"/>
    </row>
    <row r="91" spans="2:20" ht="23.1" customHeight="1" x14ac:dyDescent="0.25">
      <c r="B91" s="45" t="s">
        <v>131</v>
      </c>
      <c r="C91" s="50">
        <v>5</v>
      </c>
      <c r="D91" s="50">
        <v>3</v>
      </c>
      <c r="E91" s="50">
        <v>2</v>
      </c>
      <c r="F91" s="50">
        <v>10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35</v>
      </c>
      <c r="N91" s="50">
        <v>0</v>
      </c>
      <c r="O91" s="15">
        <f t="shared" si="35"/>
        <v>20</v>
      </c>
      <c r="P91" s="15">
        <f t="shared" si="36"/>
        <v>55</v>
      </c>
      <c r="R91" s="8"/>
      <c r="T91"/>
    </row>
    <row r="92" spans="2:20" ht="23.1" customHeight="1" x14ac:dyDescent="0.25">
      <c r="B92" s="47" t="s">
        <v>132</v>
      </c>
      <c r="C92" s="50">
        <v>3</v>
      </c>
      <c r="D92" s="50">
        <v>1</v>
      </c>
      <c r="E92" s="50">
        <v>0</v>
      </c>
      <c r="F92" s="50">
        <v>10</v>
      </c>
      <c r="G92" s="50">
        <v>0</v>
      </c>
      <c r="H92" s="50">
        <v>0</v>
      </c>
      <c r="I92" s="50">
        <v>0</v>
      </c>
      <c r="J92" s="50">
        <v>0</v>
      </c>
      <c r="K92" s="50">
        <v>1</v>
      </c>
      <c r="L92" s="50">
        <v>0</v>
      </c>
      <c r="M92" s="50">
        <v>20</v>
      </c>
      <c r="N92" s="50">
        <v>0</v>
      </c>
      <c r="O92" s="15">
        <f t="shared" si="35"/>
        <v>15</v>
      </c>
      <c r="P92" s="15">
        <f t="shared" si="36"/>
        <v>35</v>
      </c>
      <c r="R92" s="8"/>
      <c r="T92"/>
    </row>
    <row r="93" spans="2:20" ht="23.1" customHeight="1" x14ac:dyDescent="0.25">
      <c r="B93" s="45" t="s">
        <v>133</v>
      </c>
      <c r="C93" s="50">
        <v>3</v>
      </c>
      <c r="D93" s="50">
        <v>0</v>
      </c>
      <c r="E93" s="50">
        <v>1</v>
      </c>
      <c r="F93" s="50">
        <v>0</v>
      </c>
      <c r="G93" s="50">
        <v>6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30</v>
      </c>
      <c r="N93" s="50">
        <v>0</v>
      </c>
      <c r="O93" s="15">
        <f t="shared" si="35"/>
        <v>10</v>
      </c>
      <c r="P93" s="15">
        <f t="shared" si="36"/>
        <v>40</v>
      </c>
      <c r="R93" s="8"/>
      <c r="T93"/>
    </row>
    <row r="94" spans="2:20" ht="23.1" customHeight="1" x14ac:dyDescent="0.25">
      <c r="B94" s="46" t="s">
        <v>134</v>
      </c>
      <c r="C94" s="50">
        <v>5</v>
      </c>
      <c r="D94" s="50">
        <v>1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1</v>
      </c>
      <c r="L94" s="50">
        <v>0</v>
      </c>
      <c r="M94" s="50">
        <v>9</v>
      </c>
      <c r="N94" s="50">
        <v>0</v>
      </c>
      <c r="O94" s="15">
        <f t="shared" si="35"/>
        <v>7</v>
      </c>
      <c r="P94" s="15">
        <f t="shared" si="36"/>
        <v>16</v>
      </c>
      <c r="R94" s="8"/>
      <c r="T94"/>
    </row>
    <row r="95" spans="2:20" ht="23.1" customHeight="1" x14ac:dyDescent="0.25">
      <c r="B95" s="45" t="s">
        <v>135</v>
      </c>
      <c r="C95" s="50">
        <v>8</v>
      </c>
      <c r="D95" s="50">
        <v>2</v>
      </c>
      <c r="E95" s="50">
        <v>0</v>
      </c>
      <c r="F95" s="50">
        <v>2</v>
      </c>
      <c r="G95" s="50">
        <v>0</v>
      </c>
      <c r="H95" s="50">
        <v>0</v>
      </c>
      <c r="I95" s="50">
        <v>0</v>
      </c>
      <c r="J95" s="50">
        <v>0</v>
      </c>
      <c r="K95" s="50">
        <v>1</v>
      </c>
      <c r="L95" s="50">
        <v>0</v>
      </c>
      <c r="M95" s="50">
        <v>20</v>
      </c>
      <c r="N95" s="50">
        <v>0</v>
      </c>
      <c r="O95" s="15">
        <f t="shared" si="35"/>
        <v>13</v>
      </c>
      <c r="P95" s="15">
        <f t="shared" si="36"/>
        <v>33</v>
      </c>
      <c r="R95" s="8"/>
      <c r="T95"/>
    </row>
    <row r="96" spans="2:20" ht="23.1" customHeight="1" x14ac:dyDescent="0.25">
      <c r="B96" s="47" t="s">
        <v>136</v>
      </c>
      <c r="C96" s="50">
        <v>15</v>
      </c>
      <c r="D96" s="50">
        <v>2</v>
      </c>
      <c r="E96" s="50">
        <v>1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2</v>
      </c>
      <c r="L96" s="50">
        <v>0</v>
      </c>
      <c r="M96" s="50">
        <v>40</v>
      </c>
      <c r="N96" s="50">
        <v>0</v>
      </c>
      <c r="O96" s="15">
        <f t="shared" si="35"/>
        <v>20</v>
      </c>
      <c r="P96" s="15">
        <f t="shared" si="36"/>
        <v>60</v>
      </c>
      <c r="R96" s="8"/>
      <c r="T96"/>
    </row>
    <row r="97" spans="2:20" ht="23.1" customHeight="1" x14ac:dyDescent="0.25">
      <c r="B97" s="45" t="s">
        <v>137</v>
      </c>
      <c r="C97" s="50">
        <v>20</v>
      </c>
      <c r="D97" s="50">
        <v>3</v>
      </c>
      <c r="E97" s="50">
        <v>1</v>
      </c>
      <c r="F97" s="50">
        <v>2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45</v>
      </c>
      <c r="N97" s="50">
        <v>0</v>
      </c>
      <c r="O97" s="15">
        <f t="shared" si="35"/>
        <v>26</v>
      </c>
      <c r="P97" s="15">
        <f t="shared" si="36"/>
        <v>71</v>
      </c>
      <c r="R97" s="8"/>
      <c r="T97"/>
    </row>
    <row r="98" spans="2:20" ht="23.1" customHeight="1" x14ac:dyDescent="0.25">
      <c r="B98" s="46" t="s">
        <v>138</v>
      </c>
      <c r="C98" s="50">
        <v>12</v>
      </c>
      <c r="D98" s="50">
        <v>0</v>
      </c>
      <c r="E98" s="50">
        <v>1</v>
      </c>
      <c r="F98" s="50">
        <v>0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45</v>
      </c>
      <c r="N98" s="50">
        <v>0</v>
      </c>
      <c r="O98" s="15">
        <f t="shared" si="35"/>
        <v>14</v>
      </c>
      <c r="P98" s="15">
        <f t="shared" si="36"/>
        <v>59</v>
      </c>
      <c r="R98" s="8"/>
      <c r="T98"/>
    </row>
    <row r="99" spans="2:20" ht="23.1" customHeight="1" x14ac:dyDescent="0.25">
      <c r="B99" s="45" t="s">
        <v>139</v>
      </c>
      <c r="C99" s="50">
        <v>2</v>
      </c>
      <c r="D99" s="50">
        <v>0</v>
      </c>
      <c r="E99" s="50">
        <v>0</v>
      </c>
      <c r="F99" s="50">
        <v>1</v>
      </c>
      <c r="G99" s="50">
        <v>0</v>
      </c>
      <c r="H99" s="50">
        <v>0</v>
      </c>
      <c r="I99" s="50">
        <v>0</v>
      </c>
      <c r="J99" s="50">
        <v>0</v>
      </c>
      <c r="K99" s="50">
        <v>1</v>
      </c>
      <c r="L99" s="50">
        <v>0</v>
      </c>
      <c r="M99" s="50">
        <v>25</v>
      </c>
      <c r="N99" s="50">
        <v>0</v>
      </c>
      <c r="O99" s="15">
        <f t="shared" si="35"/>
        <v>4</v>
      </c>
      <c r="P99" s="15">
        <f t="shared" si="36"/>
        <v>29</v>
      </c>
      <c r="R99" s="8"/>
      <c r="T99"/>
    </row>
    <row r="100" spans="2:20" ht="23.1" customHeight="1" x14ac:dyDescent="0.25">
      <c r="B100" s="47" t="s">
        <v>140</v>
      </c>
      <c r="C100" s="50">
        <v>5</v>
      </c>
      <c r="D100" s="50">
        <v>1</v>
      </c>
      <c r="E100" s="50">
        <v>1</v>
      </c>
      <c r="F100" s="50">
        <v>1</v>
      </c>
      <c r="G100" s="50">
        <v>0</v>
      </c>
      <c r="H100" s="50">
        <v>0</v>
      </c>
      <c r="I100" s="50">
        <v>0</v>
      </c>
      <c r="J100" s="50">
        <v>0</v>
      </c>
      <c r="K100" s="50">
        <v>1</v>
      </c>
      <c r="L100" s="50">
        <v>0</v>
      </c>
      <c r="M100" s="50">
        <v>40</v>
      </c>
      <c r="N100" s="50">
        <v>0</v>
      </c>
      <c r="O100" s="15">
        <f t="shared" si="35"/>
        <v>9</v>
      </c>
      <c r="P100" s="15">
        <f t="shared" si="36"/>
        <v>49</v>
      </c>
      <c r="R100" s="8"/>
      <c r="T100"/>
    </row>
    <row r="101" spans="2:20" ht="23.1" customHeight="1" x14ac:dyDescent="0.25">
      <c r="B101" s="45" t="s">
        <v>141</v>
      </c>
      <c r="C101" s="50">
        <v>13</v>
      </c>
      <c r="D101" s="50">
        <v>0</v>
      </c>
      <c r="E101" s="50">
        <v>1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20</v>
      </c>
      <c r="N101" s="50">
        <v>0</v>
      </c>
      <c r="O101" s="15">
        <f t="shared" si="35"/>
        <v>14</v>
      </c>
      <c r="P101" s="15">
        <f t="shared" si="36"/>
        <v>34</v>
      </c>
      <c r="R101" s="8"/>
      <c r="T101"/>
    </row>
    <row r="102" spans="2:20" ht="23.1" customHeight="1" x14ac:dyDescent="0.25">
      <c r="B102" s="46" t="s">
        <v>142</v>
      </c>
      <c r="C102" s="50">
        <v>3</v>
      </c>
      <c r="D102" s="50">
        <v>4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30</v>
      </c>
      <c r="N102" s="50">
        <v>0</v>
      </c>
      <c r="O102" s="15">
        <f t="shared" si="35"/>
        <v>7</v>
      </c>
      <c r="P102" s="15">
        <f t="shared" si="36"/>
        <v>37</v>
      </c>
      <c r="R102" s="8"/>
      <c r="T102"/>
    </row>
    <row r="103" spans="2:20" ht="23.1" customHeight="1" x14ac:dyDescent="0.25">
      <c r="B103" s="45" t="s">
        <v>143</v>
      </c>
      <c r="C103" s="50">
        <v>3</v>
      </c>
      <c r="D103" s="50">
        <v>3</v>
      </c>
      <c r="E103" s="50">
        <v>0</v>
      </c>
      <c r="F103" s="50">
        <v>3</v>
      </c>
      <c r="G103" s="50">
        <v>0</v>
      </c>
      <c r="H103" s="50">
        <v>0</v>
      </c>
      <c r="I103" s="50">
        <v>0</v>
      </c>
      <c r="J103" s="50">
        <v>0</v>
      </c>
      <c r="K103" s="50">
        <v>2</v>
      </c>
      <c r="L103" s="50">
        <v>0</v>
      </c>
      <c r="M103" s="50">
        <v>21</v>
      </c>
      <c r="N103" s="50">
        <v>0</v>
      </c>
      <c r="O103" s="15">
        <f t="shared" si="35"/>
        <v>11</v>
      </c>
      <c r="P103" s="15">
        <f t="shared" si="36"/>
        <v>32</v>
      </c>
      <c r="R103" s="8"/>
      <c r="T103"/>
    </row>
    <row r="104" spans="2:20" ht="23.1" customHeight="1" x14ac:dyDescent="0.25">
      <c r="B104" s="47" t="s">
        <v>144</v>
      </c>
      <c r="C104" s="50">
        <v>9</v>
      </c>
      <c r="D104" s="50">
        <v>2</v>
      </c>
      <c r="E104" s="50">
        <v>0</v>
      </c>
      <c r="F104" s="50">
        <v>2</v>
      </c>
      <c r="G104" s="50">
        <v>0</v>
      </c>
      <c r="H104" s="50">
        <v>0</v>
      </c>
      <c r="I104" s="50">
        <v>0</v>
      </c>
      <c r="J104" s="50">
        <v>0</v>
      </c>
      <c r="K104" s="50">
        <v>2</v>
      </c>
      <c r="L104" s="50">
        <v>0</v>
      </c>
      <c r="M104" s="50">
        <v>32</v>
      </c>
      <c r="N104" s="50">
        <v>0</v>
      </c>
      <c r="O104" s="15">
        <f t="shared" si="35"/>
        <v>15</v>
      </c>
      <c r="P104" s="15">
        <f t="shared" si="36"/>
        <v>47</v>
      </c>
      <c r="R104" s="8"/>
      <c r="T104"/>
    </row>
    <row r="105" spans="2:20" ht="23.1" customHeight="1" x14ac:dyDescent="0.25">
      <c r="B105" s="45" t="s">
        <v>145</v>
      </c>
      <c r="C105" s="50">
        <v>2</v>
      </c>
      <c r="D105" s="50">
        <v>0</v>
      </c>
      <c r="E105" s="50">
        <v>1</v>
      </c>
      <c r="F105" s="50">
        <v>5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20</v>
      </c>
      <c r="N105" s="50">
        <v>0</v>
      </c>
      <c r="O105" s="15">
        <f t="shared" si="35"/>
        <v>8</v>
      </c>
      <c r="P105" s="15">
        <f t="shared" si="36"/>
        <v>28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1602</v>
      </c>
      <c r="D106" s="16">
        <f t="shared" ref="D106:P106" si="37">SUM(D10:D105)</f>
        <v>561</v>
      </c>
      <c r="E106" s="16">
        <f t="shared" si="37"/>
        <v>243</v>
      </c>
      <c r="F106" s="16">
        <f t="shared" si="37"/>
        <v>2295</v>
      </c>
      <c r="G106" s="16">
        <f t="shared" si="37"/>
        <v>26</v>
      </c>
      <c r="H106" s="16">
        <f t="shared" si="37"/>
        <v>1</v>
      </c>
      <c r="I106" s="16">
        <f t="shared" si="37"/>
        <v>174</v>
      </c>
      <c r="J106" s="16">
        <f t="shared" si="37"/>
        <v>42</v>
      </c>
      <c r="K106" s="16">
        <f t="shared" si="37"/>
        <v>47</v>
      </c>
      <c r="L106" s="16">
        <f t="shared" si="37"/>
        <v>0</v>
      </c>
      <c r="M106" s="16">
        <f t="shared" si="37"/>
        <v>7560</v>
      </c>
      <c r="N106" s="16">
        <f t="shared" si="37"/>
        <v>2</v>
      </c>
      <c r="O106" s="16">
        <f t="shared" si="37"/>
        <v>4993</v>
      </c>
      <c r="P106" s="16">
        <f t="shared" si="37"/>
        <v>12553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0.12761889588146261</v>
      </c>
      <c r="D107" s="43">
        <f t="shared" si="38"/>
        <v>4.469051222815263E-2</v>
      </c>
      <c r="E107" s="43">
        <f t="shared" si="38"/>
        <v>1.93579224089859E-2</v>
      </c>
      <c r="F107" s="43">
        <f t="shared" si="38"/>
        <v>0.1828248227515335</v>
      </c>
      <c r="G107" s="43">
        <f t="shared" si="38"/>
        <v>2.0712180355293556E-3</v>
      </c>
      <c r="H107" s="43">
        <f t="shared" si="38"/>
        <v>7.9662232135744448E-5</v>
      </c>
      <c r="I107" s="43">
        <f t="shared" si="38"/>
        <v>1.3861228391619533E-2</v>
      </c>
      <c r="J107" s="43">
        <f t="shared" si="38"/>
        <v>3.3458137497012668E-3</v>
      </c>
      <c r="K107" s="43">
        <f t="shared" si="38"/>
        <v>3.744124910379989E-3</v>
      </c>
      <c r="L107" s="43">
        <f t="shared" si="38"/>
        <v>0</v>
      </c>
      <c r="M107" s="43">
        <f t="shared" si="38"/>
        <v>0.60224647494622796</v>
      </c>
      <c r="N107" s="43">
        <f t="shared" si="38"/>
        <v>1.593244642714889E-4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0.32084918886441016</v>
      </c>
      <c r="D108" s="44">
        <f t="shared" ref="D108:N108" si="39">D106/$O$106</f>
        <v>0.11235730022030843</v>
      </c>
      <c r="E108" s="44">
        <f t="shared" si="39"/>
        <v>4.8668135389545363E-2</v>
      </c>
      <c r="F108" s="44">
        <f t="shared" si="39"/>
        <v>0.45964350090126177</v>
      </c>
      <c r="G108" s="44">
        <f t="shared" si="39"/>
        <v>5.2072902062888045E-3</v>
      </c>
      <c r="H108" s="44">
        <f t="shared" si="39"/>
        <v>2.002803925495694E-4</v>
      </c>
      <c r="I108" s="44">
        <f t="shared" si="39"/>
        <v>3.4848788303625075E-2</v>
      </c>
      <c r="J108" s="44">
        <f t="shared" si="39"/>
        <v>8.411776487081914E-3</v>
      </c>
      <c r="K108" s="44">
        <f t="shared" si="39"/>
        <v>9.4131784498297615E-3</v>
      </c>
      <c r="L108" s="44">
        <f t="shared" si="39"/>
        <v>0</v>
      </c>
      <c r="M108" s="44"/>
      <c r="N108" s="44">
        <f t="shared" si="39"/>
        <v>4.005607850991388E-4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249977111117893"/>
  </sheetPr>
  <dimension ref="B1:AF174"/>
  <sheetViews>
    <sheetView view="pageBreakPreview" topLeftCell="A46" zoomScale="60" workbookViewId="0">
      <selection activeCell="D17" sqref="D1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Kibuye-Munyonyo'!C3:G3</f>
        <v>MCC - C1 - STN01A - SALAMA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'26.07 Kibuye-Munyonyo-24h'!D5</f>
        <v>26.07.19</v>
      </c>
      <c r="E5" s="3"/>
      <c r="F5" s="41" t="s">
        <v>1</v>
      </c>
      <c r="G5" s="64" t="str">
        <f>'26.07 Kibuye-Munyonyo-24h'!G5:H5</f>
        <v>Salama road 1A</v>
      </c>
      <c r="H5" s="65"/>
      <c r="I5" s="14"/>
      <c r="J5" s="2" t="s">
        <v>5</v>
      </c>
      <c r="K5" s="64" t="s">
        <v>174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Munyonyo-Kibuye'!D6:E6</f>
        <v>Munyonyo</v>
      </c>
      <c r="E6" s="65"/>
      <c r="F6" s="2" t="s">
        <v>2</v>
      </c>
      <c r="G6" s="64" t="str">
        <f>'23.07 Munyonyo-Kibuye'!G6:H6</f>
        <v>Kibuye</v>
      </c>
      <c r="H6" s="65"/>
      <c r="J6" s="2" t="s">
        <v>21</v>
      </c>
      <c r="K6" s="64" t="str">
        <f>'26.07 Kibuye-Munyonyo-24h'!K6:L6</f>
        <v>Emma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43</v>
      </c>
      <c r="D10" s="50">
        <v>22</v>
      </c>
      <c r="E10" s="50">
        <v>7</v>
      </c>
      <c r="F10" s="50">
        <v>62</v>
      </c>
      <c r="G10" s="50">
        <v>1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224</v>
      </c>
      <c r="N10" s="50">
        <v>0</v>
      </c>
      <c r="O10" s="15">
        <f t="shared" ref="O10:O73" si="0">SUM(C10:L10,N10)</f>
        <v>136</v>
      </c>
      <c r="P10" s="15">
        <f t="shared" ref="P10:P73" si="1">SUM(C10:N10)</f>
        <v>360</v>
      </c>
      <c r="R10" s="1" t="s">
        <v>6</v>
      </c>
      <c r="S10" s="17">
        <f t="shared" ref="S10:AF10" si="2">SUM(C10:C13)</f>
        <v>136</v>
      </c>
      <c r="T10" s="17">
        <f t="shared" si="2"/>
        <v>60</v>
      </c>
      <c r="U10" s="17">
        <f t="shared" si="2"/>
        <v>15</v>
      </c>
      <c r="V10" s="17">
        <f t="shared" si="2"/>
        <v>230</v>
      </c>
      <c r="W10" s="17">
        <f t="shared" si="2"/>
        <v>4</v>
      </c>
      <c r="X10" s="17">
        <f t="shared" si="2"/>
        <v>0</v>
      </c>
      <c r="Y10" s="17">
        <f t="shared" si="2"/>
        <v>11</v>
      </c>
      <c r="Z10" s="17">
        <f t="shared" si="2"/>
        <v>1</v>
      </c>
      <c r="AA10" s="17">
        <f t="shared" si="2"/>
        <v>1</v>
      </c>
      <c r="AB10" s="17">
        <f t="shared" si="2"/>
        <v>0</v>
      </c>
      <c r="AC10" s="17">
        <f t="shared" si="2"/>
        <v>966</v>
      </c>
      <c r="AD10" s="17">
        <f t="shared" si="2"/>
        <v>0</v>
      </c>
      <c r="AE10" s="31">
        <f t="shared" si="2"/>
        <v>458</v>
      </c>
      <c r="AF10" s="31">
        <f t="shared" si="2"/>
        <v>1424</v>
      </c>
    </row>
    <row r="11" spans="2:32" s="6" customFormat="1" ht="23.1" customHeight="1" x14ac:dyDescent="0.25">
      <c r="B11" s="45" t="s">
        <v>38</v>
      </c>
      <c r="C11" s="50">
        <v>28</v>
      </c>
      <c r="D11" s="50">
        <v>14</v>
      </c>
      <c r="E11" s="50">
        <v>3</v>
      </c>
      <c r="F11" s="50">
        <v>57</v>
      </c>
      <c r="G11" s="50">
        <v>1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227</v>
      </c>
      <c r="N11" s="50">
        <v>0</v>
      </c>
      <c r="O11" s="15">
        <f t="shared" si="0"/>
        <v>106</v>
      </c>
      <c r="P11" s="15">
        <f t="shared" si="1"/>
        <v>333</v>
      </c>
      <c r="R11" s="1" t="s">
        <v>7</v>
      </c>
      <c r="S11" s="17">
        <f t="shared" ref="S11:AF11" si="3">SUM(C14:C17)</f>
        <v>108</v>
      </c>
      <c r="T11" s="17">
        <f t="shared" si="3"/>
        <v>57</v>
      </c>
      <c r="U11" s="17">
        <f t="shared" si="3"/>
        <v>16</v>
      </c>
      <c r="V11" s="17">
        <f t="shared" si="3"/>
        <v>211</v>
      </c>
      <c r="W11" s="17">
        <f t="shared" si="3"/>
        <v>1</v>
      </c>
      <c r="X11" s="17">
        <f t="shared" si="3"/>
        <v>0</v>
      </c>
      <c r="Y11" s="17">
        <f t="shared" si="3"/>
        <v>11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1105</v>
      </c>
      <c r="AD11" s="17">
        <f t="shared" si="3"/>
        <v>0</v>
      </c>
      <c r="AE11" s="31">
        <f t="shared" si="3"/>
        <v>405</v>
      </c>
      <c r="AF11" s="31">
        <f t="shared" si="3"/>
        <v>1510</v>
      </c>
    </row>
    <row r="12" spans="2:32" ht="23.1" customHeight="1" x14ac:dyDescent="0.25">
      <c r="B12" s="45" t="s">
        <v>39</v>
      </c>
      <c r="C12" s="50">
        <v>37</v>
      </c>
      <c r="D12" s="50">
        <v>11</v>
      </c>
      <c r="E12" s="50">
        <v>5</v>
      </c>
      <c r="F12" s="50">
        <v>69</v>
      </c>
      <c r="G12" s="50">
        <v>0</v>
      </c>
      <c r="H12" s="50">
        <v>0</v>
      </c>
      <c r="I12" s="50">
        <v>2</v>
      </c>
      <c r="J12" s="50">
        <v>1</v>
      </c>
      <c r="K12" s="50">
        <v>1</v>
      </c>
      <c r="L12" s="50">
        <v>0</v>
      </c>
      <c r="M12" s="50">
        <v>290</v>
      </c>
      <c r="N12" s="50">
        <v>0</v>
      </c>
      <c r="O12" s="15">
        <f t="shared" si="0"/>
        <v>126</v>
      </c>
      <c r="P12" s="15">
        <f t="shared" si="1"/>
        <v>416</v>
      </c>
      <c r="R12" s="1" t="s">
        <v>8</v>
      </c>
      <c r="S12" s="17">
        <f t="shared" ref="S12:AF12" si="4">SUM(C18:C21)</f>
        <v>88</v>
      </c>
      <c r="T12" s="17">
        <f t="shared" si="4"/>
        <v>45</v>
      </c>
      <c r="U12" s="17">
        <f t="shared" si="4"/>
        <v>16</v>
      </c>
      <c r="V12" s="17">
        <f t="shared" si="4"/>
        <v>145</v>
      </c>
      <c r="W12" s="17">
        <f t="shared" si="4"/>
        <v>0</v>
      </c>
      <c r="X12" s="17">
        <f t="shared" si="4"/>
        <v>0</v>
      </c>
      <c r="Y12" s="17">
        <f t="shared" si="4"/>
        <v>7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816</v>
      </c>
      <c r="AD12" s="17">
        <f t="shared" si="4"/>
        <v>0</v>
      </c>
      <c r="AE12" s="31">
        <f t="shared" si="4"/>
        <v>301</v>
      </c>
      <c r="AF12" s="31">
        <f t="shared" si="4"/>
        <v>1117</v>
      </c>
    </row>
    <row r="13" spans="2:32" ht="23.1" customHeight="1" x14ac:dyDescent="0.25">
      <c r="B13" s="45" t="s">
        <v>40</v>
      </c>
      <c r="C13" s="50">
        <v>28</v>
      </c>
      <c r="D13" s="50">
        <v>13</v>
      </c>
      <c r="E13" s="50">
        <v>0</v>
      </c>
      <c r="F13" s="50">
        <v>42</v>
      </c>
      <c r="G13" s="50">
        <v>2</v>
      </c>
      <c r="H13" s="50">
        <v>0</v>
      </c>
      <c r="I13" s="50">
        <v>5</v>
      </c>
      <c r="J13" s="50">
        <v>0</v>
      </c>
      <c r="K13" s="50">
        <v>0</v>
      </c>
      <c r="L13" s="50">
        <v>0</v>
      </c>
      <c r="M13" s="50">
        <v>225</v>
      </c>
      <c r="N13" s="50">
        <v>0</v>
      </c>
      <c r="O13" s="15">
        <f t="shared" si="0"/>
        <v>90</v>
      </c>
      <c r="P13" s="15">
        <f t="shared" si="1"/>
        <v>315</v>
      </c>
      <c r="R13" s="1" t="s">
        <v>9</v>
      </c>
      <c r="S13" s="17">
        <f t="shared" ref="S13:AF13" si="5">SUM(C22:C25)</f>
        <v>51</v>
      </c>
      <c r="T13" s="17">
        <f t="shared" si="5"/>
        <v>36</v>
      </c>
      <c r="U13" s="17">
        <f t="shared" si="5"/>
        <v>10</v>
      </c>
      <c r="V13" s="17">
        <f t="shared" si="5"/>
        <v>132</v>
      </c>
      <c r="W13" s="17">
        <f t="shared" si="5"/>
        <v>2</v>
      </c>
      <c r="X13" s="17">
        <f t="shared" si="5"/>
        <v>0</v>
      </c>
      <c r="Y13" s="17">
        <f t="shared" si="5"/>
        <v>6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436</v>
      </c>
      <c r="AD13" s="17">
        <f t="shared" si="5"/>
        <v>0</v>
      </c>
      <c r="AE13" s="31">
        <f t="shared" si="5"/>
        <v>239</v>
      </c>
      <c r="AF13" s="31">
        <f t="shared" si="5"/>
        <v>675</v>
      </c>
    </row>
    <row r="14" spans="2:32" ht="23.1" customHeight="1" x14ac:dyDescent="0.25">
      <c r="B14" s="45" t="s">
        <v>41</v>
      </c>
      <c r="C14" s="50">
        <v>29</v>
      </c>
      <c r="D14" s="50">
        <v>9</v>
      </c>
      <c r="E14" s="50">
        <v>4</v>
      </c>
      <c r="F14" s="50">
        <v>57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290</v>
      </c>
      <c r="N14" s="50">
        <v>0</v>
      </c>
      <c r="O14" s="15">
        <f t="shared" si="0"/>
        <v>101</v>
      </c>
      <c r="P14" s="15">
        <f t="shared" si="1"/>
        <v>391</v>
      </c>
      <c r="R14" s="1" t="s">
        <v>10</v>
      </c>
      <c r="S14" s="17">
        <f t="shared" ref="S14:AF14" si="6">SUM(C26:C29)</f>
        <v>55</v>
      </c>
      <c r="T14" s="17">
        <f t="shared" si="6"/>
        <v>45</v>
      </c>
      <c r="U14" s="17">
        <f t="shared" si="6"/>
        <v>11</v>
      </c>
      <c r="V14" s="17">
        <f t="shared" si="6"/>
        <v>88</v>
      </c>
      <c r="W14" s="17">
        <f t="shared" si="6"/>
        <v>0</v>
      </c>
      <c r="X14" s="17">
        <f t="shared" si="6"/>
        <v>0</v>
      </c>
      <c r="Y14" s="17">
        <f t="shared" si="6"/>
        <v>7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457</v>
      </c>
      <c r="AD14" s="17">
        <f t="shared" si="6"/>
        <v>0</v>
      </c>
      <c r="AE14" s="31">
        <f t="shared" si="6"/>
        <v>208</v>
      </c>
      <c r="AF14" s="31">
        <f t="shared" si="6"/>
        <v>665</v>
      </c>
    </row>
    <row r="15" spans="2:32" ht="23.1" customHeight="1" x14ac:dyDescent="0.25">
      <c r="B15" s="45" t="s">
        <v>42</v>
      </c>
      <c r="C15" s="50">
        <v>23</v>
      </c>
      <c r="D15" s="50">
        <v>13</v>
      </c>
      <c r="E15" s="50">
        <v>5</v>
      </c>
      <c r="F15" s="50">
        <v>49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275</v>
      </c>
      <c r="N15" s="50">
        <v>0</v>
      </c>
      <c r="O15" s="15">
        <f t="shared" si="0"/>
        <v>92</v>
      </c>
      <c r="P15" s="15">
        <f t="shared" si="1"/>
        <v>367</v>
      </c>
      <c r="R15" s="1" t="s">
        <v>11</v>
      </c>
      <c r="S15" s="17">
        <f t="shared" ref="S15:AF15" si="7">SUM(C30:C33)</f>
        <v>72</v>
      </c>
      <c r="T15" s="17">
        <f t="shared" si="7"/>
        <v>28</v>
      </c>
      <c r="U15" s="17">
        <f t="shared" si="7"/>
        <v>7</v>
      </c>
      <c r="V15" s="17">
        <f t="shared" si="7"/>
        <v>55</v>
      </c>
      <c r="W15" s="17">
        <f t="shared" si="7"/>
        <v>0</v>
      </c>
      <c r="X15" s="17">
        <f t="shared" si="7"/>
        <v>0</v>
      </c>
      <c r="Y15" s="17">
        <f t="shared" si="7"/>
        <v>12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382</v>
      </c>
      <c r="AD15" s="17">
        <f t="shared" si="7"/>
        <v>0</v>
      </c>
      <c r="AE15" s="31">
        <f t="shared" si="7"/>
        <v>175</v>
      </c>
      <c r="AF15" s="31">
        <f t="shared" si="7"/>
        <v>557</v>
      </c>
    </row>
    <row r="16" spans="2:32" ht="23.1" customHeight="1" x14ac:dyDescent="0.25">
      <c r="B16" s="45" t="s">
        <v>43</v>
      </c>
      <c r="C16" s="50">
        <v>28</v>
      </c>
      <c r="D16" s="50">
        <v>17</v>
      </c>
      <c r="E16" s="50">
        <v>2</v>
      </c>
      <c r="F16" s="50">
        <v>56</v>
      </c>
      <c r="G16" s="50">
        <v>0</v>
      </c>
      <c r="H16" s="50">
        <v>0</v>
      </c>
      <c r="I16" s="50">
        <v>5</v>
      </c>
      <c r="J16" s="50">
        <v>0</v>
      </c>
      <c r="K16" s="50">
        <v>1</v>
      </c>
      <c r="L16" s="50">
        <v>0</v>
      </c>
      <c r="M16" s="50">
        <v>270</v>
      </c>
      <c r="N16" s="50">
        <v>0</v>
      </c>
      <c r="O16" s="15">
        <f t="shared" si="0"/>
        <v>109</v>
      </c>
      <c r="P16" s="15">
        <f t="shared" si="1"/>
        <v>379</v>
      </c>
      <c r="R16" s="1" t="s">
        <v>12</v>
      </c>
      <c r="S16" s="17">
        <f t="shared" ref="S16:AF16" si="8">SUM(C34:C37)</f>
        <v>54</v>
      </c>
      <c r="T16" s="17">
        <f t="shared" si="8"/>
        <v>35</v>
      </c>
      <c r="U16" s="17">
        <f t="shared" si="8"/>
        <v>9</v>
      </c>
      <c r="V16" s="17">
        <f t="shared" si="8"/>
        <v>66</v>
      </c>
      <c r="W16" s="17">
        <f t="shared" si="8"/>
        <v>1</v>
      </c>
      <c r="X16" s="17">
        <f t="shared" si="8"/>
        <v>0</v>
      </c>
      <c r="Y16" s="17">
        <f t="shared" si="8"/>
        <v>14</v>
      </c>
      <c r="Z16" s="17">
        <f t="shared" si="8"/>
        <v>3</v>
      </c>
      <c r="AA16" s="17">
        <f t="shared" si="8"/>
        <v>0</v>
      </c>
      <c r="AB16" s="17">
        <f t="shared" si="8"/>
        <v>0</v>
      </c>
      <c r="AC16" s="17">
        <f t="shared" si="8"/>
        <v>391</v>
      </c>
      <c r="AD16" s="17">
        <f t="shared" si="8"/>
        <v>0</v>
      </c>
      <c r="AE16" s="31">
        <f t="shared" si="8"/>
        <v>182</v>
      </c>
      <c r="AF16" s="31">
        <f t="shared" si="8"/>
        <v>573</v>
      </c>
    </row>
    <row r="17" spans="2:32" ht="23.1" customHeight="1" x14ac:dyDescent="0.25">
      <c r="B17" s="45" t="s">
        <v>44</v>
      </c>
      <c r="C17" s="50">
        <v>28</v>
      </c>
      <c r="D17" s="50">
        <v>18</v>
      </c>
      <c r="E17" s="50">
        <v>5</v>
      </c>
      <c r="F17" s="50">
        <v>49</v>
      </c>
      <c r="G17" s="50">
        <v>1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270</v>
      </c>
      <c r="N17" s="50">
        <v>0</v>
      </c>
      <c r="O17" s="15">
        <f t="shared" si="0"/>
        <v>103</v>
      </c>
      <c r="P17" s="15">
        <f t="shared" si="1"/>
        <v>373</v>
      </c>
      <c r="R17" s="1" t="s">
        <v>13</v>
      </c>
      <c r="S17" s="17">
        <f t="shared" ref="S17:AF17" si="9">SUM(C38:C41)</f>
        <v>60</v>
      </c>
      <c r="T17" s="17">
        <f t="shared" si="9"/>
        <v>53</v>
      </c>
      <c r="U17" s="17">
        <f t="shared" si="9"/>
        <v>20</v>
      </c>
      <c r="V17" s="17">
        <f t="shared" si="9"/>
        <v>53</v>
      </c>
      <c r="W17" s="17">
        <f t="shared" si="9"/>
        <v>0</v>
      </c>
      <c r="X17" s="17">
        <f t="shared" si="9"/>
        <v>0</v>
      </c>
      <c r="Y17" s="17">
        <f t="shared" si="9"/>
        <v>13</v>
      </c>
      <c r="Z17" s="17">
        <f t="shared" si="9"/>
        <v>2</v>
      </c>
      <c r="AA17" s="17">
        <f t="shared" si="9"/>
        <v>2</v>
      </c>
      <c r="AB17" s="17">
        <f t="shared" si="9"/>
        <v>0</v>
      </c>
      <c r="AC17" s="17">
        <f t="shared" si="9"/>
        <v>411</v>
      </c>
      <c r="AD17" s="17">
        <f t="shared" si="9"/>
        <v>0</v>
      </c>
      <c r="AE17" s="31">
        <f t="shared" si="9"/>
        <v>203</v>
      </c>
      <c r="AF17" s="31">
        <f t="shared" si="9"/>
        <v>614</v>
      </c>
    </row>
    <row r="18" spans="2:32" ht="23.1" customHeight="1" x14ac:dyDescent="0.25">
      <c r="B18" s="45" t="s">
        <v>45</v>
      </c>
      <c r="C18" s="50">
        <v>28</v>
      </c>
      <c r="D18" s="50">
        <v>9</v>
      </c>
      <c r="E18" s="50">
        <v>6</v>
      </c>
      <c r="F18" s="50">
        <v>43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225</v>
      </c>
      <c r="N18" s="50">
        <v>0</v>
      </c>
      <c r="O18" s="15">
        <f t="shared" si="0"/>
        <v>88</v>
      </c>
      <c r="P18" s="15">
        <f t="shared" si="1"/>
        <v>313</v>
      </c>
      <c r="R18" s="1" t="s">
        <v>14</v>
      </c>
      <c r="S18" s="17">
        <f t="shared" ref="S18:AF18" si="10">SUM(C42:C45)</f>
        <v>61</v>
      </c>
      <c r="T18" s="17">
        <f t="shared" si="10"/>
        <v>44</v>
      </c>
      <c r="U18" s="17">
        <f t="shared" si="10"/>
        <v>9</v>
      </c>
      <c r="V18" s="17">
        <f t="shared" si="10"/>
        <v>69</v>
      </c>
      <c r="W18" s="17">
        <f t="shared" si="10"/>
        <v>1</v>
      </c>
      <c r="X18" s="17">
        <f t="shared" si="10"/>
        <v>0</v>
      </c>
      <c r="Y18" s="17">
        <f t="shared" si="10"/>
        <v>9</v>
      </c>
      <c r="Z18" s="17">
        <f t="shared" si="10"/>
        <v>1</v>
      </c>
      <c r="AA18" s="17">
        <f t="shared" si="10"/>
        <v>0</v>
      </c>
      <c r="AB18" s="17">
        <f t="shared" si="10"/>
        <v>1</v>
      </c>
      <c r="AC18" s="17">
        <f t="shared" si="10"/>
        <v>382</v>
      </c>
      <c r="AD18" s="17">
        <f t="shared" si="10"/>
        <v>0</v>
      </c>
      <c r="AE18" s="31">
        <f t="shared" si="10"/>
        <v>195</v>
      </c>
      <c r="AF18" s="31">
        <f t="shared" si="10"/>
        <v>577</v>
      </c>
    </row>
    <row r="19" spans="2:32" ht="23.1" customHeight="1" x14ac:dyDescent="0.25">
      <c r="B19" s="45" t="s">
        <v>46</v>
      </c>
      <c r="C19" s="50">
        <v>21</v>
      </c>
      <c r="D19" s="50">
        <v>12</v>
      </c>
      <c r="E19" s="50">
        <v>4</v>
      </c>
      <c r="F19" s="50">
        <v>31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190</v>
      </c>
      <c r="N19" s="50">
        <v>0</v>
      </c>
      <c r="O19" s="15">
        <f t="shared" si="0"/>
        <v>68</v>
      </c>
      <c r="P19" s="15">
        <f t="shared" si="1"/>
        <v>258</v>
      </c>
      <c r="R19" s="1" t="s">
        <v>15</v>
      </c>
      <c r="S19" s="17">
        <f t="shared" ref="S19:AF19" si="11">SUM(C46:C49)</f>
        <v>80</v>
      </c>
      <c r="T19" s="17">
        <f t="shared" si="11"/>
        <v>38</v>
      </c>
      <c r="U19" s="17">
        <f t="shared" si="11"/>
        <v>29</v>
      </c>
      <c r="V19" s="17">
        <f t="shared" si="11"/>
        <v>65</v>
      </c>
      <c r="W19" s="17">
        <f t="shared" si="11"/>
        <v>3</v>
      </c>
      <c r="X19" s="17">
        <f t="shared" si="11"/>
        <v>0</v>
      </c>
      <c r="Y19" s="17">
        <f t="shared" si="11"/>
        <v>13</v>
      </c>
      <c r="Z19" s="17">
        <f t="shared" si="11"/>
        <v>1</v>
      </c>
      <c r="AA19" s="17">
        <f t="shared" si="11"/>
        <v>1</v>
      </c>
      <c r="AB19" s="17">
        <f t="shared" si="11"/>
        <v>0</v>
      </c>
      <c r="AC19" s="17">
        <f t="shared" si="11"/>
        <v>547</v>
      </c>
      <c r="AD19" s="17">
        <f t="shared" si="11"/>
        <v>0</v>
      </c>
      <c r="AE19" s="31">
        <f t="shared" si="11"/>
        <v>230</v>
      </c>
      <c r="AF19" s="31">
        <f t="shared" si="11"/>
        <v>777</v>
      </c>
    </row>
    <row r="20" spans="2:32" ht="23.1" customHeight="1" x14ac:dyDescent="0.25">
      <c r="B20" s="45" t="s">
        <v>47</v>
      </c>
      <c r="C20" s="50">
        <v>23</v>
      </c>
      <c r="D20" s="50">
        <v>10</v>
      </c>
      <c r="E20" s="50">
        <v>5</v>
      </c>
      <c r="F20" s="50">
        <v>34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200</v>
      </c>
      <c r="N20" s="50">
        <v>0</v>
      </c>
      <c r="O20" s="15">
        <f t="shared" si="0"/>
        <v>74</v>
      </c>
      <c r="P20" s="15">
        <f t="shared" si="1"/>
        <v>274</v>
      </c>
      <c r="R20" s="1" t="s">
        <v>16</v>
      </c>
      <c r="S20" s="17">
        <f t="shared" ref="S20:AF20" si="12">SUM(C50:C53)</f>
        <v>58</v>
      </c>
      <c r="T20" s="17">
        <f t="shared" si="12"/>
        <v>36</v>
      </c>
      <c r="U20" s="17">
        <f t="shared" si="12"/>
        <v>10</v>
      </c>
      <c r="V20" s="17">
        <f t="shared" si="12"/>
        <v>63</v>
      </c>
      <c r="W20" s="17">
        <f t="shared" si="12"/>
        <v>1</v>
      </c>
      <c r="X20" s="17">
        <f t="shared" si="12"/>
        <v>1</v>
      </c>
      <c r="Y20" s="17">
        <f t="shared" si="12"/>
        <v>13</v>
      </c>
      <c r="Z20" s="17">
        <f t="shared" si="12"/>
        <v>2</v>
      </c>
      <c r="AA20" s="17">
        <f t="shared" si="12"/>
        <v>0</v>
      </c>
      <c r="AB20" s="17">
        <f t="shared" si="12"/>
        <v>1</v>
      </c>
      <c r="AC20" s="17">
        <f t="shared" si="12"/>
        <v>524</v>
      </c>
      <c r="AD20" s="17">
        <f t="shared" si="12"/>
        <v>0</v>
      </c>
      <c r="AE20" s="31">
        <f t="shared" si="12"/>
        <v>185</v>
      </c>
      <c r="AF20" s="31">
        <f t="shared" si="12"/>
        <v>709</v>
      </c>
    </row>
    <row r="21" spans="2:32" ht="23.1" customHeight="1" x14ac:dyDescent="0.25">
      <c r="B21" s="45" t="s">
        <v>48</v>
      </c>
      <c r="C21" s="50">
        <v>16</v>
      </c>
      <c r="D21" s="50">
        <v>14</v>
      </c>
      <c r="E21" s="50">
        <v>1</v>
      </c>
      <c r="F21" s="50">
        <v>37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201</v>
      </c>
      <c r="N21" s="50">
        <v>0</v>
      </c>
      <c r="O21" s="15">
        <f t="shared" si="0"/>
        <v>71</v>
      </c>
      <c r="P21" s="15">
        <f t="shared" si="1"/>
        <v>272</v>
      </c>
      <c r="R21" s="36" t="s">
        <v>20</v>
      </c>
      <c r="S21" s="34">
        <f t="shared" ref="S21:AF21" si="13">SUM(C54:C57)</f>
        <v>73</v>
      </c>
      <c r="T21" s="17">
        <f t="shared" si="13"/>
        <v>52</v>
      </c>
      <c r="U21" s="17">
        <f t="shared" si="13"/>
        <v>23</v>
      </c>
      <c r="V21" s="17">
        <f t="shared" si="13"/>
        <v>73</v>
      </c>
      <c r="W21" s="17">
        <f t="shared" si="13"/>
        <v>18</v>
      </c>
      <c r="X21" s="17">
        <f t="shared" si="13"/>
        <v>17</v>
      </c>
      <c r="Y21" s="17">
        <f t="shared" si="13"/>
        <v>23</v>
      </c>
      <c r="Z21" s="17">
        <f t="shared" si="13"/>
        <v>17</v>
      </c>
      <c r="AA21" s="17">
        <f t="shared" si="13"/>
        <v>16</v>
      </c>
      <c r="AB21" s="17">
        <f t="shared" si="13"/>
        <v>16</v>
      </c>
      <c r="AC21" s="17">
        <f t="shared" si="13"/>
        <v>602</v>
      </c>
      <c r="AD21" s="17">
        <f t="shared" si="13"/>
        <v>0</v>
      </c>
      <c r="AE21" s="31">
        <f t="shared" si="13"/>
        <v>328</v>
      </c>
      <c r="AF21" s="31">
        <f t="shared" si="13"/>
        <v>930</v>
      </c>
    </row>
    <row r="22" spans="2:32" ht="23.1" customHeight="1" x14ac:dyDescent="0.25">
      <c r="B22" s="45" t="s">
        <v>49</v>
      </c>
      <c r="C22" s="50">
        <v>17</v>
      </c>
      <c r="D22" s="50">
        <v>12</v>
      </c>
      <c r="E22" s="50">
        <v>5</v>
      </c>
      <c r="F22" s="50">
        <v>33</v>
      </c>
      <c r="G22" s="50">
        <v>0</v>
      </c>
      <c r="H22" s="50">
        <v>0</v>
      </c>
      <c r="I22" s="50">
        <v>1</v>
      </c>
      <c r="J22" s="50">
        <v>1</v>
      </c>
      <c r="K22" s="50">
        <v>0</v>
      </c>
      <c r="L22" s="50">
        <v>0</v>
      </c>
      <c r="M22" s="50">
        <v>134</v>
      </c>
      <c r="N22" s="50">
        <v>0</v>
      </c>
      <c r="O22" s="15">
        <f t="shared" si="0"/>
        <v>69</v>
      </c>
      <c r="P22" s="15">
        <f t="shared" si="1"/>
        <v>203</v>
      </c>
      <c r="R22" s="36" t="s">
        <v>146</v>
      </c>
      <c r="S22" s="34">
        <f>SUM(C58:C61)</f>
        <v>48</v>
      </c>
      <c r="T22" s="34">
        <f t="shared" ref="T22:AF22" si="14">SUM(D58:D61)</f>
        <v>45</v>
      </c>
      <c r="U22" s="34">
        <f t="shared" si="14"/>
        <v>7</v>
      </c>
      <c r="V22" s="34">
        <f t="shared" si="14"/>
        <v>130</v>
      </c>
      <c r="W22" s="34">
        <f t="shared" si="14"/>
        <v>2</v>
      </c>
      <c r="X22" s="34">
        <f t="shared" si="14"/>
        <v>0</v>
      </c>
      <c r="Y22" s="34">
        <f t="shared" si="14"/>
        <v>12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805</v>
      </c>
      <c r="AD22" s="34">
        <f t="shared" si="14"/>
        <v>0</v>
      </c>
      <c r="AE22" s="31">
        <f t="shared" si="14"/>
        <v>244</v>
      </c>
      <c r="AF22" s="31">
        <f t="shared" si="14"/>
        <v>1049</v>
      </c>
    </row>
    <row r="23" spans="2:32" ht="23.1" customHeight="1" x14ac:dyDescent="0.25">
      <c r="B23" s="45" t="s">
        <v>50</v>
      </c>
      <c r="C23" s="50">
        <v>8</v>
      </c>
      <c r="D23" s="50">
        <v>4</v>
      </c>
      <c r="E23" s="50">
        <v>1</v>
      </c>
      <c r="F23" s="50">
        <v>22</v>
      </c>
      <c r="G23" s="50">
        <v>1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65</v>
      </c>
      <c r="N23" s="50">
        <v>0</v>
      </c>
      <c r="O23" s="15">
        <f t="shared" si="0"/>
        <v>38</v>
      </c>
      <c r="P23" s="15">
        <f t="shared" si="1"/>
        <v>103</v>
      </c>
      <c r="R23" s="36" t="s">
        <v>147</v>
      </c>
      <c r="S23" s="34">
        <f>SUM(C62:C65)</f>
        <v>49</v>
      </c>
      <c r="T23" s="34">
        <f t="shared" ref="T23:AF23" si="15">SUM(D62:D65)</f>
        <v>21</v>
      </c>
      <c r="U23" s="34">
        <f t="shared" si="15"/>
        <v>12</v>
      </c>
      <c r="V23" s="34">
        <f t="shared" si="15"/>
        <v>135</v>
      </c>
      <c r="W23" s="34">
        <f t="shared" si="15"/>
        <v>4</v>
      </c>
      <c r="X23" s="34">
        <f t="shared" si="15"/>
        <v>0</v>
      </c>
      <c r="Y23" s="34">
        <f t="shared" si="15"/>
        <v>6</v>
      </c>
      <c r="Z23" s="34">
        <f t="shared" si="15"/>
        <v>2</v>
      </c>
      <c r="AA23" s="34">
        <f t="shared" si="15"/>
        <v>0</v>
      </c>
      <c r="AB23" s="34">
        <f t="shared" si="15"/>
        <v>0</v>
      </c>
      <c r="AC23" s="34">
        <f t="shared" si="15"/>
        <v>891</v>
      </c>
      <c r="AD23" s="34">
        <f t="shared" si="15"/>
        <v>0</v>
      </c>
      <c r="AE23" s="31">
        <f t="shared" si="15"/>
        <v>229</v>
      </c>
      <c r="AF23" s="31">
        <f t="shared" si="15"/>
        <v>1120</v>
      </c>
    </row>
    <row r="24" spans="2:32" ht="23.1" customHeight="1" x14ac:dyDescent="0.25">
      <c r="B24" s="45" t="s">
        <v>51</v>
      </c>
      <c r="C24" s="50">
        <v>14</v>
      </c>
      <c r="D24" s="50">
        <v>10</v>
      </c>
      <c r="E24" s="50">
        <v>0</v>
      </c>
      <c r="F24" s="50">
        <v>65</v>
      </c>
      <c r="G24" s="50">
        <v>0</v>
      </c>
      <c r="H24" s="50">
        <v>0</v>
      </c>
      <c r="I24" s="50">
        <v>3</v>
      </c>
      <c r="J24" s="50">
        <v>1</v>
      </c>
      <c r="K24" s="50">
        <v>0</v>
      </c>
      <c r="L24" s="50">
        <v>0</v>
      </c>
      <c r="M24" s="50">
        <v>145</v>
      </c>
      <c r="N24" s="50">
        <v>0</v>
      </c>
      <c r="O24" s="15">
        <f t="shared" si="0"/>
        <v>93</v>
      </c>
      <c r="P24" s="15">
        <f t="shared" si="1"/>
        <v>238</v>
      </c>
      <c r="R24" s="36" t="s">
        <v>148</v>
      </c>
      <c r="S24" s="34">
        <f>SUM(C66:C69)</f>
        <v>64</v>
      </c>
      <c r="T24" s="34">
        <f t="shared" ref="T24:AF24" si="16">SUM(D66:D69)</f>
        <v>33</v>
      </c>
      <c r="U24" s="34">
        <f t="shared" si="16"/>
        <v>8</v>
      </c>
      <c r="V24" s="34">
        <f t="shared" si="16"/>
        <v>108</v>
      </c>
      <c r="W24" s="34">
        <f t="shared" si="16"/>
        <v>0</v>
      </c>
      <c r="X24" s="34">
        <f t="shared" si="16"/>
        <v>0</v>
      </c>
      <c r="Y24" s="34">
        <f t="shared" si="16"/>
        <v>5</v>
      </c>
      <c r="Z24" s="34">
        <f t="shared" si="16"/>
        <v>0</v>
      </c>
      <c r="AA24" s="34">
        <f t="shared" si="16"/>
        <v>1</v>
      </c>
      <c r="AB24" s="34">
        <f t="shared" si="16"/>
        <v>0</v>
      </c>
      <c r="AC24" s="34">
        <f t="shared" si="16"/>
        <v>920</v>
      </c>
      <c r="AD24" s="34">
        <f t="shared" si="16"/>
        <v>0</v>
      </c>
      <c r="AE24" s="31">
        <f t="shared" si="16"/>
        <v>219</v>
      </c>
      <c r="AF24" s="31">
        <f t="shared" si="16"/>
        <v>1139</v>
      </c>
    </row>
    <row r="25" spans="2:32" ht="23.1" customHeight="1" x14ac:dyDescent="0.25">
      <c r="B25" s="45" t="s">
        <v>52</v>
      </c>
      <c r="C25" s="50">
        <v>12</v>
      </c>
      <c r="D25" s="50">
        <v>10</v>
      </c>
      <c r="E25" s="50">
        <v>4</v>
      </c>
      <c r="F25" s="50">
        <v>12</v>
      </c>
      <c r="G25" s="50">
        <v>1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92</v>
      </c>
      <c r="N25" s="50">
        <v>0</v>
      </c>
      <c r="O25" s="15">
        <f t="shared" si="0"/>
        <v>39</v>
      </c>
      <c r="P25" s="15">
        <f t="shared" si="1"/>
        <v>131</v>
      </c>
      <c r="R25" s="36" t="s">
        <v>149</v>
      </c>
      <c r="S25" s="34">
        <f>SUM(C70:C73)</f>
        <v>80</v>
      </c>
      <c r="T25" s="34">
        <f t="shared" ref="T25:AF25" si="17">SUM(D70:D73)</f>
        <v>26</v>
      </c>
      <c r="U25" s="34">
        <f t="shared" si="17"/>
        <v>8</v>
      </c>
      <c r="V25" s="34">
        <f t="shared" si="17"/>
        <v>94</v>
      </c>
      <c r="W25" s="34">
        <f t="shared" si="17"/>
        <v>0</v>
      </c>
      <c r="X25" s="34">
        <f t="shared" si="17"/>
        <v>0</v>
      </c>
      <c r="Y25" s="34">
        <f t="shared" si="17"/>
        <v>5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558</v>
      </c>
      <c r="AD25" s="34">
        <f t="shared" si="17"/>
        <v>0</v>
      </c>
      <c r="AE25" s="31">
        <f t="shared" si="17"/>
        <v>213</v>
      </c>
      <c r="AF25" s="31">
        <f t="shared" si="17"/>
        <v>771</v>
      </c>
    </row>
    <row r="26" spans="2:32" ht="23.1" customHeight="1" x14ac:dyDescent="0.25">
      <c r="B26" s="45" t="s">
        <v>53</v>
      </c>
      <c r="C26" s="50">
        <v>15</v>
      </c>
      <c r="D26" s="50">
        <v>10</v>
      </c>
      <c r="E26" s="50">
        <v>8</v>
      </c>
      <c r="F26" s="50">
        <v>25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131</v>
      </c>
      <c r="N26" s="50">
        <v>0</v>
      </c>
      <c r="O26" s="15">
        <f t="shared" si="0"/>
        <v>61</v>
      </c>
      <c r="P26" s="15">
        <f t="shared" si="1"/>
        <v>192</v>
      </c>
      <c r="R26" s="36" t="s">
        <v>150</v>
      </c>
      <c r="S26" s="34">
        <f>SUM(C74:C77)</f>
        <v>72</v>
      </c>
      <c r="T26" s="34">
        <f t="shared" ref="T26:AF26" si="18">SUM(D74:D77)</f>
        <v>34</v>
      </c>
      <c r="U26" s="34">
        <f t="shared" si="18"/>
        <v>4</v>
      </c>
      <c r="V26" s="34">
        <f t="shared" si="18"/>
        <v>53</v>
      </c>
      <c r="W26" s="34">
        <f t="shared" si="18"/>
        <v>2</v>
      </c>
      <c r="X26" s="34">
        <f t="shared" si="18"/>
        <v>0</v>
      </c>
      <c r="Y26" s="34">
        <f t="shared" si="18"/>
        <v>4</v>
      </c>
      <c r="Z26" s="34">
        <f t="shared" si="18"/>
        <v>0</v>
      </c>
      <c r="AA26" s="34">
        <f t="shared" si="18"/>
        <v>1</v>
      </c>
      <c r="AB26" s="34">
        <f t="shared" si="18"/>
        <v>0</v>
      </c>
      <c r="AC26" s="34">
        <f t="shared" si="18"/>
        <v>375</v>
      </c>
      <c r="AD26" s="34">
        <f t="shared" si="18"/>
        <v>1</v>
      </c>
      <c r="AE26" s="31">
        <f t="shared" si="18"/>
        <v>171</v>
      </c>
      <c r="AF26" s="31">
        <f t="shared" si="18"/>
        <v>546</v>
      </c>
    </row>
    <row r="27" spans="2:32" ht="23.1" customHeight="1" x14ac:dyDescent="0.25">
      <c r="B27" s="45" t="s">
        <v>54</v>
      </c>
      <c r="C27" s="50">
        <v>16</v>
      </c>
      <c r="D27" s="50">
        <v>12</v>
      </c>
      <c r="E27" s="50">
        <v>0</v>
      </c>
      <c r="F27" s="50">
        <v>23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120</v>
      </c>
      <c r="N27" s="50">
        <v>0</v>
      </c>
      <c r="O27" s="15">
        <f t="shared" si="0"/>
        <v>53</v>
      </c>
      <c r="P27" s="15">
        <f t="shared" si="1"/>
        <v>173</v>
      </c>
      <c r="R27" s="36" t="s">
        <v>151</v>
      </c>
      <c r="S27" s="34">
        <f>SUM(C78:C81)</f>
        <v>45</v>
      </c>
      <c r="T27" s="34">
        <f t="shared" ref="T27:AF27" si="19">SUM(D78:D81)</f>
        <v>36</v>
      </c>
      <c r="U27" s="34">
        <f t="shared" si="19"/>
        <v>4</v>
      </c>
      <c r="V27" s="34">
        <f t="shared" si="19"/>
        <v>16</v>
      </c>
      <c r="W27" s="34">
        <f t="shared" si="19"/>
        <v>0</v>
      </c>
      <c r="X27" s="34">
        <f t="shared" si="19"/>
        <v>0</v>
      </c>
      <c r="Y27" s="34">
        <f t="shared" si="19"/>
        <v>3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352</v>
      </c>
      <c r="AD27" s="34">
        <f t="shared" si="19"/>
        <v>0</v>
      </c>
      <c r="AE27" s="31">
        <f t="shared" si="19"/>
        <v>104</v>
      </c>
      <c r="AF27" s="31">
        <f t="shared" si="19"/>
        <v>456</v>
      </c>
    </row>
    <row r="28" spans="2:32" ht="23.1" customHeight="1" x14ac:dyDescent="0.25">
      <c r="B28" s="45" t="s">
        <v>55</v>
      </c>
      <c r="C28" s="50">
        <v>14</v>
      </c>
      <c r="D28" s="50">
        <v>9</v>
      </c>
      <c r="E28" s="50">
        <v>2</v>
      </c>
      <c r="F28" s="50">
        <v>23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114</v>
      </c>
      <c r="N28" s="50">
        <v>0</v>
      </c>
      <c r="O28" s="15">
        <f t="shared" si="0"/>
        <v>49</v>
      </c>
      <c r="P28" s="15">
        <f t="shared" si="1"/>
        <v>163</v>
      </c>
      <c r="R28" s="36" t="s">
        <v>152</v>
      </c>
      <c r="S28" s="34">
        <f>SUM(C82:C85)</f>
        <v>27</v>
      </c>
      <c r="T28" s="34">
        <f t="shared" ref="T28:AF28" si="20">SUM(D82:D85)</f>
        <v>20</v>
      </c>
      <c r="U28" s="34">
        <f t="shared" si="20"/>
        <v>2</v>
      </c>
      <c r="V28" s="34">
        <f t="shared" si="20"/>
        <v>3</v>
      </c>
      <c r="W28" s="34">
        <f t="shared" si="20"/>
        <v>0</v>
      </c>
      <c r="X28" s="34">
        <f t="shared" si="20"/>
        <v>0</v>
      </c>
      <c r="Y28" s="34">
        <f t="shared" si="20"/>
        <v>3</v>
      </c>
      <c r="Z28" s="34">
        <f t="shared" si="20"/>
        <v>2</v>
      </c>
      <c r="AA28" s="34">
        <f t="shared" si="20"/>
        <v>0</v>
      </c>
      <c r="AB28" s="34">
        <f t="shared" si="20"/>
        <v>0</v>
      </c>
      <c r="AC28" s="34">
        <f t="shared" si="20"/>
        <v>162</v>
      </c>
      <c r="AD28" s="34">
        <f t="shared" si="20"/>
        <v>0</v>
      </c>
      <c r="AE28" s="31">
        <f t="shared" si="20"/>
        <v>57</v>
      </c>
      <c r="AF28" s="31">
        <f t="shared" si="20"/>
        <v>219</v>
      </c>
    </row>
    <row r="29" spans="2:32" ht="23.1" customHeight="1" x14ac:dyDescent="0.25">
      <c r="B29" s="45" t="s">
        <v>56</v>
      </c>
      <c r="C29" s="50">
        <v>10</v>
      </c>
      <c r="D29" s="50">
        <v>14</v>
      </c>
      <c r="E29" s="50">
        <v>1</v>
      </c>
      <c r="F29" s="50">
        <v>17</v>
      </c>
      <c r="G29" s="50">
        <v>0</v>
      </c>
      <c r="H29" s="50">
        <v>0</v>
      </c>
      <c r="I29" s="50">
        <v>2</v>
      </c>
      <c r="J29" s="50">
        <v>1</v>
      </c>
      <c r="K29" s="50">
        <v>0</v>
      </c>
      <c r="L29" s="50">
        <v>0</v>
      </c>
      <c r="M29" s="50">
        <v>92</v>
      </c>
      <c r="N29" s="50">
        <v>0</v>
      </c>
      <c r="O29" s="15">
        <f t="shared" si="0"/>
        <v>45</v>
      </c>
      <c r="P29" s="15">
        <f t="shared" si="1"/>
        <v>137</v>
      </c>
      <c r="R29" s="36" t="s">
        <v>153</v>
      </c>
      <c r="S29" s="34">
        <f>SUM(C86:C89)</f>
        <v>38</v>
      </c>
      <c r="T29" s="34">
        <f t="shared" ref="T29:AF29" si="21">SUM(D86:D89)</f>
        <v>16</v>
      </c>
      <c r="U29" s="34">
        <f t="shared" si="21"/>
        <v>0</v>
      </c>
      <c r="V29" s="34">
        <f t="shared" si="21"/>
        <v>5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2</v>
      </c>
      <c r="AA29" s="34">
        <f t="shared" si="21"/>
        <v>1</v>
      </c>
      <c r="AB29" s="34">
        <f t="shared" si="21"/>
        <v>0</v>
      </c>
      <c r="AC29" s="34">
        <f t="shared" si="21"/>
        <v>178</v>
      </c>
      <c r="AD29" s="34">
        <f t="shared" si="21"/>
        <v>0</v>
      </c>
      <c r="AE29" s="31">
        <f t="shared" si="21"/>
        <v>65</v>
      </c>
      <c r="AF29" s="31">
        <f t="shared" si="21"/>
        <v>243</v>
      </c>
    </row>
    <row r="30" spans="2:32" ht="23.1" customHeight="1" x14ac:dyDescent="0.25">
      <c r="B30" s="45" t="s">
        <v>57</v>
      </c>
      <c r="C30" s="50">
        <v>18</v>
      </c>
      <c r="D30" s="50">
        <v>9</v>
      </c>
      <c r="E30" s="50">
        <v>3</v>
      </c>
      <c r="F30" s="50">
        <v>17</v>
      </c>
      <c r="G30" s="50">
        <v>0</v>
      </c>
      <c r="H30" s="50">
        <v>0</v>
      </c>
      <c r="I30" s="50">
        <v>2</v>
      </c>
      <c r="J30" s="50">
        <v>0</v>
      </c>
      <c r="K30" s="50">
        <v>1</v>
      </c>
      <c r="L30" s="50">
        <v>0</v>
      </c>
      <c r="M30" s="50">
        <v>130</v>
      </c>
      <c r="N30" s="50">
        <v>0</v>
      </c>
      <c r="O30" s="15">
        <f t="shared" si="0"/>
        <v>50</v>
      </c>
      <c r="P30" s="15">
        <f t="shared" si="1"/>
        <v>180</v>
      </c>
      <c r="R30" s="36" t="s">
        <v>154</v>
      </c>
      <c r="S30" s="34">
        <f>SUM(C90:C93)</f>
        <v>17</v>
      </c>
      <c r="T30" s="34">
        <f t="shared" ref="T30:AF30" si="22">SUM(D90:D93)</f>
        <v>8</v>
      </c>
      <c r="U30" s="34">
        <f t="shared" si="22"/>
        <v>1</v>
      </c>
      <c r="V30" s="34">
        <f t="shared" si="22"/>
        <v>3</v>
      </c>
      <c r="W30" s="34">
        <f t="shared" si="22"/>
        <v>0</v>
      </c>
      <c r="X30" s="34">
        <f t="shared" si="22"/>
        <v>0</v>
      </c>
      <c r="Y30" s="34">
        <f t="shared" si="22"/>
        <v>3</v>
      </c>
      <c r="Z30" s="34">
        <f t="shared" si="22"/>
        <v>1</v>
      </c>
      <c r="AA30" s="34">
        <f t="shared" si="22"/>
        <v>10</v>
      </c>
      <c r="AB30" s="34">
        <f t="shared" si="22"/>
        <v>0</v>
      </c>
      <c r="AC30" s="34">
        <f t="shared" si="22"/>
        <v>145</v>
      </c>
      <c r="AD30" s="34">
        <f t="shared" si="22"/>
        <v>0</v>
      </c>
      <c r="AE30" s="31">
        <f t="shared" si="22"/>
        <v>43</v>
      </c>
      <c r="AF30" s="31">
        <f t="shared" si="22"/>
        <v>188</v>
      </c>
    </row>
    <row r="31" spans="2:32" ht="23.1" customHeight="1" x14ac:dyDescent="0.25">
      <c r="B31" s="46" t="s">
        <v>58</v>
      </c>
      <c r="C31" s="50">
        <v>22</v>
      </c>
      <c r="D31" s="50">
        <v>8</v>
      </c>
      <c r="E31" s="50">
        <v>3</v>
      </c>
      <c r="F31" s="50">
        <v>13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95</v>
      </c>
      <c r="N31" s="50">
        <v>0</v>
      </c>
      <c r="O31" s="15">
        <f t="shared" si="0"/>
        <v>48</v>
      </c>
      <c r="P31" s="15">
        <f t="shared" si="1"/>
        <v>143</v>
      </c>
      <c r="R31" s="36" t="s">
        <v>155</v>
      </c>
      <c r="S31" s="34">
        <f>SUM(C94:C97)</f>
        <v>19</v>
      </c>
      <c r="T31" s="34">
        <f t="shared" ref="T31:AF31" si="23">SUM(D94:D97)</f>
        <v>12</v>
      </c>
      <c r="U31" s="34">
        <f t="shared" si="23"/>
        <v>12</v>
      </c>
      <c r="V31" s="34">
        <f t="shared" si="23"/>
        <v>19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1</v>
      </c>
      <c r="AA31" s="34">
        <f t="shared" si="23"/>
        <v>1</v>
      </c>
      <c r="AB31" s="34">
        <f t="shared" si="23"/>
        <v>0</v>
      </c>
      <c r="AC31" s="34">
        <f t="shared" si="23"/>
        <v>150</v>
      </c>
      <c r="AD31" s="34">
        <f t="shared" si="23"/>
        <v>0</v>
      </c>
      <c r="AE31" s="31">
        <f t="shared" si="23"/>
        <v>66</v>
      </c>
      <c r="AF31" s="31">
        <f t="shared" si="23"/>
        <v>216</v>
      </c>
    </row>
    <row r="32" spans="2:32" ht="23.1" customHeight="1" x14ac:dyDescent="0.25">
      <c r="B32" s="46" t="s">
        <v>59</v>
      </c>
      <c r="C32" s="50">
        <v>15</v>
      </c>
      <c r="D32" s="50">
        <v>3</v>
      </c>
      <c r="E32" s="50">
        <v>0</v>
      </c>
      <c r="F32" s="50">
        <v>8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75</v>
      </c>
      <c r="N32" s="50">
        <v>0</v>
      </c>
      <c r="O32" s="15">
        <f t="shared" si="0"/>
        <v>27</v>
      </c>
      <c r="P32" s="15">
        <f t="shared" si="1"/>
        <v>102</v>
      </c>
      <c r="R32" s="33" t="s">
        <v>156</v>
      </c>
      <c r="S32" s="34">
        <f>SUM(C98:C101)</f>
        <v>39</v>
      </c>
      <c r="T32" s="34">
        <f t="shared" ref="T32:AF32" si="24">SUM(D98:D101)</f>
        <v>15</v>
      </c>
      <c r="U32" s="34">
        <f t="shared" si="24"/>
        <v>8</v>
      </c>
      <c r="V32" s="34">
        <f t="shared" si="24"/>
        <v>53</v>
      </c>
      <c r="W32" s="34">
        <f t="shared" si="24"/>
        <v>0</v>
      </c>
      <c r="X32" s="34">
        <f t="shared" si="24"/>
        <v>0</v>
      </c>
      <c r="Y32" s="34">
        <f t="shared" si="24"/>
        <v>2</v>
      </c>
      <c r="Z32" s="34">
        <f t="shared" si="24"/>
        <v>0</v>
      </c>
      <c r="AA32" s="34">
        <f t="shared" si="24"/>
        <v>0</v>
      </c>
      <c r="AB32" s="34">
        <f t="shared" si="24"/>
        <v>1</v>
      </c>
      <c r="AC32" s="34">
        <f t="shared" si="24"/>
        <v>216</v>
      </c>
      <c r="AD32" s="34">
        <f t="shared" si="24"/>
        <v>0</v>
      </c>
      <c r="AE32" s="31">
        <f t="shared" si="24"/>
        <v>118</v>
      </c>
      <c r="AF32" s="31">
        <f t="shared" si="24"/>
        <v>334</v>
      </c>
    </row>
    <row r="33" spans="2:32" ht="23.1" customHeight="1" x14ac:dyDescent="0.25">
      <c r="B33" s="45" t="s">
        <v>60</v>
      </c>
      <c r="C33" s="50">
        <v>17</v>
      </c>
      <c r="D33" s="50">
        <v>8</v>
      </c>
      <c r="E33" s="50">
        <v>1</v>
      </c>
      <c r="F33" s="50">
        <v>17</v>
      </c>
      <c r="G33" s="50">
        <v>0</v>
      </c>
      <c r="H33" s="50">
        <v>0</v>
      </c>
      <c r="I33" s="50">
        <v>7</v>
      </c>
      <c r="J33" s="50">
        <v>0</v>
      </c>
      <c r="K33" s="50">
        <v>0</v>
      </c>
      <c r="L33" s="50">
        <v>0</v>
      </c>
      <c r="M33" s="50">
        <v>82</v>
      </c>
      <c r="N33" s="50">
        <v>0</v>
      </c>
      <c r="O33" s="15">
        <f t="shared" si="0"/>
        <v>50</v>
      </c>
      <c r="P33" s="15">
        <f t="shared" si="1"/>
        <v>132</v>
      </c>
      <c r="R33" s="33" t="s">
        <v>157</v>
      </c>
      <c r="S33" s="34">
        <f>SUM(C102:C105)</f>
        <v>36</v>
      </c>
      <c r="T33" s="34">
        <f t="shared" ref="T33:AF33" si="25">SUM(D102:D105)</f>
        <v>33</v>
      </c>
      <c r="U33" s="34">
        <f t="shared" si="25"/>
        <v>11</v>
      </c>
      <c r="V33" s="34">
        <f t="shared" si="25"/>
        <v>138</v>
      </c>
      <c r="W33" s="34">
        <f t="shared" si="25"/>
        <v>0</v>
      </c>
      <c r="X33" s="34">
        <f t="shared" si="25"/>
        <v>0</v>
      </c>
      <c r="Y33" s="34">
        <f t="shared" si="25"/>
        <v>11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344</v>
      </c>
      <c r="AD33" s="34">
        <f t="shared" si="25"/>
        <v>0</v>
      </c>
      <c r="AE33" s="31">
        <f t="shared" si="25"/>
        <v>230</v>
      </c>
      <c r="AF33" s="31">
        <f t="shared" si="25"/>
        <v>574</v>
      </c>
    </row>
    <row r="34" spans="2:32" ht="23.1" customHeight="1" x14ac:dyDescent="0.25">
      <c r="B34" s="46" t="s">
        <v>61</v>
      </c>
      <c r="C34" s="50">
        <v>19</v>
      </c>
      <c r="D34" s="50">
        <v>12</v>
      </c>
      <c r="E34" s="50">
        <v>2</v>
      </c>
      <c r="F34" s="50">
        <v>18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95</v>
      </c>
      <c r="N34" s="50">
        <v>0</v>
      </c>
      <c r="O34" s="15">
        <f t="shared" si="0"/>
        <v>53</v>
      </c>
      <c r="P34" s="15">
        <f t="shared" si="1"/>
        <v>148</v>
      </c>
      <c r="R34" s="38" t="s">
        <v>90</v>
      </c>
      <c r="S34" s="39">
        <f t="shared" ref="S34:AF34" si="26">MAX(S10:S12)</f>
        <v>136</v>
      </c>
      <c r="T34" s="39">
        <f t="shared" si="26"/>
        <v>60</v>
      </c>
      <c r="U34" s="39">
        <f t="shared" si="26"/>
        <v>16</v>
      </c>
      <c r="V34" s="39">
        <f t="shared" si="26"/>
        <v>230</v>
      </c>
      <c r="W34" s="39">
        <f t="shared" si="26"/>
        <v>4</v>
      </c>
      <c r="X34" s="39">
        <f t="shared" si="26"/>
        <v>0</v>
      </c>
      <c r="Y34" s="39">
        <f t="shared" si="26"/>
        <v>11</v>
      </c>
      <c r="Z34" s="39">
        <f t="shared" si="26"/>
        <v>1</v>
      </c>
      <c r="AA34" s="39">
        <f t="shared" si="26"/>
        <v>1</v>
      </c>
      <c r="AB34" s="39">
        <f t="shared" si="26"/>
        <v>0</v>
      </c>
      <c r="AC34" s="39">
        <f t="shared" si="26"/>
        <v>1105</v>
      </c>
      <c r="AD34" s="39">
        <f t="shared" si="26"/>
        <v>0</v>
      </c>
      <c r="AE34" s="40">
        <f t="shared" si="26"/>
        <v>458</v>
      </c>
      <c r="AF34" s="40">
        <f t="shared" si="26"/>
        <v>1510</v>
      </c>
    </row>
    <row r="35" spans="2:32" ht="23.1" customHeight="1" x14ac:dyDescent="0.25">
      <c r="B35" s="46" t="s">
        <v>62</v>
      </c>
      <c r="C35" s="50">
        <v>10</v>
      </c>
      <c r="D35" s="50">
        <v>6</v>
      </c>
      <c r="E35" s="50">
        <v>0</v>
      </c>
      <c r="F35" s="50">
        <v>19</v>
      </c>
      <c r="G35" s="50">
        <v>1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75</v>
      </c>
      <c r="N35" s="50">
        <v>0</v>
      </c>
      <c r="O35" s="15">
        <f t="shared" si="0"/>
        <v>38</v>
      </c>
      <c r="P35" s="15">
        <f t="shared" si="1"/>
        <v>113</v>
      </c>
      <c r="R35" s="38" t="s">
        <v>91</v>
      </c>
      <c r="S35" s="39">
        <f t="shared" ref="S35:AF35" si="27">MAX(S13:S18)</f>
        <v>72</v>
      </c>
      <c r="T35" s="39">
        <f t="shared" si="27"/>
        <v>53</v>
      </c>
      <c r="U35" s="39">
        <f t="shared" si="27"/>
        <v>20</v>
      </c>
      <c r="V35" s="39">
        <f t="shared" si="27"/>
        <v>132</v>
      </c>
      <c r="W35" s="39">
        <f t="shared" si="27"/>
        <v>2</v>
      </c>
      <c r="X35" s="39">
        <f t="shared" si="27"/>
        <v>0</v>
      </c>
      <c r="Y35" s="39">
        <f t="shared" si="27"/>
        <v>14</v>
      </c>
      <c r="Z35" s="39">
        <f t="shared" si="27"/>
        <v>3</v>
      </c>
      <c r="AA35" s="39">
        <f t="shared" si="27"/>
        <v>2</v>
      </c>
      <c r="AB35" s="39">
        <f t="shared" si="27"/>
        <v>1</v>
      </c>
      <c r="AC35" s="39">
        <f t="shared" si="27"/>
        <v>457</v>
      </c>
      <c r="AD35" s="39">
        <f t="shared" si="27"/>
        <v>0</v>
      </c>
      <c r="AE35" s="40">
        <f t="shared" si="27"/>
        <v>239</v>
      </c>
      <c r="AF35" s="40">
        <f t="shared" si="27"/>
        <v>675</v>
      </c>
    </row>
    <row r="36" spans="2:32" ht="23.1" customHeight="1" x14ac:dyDescent="0.25">
      <c r="B36" s="46" t="s">
        <v>63</v>
      </c>
      <c r="C36" s="50">
        <v>14</v>
      </c>
      <c r="D36" s="50">
        <v>8</v>
      </c>
      <c r="E36" s="50">
        <v>2</v>
      </c>
      <c r="F36" s="50">
        <v>16</v>
      </c>
      <c r="G36" s="50">
        <v>0</v>
      </c>
      <c r="H36" s="50">
        <v>0</v>
      </c>
      <c r="I36" s="50">
        <v>7</v>
      </c>
      <c r="J36" s="50">
        <v>2</v>
      </c>
      <c r="K36" s="50">
        <v>0</v>
      </c>
      <c r="L36" s="50">
        <v>0</v>
      </c>
      <c r="M36" s="50">
        <v>121</v>
      </c>
      <c r="N36" s="50">
        <v>0</v>
      </c>
      <c r="O36" s="15">
        <f t="shared" si="0"/>
        <v>49</v>
      </c>
      <c r="P36" s="15">
        <f t="shared" si="1"/>
        <v>170</v>
      </c>
      <c r="R36" s="38" t="s">
        <v>92</v>
      </c>
      <c r="S36" s="39">
        <f t="shared" ref="S36:AF36" si="28">MAX(S19:S21)</f>
        <v>80</v>
      </c>
      <c r="T36" s="39">
        <f t="shared" si="28"/>
        <v>52</v>
      </c>
      <c r="U36" s="39">
        <f t="shared" si="28"/>
        <v>29</v>
      </c>
      <c r="V36" s="39">
        <f t="shared" si="28"/>
        <v>73</v>
      </c>
      <c r="W36" s="39">
        <f t="shared" si="28"/>
        <v>18</v>
      </c>
      <c r="X36" s="39">
        <f t="shared" si="28"/>
        <v>17</v>
      </c>
      <c r="Y36" s="39">
        <f t="shared" si="28"/>
        <v>23</v>
      </c>
      <c r="Z36" s="39">
        <f t="shared" si="28"/>
        <v>17</v>
      </c>
      <c r="AA36" s="39">
        <f t="shared" si="28"/>
        <v>16</v>
      </c>
      <c r="AB36" s="39">
        <f t="shared" si="28"/>
        <v>16</v>
      </c>
      <c r="AC36" s="39">
        <f t="shared" si="28"/>
        <v>602</v>
      </c>
      <c r="AD36" s="39">
        <f t="shared" si="28"/>
        <v>0</v>
      </c>
      <c r="AE36" s="40">
        <f t="shared" si="28"/>
        <v>328</v>
      </c>
      <c r="AF36" s="40">
        <f t="shared" si="28"/>
        <v>930</v>
      </c>
    </row>
    <row r="37" spans="2:32" ht="23.1" customHeight="1" x14ac:dyDescent="0.25">
      <c r="B37" s="45" t="s">
        <v>64</v>
      </c>
      <c r="C37" s="50">
        <v>11</v>
      </c>
      <c r="D37" s="50">
        <v>9</v>
      </c>
      <c r="E37" s="50">
        <v>5</v>
      </c>
      <c r="F37" s="50">
        <v>13</v>
      </c>
      <c r="G37" s="50">
        <v>0</v>
      </c>
      <c r="H37" s="50">
        <v>0</v>
      </c>
      <c r="I37" s="50">
        <v>3</v>
      </c>
      <c r="J37" s="50">
        <v>1</v>
      </c>
      <c r="K37" s="50">
        <v>0</v>
      </c>
      <c r="L37" s="50">
        <v>0</v>
      </c>
      <c r="M37" s="50">
        <v>100</v>
      </c>
      <c r="N37" s="50">
        <v>0</v>
      </c>
      <c r="O37" s="15">
        <f t="shared" si="0"/>
        <v>42</v>
      </c>
      <c r="P37" s="15">
        <f t="shared" si="1"/>
        <v>142</v>
      </c>
      <c r="R37" s="37" t="s">
        <v>85</v>
      </c>
      <c r="S37" s="35">
        <f t="shared" ref="S37:AF37" si="29">SUM(S10:S12)</f>
        <v>332</v>
      </c>
      <c r="T37" s="16">
        <f t="shared" si="29"/>
        <v>162</v>
      </c>
      <c r="U37" s="16">
        <f t="shared" si="29"/>
        <v>47</v>
      </c>
      <c r="V37" s="16">
        <f t="shared" si="29"/>
        <v>586</v>
      </c>
      <c r="W37" s="16">
        <f t="shared" si="29"/>
        <v>5</v>
      </c>
      <c r="X37" s="16">
        <f t="shared" si="29"/>
        <v>0</v>
      </c>
      <c r="Y37" s="16">
        <f t="shared" si="29"/>
        <v>29</v>
      </c>
      <c r="Z37" s="16">
        <f t="shared" si="29"/>
        <v>1</v>
      </c>
      <c r="AA37" s="16">
        <f t="shared" si="29"/>
        <v>2</v>
      </c>
      <c r="AB37" s="16">
        <f t="shared" si="29"/>
        <v>0</v>
      </c>
      <c r="AC37" s="16">
        <f t="shared" si="29"/>
        <v>2887</v>
      </c>
      <c r="AD37" s="16">
        <f t="shared" si="29"/>
        <v>0</v>
      </c>
      <c r="AE37" s="32">
        <f t="shared" si="29"/>
        <v>1164</v>
      </c>
      <c r="AF37" s="32">
        <f t="shared" si="29"/>
        <v>4051</v>
      </c>
    </row>
    <row r="38" spans="2:32" ht="23.1" customHeight="1" x14ac:dyDescent="0.25">
      <c r="B38" s="46" t="s">
        <v>65</v>
      </c>
      <c r="C38" s="50">
        <v>16</v>
      </c>
      <c r="D38" s="50">
        <v>10</v>
      </c>
      <c r="E38" s="50">
        <v>3</v>
      </c>
      <c r="F38" s="50">
        <v>12</v>
      </c>
      <c r="G38" s="50">
        <v>0</v>
      </c>
      <c r="H38" s="50">
        <v>0</v>
      </c>
      <c r="I38" s="50">
        <v>2</v>
      </c>
      <c r="J38" s="50">
        <v>1</v>
      </c>
      <c r="K38" s="50">
        <v>1</v>
      </c>
      <c r="L38" s="50">
        <v>0</v>
      </c>
      <c r="M38" s="50">
        <v>88</v>
      </c>
      <c r="N38" s="50">
        <v>0</v>
      </c>
      <c r="O38" s="15">
        <f t="shared" si="0"/>
        <v>45</v>
      </c>
      <c r="P38" s="15">
        <f t="shared" si="1"/>
        <v>133</v>
      </c>
      <c r="R38" s="28" t="s">
        <v>86</v>
      </c>
      <c r="S38" s="16">
        <f t="shared" ref="S38:AF38" si="30">SUM(S13:S18)</f>
        <v>353</v>
      </c>
      <c r="T38" s="16">
        <f t="shared" si="30"/>
        <v>241</v>
      </c>
      <c r="U38" s="16">
        <f t="shared" si="30"/>
        <v>66</v>
      </c>
      <c r="V38" s="16">
        <f t="shared" si="30"/>
        <v>463</v>
      </c>
      <c r="W38" s="16">
        <f t="shared" si="30"/>
        <v>4</v>
      </c>
      <c r="X38" s="16">
        <f t="shared" si="30"/>
        <v>0</v>
      </c>
      <c r="Y38" s="16">
        <f t="shared" si="30"/>
        <v>61</v>
      </c>
      <c r="Z38" s="16">
        <f t="shared" si="30"/>
        <v>10</v>
      </c>
      <c r="AA38" s="16">
        <f t="shared" si="30"/>
        <v>3</v>
      </c>
      <c r="AB38" s="16">
        <f t="shared" si="30"/>
        <v>1</v>
      </c>
      <c r="AC38" s="16">
        <f t="shared" si="30"/>
        <v>2459</v>
      </c>
      <c r="AD38" s="16">
        <f t="shared" si="30"/>
        <v>0</v>
      </c>
      <c r="AE38" s="32">
        <f t="shared" si="30"/>
        <v>1202</v>
      </c>
      <c r="AF38" s="32">
        <f t="shared" si="30"/>
        <v>3661</v>
      </c>
    </row>
    <row r="39" spans="2:32" ht="23.1" customHeight="1" x14ac:dyDescent="0.25">
      <c r="B39" s="46" t="s">
        <v>66</v>
      </c>
      <c r="C39" s="50">
        <v>15</v>
      </c>
      <c r="D39" s="50">
        <v>11</v>
      </c>
      <c r="E39" s="50">
        <v>2</v>
      </c>
      <c r="F39" s="50">
        <v>12</v>
      </c>
      <c r="G39" s="50">
        <v>0</v>
      </c>
      <c r="H39" s="50">
        <v>0</v>
      </c>
      <c r="I39" s="50">
        <v>4</v>
      </c>
      <c r="J39" s="50">
        <v>0</v>
      </c>
      <c r="K39" s="50">
        <v>1</v>
      </c>
      <c r="L39" s="50">
        <v>0</v>
      </c>
      <c r="M39" s="50">
        <v>115</v>
      </c>
      <c r="N39" s="50">
        <v>0</v>
      </c>
      <c r="O39" s="15">
        <f t="shared" si="0"/>
        <v>45</v>
      </c>
      <c r="P39" s="15">
        <f t="shared" si="1"/>
        <v>160</v>
      </c>
      <c r="R39" s="29" t="s">
        <v>87</v>
      </c>
      <c r="S39" s="16">
        <f t="shared" ref="S39:AF39" si="31">SUM(S19:S21)</f>
        <v>211</v>
      </c>
      <c r="T39" s="16">
        <f t="shared" si="31"/>
        <v>126</v>
      </c>
      <c r="U39" s="16">
        <f t="shared" si="31"/>
        <v>62</v>
      </c>
      <c r="V39" s="16">
        <f t="shared" si="31"/>
        <v>201</v>
      </c>
      <c r="W39" s="16">
        <f t="shared" si="31"/>
        <v>22</v>
      </c>
      <c r="X39" s="16">
        <f t="shared" si="31"/>
        <v>18</v>
      </c>
      <c r="Y39" s="16">
        <f t="shared" si="31"/>
        <v>49</v>
      </c>
      <c r="Z39" s="16">
        <f t="shared" si="31"/>
        <v>20</v>
      </c>
      <c r="AA39" s="16">
        <f t="shared" si="31"/>
        <v>17</v>
      </c>
      <c r="AB39" s="16">
        <f t="shared" si="31"/>
        <v>17</v>
      </c>
      <c r="AC39" s="16">
        <f t="shared" si="31"/>
        <v>1673</v>
      </c>
      <c r="AD39" s="16">
        <f t="shared" si="31"/>
        <v>0</v>
      </c>
      <c r="AE39" s="32">
        <f t="shared" si="31"/>
        <v>743</v>
      </c>
      <c r="AF39" s="32">
        <f t="shared" si="31"/>
        <v>2416</v>
      </c>
    </row>
    <row r="40" spans="2:32" ht="23.1" customHeight="1" x14ac:dyDescent="0.25">
      <c r="B40" s="46" t="s">
        <v>67</v>
      </c>
      <c r="C40" s="50">
        <v>15</v>
      </c>
      <c r="D40" s="50">
        <v>15</v>
      </c>
      <c r="E40" s="50">
        <v>8</v>
      </c>
      <c r="F40" s="50">
        <v>16</v>
      </c>
      <c r="G40" s="50">
        <v>0</v>
      </c>
      <c r="H40" s="50">
        <v>0</v>
      </c>
      <c r="I40" s="50">
        <v>4</v>
      </c>
      <c r="J40" s="50">
        <v>1</v>
      </c>
      <c r="K40" s="50">
        <v>0</v>
      </c>
      <c r="L40" s="50">
        <v>0</v>
      </c>
      <c r="M40" s="50">
        <v>121</v>
      </c>
      <c r="N40" s="50">
        <v>0</v>
      </c>
      <c r="O40" s="15">
        <f t="shared" si="0"/>
        <v>59</v>
      </c>
      <c r="P40" s="15">
        <f t="shared" si="1"/>
        <v>180</v>
      </c>
      <c r="R40" s="5" t="s">
        <v>17</v>
      </c>
      <c r="S40" s="16">
        <f t="shared" ref="S40:AF40" si="32">SUM(S10:S21)</f>
        <v>896</v>
      </c>
      <c r="T40" s="16">
        <f t="shared" si="32"/>
        <v>529</v>
      </c>
      <c r="U40" s="16">
        <f t="shared" si="32"/>
        <v>175</v>
      </c>
      <c r="V40" s="16">
        <f t="shared" si="32"/>
        <v>1250</v>
      </c>
      <c r="W40" s="16">
        <f t="shared" si="32"/>
        <v>31</v>
      </c>
      <c r="X40" s="16">
        <f t="shared" si="32"/>
        <v>18</v>
      </c>
      <c r="Y40" s="16">
        <f t="shared" si="32"/>
        <v>139</v>
      </c>
      <c r="Z40" s="16">
        <f t="shared" si="32"/>
        <v>31</v>
      </c>
      <c r="AA40" s="16">
        <f t="shared" si="32"/>
        <v>22</v>
      </c>
      <c r="AB40" s="16">
        <f t="shared" si="32"/>
        <v>18</v>
      </c>
      <c r="AC40" s="16">
        <f t="shared" si="32"/>
        <v>7019</v>
      </c>
      <c r="AD40" s="16">
        <f t="shared" si="32"/>
        <v>0</v>
      </c>
      <c r="AE40" s="32">
        <f t="shared" si="32"/>
        <v>3109</v>
      </c>
      <c r="AF40" s="32">
        <f t="shared" si="32"/>
        <v>10128</v>
      </c>
    </row>
    <row r="41" spans="2:32" ht="23.1" customHeight="1" x14ac:dyDescent="0.25">
      <c r="B41" s="45" t="s">
        <v>68</v>
      </c>
      <c r="C41" s="50">
        <v>14</v>
      </c>
      <c r="D41" s="50">
        <v>17</v>
      </c>
      <c r="E41" s="50">
        <v>7</v>
      </c>
      <c r="F41" s="50">
        <v>13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87</v>
      </c>
      <c r="N41" s="50">
        <v>0</v>
      </c>
      <c r="O41" s="15">
        <f t="shared" si="0"/>
        <v>54</v>
      </c>
      <c r="P41" s="15">
        <f t="shared" si="1"/>
        <v>141</v>
      </c>
      <c r="R41" s="5" t="s">
        <v>159</v>
      </c>
      <c r="S41" s="16">
        <f>SUM(S10:S33)</f>
        <v>1430</v>
      </c>
      <c r="T41" s="16">
        <f t="shared" ref="T41:AF41" si="33">SUM(T10:T33)</f>
        <v>828</v>
      </c>
      <c r="U41" s="16">
        <f t="shared" si="33"/>
        <v>252</v>
      </c>
      <c r="V41" s="16">
        <f t="shared" si="33"/>
        <v>2007</v>
      </c>
      <c r="W41" s="16">
        <f t="shared" si="33"/>
        <v>39</v>
      </c>
      <c r="X41" s="16">
        <f t="shared" si="33"/>
        <v>18</v>
      </c>
      <c r="Y41" s="16">
        <f t="shared" si="33"/>
        <v>198</v>
      </c>
      <c r="Z41" s="16">
        <f t="shared" si="33"/>
        <v>40</v>
      </c>
      <c r="AA41" s="16">
        <f t="shared" si="33"/>
        <v>36</v>
      </c>
      <c r="AB41" s="16">
        <f t="shared" si="33"/>
        <v>19</v>
      </c>
      <c r="AC41" s="16">
        <f t="shared" si="33"/>
        <v>12115</v>
      </c>
      <c r="AD41" s="16">
        <f t="shared" si="33"/>
        <v>1</v>
      </c>
      <c r="AE41" s="32">
        <f t="shared" si="33"/>
        <v>4868</v>
      </c>
      <c r="AF41" s="32">
        <f t="shared" si="33"/>
        <v>16983</v>
      </c>
    </row>
    <row r="42" spans="2:32" ht="23.1" customHeight="1" x14ac:dyDescent="0.25">
      <c r="B42" s="46" t="s">
        <v>69</v>
      </c>
      <c r="C42" s="50">
        <v>16</v>
      </c>
      <c r="D42" s="50">
        <v>10</v>
      </c>
      <c r="E42" s="50">
        <v>4</v>
      </c>
      <c r="F42" s="50">
        <v>18</v>
      </c>
      <c r="G42" s="50">
        <v>1</v>
      </c>
      <c r="H42" s="50">
        <v>0</v>
      </c>
      <c r="I42" s="50">
        <v>3</v>
      </c>
      <c r="J42" s="50">
        <v>0</v>
      </c>
      <c r="K42" s="50">
        <v>0</v>
      </c>
      <c r="L42" s="50">
        <v>1</v>
      </c>
      <c r="M42" s="50">
        <v>48</v>
      </c>
      <c r="N42" s="50">
        <v>0</v>
      </c>
      <c r="O42" s="15">
        <f t="shared" si="0"/>
        <v>53</v>
      </c>
      <c r="P42" s="15">
        <f t="shared" si="1"/>
        <v>101</v>
      </c>
      <c r="R42" s="5" t="s">
        <v>160</v>
      </c>
      <c r="S42" s="48">
        <f>S41/S40</f>
        <v>1.5959821428571428</v>
      </c>
      <c r="T42" s="48">
        <f t="shared" ref="T42:AF42" si="34">T41/T40</f>
        <v>1.5652173913043479</v>
      </c>
      <c r="U42" s="48">
        <f t="shared" si="34"/>
        <v>1.44</v>
      </c>
      <c r="V42" s="48">
        <f t="shared" si="34"/>
        <v>1.6055999999999999</v>
      </c>
      <c r="W42" s="48">
        <f t="shared" si="34"/>
        <v>1.2580645161290323</v>
      </c>
      <c r="X42" s="48">
        <f t="shared" si="34"/>
        <v>1</v>
      </c>
      <c r="Y42" s="48">
        <f t="shared" si="34"/>
        <v>1.4244604316546763</v>
      </c>
      <c r="Z42" s="48">
        <f t="shared" si="34"/>
        <v>1.2903225806451613</v>
      </c>
      <c r="AA42" s="48">
        <f t="shared" si="34"/>
        <v>1.6363636363636365</v>
      </c>
      <c r="AB42" s="48">
        <f t="shared" si="34"/>
        <v>1.0555555555555556</v>
      </c>
      <c r="AC42" s="48">
        <f t="shared" si="34"/>
        <v>1.7260293489101011</v>
      </c>
      <c r="AD42" s="48" t="e">
        <f t="shared" si="34"/>
        <v>#DIV/0!</v>
      </c>
      <c r="AE42" s="48">
        <f t="shared" si="34"/>
        <v>1.5657767770987456</v>
      </c>
      <c r="AF42" s="48">
        <f t="shared" si="34"/>
        <v>1.6768364928909953</v>
      </c>
    </row>
    <row r="43" spans="2:32" ht="23.1" customHeight="1" x14ac:dyDescent="0.25">
      <c r="B43" s="45" t="s">
        <v>70</v>
      </c>
      <c r="C43" s="50">
        <v>14</v>
      </c>
      <c r="D43" s="50">
        <v>10</v>
      </c>
      <c r="E43" s="50">
        <v>2</v>
      </c>
      <c r="F43" s="50">
        <v>16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96</v>
      </c>
      <c r="N43" s="50">
        <v>0</v>
      </c>
      <c r="O43" s="15">
        <f t="shared" si="0"/>
        <v>45</v>
      </c>
      <c r="P43" s="15">
        <f t="shared" si="1"/>
        <v>141</v>
      </c>
    </row>
    <row r="44" spans="2:32" ht="23.1" customHeight="1" x14ac:dyDescent="0.25">
      <c r="B44" s="47" t="s">
        <v>71</v>
      </c>
      <c r="C44" s="50">
        <v>14</v>
      </c>
      <c r="D44" s="50">
        <v>15</v>
      </c>
      <c r="E44" s="50">
        <v>2</v>
      </c>
      <c r="F44" s="50">
        <v>15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114</v>
      </c>
      <c r="N44" s="50">
        <v>0</v>
      </c>
      <c r="O44" s="15">
        <f t="shared" si="0"/>
        <v>47</v>
      </c>
      <c r="P44" s="15">
        <f t="shared" si="1"/>
        <v>161</v>
      </c>
    </row>
    <row r="45" spans="2:32" ht="23.1" customHeight="1" x14ac:dyDescent="0.25">
      <c r="B45" s="45" t="s">
        <v>72</v>
      </c>
      <c r="C45" s="50">
        <v>17</v>
      </c>
      <c r="D45" s="50">
        <v>9</v>
      </c>
      <c r="E45" s="50">
        <v>1</v>
      </c>
      <c r="F45" s="50">
        <v>20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124</v>
      </c>
      <c r="N45" s="50">
        <v>0</v>
      </c>
      <c r="O45" s="15">
        <f t="shared" si="0"/>
        <v>50</v>
      </c>
      <c r="P45" s="15">
        <f t="shared" si="1"/>
        <v>174</v>
      </c>
    </row>
    <row r="46" spans="2:32" ht="23.1" customHeight="1" x14ac:dyDescent="0.25">
      <c r="B46" s="46" t="s">
        <v>73</v>
      </c>
      <c r="C46" s="50">
        <v>12</v>
      </c>
      <c r="D46" s="50">
        <v>3</v>
      </c>
      <c r="E46" s="50">
        <v>4</v>
      </c>
      <c r="F46" s="50">
        <v>15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92</v>
      </c>
      <c r="N46" s="50">
        <v>0</v>
      </c>
      <c r="O46" s="15">
        <f t="shared" si="0"/>
        <v>35</v>
      </c>
      <c r="P46" s="15">
        <f t="shared" si="1"/>
        <v>127</v>
      </c>
      <c r="R46" s="8"/>
      <c r="T46"/>
    </row>
    <row r="47" spans="2:32" ht="23.1" customHeight="1" x14ac:dyDescent="0.25">
      <c r="B47" s="46" t="s">
        <v>74</v>
      </c>
      <c r="C47" s="50">
        <v>23</v>
      </c>
      <c r="D47" s="50">
        <v>14</v>
      </c>
      <c r="E47" s="50">
        <v>12</v>
      </c>
      <c r="F47" s="50">
        <v>17</v>
      </c>
      <c r="G47" s="50">
        <v>0</v>
      </c>
      <c r="H47" s="50">
        <v>0</v>
      </c>
      <c r="I47" s="50">
        <v>4</v>
      </c>
      <c r="J47" s="50">
        <v>1</v>
      </c>
      <c r="K47" s="50">
        <v>0</v>
      </c>
      <c r="L47" s="50">
        <v>0</v>
      </c>
      <c r="M47" s="50">
        <v>175</v>
      </c>
      <c r="N47" s="50">
        <v>0</v>
      </c>
      <c r="O47" s="15">
        <f t="shared" si="0"/>
        <v>71</v>
      </c>
      <c r="P47" s="15">
        <f t="shared" si="1"/>
        <v>246</v>
      </c>
      <c r="R47" s="8"/>
      <c r="T47"/>
    </row>
    <row r="48" spans="2:32" ht="23.1" customHeight="1" x14ac:dyDescent="0.25">
      <c r="B48" s="46" t="s">
        <v>75</v>
      </c>
      <c r="C48" s="50">
        <v>26</v>
      </c>
      <c r="D48" s="50">
        <v>9</v>
      </c>
      <c r="E48" s="50">
        <v>6</v>
      </c>
      <c r="F48" s="50">
        <v>15</v>
      </c>
      <c r="G48" s="50">
        <v>2</v>
      </c>
      <c r="H48" s="50">
        <v>0</v>
      </c>
      <c r="I48" s="50">
        <v>8</v>
      </c>
      <c r="J48" s="50">
        <v>0</v>
      </c>
      <c r="K48" s="50">
        <v>1</v>
      </c>
      <c r="L48" s="50">
        <v>0</v>
      </c>
      <c r="M48" s="50">
        <v>145</v>
      </c>
      <c r="N48" s="50">
        <v>0</v>
      </c>
      <c r="O48" s="15">
        <f t="shared" si="0"/>
        <v>67</v>
      </c>
      <c r="P48" s="15">
        <f t="shared" si="1"/>
        <v>212</v>
      </c>
      <c r="R48" s="8"/>
      <c r="T48"/>
    </row>
    <row r="49" spans="2:20" ht="23.1" customHeight="1" x14ac:dyDescent="0.25">
      <c r="B49" s="45" t="s">
        <v>76</v>
      </c>
      <c r="C49" s="50">
        <v>19</v>
      </c>
      <c r="D49" s="50">
        <v>12</v>
      </c>
      <c r="E49" s="50">
        <v>7</v>
      </c>
      <c r="F49" s="50">
        <v>18</v>
      </c>
      <c r="G49" s="50">
        <v>1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135</v>
      </c>
      <c r="N49" s="50">
        <v>0</v>
      </c>
      <c r="O49" s="15">
        <f t="shared" si="0"/>
        <v>57</v>
      </c>
      <c r="P49" s="15">
        <f t="shared" si="1"/>
        <v>192</v>
      </c>
      <c r="R49" s="8"/>
      <c r="T49"/>
    </row>
    <row r="50" spans="2:20" ht="23.1" customHeight="1" x14ac:dyDescent="0.25">
      <c r="B50" s="46" t="s">
        <v>77</v>
      </c>
      <c r="C50" s="50">
        <v>9</v>
      </c>
      <c r="D50" s="50">
        <v>8</v>
      </c>
      <c r="E50" s="50">
        <v>4</v>
      </c>
      <c r="F50" s="50">
        <v>9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118</v>
      </c>
      <c r="N50" s="50">
        <v>0</v>
      </c>
      <c r="O50" s="15">
        <f t="shared" si="0"/>
        <v>31</v>
      </c>
      <c r="P50" s="15">
        <f t="shared" si="1"/>
        <v>149</v>
      </c>
      <c r="R50" s="8"/>
      <c r="T50"/>
    </row>
    <row r="51" spans="2:20" ht="23.1" customHeight="1" x14ac:dyDescent="0.25">
      <c r="B51" s="46" t="s">
        <v>78</v>
      </c>
      <c r="C51" s="50">
        <v>14</v>
      </c>
      <c r="D51" s="50">
        <v>6</v>
      </c>
      <c r="E51" s="50">
        <v>3</v>
      </c>
      <c r="F51" s="50">
        <v>21</v>
      </c>
      <c r="G51" s="50">
        <v>0</v>
      </c>
      <c r="H51" s="50">
        <v>0</v>
      </c>
      <c r="I51" s="50">
        <v>5</v>
      </c>
      <c r="J51" s="50">
        <v>2</v>
      </c>
      <c r="K51" s="50">
        <v>0</v>
      </c>
      <c r="L51" s="50">
        <v>1</v>
      </c>
      <c r="M51" s="50">
        <v>145</v>
      </c>
      <c r="N51" s="50">
        <v>0</v>
      </c>
      <c r="O51" s="15">
        <f t="shared" si="0"/>
        <v>52</v>
      </c>
      <c r="P51" s="15">
        <f t="shared" si="1"/>
        <v>197</v>
      </c>
      <c r="R51" s="8"/>
      <c r="T51"/>
    </row>
    <row r="52" spans="2:20" ht="23.1" customHeight="1" x14ac:dyDescent="0.25">
      <c r="B52" s="46" t="s">
        <v>79</v>
      </c>
      <c r="C52" s="50">
        <v>15</v>
      </c>
      <c r="D52" s="50">
        <v>11</v>
      </c>
      <c r="E52" s="50">
        <v>2</v>
      </c>
      <c r="F52" s="50">
        <v>20</v>
      </c>
      <c r="G52" s="50">
        <v>0</v>
      </c>
      <c r="H52" s="50">
        <v>0</v>
      </c>
      <c r="I52" s="50">
        <v>5</v>
      </c>
      <c r="J52" s="50">
        <v>0</v>
      </c>
      <c r="K52" s="50">
        <v>0</v>
      </c>
      <c r="L52" s="50">
        <v>0</v>
      </c>
      <c r="M52" s="50">
        <v>129</v>
      </c>
      <c r="N52" s="50">
        <v>0</v>
      </c>
      <c r="O52" s="15">
        <f t="shared" si="0"/>
        <v>53</v>
      </c>
      <c r="P52" s="15">
        <f t="shared" si="1"/>
        <v>182</v>
      </c>
      <c r="R52" s="8"/>
      <c r="T52"/>
    </row>
    <row r="53" spans="2:20" ht="23.1" customHeight="1" x14ac:dyDescent="0.25">
      <c r="B53" s="45" t="s">
        <v>80</v>
      </c>
      <c r="C53" s="50">
        <v>20</v>
      </c>
      <c r="D53" s="50">
        <v>11</v>
      </c>
      <c r="E53" s="50">
        <v>1</v>
      </c>
      <c r="F53" s="50">
        <v>13</v>
      </c>
      <c r="G53" s="50">
        <v>1</v>
      </c>
      <c r="H53" s="50">
        <v>1</v>
      </c>
      <c r="I53" s="50">
        <v>2</v>
      </c>
      <c r="J53" s="50">
        <v>0</v>
      </c>
      <c r="K53" s="50">
        <v>0</v>
      </c>
      <c r="L53" s="50">
        <v>0</v>
      </c>
      <c r="M53" s="50">
        <v>132</v>
      </c>
      <c r="N53" s="50">
        <v>0</v>
      </c>
      <c r="O53" s="15">
        <f t="shared" si="0"/>
        <v>49</v>
      </c>
      <c r="P53" s="15">
        <f t="shared" si="1"/>
        <v>181</v>
      </c>
      <c r="R53" s="8"/>
      <c r="T53"/>
    </row>
    <row r="54" spans="2:20" ht="23.1" customHeight="1" x14ac:dyDescent="0.25">
      <c r="B54" s="45" t="s">
        <v>81</v>
      </c>
      <c r="C54" s="50">
        <v>20</v>
      </c>
      <c r="D54" s="50">
        <v>11</v>
      </c>
      <c r="E54" s="50">
        <v>1</v>
      </c>
      <c r="F54" s="50">
        <v>13</v>
      </c>
      <c r="G54" s="50">
        <v>1</v>
      </c>
      <c r="H54" s="50">
        <v>1</v>
      </c>
      <c r="I54" s="50">
        <v>2</v>
      </c>
      <c r="J54" s="50">
        <v>0</v>
      </c>
      <c r="K54" s="50">
        <v>0</v>
      </c>
      <c r="L54" s="50">
        <v>0</v>
      </c>
      <c r="M54" s="50">
        <v>132</v>
      </c>
      <c r="N54" s="50">
        <v>0</v>
      </c>
      <c r="O54" s="15">
        <f t="shared" si="0"/>
        <v>49</v>
      </c>
      <c r="P54" s="15">
        <f t="shared" si="1"/>
        <v>181</v>
      </c>
      <c r="R54" s="8"/>
      <c r="T54"/>
    </row>
    <row r="55" spans="2:20" ht="23.1" customHeight="1" x14ac:dyDescent="0.25">
      <c r="B55" s="45" t="s">
        <v>82</v>
      </c>
      <c r="C55" s="50">
        <v>18</v>
      </c>
      <c r="D55" s="50">
        <v>13</v>
      </c>
      <c r="E55" s="50">
        <v>4</v>
      </c>
      <c r="F55" s="50">
        <v>25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160</v>
      </c>
      <c r="N55" s="50">
        <v>0</v>
      </c>
      <c r="O55" s="15">
        <f t="shared" si="0"/>
        <v>63</v>
      </c>
      <c r="P55" s="15">
        <f t="shared" si="1"/>
        <v>223</v>
      </c>
      <c r="R55" s="8"/>
      <c r="T55"/>
    </row>
    <row r="56" spans="2:20" ht="23.1" customHeight="1" x14ac:dyDescent="0.25">
      <c r="B56" s="45" t="s">
        <v>83</v>
      </c>
      <c r="C56" s="50">
        <v>19</v>
      </c>
      <c r="D56" s="50">
        <v>12</v>
      </c>
      <c r="E56" s="50">
        <v>2</v>
      </c>
      <c r="F56" s="50">
        <v>19</v>
      </c>
      <c r="G56" s="50">
        <v>1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144</v>
      </c>
      <c r="N56" s="50">
        <v>0</v>
      </c>
      <c r="O56" s="15">
        <f t="shared" si="0"/>
        <v>56</v>
      </c>
      <c r="P56" s="15">
        <f t="shared" si="1"/>
        <v>200</v>
      </c>
      <c r="R56" s="8"/>
      <c r="T56"/>
    </row>
    <row r="57" spans="2:20" ht="23.1" customHeight="1" x14ac:dyDescent="0.25">
      <c r="B57" s="45" t="s">
        <v>84</v>
      </c>
      <c r="C57" s="50">
        <v>16</v>
      </c>
      <c r="D57" s="50">
        <v>16</v>
      </c>
      <c r="E57" s="50">
        <v>16</v>
      </c>
      <c r="F57" s="50">
        <v>16</v>
      </c>
      <c r="G57" s="50">
        <v>16</v>
      </c>
      <c r="H57" s="50">
        <v>16</v>
      </c>
      <c r="I57" s="50">
        <v>16</v>
      </c>
      <c r="J57" s="50">
        <v>16</v>
      </c>
      <c r="K57" s="50">
        <v>16</v>
      </c>
      <c r="L57" s="50">
        <v>16</v>
      </c>
      <c r="M57" s="50">
        <v>166</v>
      </c>
      <c r="N57" s="50">
        <v>0</v>
      </c>
      <c r="O57" s="15">
        <f t="shared" si="0"/>
        <v>160</v>
      </c>
      <c r="P57" s="15">
        <f t="shared" si="1"/>
        <v>326</v>
      </c>
      <c r="R57" s="8"/>
      <c r="T57"/>
    </row>
    <row r="58" spans="2:20" ht="23.1" customHeight="1" x14ac:dyDescent="0.25">
      <c r="B58" s="45" t="s">
        <v>99</v>
      </c>
      <c r="C58" s="50">
        <v>9</v>
      </c>
      <c r="D58" s="50">
        <v>8</v>
      </c>
      <c r="E58" s="50">
        <v>1</v>
      </c>
      <c r="F58" s="50">
        <v>35</v>
      </c>
      <c r="G58" s="50">
        <v>1</v>
      </c>
      <c r="H58" s="50">
        <v>0</v>
      </c>
      <c r="I58" s="50">
        <v>3</v>
      </c>
      <c r="J58" s="50">
        <v>0</v>
      </c>
      <c r="K58" s="50">
        <v>0</v>
      </c>
      <c r="L58" s="50">
        <v>0</v>
      </c>
      <c r="M58" s="50">
        <v>155</v>
      </c>
      <c r="N58" s="50">
        <v>0</v>
      </c>
      <c r="O58" s="15">
        <f t="shared" si="0"/>
        <v>57</v>
      </c>
      <c r="P58" s="15">
        <f t="shared" si="1"/>
        <v>212</v>
      </c>
      <c r="R58" s="8"/>
      <c r="T58"/>
    </row>
    <row r="59" spans="2:20" ht="23.1" customHeight="1" x14ac:dyDescent="0.25">
      <c r="B59" s="45" t="s">
        <v>100</v>
      </c>
      <c r="C59" s="50">
        <v>9</v>
      </c>
      <c r="D59" s="50">
        <v>8</v>
      </c>
      <c r="E59" s="50">
        <v>1</v>
      </c>
      <c r="F59" s="50">
        <v>35</v>
      </c>
      <c r="G59" s="50">
        <v>1</v>
      </c>
      <c r="H59" s="50">
        <v>0</v>
      </c>
      <c r="I59" s="50">
        <v>3</v>
      </c>
      <c r="J59" s="50">
        <v>0</v>
      </c>
      <c r="K59" s="50">
        <v>0</v>
      </c>
      <c r="L59" s="50">
        <v>0</v>
      </c>
      <c r="M59" s="50">
        <v>155</v>
      </c>
      <c r="N59" s="50">
        <v>0</v>
      </c>
      <c r="O59" s="15">
        <f t="shared" si="0"/>
        <v>57</v>
      </c>
      <c r="P59" s="15">
        <f t="shared" si="1"/>
        <v>212</v>
      </c>
      <c r="R59" s="8"/>
      <c r="T59"/>
    </row>
    <row r="60" spans="2:20" ht="23.1" customHeight="1" x14ac:dyDescent="0.25">
      <c r="B60" s="45" t="s">
        <v>101</v>
      </c>
      <c r="C60" s="50">
        <v>16</v>
      </c>
      <c r="D60" s="50">
        <v>17</v>
      </c>
      <c r="E60" s="50">
        <v>1</v>
      </c>
      <c r="F60" s="50">
        <v>34</v>
      </c>
      <c r="G60" s="50">
        <v>0</v>
      </c>
      <c r="H60" s="50">
        <v>0</v>
      </c>
      <c r="I60" s="50">
        <v>3</v>
      </c>
      <c r="J60" s="50">
        <v>0</v>
      </c>
      <c r="K60" s="50">
        <v>0</v>
      </c>
      <c r="L60" s="50">
        <v>0</v>
      </c>
      <c r="M60" s="50">
        <v>245</v>
      </c>
      <c r="N60" s="50">
        <v>0</v>
      </c>
      <c r="O60" s="15">
        <f t="shared" si="0"/>
        <v>71</v>
      </c>
      <c r="P60" s="15">
        <f t="shared" si="1"/>
        <v>316</v>
      </c>
      <c r="R60" s="8"/>
      <c r="T60"/>
    </row>
    <row r="61" spans="2:20" ht="23.1" customHeight="1" x14ac:dyDescent="0.25">
      <c r="B61" s="45" t="s">
        <v>102</v>
      </c>
      <c r="C61" s="50">
        <v>14</v>
      </c>
      <c r="D61" s="50">
        <v>12</v>
      </c>
      <c r="E61" s="50">
        <v>4</v>
      </c>
      <c r="F61" s="50">
        <v>26</v>
      </c>
      <c r="G61" s="50">
        <v>0</v>
      </c>
      <c r="H61" s="50">
        <v>0</v>
      </c>
      <c r="I61" s="50">
        <v>3</v>
      </c>
      <c r="J61" s="50">
        <v>0</v>
      </c>
      <c r="K61" s="50">
        <v>0</v>
      </c>
      <c r="L61" s="50">
        <v>0</v>
      </c>
      <c r="M61" s="50">
        <v>250</v>
      </c>
      <c r="N61" s="50">
        <v>0</v>
      </c>
      <c r="O61" s="15">
        <f t="shared" si="0"/>
        <v>59</v>
      </c>
      <c r="P61" s="15">
        <f t="shared" si="1"/>
        <v>309</v>
      </c>
      <c r="R61" s="8"/>
      <c r="T61"/>
    </row>
    <row r="62" spans="2:20" ht="23.1" customHeight="1" x14ac:dyDescent="0.25">
      <c r="B62" s="45" t="s">
        <v>107</v>
      </c>
      <c r="C62" s="50">
        <v>6</v>
      </c>
      <c r="D62" s="50">
        <v>6</v>
      </c>
      <c r="E62" s="50">
        <v>5</v>
      </c>
      <c r="F62" s="50">
        <v>27</v>
      </c>
      <c r="G62" s="50">
        <v>2</v>
      </c>
      <c r="H62" s="50">
        <v>0</v>
      </c>
      <c r="I62" s="50">
        <v>3</v>
      </c>
      <c r="J62" s="50">
        <v>0</v>
      </c>
      <c r="K62" s="50">
        <v>0</v>
      </c>
      <c r="L62" s="50">
        <v>0</v>
      </c>
      <c r="M62" s="50">
        <v>246</v>
      </c>
      <c r="N62" s="50">
        <v>0</v>
      </c>
      <c r="O62" s="15">
        <f t="shared" si="0"/>
        <v>49</v>
      </c>
      <c r="P62" s="15">
        <f t="shared" si="1"/>
        <v>295</v>
      </c>
      <c r="R62" s="8"/>
      <c r="T62"/>
    </row>
    <row r="63" spans="2:20" ht="23.1" customHeight="1" x14ac:dyDescent="0.25">
      <c r="B63" s="45" t="s">
        <v>108</v>
      </c>
      <c r="C63" s="50">
        <v>9</v>
      </c>
      <c r="D63" s="50">
        <v>7</v>
      </c>
      <c r="E63" s="50">
        <v>3</v>
      </c>
      <c r="F63" s="50">
        <v>40</v>
      </c>
      <c r="G63" s="50">
        <v>1</v>
      </c>
      <c r="H63" s="50">
        <v>0</v>
      </c>
      <c r="I63" s="50">
        <v>2</v>
      </c>
      <c r="J63" s="50">
        <v>2</v>
      </c>
      <c r="K63" s="50">
        <v>0</v>
      </c>
      <c r="L63" s="50">
        <v>0</v>
      </c>
      <c r="M63" s="50">
        <v>230</v>
      </c>
      <c r="N63" s="50">
        <v>0</v>
      </c>
      <c r="O63" s="15">
        <f t="shared" si="0"/>
        <v>64</v>
      </c>
      <c r="P63" s="15">
        <f t="shared" si="1"/>
        <v>294</v>
      </c>
      <c r="R63" s="8"/>
      <c r="T63"/>
    </row>
    <row r="64" spans="2:20" ht="23.1" customHeight="1" x14ac:dyDescent="0.25">
      <c r="B64" s="45" t="s">
        <v>109</v>
      </c>
      <c r="C64" s="50">
        <v>22</v>
      </c>
      <c r="D64" s="50">
        <v>7</v>
      </c>
      <c r="E64" s="50">
        <v>4</v>
      </c>
      <c r="F64" s="50">
        <v>29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220</v>
      </c>
      <c r="N64" s="50">
        <v>0</v>
      </c>
      <c r="O64" s="15">
        <f t="shared" si="0"/>
        <v>62</v>
      </c>
      <c r="P64" s="15">
        <f t="shared" si="1"/>
        <v>282</v>
      </c>
      <c r="R64" s="8"/>
      <c r="T64"/>
    </row>
    <row r="65" spans="2:20" ht="23.1" customHeight="1" x14ac:dyDescent="0.25">
      <c r="B65" s="45" t="s">
        <v>158</v>
      </c>
      <c r="C65" s="50">
        <v>12</v>
      </c>
      <c r="D65" s="50">
        <v>1</v>
      </c>
      <c r="E65" s="50">
        <v>0</v>
      </c>
      <c r="F65" s="50">
        <v>39</v>
      </c>
      <c r="G65" s="50">
        <v>1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195</v>
      </c>
      <c r="N65" s="50">
        <v>0</v>
      </c>
      <c r="O65" s="15">
        <f t="shared" si="0"/>
        <v>54</v>
      </c>
      <c r="P65" s="15">
        <f t="shared" si="1"/>
        <v>249</v>
      </c>
      <c r="R65" s="8"/>
      <c r="T65"/>
    </row>
    <row r="66" spans="2:20" ht="23.1" customHeight="1" x14ac:dyDescent="0.25">
      <c r="B66" s="45" t="s">
        <v>103</v>
      </c>
      <c r="C66" s="50">
        <v>12</v>
      </c>
      <c r="D66" s="50">
        <v>9</v>
      </c>
      <c r="E66" s="50">
        <v>1</v>
      </c>
      <c r="F66" s="50">
        <v>29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290</v>
      </c>
      <c r="N66" s="50">
        <v>0</v>
      </c>
      <c r="O66" s="15">
        <f t="shared" si="0"/>
        <v>51</v>
      </c>
      <c r="P66" s="15">
        <f t="shared" si="1"/>
        <v>341</v>
      </c>
      <c r="R66" s="8"/>
      <c r="T66"/>
    </row>
    <row r="67" spans="2:20" ht="23.1" customHeight="1" x14ac:dyDescent="0.25">
      <c r="B67" s="45" t="s">
        <v>104</v>
      </c>
      <c r="C67" s="50">
        <v>16</v>
      </c>
      <c r="D67" s="50">
        <v>10</v>
      </c>
      <c r="E67" s="50">
        <v>3</v>
      </c>
      <c r="F67" s="50">
        <v>27</v>
      </c>
      <c r="G67" s="50">
        <v>0</v>
      </c>
      <c r="H67" s="50">
        <v>0</v>
      </c>
      <c r="I67" s="50">
        <v>2</v>
      </c>
      <c r="J67" s="50">
        <v>0</v>
      </c>
      <c r="K67" s="50">
        <v>1</v>
      </c>
      <c r="L67" s="50">
        <v>0</v>
      </c>
      <c r="M67" s="50">
        <v>235</v>
      </c>
      <c r="N67" s="50">
        <v>0</v>
      </c>
      <c r="O67" s="15">
        <f t="shared" si="0"/>
        <v>59</v>
      </c>
      <c r="P67" s="15">
        <f t="shared" si="1"/>
        <v>294</v>
      </c>
      <c r="R67" s="8"/>
      <c r="T67"/>
    </row>
    <row r="68" spans="2:20" ht="23.1" customHeight="1" x14ac:dyDescent="0.25">
      <c r="B68" s="45" t="s">
        <v>105</v>
      </c>
      <c r="C68" s="50">
        <v>12</v>
      </c>
      <c r="D68" s="50">
        <v>10</v>
      </c>
      <c r="E68" s="50">
        <v>1</v>
      </c>
      <c r="F68" s="50">
        <v>25</v>
      </c>
      <c r="G68" s="50">
        <v>0</v>
      </c>
      <c r="H68" s="50">
        <v>0</v>
      </c>
      <c r="I68" s="50">
        <v>3</v>
      </c>
      <c r="J68" s="50">
        <v>0</v>
      </c>
      <c r="K68" s="50">
        <v>0</v>
      </c>
      <c r="L68" s="50">
        <v>0</v>
      </c>
      <c r="M68" s="50">
        <v>220</v>
      </c>
      <c r="N68" s="50">
        <v>0</v>
      </c>
      <c r="O68" s="15">
        <f t="shared" si="0"/>
        <v>51</v>
      </c>
      <c r="P68" s="15">
        <f t="shared" si="1"/>
        <v>271</v>
      </c>
      <c r="R68" s="8"/>
      <c r="T68"/>
    </row>
    <row r="69" spans="2:20" ht="23.1" customHeight="1" x14ac:dyDescent="0.25">
      <c r="B69" s="45" t="s">
        <v>106</v>
      </c>
      <c r="C69" s="50">
        <v>24</v>
      </c>
      <c r="D69" s="50">
        <v>4</v>
      </c>
      <c r="E69" s="50">
        <v>3</v>
      </c>
      <c r="F69" s="50">
        <v>27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175</v>
      </c>
      <c r="N69" s="50">
        <v>0</v>
      </c>
      <c r="O69" s="15">
        <f t="shared" si="0"/>
        <v>58</v>
      </c>
      <c r="P69" s="15">
        <f t="shared" si="1"/>
        <v>233</v>
      </c>
      <c r="R69" s="8"/>
      <c r="T69"/>
    </row>
    <row r="70" spans="2:20" ht="23.1" customHeight="1" x14ac:dyDescent="0.25">
      <c r="B70" s="45" t="s">
        <v>110</v>
      </c>
      <c r="C70" s="50">
        <v>11</v>
      </c>
      <c r="D70" s="50">
        <v>7</v>
      </c>
      <c r="E70" s="50">
        <v>1</v>
      </c>
      <c r="F70" s="50">
        <v>26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121</v>
      </c>
      <c r="N70" s="50">
        <v>0</v>
      </c>
      <c r="O70" s="15">
        <f t="shared" si="0"/>
        <v>45</v>
      </c>
      <c r="P70" s="15">
        <f t="shared" si="1"/>
        <v>166</v>
      </c>
      <c r="R70" s="8"/>
      <c r="T70"/>
    </row>
    <row r="71" spans="2:20" ht="23.1" customHeight="1" x14ac:dyDescent="0.25">
      <c r="B71" s="45" t="s">
        <v>111</v>
      </c>
      <c r="C71" s="50">
        <v>28</v>
      </c>
      <c r="D71" s="50">
        <v>7</v>
      </c>
      <c r="E71" s="50">
        <v>2</v>
      </c>
      <c r="F71" s="50">
        <v>30</v>
      </c>
      <c r="G71" s="50">
        <v>0</v>
      </c>
      <c r="H71" s="50">
        <v>0</v>
      </c>
      <c r="I71" s="50">
        <v>4</v>
      </c>
      <c r="J71" s="50">
        <v>0</v>
      </c>
      <c r="K71" s="50">
        <v>0</v>
      </c>
      <c r="L71" s="50">
        <v>0</v>
      </c>
      <c r="M71" s="50">
        <v>163</v>
      </c>
      <c r="N71" s="50">
        <v>0</v>
      </c>
      <c r="O71" s="15">
        <f t="shared" si="0"/>
        <v>71</v>
      </c>
      <c r="P71" s="15">
        <f t="shared" si="1"/>
        <v>234</v>
      </c>
      <c r="R71" s="8"/>
      <c r="T71"/>
    </row>
    <row r="72" spans="2:20" ht="23.1" customHeight="1" x14ac:dyDescent="0.25">
      <c r="B72" s="45" t="s">
        <v>112</v>
      </c>
      <c r="C72" s="50">
        <v>21</v>
      </c>
      <c r="D72" s="50">
        <v>8</v>
      </c>
      <c r="E72" s="50">
        <v>1</v>
      </c>
      <c r="F72" s="50">
        <v>17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125</v>
      </c>
      <c r="N72" s="50">
        <v>0</v>
      </c>
      <c r="O72" s="15">
        <f t="shared" si="0"/>
        <v>47</v>
      </c>
      <c r="P72" s="15">
        <f t="shared" si="1"/>
        <v>172</v>
      </c>
      <c r="R72" s="8"/>
      <c r="T72"/>
    </row>
    <row r="73" spans="2:20" ht="23.1" customHeight="1" x14ac:dyDescent="0.25">
      <c r="B73" s="45" t="s">
        <v>113</v>
      </c>
      <c r="C73" s="50">
        <v>20</v>
      </c>
      <c r="D73" s="50">
        <v>4</v>
      </c>
      <c r="E73" s="50">
        <v>4</v>
      </c>
      <c r="F73" s="50">
        <v>21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149</v>
      </c>
      <c r="N73" s="50">
        <v>0</v>
      </c>
      <c r="O73" s="15">
        <f t="shared" si="0"/>
        <v>50</v>
      </c>
      <c r="P73" s="15">
        <f t="shared" si="1"/>
        <v>199</v>
      </c>
      <c r="R73" s="8"/>
      <c r="T73"/>
    </row>
    <row r="74" spans="2:20" ht="23.1" customHeight="1" x14ac:dyDescent="0.25">
      <c r="B74" s="45" t="s">
        <v>114</v>
      </c>
      <c r="C74" s="50">
        <v>16</v>
      </c>
      <c r="D74" s="50">
        <v>12</v>
      </c>
      <c r="E74" s="50">
        <v>1</v>
      </c>
      <c r="F74" s="50">
        <v>14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88</v>
      </c>
      <c r="N74" s="50">
        <v>1</v>
      </c>
      <c r="O74" s="15">
        <f t="shared" ref="O74:O105" si="35">SUM(C74:L74,N74)</f>
        <v>44</v>
      </c>
      <c r="P74" s="15">
        <f t="shared" ref="P74:P105" si="36">SUM(C74:N74)</f>
        <v>132</v>
      </c>
      <c r="R74" s="8"/>
      <c r="T74"/>
    </row>
    <row r="75" spans="2:20" ht="23.1" customHeight="1" x14ac:dyDescent="0.25">
      <c r="B75" s="45" t="s">
        <v>115</v>
      </c>
      <c r="C75" s="50">
        <v>19</v>
      </c>
      <c r="D75" s="50">
        <v>9</v>
      </c>
      <c r="E75" s="50">
        <v>0</v>
      </c>
      <c r="F75" s="50">
        <v>10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123</v>
      </c>
      <c r="N75" s="50">
        <v>0</v>
      </c>
      <c r="O75" s="15">
        <f t="shared" si="35"/>
        <v>39</v>
      </c>
      <c r="P75" s="15">
        <f t="shared" si="36"/>
        <v>162</v>
      </c>
      <c r="R75" s="8"/>
      <c r="T75"/>
    </row>
    <row r="76" spans="2:20" ht="23.1" customHeight="1" x14ac:dyDescent="0.25">
      <c r="B76" s="45" t="s">
        <v>116</v>
      </c>
      <c r="C76" s="50">
        <v>26</v>
      </c>
      <c r="D76" s="50">
        <v>5</v>
      </c>
      <c r="E76" s="50">
        <v>2</v>
      </c>
      <c r="F76" s="50">
        <v>15</v>
      </c>
      <c r="G76" s="50">
        <v>2</v>
      </c>
      <c r="H76" s="50">
        <v>0</v>
      </c>
      <c r="I76" s="50">
        <v>3</v>
      </c>
      <c r="J76" s="50">
        <v>0</v>
      </c>
      <c r="K76" s="50">
        <v>1</v>
      </c>
      <c r="L76" s="50">
        <v>0</v>
      </c>
      <c r="M76" s="50">
        <v>74</v>
      </c>
      <c r="N76" s="50">
        <v>0</v>
      </c>
      <c r="O76" s="15">
        <f t="shared" si="35"/>
        <v>54</v>
      </c>
      <c r="P76" s="15">
        <f t="shared" si="36"/>
        <v>128</v>
      </c>
      <c r="R76" s="8"/>
      <c r="T76"/>
    </row>
    <row r="77" spans="2:20" ht="23.1" customHeight="1" x14ac:dyDescent="0.25">
      <c r="B77" s="45" t="s">
        <v>117</v>
      </c>
      <c r="C77" s="50">
        <v>11</v>
      </c>
      <c r="D77" s="50">
        <v>8</v>
      </c>
      <c r="E77" s="50">
        <v>1</v>
      </c>
      <c r="F77" s="50">
        <v>14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90</v>
      </c>
      <c r="N77" s="50">
        <v>0</v>
      </c>
      <c r="O77" s="15">
        <f t="shared" si="35"/>
        <v>34</v>
      </c>
      <c r="P77" s="15">
        <f t="shared" si="36"/>
        <v>124</v>
      </c>
      <c r="R77" s="8"/>
      <c r="T77"/>
    </row>
    <row r="78" spans="2:20" ht="23.1" customHeight="1" x14ac:dyDescent="0.25">
      <c r="B78" s="46" t="s">
        <v>118</v>
      </c>
      <c r="C78" s="50">
        <v>12</v>
      </c>
      <c r="D78" s="50">
        <v>8</v>
      </c>
      <c r="E78" s="50">
        <v>1</v>
      </c>
      <c r="F78" s="50">
        <v>5</v>
      </c>
      <c r="G78" s="50">
        <v>0</v>
      </c>
      <c r="H78" s="50">
        <v>0</v>
      </c>
      <c r="I78" s="50">
        <v>2</v>
      </c>
      <c r="J78" s="50">
        <v>0</v>
      </c>
      <c r="K78" s="50">
        <v>0</v>
      </c>
      <c r="L78" s="50">
        <v>0</v>
      </c>
      <c r="M78" s="50">
        <v>74</v>
      </c>
      <c r="N78" s="50">
        <v>0</v>
      </c>
      <c r="O78" s="15">
        <f t="shared" si="35"/>
        <v>28</v>
      </c>
      <c r="P78" s="15">
        <f t="shared" si="36"/>
        <v>102</v>
      </c>
      <c r="R78" s="8"/>
      <c r="T78"/>
    </row>
    <row r="79" spans="2:20" ht="23.1" customHeight="1" x14ac:dyDescent="0.25">
      <c r="B79" s="45" t="s">
        <v>119</v>
      </c>
      <c r="C79" s="50">
        <v>17</v>
      </c>
      <c r="D79" s="50">
        <v>13</v>
      </c>
      <c r="E79" s="50">
        <v>0</v>
      </c>
      <c r="F79" s="50">
        <v>2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55</v>
      </c>
      <c r="N79" s="50">
        <v>0</v>
      </c>
      <c r="O79" s="15">
        <f t="shared" si="35"/>
        <v>33</v>
      </c>
      <c r="P79" s="15">
        <f t="shared" si="36"/>
        <v>88</v>
      </c>
      <c r="R79" s="8"/>
      <c r="T79"/>
    </row>
    <row r="80" spans="2:20" ht="23.1" customHeight="1" x14ac:dyDescent="0.25">
      <c r="B80" s="47" t="s">
        <v>120</v>
      </c>
      <c r="C80" s="50">
        <v>6</v>
      </c>
      <c r="D80" s="50">
        <v>7</v>
      </c>
      <c r="E80" s="50">
        <v>0</v>
      </c>
      <c r="F80" s="50">
        <v>5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53</v>
      </c>
      <c r="N80" s="50">
        <v>0</v>
      </c>
      <c r="O80" s="15">
        <f t="shared" si="35"/>
        <v>18</v>
      </c>
      <c r="P80" s="15">
        <f t="shared" si="36"/>
        <v>71</v>
      </c>
      <c r="R80" s="8"/>
      <c r="T80"/>
    </row>
    <row r="81" spans="2:20" ht="23.1" customHeight="1" x14ac:dyDescent="0.25">
      <c r="B81" s="45" t="s">
        <v>121</v>
      </c>
      <c r="C81" s="50">
        <v>10</v>
      </c>
      <c r="D81" s="50">
        <v>8</v>
      </c>
      <c r="E81" s="50">
        <v>3</v>
      </c>
      <c r="F81" s="50">
        <v>4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170</v>
      </c>
      <c r="N81" s="50">
        <v>0</v>
      </c>
      <c r="O81" s="15">
        <f t="shared" si="35"/>
        <v>25</v>
      </c>
      <c r="P81" s="15">
        <f t="shared" si="36"/>
        <v>195</v>
      </c>
      <c r="R81" s="8"/>
      <c r="T81"/>
    </row>
    <row r="82" spans="2:20" ht="23.1" customHeight="1" x14ac:dyDescent="0.25">
      <c r="B82" s="46" t="s">
        <v>122</v>
      </c>
      <c r="C82" s="50">
        <v>13</v>
      </c>
      <c r="D82" s="50">
        <v>9</v>
      </c>
      <c r="E82" s="50">
        <v>1</v>
      </c>
      <c r="F82" s="50">
        <v>2</v>
      </c>
      <c r="G82" s="50">
        <v>0</v>
      </c>
      <c r="H82" s="50">
        <v>0</v>
      </c>
      <c r="I82" s="50">
        <v>0</v>
      </c>
      <c r="J82" s="50">
        <v>1</v>
      </c>
      <c r="K82" s="50">
        <v>0</v>
      </c>
      <c r="L82" s="50">
        <v>0</v>
      </c>
      <c r="M82" s="50">
        <v>91</v>
      </c>
      <c r="N82" s="50">
        <v>0</v>
      </c>
      <c r="O82" s="15">
        <f t="shared" si="35"/>
        <v>26</v>
      </c>
      <c r="P82" s="15">
        <f t="shared" si="36"/>
        <v>117</v>
      </c>
      <c r="R82" s="8"/>
      <c r="T82"/>
    </row>
    <row r="83" spans="2:20" ht="23.1" customHeight="1" x14ac:dyDescent="0.25">
      <c r="B83" s="45" t="s">
        <v>123</v>
      </c>
      <c r="C83" s="50">
        <v>8</v>
      </c>
      <c r="D83" s="50">
        <v>4</v>
      </c>
      <c r="E83" s="50">
        <v>1</v>
      </c>
      <c r="F83" s="50">
        <v>1</v>
      </c>
      <c r="G83" s="50">
        <v>0</v>
      </c>
      <c r="H83" s="50">
        <v>0</v>
      </c>
      <c r="I83" s="50">
        <v>2</v>
      </c>
      <c r="J83" s="50">
        <v>0</v>
      </c>
      <c r="K83" s="50">
        <v>0</v>
      </c>
      <c r="L83" s="50">
        <v>0</v>
      </c>
      <c r="M83" s="50">
        <v>35</v>
      </c>
      <c r="N83" s="50">
        <v>0</v>
      </c>
      <c r="O83" s="15">
        <f t="shared" si="35"/>
        <v>16</v>
      </c>
      <c r="P83" s="15">
        <f t="shared" si="36"/>
        <v>51</v>
      </c>
      <c r="R83" s="8"/>
      <c r="T83"/>
    </row>
    <row r="84" spans="2:20" ht="23.1" customHeight="1" x14ac:dyDescent="0.25">
      <c r="B84" s="47" t="s">
        <v>124</v>
      </c>
      <c r="C84" s="50">
        <v>2</v>
      </c>
      <c r="D84" s="50">
        <v>4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1</v>
      </c>
      <c r="K84" s="50">
        <v>0</v>
      </c>
      <c r="L84" s="50">
        <v>0</v>
      </c>
      <c r="M84" s="50">
        <v>8</v>
      </c>
      <c r="N84" s="50">
        <v>0</v>
      </c>
      <c r="O84" s="15">
        <f t="shared" si="35"/>
        <v>7</v>
      </c>
      <c r="P84" s="15">
        <f t="shared" si="36"/>
        <v>15</v>
      </c>
      <c r="R84" s="8"/>
      <c r="T84"/>
    </row>
    <row r="85" spans="2:20" ht="23.1" customHeight="1" x14ac:dyDescent="0.25">
      <c r="B85" s="45" t="s">
        <v>125</v>
      </c>
      <c r="C85" s="50">
        <v>4</v>
      </c>
      <c r="D85" s="50">
        <v>3</v>
      </c>
      <c r="E85" s="50">
        <v>0</v>
      </c>
      <c r="F85" s="50">
        <v>0</v>
      </c>
      <c r="G85" s="50">
        <v>0</v>
      </c>
      <c r="H85" s="50">
        <v>0</v>
      </c>
      <c r="I85" s="50">
        <v>1</v>
      </c>
      <c r="J85" s="50">
        <v>0</v>
      </c>
      <c r="K85" s="50">
        <v>0</v>
      </c>
      <c r="L85" s="50">
        <v>0</v>
      </c>
      <c r="M85" s="50">
        <v>28</v>
      </c>
      <c r="N85" s="50">
        <v>0</v>
      </c>
      <c r="O85" s="15">
        <f t="shared" si="35"/>
        <v>8</v>
      </c>
      <c r="P85" s="15">
        <f t="shared" si="36"/>
        <v>36</v>
      </c>
      <c r="R85" s="8"/>
      <c r="T85"/>
    </row>
    <row r="86" spans="2:20" ht="23.1" customHeight="1" x14ac:dyDescent="0.25">
      <c r="B86" s="46" t="s">
        <v>126</v>
      </c>
      <c r="C86" s="50">
        <v>6</v>
      </c>
      <c r="D86" s="50">
        <v>3</v>
      </c>
      <c r="E86" s="50">
        <v>0</v>
      </c>
      <c r="F86" s="50">
        <v>3</v>
      </c>
      <c r="G86" s="50">
        <v>0</v>
      </c>
      <c r="H86" s="50">
        <v>0</v>
      </c>
      <c r="I86" s="50">
        <v>0</v>
      </c>
      <c r="J86" s="50">
        <v>1</v>
      </c>
      <c r="K86" s="50">
        <v>1</v>
      </c>
      <c r="L86" s="50">
        <v>0</v>
      </c>
      <c r="M86" s="50">
        <v>43</v>
      </c>
      <c r="N86" s="50">
        <v>0</v>
      </c>
      <c r="O86" s="15">
        <f t="shared" si="35"/>
        <v>14</v>
      </c>
      <c r="P86" s="15">
        <f t="shared" si="36"/>
        <v>57</v>
      </c>
      <c r="R86" s="8"/>
      <c r="T86"/>
    </row>
    <row r="87" spans="2:20" ht="23.1" customHeight="1" x14ac:dyDescent="0.25">
      <c r="B87" s="45" t="s">
        <v>127</v>
      </c>
      <c r="C87" s="50">
        <v>5</v>
      </c>
      <c r="D87" s="50">
        <v>9</v>
      </c>
      <c r="E87" s="50">
        <v>0</v>
      </c>
      <c r="F87" s="50">
        <v>2</v>
      </c>
      <c r="G87" s="50">
        <v>0</v>
      </c>
      <c r="H87" s="50">
        <v>0</v>
      </c>
      <c r="I87" s="50">
        <v>1</v>
      </c>
      <c r="J87" s="50">
        <v>0</v>
      </c>
      <c r="K87" s="50">
        <v>0</v>
      </c>
      <c r="L87" s="50">
        <v>0</v>
      </c>
      <c r="M87" s="50">
        <v>59</v>
      </c>
      <c r="N87" s="50">
        <v>0</v>
      </c>
      <c r="O87" s="15">
        <f t="shared" si="35"/>
        <v>17</v>
      </c>
      <c r="P87" s="15">
        <f t="shared" si="36"/>
        <v>76</v>
      </c>
      <c r="R87" s="8"/>
      <c r="T87"/>
    </row>
    <row r="88" spans="2:20" ht="23.1" customHeight="1" x14ac:dyDescent="0.25">
      <c r="B88" s="47" t="s">
        <v>128</v>
      </c>
      <c r="C88" s="50">
        <v>14</v>
      </c>
      <c r="D88" s="50">
        <v>3</v>
      </c>
      <c r="E88" s="50">
        <v>0</v>
      </c>
      <c r="F88" s="50">
        <v>0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24</v>
      </c>
      <c r="N88" s="50">
        <v>0</v>
      </c>
      <c r="O88" s="15">
        <f t="shared" si="35"/>
        <v>18</v>
      </c>
      <c r="P88" s="15">
        <f t="shared" si="36"/>
        <v>42</v>
      </c>
      <c r="R88" s="8"/>
      <c r="T88"/>
    </row>
    <row r="89" spans="2:20" ht="23.1" customHeight="1" x14ac:dyDescent="0.25">
      <c r="B89" s="45" t="s">
        <v>129</v>
      </c>
      <c r="C89" s="50">
        <v>13</v>
      </c>
      <c r="D89" s="50">
        <v>1</v>
      </c>
      <c r="E89" s="50">
        <v>0</v>
      </c>
      <c r="F89" s="50">
        <v>0</v>
      </c>
      <c r="G89" s="50">
        <v>0</v>
      </c>
      <c r="H89" s="50">
        <v>0</v>
      </c>
      <c r="I89" s="50">
        <v>1</v>
      </c>
      <c r="J89" s="50">
        <v>1</v>
      </c>
      <c r="K89" s="50">
        <v>0</v>
      </c>
      <c r="L89" s="50">
        <v>0</v>
      </c>
      <c r="M89" s="50">
        <v>52</v>
      </c>
      <c r="N89" s="50">
        <v>0</v>
      </c>
      <c r="O89" s="15">
        <f t="shared" si="35"/>
        <v>16</v>
      </c>
      <c r="P89" s="15">
        <f t="shared" si="36"/>
        <v>68</v>
      </c>
      <c r="R89" s="8"/>
      <c r="T89"/>
    </row>
    <row r="90" spans="2:20" ht="23.1" customHeight="1" x14ac:dyDescent="0.25">
      <c r="B90" s="46" t="s">
        <v>130</v>
      </c>
      <c r="C90" s="50">
        <v>4</v>
      </c>
      <c r="D90" s="50">
        <v>4</v>
      </c>
      <c r="E90" s="50">
        <v>0</v>
      </c>
      <c r="F90" s="50">
        <v>1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47</v>
      </c>
      <c r="N90" s="50">
        <v>0</v>
      </c>
      <c r="O90" s="15">
        <f t="shared" si="35"/>
        <v>9</v>
      </c>
      <c r="P90" s="15">
        <f t="shared" si="36"/>
        <v>56</v>
      </c>
      <c r="R90" s="8"/>
      <c r="T90"/>
    </row>
    <row r="91" spans="2:20" ht="23.1" customHeight="1" x14ac:dyDescent="0.25">
      <c r="B91" s="45" t="s">
        <v>131</v>
      </c>
      <c r="C91" s="50">
        <v>5</v>
      </c>
      <c r="D91" s="50">
        <v>2</v>
      </c>
      <c r="E91" s="50">
        <v>0</v>
      </c>
      <c r="F91" s="50">
        <v>0</v>
      </c>
      <c r="G91" s="50">
        <v>0</v>
      </c>
      <c r="H91" s="50">
        <v>0</v>
      </c>
      <c r="I91" s="50">
        <v>1</v>
      </c>
      <c r="J91" s="50">
        <v>1</v>
      </c>
      <c r="K91" s="50">
        <v>10</v>
      </c>
      <c r="L91" s="50">
        <v>0</v>
      </c>
      <c r="M91" s="50">
        <v>26</v>
      </c>
      <c r="N91" s="50">
        <v>0</v>
      </c>
      <c r="O91" s="15">
        <f t="shared" si="35"/>
        <v>19</v>
      </c>
      <c r="P91" s="15">
        <f t="shared" si="36"/>
        <v>45</v>
      </c>
      <c r="R91" s="8"/>
      <c r="T91"/>
    </row>
    <row r="92" spans="2:20" ht="23.1" customHeight="1" x14ac:dyDescent="0.25">
      <c r="B92" s="47" t="s">
        <v>132</v>
      </c>
      <c r="C92" s="50">
        <v>4</v>
      </c>
      <c r="D92" s="50">
        <v>1</v>
      </c>
      <c r="E92" s="50">
        <v>1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33</v>
      </c>
      <c r="N92" s="50">
        <v>0</v>
      </c>
      <c r="O92" s="15">
        <f t="shared" si="35"/>
        <v>6</v>
      </c>
      <c r="P92" s="15">
        <f t="shared" si="36"/>
        <v>39</v>
      </c>
      <c r="R92" s="8"/>
      <c r="T92"/>
    </row>
    <row r="93" spans="2:20" ht="23.1" customHeight="1" x14ac:dyDescent="0.25">
      <c r="B93" s="45" t="s">
        <v>133</v>
      </c>
      <c r="C93" s="50">
        <v>4</v>
      </c>
      <c r="D93" s="50">
        <v>1</v>
      </c>
      <c r="E93" s="50">
        <v>0</v>
      </c>
      <c r="F93" s="50">
        <v>2</v>
      </c>
      <c r="G93" s="50">
        <v>0</v>
      </c>
      <c r="H93" s="50">
        <v>0</v>
      </c>
      <c r="I93" s="50">
        <v>2</v>
      </c>
      <c r="J93" s="50">
        <v>0</v>
      </c>
      <c r="K93" s="50">
        <v>0</v>
      </c>
      <c r="L93" s="50">
        <v>0</v>
      </c>
      <c r="M93" s="50">
        <v>39</v>
      </c>
      <c r="N93" s="50">
        <v>0</v>
      </c>
      <c r="O93" s="15">
        <f t="shared" si="35"/>
        <v>9</v>
      </c>
      <c r="P93" s="15">
        <f t="shared" si="36"/>
        <v>48</v>
      </c>
      <c r="R93" s="8"/>
      <c r="T93"/>
    </row>
    <row r="94" spans="2:20" ht="23.1" customHeight="1" x14ac:dyDescent="0.25">
      <c r="B94" s="46" t="s">
        <v>134</v>
      </c>
      <c r="C94" s="50">
        <v>5</v>
      </c>
      <c r="D94" s="50">
        <v>2</v>
      </c>
      <c r="E94" s="50">
        <v>2</v>
      </c>
      <c r="F94" s="50">
        <v>3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35</v>
      </c>
      <c r="N94" s="50">
        <v>0</v>
      </c>
      <c r="O94" s="15">
        <f t="shared" si="35"/>
        <v>13</v>
      </c>
      <c r="P94" s="15">
        <f t="shared" si="36"/>
        <v>48</v>
      </c>
      <c r="R94" s="8"/>
      <c r="T94"/>
    </row>
    <row r="95" spans="2:20" ht="23.1" customHeight="1" x14ac:dyDescent="0.25">
      <c r="B95" s="45" t="s">
        <v>135</v>
      </c>
      <c r="C95" s="50">
        <v>5</v>
      </c>
      <c r="D95" s="50">
        <v>1</v>
      </c>
      <c r="E95" s="50">
        <v>9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33</v>
      </c>
      <c r="N95" s="50">
        <v>0</v>
      </c>
      <c r="O95" s="15">
        <f t="shared" si="35"/>
        <v>15</v>
      </c>
      <c r="P95" s="15">
        <f t="shared" si="36"/>
        <v>48</v>
      </c>
      <c r="R95" s="8"/>
      <c r="T95"/>
    </row>
    <row r="96" spans="2:20" ht="23.1" customHeight="1" x14ac:dyDescent="0.25">
      <c r="B96" s="47" t="s">
        <v>136</v>
      </c>
      <c r="C96" s="50">
        <v>3</v>
      </c>
      <c r="D96" s="50">
        <v>5</v>
      </c>
      <c r="E96" s="50">
        <v>0</v>
      </c>
      <c r="F96" s="50">
        <v>8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35</v>
      </c>
      <c r="N96" s="50">
        <v>0</v>
      </c>
      <c r="O96" s="15">
        <f t="shared" si="35"/>
        <v>16</v>
      </c>
      <c r="P96" s="15">
        <f t="shared" si="36"/>
        <v>51</v>
      </c>
      <c r="R96" s="8"/>
      <c r="T96"/>
    </row>
    <row r="97" spans="2:20" ht="23.1" customHeight="1" x14ac:dyDescent="0.25">
      <c r="B97" s="45" t="s">
        <v>137</v>
      </c>
      <c r="C97" s="50">
        <v>6</v>
      </c>
      <c r="D97" s="50">
        <v>4</v>
      </c>
      <c r="E97" s="50">
        <v>1</v>
      </c>
      <c r="F97" s="50">
        <v>8</v>
      </c>
      <c r="G97" s="50">
        <v>0</v>
      </c>
      <c r="H97" s="50">
        <v>0</v>
      </c>
      <c r="I97" s="50">
        <v>1</v>
      </c>
      <c r="J97" s="50">
        <v>1</v>
      </c>
      <c r="K97" s="50">
        <v>1</v>
      </c>
      <c r="L97" s="50">
        <v>0</v>
      </c>
      <c r="M97" s="50">
        <v>47</v>
      </c>
      <c r="N97" s="50">
        <v>0</v>
      </c>
      <c r="O97" s="15">
        <f t="shared" si="35"/>
        <v>22</v>
      </c>
      <c r="P97" s="15">
        <f t="shared" si="36"/>
        <v>69</v>
      </c>
      <c r="R97" s="8"/>
      <c r="T97"/>
    </row>
    <row r="98" spans="2:20" ht="23.1" customHeight="1" x14ac:dyDescent="0.25">
      <c r="B98" s="46" t="s">
        <v>138</v>
      </c>
      <c r="C98" s="50">
        <v>7</v>
      </c>
      <c r="D98" s="50">
        <v>0</v>
      </c>
      <c r="E98" s="50">
        <v>0</v>
      </c>
      <c r="F98" s="50">
        <v>6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35</v>
      </c>
      <c r="N98" s="50">
        <v>0</v>
      </c>
      <c r="O98" s="15">
        <f t="shared" si="35"/>
        <v>14</v>
      </c>
      <c r="P98" s="15">
        <f t="shared" si="36"/>
        <v>49</v>
      </c>
      <c r="R98" s="8"/>
      <c r="T98"/>
    </row>
    <row r="99" spans="2:20" ht="23.1" customHeight="1" x14ac:dyDescent="0.25">
      <c r="B99" s="45" t="s">
        <v>139</v>
      </c>
      <c r="C99" s="50">
        <v>8</v>
      </c>
      <c r="D99" s="50">
        <v>10</v>
      </c>
      <c r="E99" s="50">
        <v>2</v>
      </c>
      <c r="F99" s="50">
        <v>19</v>
      </c>
      <c r="G99" s="50">
        <v>0</v>
      </c>
      <c r="H99" s="50">
        <v>0</v>
      </c>
      <c r="I99" s="50">
        <v>1</v>
      </c>
      <c r="J99" s="50">
        <v>0</v>
      </c>
      <c r="K99" s="50">
        <v>0</v>
      </c>
      <c r="L99" s="50">
        <v>0</v>
      </c>
      <c r="M99" s="50">
        <v>85</v>
      </c>
      <c r="N99" s="50">
        <v>0</v>
      </c>
      <c r="O99" s="15">
        <f t="shared" si="35"/>
        <v>40</v>
      </c>
      <c r="P99" s="15">
        <f t="shared" si="36"/>
        <v>125</v>
      </c>
      <c r="R99" s="8"/>
      <c r="T99"/>
    </row>
    <row r="100" spans="2:20" ht="23.1" customHeight="1" x14ac:dyDescent="0.25">
      <c r="B100" s="47" t="s">
        <v>140</v>
      </c>
      <c r="C100" s="50">
        <v>13</v>
      </c>
      <c r="D100" s="50">
        <v>3</v>
      </c>
      <c r="E100" s="50">
        <v>1</v>
      </c>
      <c r="F100" s="50">
        <v>16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45</v>
      </c>
      <c r="N100" s="50">
        <v>0</v>
      </c>
      <c r="O100" s="15">
        <f t="shared" si="35"/>
        <v>33</v>
      </c>
      <c r="P100" s="15">
        <f t="shared" si="36"/>
        <v>78</v>
      </c>
      <c r="R100" s="8"/>
      <c r="T100"/>
    </row>
    <row r="101" spans="2:20" ht="23.1" customHeight="1" x14ac:dyDescent="0.25">
      <c r="B101" s="45" t="s">
        <v>141</v>
      </c>
      <c r="C101" s="50">
        <v>11</v>
      </c>
      <c r="D101" s="50">
        <v>2</v>
      </c>
      <c r="E101" s="50">
        <v>5</v>
      </c>
      <c r="F101" s="50">
        <v>12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1</v>
      </c>
      <c r="M101" s="50">
        <v>51</v>
      </c>
      <c r="N101" s="50">
        <v>0</v>
      </c>
      <c r="O101" s="15">
        <f t="shared" si="35"/>
        <v>31</v>
      </c>
      <c r="P101" s="15">
        <f t="shared" si="36"/>
        <v>82</v>
      </c>
      <c r="R101" s="8"/>
      <c r="T101"/>
    </row>
    <row r="102" spans="2:20" ht="23.1" customHeight="1" x14ac:dyDescent="0.25">
      <c r="B102" s="46" t="s">
        <v>142</v>
      </c>
      <c r="C102" s="50">
        <v>2</v>
      </c>
      <c r="D102" s="50">
        <v>8</v>
      </c>
      <c r="E102" s="50">
        <v>2</v>
      </c>
      <c r="F102" s="50">
        <v>34</v>
      </c>
      <c r="G102" s="50">
        <v>0</v>
      </c>
      <c r="H102" s="50">
        <v>0</v>
      </c>
      <c r="I102" s="50">
        <v>3</v>
      </c>
      <c r="J102" s="50">
        <v>1</v>
      </c>
      <c r="K102" s="50">
        <v>0</v>
      </c>
      <c r="L102" s="50">
        <v>0</v>
      </c>
      <c r="M102" s="50">
        <v>76</v>
      </c>
      <c r="N102" s="50">
        <v>0</v>
      </c>
      <c r="O102" s="15">
        <f t="shared" si="35"/>
        <v>50</v>
      </c>
      <c r="P102" s="15">
        <f t="shared" si="36"/>
        <v>126</v>
      </c>
      <c r="R102" s="8"/>
      <c r="T102"/>
    </row>
    <row r="103" spans="2:20" ht="23.1" customHeight="1" x14ac:dyDescent="0.25">
      <c r="B103" s="45" t="s">
        <v>143</v>
      </c>
      <c r="C103" s="50">
        <v>8</v>
      </c>
      <c r="D103" s="50">
        <v>9</v>
      </c>
      <c r="E103" s="50">
        <v>4</v>
      </c>
      <c r="F103" s="50">
        <v>41</v>
      </c>
      <c r="G103" s="50">
        <v>0</v>
      </c>
      <c r="H103" s="50">
        <v>0</v>
      </c>
      <c r="I103" s="50">
        <v>4</v>
      </c>
      <c r="J103" s="50">
        <v>0</v>
      </c>
      <c r="K103" s="50">
        <v>0</v>
      </c>
      <c r="L103" s="50">
        <v>0</v>
      </c>
      <c r="M103" s="50">
        <v>107</v>
      </c>
      <c r="N103" s="50">
        <v>0</v>
      </c>
      <c r="O103" s="15">
        <f t="shared" si="35"/>
        <v>66</v>
      </c>
      <c r="P103" s="15">
        <f t="shared" si="36"/>
        <v>173</v>
      </c>
      <c r="R103" s="8"/>
      <c r="T103"/>
    </row>
    <row r="104" spans="2:20" ht="23.1" customHeight="1" x14ac:dyDescent="0.25">
      <c r="B104" s="47" t="s">
        <v>144</v>
      </c>
      <c r="C104" s="50">
        <v>13</v>
      </c>
      <c r="D104" s="50">
        <v>10</v>
      </c>
      <c r="E104" s="50">
        <v>5</v>
      </c>
      <c r="F104" s="50">
        <v>37</v>
      </c>
      <c r="G104" s="50">
        <v>0</v>
      </c>
      <c r="H104" s="50">
        <v>0</v>
      </c>
      <c r="I104" s="50">
        <v>3</v>
      </c>
      <c r="J104" s="50">
        <v>0</v>
      </c>
      <c r="K104" s="50">
        <v>0</v>
      </c>
      <c r="L104" s="50">
        <v>0</v>
      </c>
      <c r="M104" s="50">
        <v>100</v>
      </c>
      <c r="N104" s="50">
        <v>0</v>
      </c>
      <c r="O104" s="15">
        <f t="shared" si="35"/>
        <v>68</v>
      </c>
      <c r="P104" s="15">
        <f t="shared" si="36"/>
        <v>168</v>
      </c>
      <c r="R104" s="8"/>
      <c r="T104"/>
    </row>
    <row r="105" spans="2:20" ht="23.1" customHeight="1" x14ac:dyDescent="0.25">
      <c r="B105" s="45" t="s">
        <v>145</v>
      </c>
      <c r="C105" s="50">
        <v>13</v>
      </c>
      <c r="D105" s="50">
        <v>6</v>
      </c>
      <c r="E105" s="50">
        <v>0</v>
      </c>
      <c r="F105" s="50">
        <v>26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61</v>
      </c>
      <c r="N105" s="50">
        <v>0</v>
      </c>
      <c r="O105" s="15">
        <f t="shared" si="35"/>
        <v>46</v>
      </c>
      <c r="P105" s="15">
        <f t="shared" si="36"/>
        <v>107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1430</v>
      </c>
      <c r="D106" s="16">
        <f t="shared" ref="D106:P106" si="37">SUM(D10:D105)</f>
        <v>828</v>
      </c>
      <c r="E106" s="16">
        <f t="shared" si="37"/>
        <v>252</v>
      </c>
      <c r="F106" s="16">
        <f t="shared" si="37"/>
        <v>2007</v>
      </c>
      <c r="G106" s="16">
        <f t="shared" si="37"/>
        <v>39</v>
      </c>
      <c r="H106" s="16">
        <f t="shared" si="37"/>
        <v>18</v>
      </c>
      <c r="I106" s="16">
        <f t="shared" si="37"/>
        <v>198</v>
      </c>
      <c r="J106" s="16">
        <f t="shared" si="37"/>
        <v>40</v>
      </c>
      <c r="K106" s="16">
        <f t="shared" si="37"/>
        <v>36</v>
      </c>
      <c r="L106" s="16">
        <f t="shared" si="37"/>
        <v>19</v>
      </c>
      <c r="M106" s="16">
        <f t="shared" si="37"/>
        <v>12115</v>
      </c>
      <c r="N106" s="16">
        <f t="shared" si="37"/>
        <v>1</v>
      </c>
      <c r="O106" s="16">
        <f t="shared" si="37"/>
        <v>4868</v>
      </c>
      <c r="P106" s="16">
        <f t="shared" si="37"/>
        <v>16983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8.4201848907731261E-2</v>
      </c>
      <c r="D107" s="43">
        <f t="shared" si="38"/>
        <v>4.8754636989931106E-2</v>
      </c>
      <c r="E107" s="43">
        <f t="shared" si="38"/>
        <v>1.483836777954425E-2</v>
      </c>
      <c r="F107" s="43">
        <f t="shared" si="38"/>
        <v>0.11817700052994171</v>
      </c>
      <c r="G107" s="43">
        <f t="shared" si="38"/>
        <v>2.2964140611199434E-3</v>
      </c>
      <c r="H107" s="43">
        <f t="shared" si="38"/>
        <v>1.0598834128245894E-3</v>
      </c>
      <c r="I107" s="43">
        <f t="shared" si="38"/>
        <v>1.1658717541070483E-2</v>
      </c>
      <c r="J107" s="43">
        <f t="shared" si="38"/>
        <v>2.3552964729435318E-3</v>
      </c>
      <c r="K107" s="43">
        <f t="shared" si="38"/>
        <v>2.1197668256491787E-3</v>
      </c>
      <c r="L107" s="43">
        <f t="shared" si="38"/>
        <v>1.1187658246481775E-3</v>
      </c>
      <c r="M107" s="43">
        <f t="shared" si="38"/>
        <v>0.71336041924277216</v>
      </c>
      <c r="N107" s="43">
        <f t="shared" si="38"/>
        <v>5.8882411823588296E-5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0.29375513557929334</v>
      </c>
      <c r="D108" s="44">
        <f t="shared" ref="D108:N108" si="39">D106/$O$106</f>
        <v>0.17009038619556285</v>
      </c>
      <c r="E108" s="44">
        <f t="shared" si="39"/>
        <v>5.1766639276910435E-2</v>
      </c>
      <c r="F108" s="44">
        <f t="shared" si="39"/>
        <v>0.41228430566967955</v>
      </c>
      <c r="G108" s="44">
        <f t="shared" si="39"/>
        <v>8.0115036976170905E-3</v>
      </c>
      <c r="H108" s="44">
        <f t="shared" si="39"/>
        <v>3.6976170912078883E-3</v>
      </c>
      <c r="I108" s="44">
        <f t="shared" si="39"/>
        <v>4.0673788003286769E-2</v>
      </c>
      <c r="J108" s="44">
        <f t="shared" si="39"/>
        <v>8.2169268693508633E-3</v>
      </c>
      <c r="K108" s="44">
        <f t="shared" si="39"/>
        <v>7.3952341824157766E-3</v>
      </c>
      <c r="L108" s="44">
        <f t="shared" si="39"/>
        <v>3.9030402629416597E-3</v>
      </c>
      <c r="M108" s="44"/>
      <c r="N108" s="44">
        <f t="shared" si="39"/>
        <v>2.0542317173377156E-4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249977111117893"/>
  </sheetPr>
  <dimension ref="B1:AF174"/>
  <sheetViews>
    <sheetView view="pageBreakPreview" topLeftCell="A54" zoomScale="60" workbookViewId="0">
      <selection activeCell="B58" sqref="B58:B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Kibuye-Munyonyo'!C3:G3</f>
        <v>MCC - C1 - STN01A - SALAMA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4" t="str">
        <f>'26.07 Munyonyo-Kibuye-24h'!G5:H5</f>
        <v>Salama road 1A</v>
      </c>
      <c r="H5" s="65"/>
      <c r="I5" s="14"/>
      <c r="J5" s="2" t="s">
        <v>5</v>
      </c>
      <c r="K5" s="64" t="s">
        <v>172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Kibuye-Munyonyo'!D6:E6</f>
        <v>Kibuye</v>
      </c>
      <c r="E6" s="65"/>
      <c r="F6" s="2" t="s">
        <v>2</v>
      </c>
      <c r="G6" s="64" t="str">
        <f>'22.07 Kibuye-Munyonyo'!G6:H6</f>
        <v>Munyonyo</v>
      </c>
      <c r="H6" s="65"/>
      <c r="J6" s="2" t="s">
        <v>21</v>
      </c>
      <c r="K6" s="64" t="str">
        <f>'26.07 Munyonyo-Kibuye-24h'!K6:L6</f>
        <v>Emma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73" si="0">SUM(C10:L10,N10)</f>
        <v>0</v>
      </c>
      <c r="P10" s="15">
        <f t="shared" ref="P10:P73" si="1">SUM(C10:N10)</f>
        <v>0</v>
      </c>
      <c r="R10" s="1" t="s">
        <v>6</v>
      </c>
      <c r="S10" s="17">
        <f t="shared" ref="S10:AF10" si="2">SUM(C10:C13)</f>
        <v>7</v>
      </c>
      <c r="T10" s="17">
        <f t="shared" si="2"/>
        <v>5</v>
      </c>
      <c r="U10" s="17">
        <f t="shared" si="2"/>
        <v>2</v>
      </c>
      <c r="V10" s="17">
        <f t="shared" si="2"/>
        <v>68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110</v>
      </c>
      <c r="AD10" s="17">
        <f t="shared" si="2"/>
        <v>0</v>
      </c>
      <c r="AE10" s="31">
        <f t="shared" si="2"/>
        <v>84</v>
      </c>
      <c r="AF10" s="31">
        <f t="shared" si="2"/>
        <v>194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50</v>
      </c>
      <c r="T11" s="17">
        <f t="shared" si="3"/>
        <v>11</v>
      </c>
      <c r="U11" s="17">
        <f t="shared" si="3"/>
        <v>15</v>
      </c>
      <c r="V11" s="17">
        <f t="shared" si="3"/>
        <v>283</v>
      </c>
      <c r="W11" s="17">
        <f t="shared" si="3"/>
        <v>1</v>
      </c>
      <c r="X11" s="17">
        <f t="shared" si="3"/>
        <v>0</v>
      </c>
      <c r="Y11" s="17">
        <f t="shared" si="3"/>
        <v>7</v>
      </c>
      <c r="Z11" s="17">
        <f t="shared" si="3"/>
        <v>6</v>
      </c>
      <c r="AA11" s="17">
        <f t="shared" si="3"/>
        <v>0</v>
      </c>
      <c r="AB11" s="17">
        <f t="shared" si="3"/>
        <v>0</v>
      </c>
      <c r="AC11" s="17">
        <f t="shared" si="3"/>
        <v>588</v>
      </c>
      <c r="AD11" s="17">
        <f t="shared" si="3"/>
        <v>0</v>
      </c>
      <c r="AE11" s="31">
        <f t="shared" si="3"/>
        <v>373</v>
      </c>
      <c r="AF11" s="31">
        <f t="shared" si="3"/>
        <v>961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58</v>
      </c>
      <c r="T12" s="17">
        <f t="shared" si="4"/>
        <v>24</v>
      </c>
      <c r="U12" s="17">
        <f t="shared" si="4"/>
        <v>11</v>
      </c>
      <c r="V12" s="17">
        <f t="shared" si="4"/>
        <v>182</v>
      </c>
      <c r="W12" s="17">
        <f t="shared" si="4"/>
        <v>1</v>
      </c>
      <c r="X12" s="17">
        <f t="shared" si="4"/>
        <v>1</v>
      </c>
      <c r="Y12" s="17">
        <f t="shared" si="4"/>
        <v>9</v>
      </c>
      <c r="Z12" s="17">
        <f t="shared" si="4"/>
        <v>2</v>
      </c>
      <c r="AA12" s="17">
        <f t="shared" si="4"/>
        <v>1</v>
      </c>
      <c r="AB12" s="17">
        <f t="shared" si="4"/>
        <v>0</v>
      </c>
      <c r="AC12" s="17">
        <f t="shared" si="4"/>
        <v>669</v>
      </c>
      <c r="AD12" s="17">
        <f t="shared" si="4"/>
        <v>0</v>
      </c>
      <c r="AE12" s="31">
        <f t="shared" si="4"/>
        <v>289</v>
      </c>
      <c r="AF12" s="31">
        <f t="shared" si="4"/>
        <v>958</v>
      </c>
    </row>
    <row r="13" spans="2:32" ht="23.1" customHeight="1" x14ac:dyDescent="0.25">
      <c r="B13" s="45" t="s">
        <v>40</v>
      </c>
      <c r="C13" s="50">
        <v>7</v>
      </c>
      <c r="D13" s="50">
        <v>5</v>
      </c>
      <c r="E13" s="50">
        <v>2</v>
      </c>
      <c r="F13" s="50">
        <v>68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110</v>
      </c>
      <c r="N13" s="50">
        <v>0</v>
      </c>
      <c r="O13" s="15">
        <f t="shared" si="0"/>
        <v>84</v>
      </c>
      <c r="P13" s="15">
        <f t="shared" si="1"/>
        <v>194</v>
      </c>
      <c r="R13" s="1" t="s">
        <v>9</v>
      </c>
      <c r="S13" s="17">
        <f t="shared" ref="S13:AF13" si="5">SUM(C22:C25)</f>
        <v>57</v>
      </c>
      <c r="T13" s="17">
        <f t="shared" si="5"/>
        <v>34</v>
      </c>
      <c r="U13" s="17">
        <f t="shared" si="5"/>
        <v>14</v>
      </c>
      <c r="V13" s="17">
        <f t="shared" si="5"/>
        <v>144</v>
      </c>
      <c r="W13" s="17">
        <f t="shared" si="5"/>
        <v>0</v>
      </c>
      <c r="X13" s="17">
        <f t="shared" si="5"/>
        <v>2</v>
      </c>
      <c r="Y13" s="17">
        <f t="shared" si="5"/>
        <v>8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552</v>
      </c>
      <c r="AD13" s="17">
        <f t="shared" si="5"/>
        <v>0</v>
      </c>
      <c r="AE13" s="31">
        <f t="shared" si="5"/>
        <v>261</v>
      </c>
      <c r="AF13" s="31">
        <f t="shared" si="5"/>
        <v>813</v>
      </c>
    </row>
    <row r="14" spans="2:32" ht="23.1" customHeight="1" x14ac:dyDescent="0.25">
      <c r="B14" s="45" t="s">
        <v>41</v>
      </c>
      <c r="C14" s="50">
        <v>13</v>
      </c>
      <c r="D14" s="50">
        <v>1</v>
      </c>
      <c r="E14" s="50">
        <v>2</v>
      </c>
      <c r="F14" s="50">
        <v>68</v>
      </c>
      <c r="G14" s="50">
        <v>0</v>
      </c>
      <c r="H14" s="50">
        <v>0</v>
      </c>
      <c r="I14" s="50">
        <v>3</v>
      </c>
      <c r="J14" s="50">
        <v>2</v>
      </c>
      <c r="K14" s="50">
        <v>0</v>
      </c>
      <c r="L14" s="50">
        <v>0</v>
      </c>
      <c r="M14" s="50">
        <v>125</v>
      </c>
      <c r="N14" s="50">
        <v>0</v>
      </c>
      <c r="O14" s="15">
        <f t="shared" si="0"/>
        <v>89</v>
      </c>
      <c r="P14" s="15">
        <f t="shared" si="1"/>
        <v>214</v>
      </c>
      <c r="R14" s="1" t="s">
        <v>10</v>
      </c>
      <c r="S14" s="17">
        <f t="shared" ref="S14:AF14" si="6">SUM(C26:C29)</f>
        <v>85</v>
      </c>
      <c r="T14" s="17">
        <f t="shared" si="6"/>
        <v>20</v>
      </c>
      <c r="U14" s="17">
        <f t="shared" si="6"/>
        <v>15</v>
      </c>
      <c r="V14" s="17">
        <f t="shared" si="6"/>
        <v>139</v>
      </c>
      <c r="W14" s="17">
        <f t="shared" si="6"/>
        <v>0</v>
      </c>
      <c r="X14" s="17">
        <f t="shared" si="6"/>
        <v>0</v>
      </c>
      <c r="Y14" s="17">
        <f t="shared" si="6"/>
        <v>14</v>
      </c>
      <c r="Z14" s="17">
        <f t="shared" si="6"/>
        <v>3</v>
      </c>
      <c r="AA14" s="17">
        <f t="shared" si="6"/>
        <v>1</v>
      </c>
      <c r="AB14" s="17">
        <f t="shared" si="6"/>
        <v>0</v>
      </c>
      <c r="AC14" s="17">
        <f t="shared" si="6"/>
        <v>405</v>
      </c>
      <c r="AD14" s="17">
        <f t="shared" si="6"/>
        <v>0</v>
      </c>
      <c r="AE14" s="31">
        <f t="shared" si="6"/>
        <v>277</v>
      </c>
      <c r="AF14" s="31">
        <f t="shared" si="6"/>
        <v>682</v>
      </c>
    </row>
    <row r="15" spans="2:32" ht="23.1" customHeight="1" x14ac:dyDescent="0.25">
      <c r="B15" s="45" t="s">
        <v>42</v>
      </c>
      <c r="C15" s="50">
        <v>10</v>
      </c>
      <c r="D15" s="50">
        <v>2</v>
      </c>
      <c r="E15" s="50">
        <v>5</v>
      </c>
      <c r="F15" s="50">
        <v>61</v>
      </c>
      <c r="G15" s="50">
        <v>0</v>
      </c>
      <c r="H15" s="50">
        <v>0</v>
      </c>
      <c r="I15" s="50">
        <v>2</v>
      </c>
      <c r="J15" s="50">
        <v>2</v>
      </c>
      <c r="K15" s="50">
        <v>0</v>
      </c>
      <c r="L15" s="50">
        <v>0</v>
      </c>
      <c r="M15" s="50">
        <v>155</v>
      </c>
      <c r="N15" s="50">
        <v>0</v>
      </c>
      <c r="O15" s="15">
        <f t="shared" si="0"/>
        <v>82</v>
      </c>
      <c r="P15" s="15">
        <f t="shared" si="1"/>
        <v>237</v>
      </c>
      <c r="R15" s="1" t="s">
        <v>11</v>
      </c>
      <c r="S15" s="17">
        <f t="shared" ref="S15:AF15" si="7">SUM(C30:C33)</f>
        <v>83</v>
      </c>
      <c r="T15" s="17">
        <f t="shared" si="7"/>
        <v>30</v>
      </c>
      <c r="U15" s="17">
        <f t="shared" si="7"/>
        <v>3</v>
      </c>
      <c r="V15" s="17">
        <f t="shared" si="7"/>
        <v>112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3</v>
      </c>
      <c r="AA15" s="17">
        <f t="shared" si="7"/>
        <v>2</v>
      </c>
      <c r="AB15" s="17">
        <f t="shared" si="7"/>
        <v>0</v>
      </c>
      <c r="AC15" s="17">
        <f t="shared" si="7"/>
        <v>470</v>
      </c>
      <c r="AD15" s="17">
        <f t="shared" si="7"/>
        <v>0</v>
      </c>
      <c r="AE15" s="31">
        <f t="shared" si="7"/>
        <v>244</v>
      </c>
      <c r="AF15" s="31">
        <f t="shared" si="7"/>
        <v>714</v>
      </c>
    </row>
    <row r="16" spans="2:32" ht="23.1" customHeight="1" x14ac:dyDescent="0.25">
      <c r="B16" s="45" t="s">
        <v>43</v>
      </c>
      <c r="C16" s="50">
        <v>13</v>
      </c>
      <c r="D16" s="50">
        <v>4</v>
      </c>
      <c r="E16" s="50">
        <v>7</v>
      </c>
      <c r="F16" s="50">
        <v>63</v>
      </c>
      <c r="G16" s="50">
        <v>1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163</v>
      </c>
      <c r="N16" s="50">
        <v>0</v>
      </c>
      <c r="O16" s="15">
        <f t="shared" si="0"/>
        <v>88</v>
      </c>
      <c r="P16" s="15">
        <f t="shared" si="1"/>
        <v>251</v>
      </c>
      <c r="R16" s="1" t="s">
        <v>12</v>
      </c>
      <c r="S16" s="17">
        <f t="shared" ref="S16:AF16" si="8">SUM(C34:C37)</f>
        <v>117</v>
      </c>
      <c r="T16" s="17">
        <f t="shared" si="8"/>
        <v>42</v>
      </c>
      <c r="U16" s="17">
        <f t="shared" si="8"/>
        <v>13</v>
      </c>
      <c r="V16" s="17">
        <f t="shared" si="8"/>
        <v>91</v>
      </c>
      <c r="W16" s="17">
        <f t="shared" si="8"/>
        <v>0</v>
      </c>
      <c r="X16" s="17">
        <f t="shared" si="8"/>
        <v>0</v>
      </c>
      <c r="Y16" s="17">
        <f t="shared" si="8"/>
        <v>28</v>
      </c>
      <c r="Z16" s="17">
        <f t="shared" si="8"/>
        <v>2</v>
      </c>
      <c r="AA16" s="17">
        <f t="shared" si="8"/>
        <v>5</v>
      </c>
      <c r="AB16" s="17">
        <f t="shared" si="8"/>
        <v>0</v>
      </c>
      <c r="AC16" s="17">
        <f t="shared" si="8"/>
        <v>385</v>
      </c>
      <c r="AD16" s="17">
        <f t="shared" si="8"/>
        <v>0</v>
      </c>
      <c r="AE16" s="31">
        <f t="shared" si="8"/>
        <v>298</v>
      </c>
      <c r="AF16" s="31">
        <f t="shared" si="8"/>
        <v>683</v>
      </c>
    </row>
    <row r="17" spans="2:32" ht="23.1" customHeight="1" x14ac:dyDescent="0.25">
      <c r="B17" s="45" t="s">
        <v>44</v>
      </c>
      <c r="C17" s="50">
        <v>14</v>
      </c>
      <c r="D17" s="50">
        <v>4</v>
      </c>
      <c r="E17" s="50">
        <v>1</v>
      </c>
      <c r="F17" s="50">
        <v>91</v>
      </c>
      <c r="G17" s="50">
        <v>0</v>
      </c>
      <c r="H17" s="50">
        <v>0</v>
      </c>
      <c r="I17" s="50">
        <v>2</v>
      </c>
      <c r="J17" s="50">
        <v>2</v>
      </c>
      <c r="K17" s="50">
        <v>0</v>
      </c>
      <c r="L17" s="50">
        <v>0</v>
      </c>
      <c r="M17" s="50">
        <v>145</v>
      </c>
      <c r="N17" s="50">
        <v>0</v>
      </c>
      <c r="O17" s="15">
        <f t="shared" si="0"/>
        <v>114</v>
      </c>
      <c r="P17" s="15">
        <f t="shared" si="1"/>
        <v>259</v>
      </c>
      <c r="R17" s="1" t="s">
        <v>13</v>
      </c>
      <c r="S17" s="17">
        <f t="shared" ref="S17:AF17" si="9">SUM(C38:C41)</f>
        <v>134</v>
      </c>
      <c r="T17" s="17">
        <f t="shared" si="9"/>
        <v>18</v>
      </c>
      <c r="U17" s="17">
        <f t="shared" si="9"/>
        <v>10</v>
      </c>
      <c r="V17" s="17">
        <f t="shared" si="9"/>
        <v>77</v>
      </c>
      <c r="W17" s="17">
        <f t="shared" si="9"/>
        <v>25</v>
      </c>
      <c r="X17" s="17">
        <f t="shared" si="9"/>
        <v>0</v>
      </c>
      <c r="Y17" s="17">
        <f t="shared" si="9"/>
        <v>9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470</v>
      </c>
      <c r="AD17" s="17">
        <f t="shared" si="9"/>
        <v>0</v>
      </c>
      <c r="AE17" s="31">
        <f t="shared" si="9"/>
        <v>274</v>
      </c>
      <c r="AF17" s="31">
        <f t="shared" si="9"/>
        <v>744</v>
      </c>
    </row>
    <row r="18" spans="2:32" ht="23.1" customHeight="1" x14ac:dyDescent="0.25">
      <c r="B18" s="45" t="s">
        <v>45</v>
      </c>
      <c r="C18" s="50">
        <v>15</v>
      </c>
      <c r="D18" s="50">
        <v>3</v>
      </c>
      <c r="E18" s="50">
        <v>0</v>
      </c>
      <c r="F18" s="50">
        <v>52</v>
      </c>
      <c r="G18" s="50">
        <v>0</v>
      </c>
      <c r="H18" s="50">
        <v>0</v>
      </c>
      <c r="I18" s="50">
        <v>2</v>
      </c>
      <c r="J18" s="50">
        <v>2</v>
      </c>
      <c r="K18" s="50">
        <v>0</v>
      </c>
      <c r="L18" s="50">
        <v>0</v>
      </c>
      <c r="M18" s="50">
        <v>156</v>
      </c>
      <c r="N18" s="50">
        <v>0</v>
      </c>
      <c r="O18" s="15">
        <f t="shared" si="0"/>
        <v>74</v>
      </c>
      <c r="P18" s="15">
        <f t="shared" si="1"/>
        <v>230</v>
      </c>
      <c r="R18" s="1" t="s">
        <v>14</v>
      </c>
      <c r="S18" s="17">
        <f t="shared" ref="S18:AF18" si="10">SUM(C42:C45)</f>
        <v>152</v>
      </c>
      <c r="T18" s="17">
        <f t="shared" si="10"/>
        <v>56</v>
      </c>
      <c r="U18" s="17">
        <f t="shared" si="10"/>
        <v>16</v>
      </c>
      <c r="V18" s="17">
        <f t="shared" si="10"/>
        <v>92</v>
      </c>
      <c r="W18" s="17">
        <f t="shared" si="10"/>
        <v>2</v>
      </c>
      <c r="X18" s="17">
        <f t="shared" si="10"/>
        <v>0</v>
      </c>
      <c r="Y18" s="17">
        <f t="shared" si="10"/>
        <v>12</v>
      </c>
      <c r="Z18" s="17">
        <f t="shared" si="10"/>
        <v>8</v>
      </c>
      <c r="AA18" s="17">
        <f t="shared" si="10"/>
        <v>2</v>
      </c>
      <c r="AB18" s="17">
        <f t="shared" si="10"/>
        <v>0</v>
      </c>
      <c r="AC18" s="17">
        <f t="shared" si="10"/>
        <v>468</v>
      </c>
      <c r="AD18" s="17">
        <f t="shared" si="10"/>
        <v>0</v>
      </c>
      <c r="AE18" s="31">
        <f t="shared" si="10"/>
        <v>340</v>
      </c>
      <c r="AF18" s="31">
        <f t="shared" si="10"/>
        <v>808</v>
      </c>
    </row>
    <row r="19" spans="2:32" ht="23.1" customHeight="1" x14ac:dyDescent="0.25">
      <c r="B19" s="45" t="s">
        <v>46</v>
      </c>
      <c r="C19" s="50">
        <v>11</v>
      </c>
      <c r="D19" s="50">
        <v>9</v>
      </c>
      <c r="E19" s="50">
        <v>4</v>
      </c>
      <c r="F19" s="50">
        <v>36</v>
      </c>
      <c r="G19" s="50">
        <v>1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160</v>
      </c>
      <c r="N19" s="50">
        <v>0</v>
      </c>
      <c r="O19" s="15">
        <f t="shared" si="0"/>
        <v>61</v>
      </c>
      <c r="P19" s="15">
        <f t="shared" si="1"/>
        <v>221</v>
      </c>
      <c r="R19" s="1" t="s">
        <v>15</v>
      </c>
      <c r="S19" s="17">
        <f t="shared" ref="S19:AF19" si="11">SUM(C46:C49)</f>
        <v>177</v>
      </c>
      <c r="T19" s="17">
        <f t="shared" si="11"/>
        <v>93</v>
      </c>
      <c r="U19" s="17">
        <f t="shared" si="11"/>
        <v>20</v>
      </c>
      <c r="V19" s="17">
        <f t="shared" si="11"/>
        <v>148</v>
      </c>
      <c r="W19" s="17">
        <f t="shared" si="11"/>
        <v>0</v>
      </c>
      <c r="X19" s="17">
        <f t="shared" si="11"/>
        <v>0</v>
      </c>
      <c r="Y19" s="17">
        <f t="shared" si="11"/>
        <v>21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373</v>
      </c>
      <c r="AD19" s="17">
        <f t="shared" si="11"/>
        <v>0</v>
      </c>
      <c r="AE19" s="31">
        <f t="shared" si="11"/>
        <v>460</v>
      </c>
      <c r="AF19" s="31">
        <f t="shared" si="11"/>
        <v>833</v>
      </c>
    </row>
    <row r="20" spans="2:32" ht="23.1" customHeight="1" x14ac:dyDescent="0.25">
      <c r="B20" s="45" t="s">
        <v>47</v>
      </c>
      <c r="C20" s="50">
        <v>19</v>
      </c>
      <c r="D20" s="50">
        <v>6</v>
      </c>
      <c r="E20" s="50">
        <v>2</v>
      </c>
      <c r="F20" s="50">
        <v>49</v>
      </c>
      <c r="G20" s="50">
        <v>0</v>
      </c>
      <c r="H20" s="50">
        <v>1</v>
      </c>
      <c r="I20" s="50">
        <v>1</v>
      </c>
      <c r="J20" s="50">
        <v>0</v>
      </c>
      <c r="K20" s="50">
        <v>1</v>
      </c>
      <c r="L20" s="50">
        <v>0</v>
      </c>
      <c r="M20" s="50">
        <v>178</v>
      </c>
      <c r="N20" s="50">
        <v>0</v>
      </c>
      <c r="O20" s="15">
        <f t="shared" si="0"/>
        <v>79</v>
      </c>
      <c r="P20" s="15">
        <f t="shared" si="1"/>
        <v>257</v>
      </c>
      <c r="R20" s="1" t="s">
        <v>16</v>
      </c>
      <c r="S20" s="17">
        <f t="shared" ref="S20:AF20" si="12">SUM(C50:C53)</f>
        <v>192</v>
      </c>
      <c r="T20" s="17">
        <f t="shared" si="12"/>
        <v>68</v>
      </c>
      <c r="U20" s="17">
        <f t="shared" si="12"/>
        <v>14</v>
      </c>
      <c r="V20" s="17">
        <f t="shared" si="12"/>
        <v>106</v>
      </c>
      <c r="W20" s="17">
        <f t="shared" si="12"/>
        <v>2</v>
      </c>
      <c r="X20" s="17">
        <f t="shared" si="12"/>
        <v>0</v>
      </c>
      <c r="Y20" s="17">
        <f t="shared" si="12"/>
        <v>19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325</v>
      </c>
      <c r="AD20" s="17">
        <f t="shared" si="12"/>
        <v>0</v>
      </c>
      <c r="AE20" s="31">
        <f t="shared" si="12"/>
        <v>402</v>
      </c>
      <c r="AF20" s="31">
        <f t="shared" si="12"/>
        <v>727</v>
      </c>
    </row>
    <row r="21" spans="2:32" ht="23.1" customHeight="1" x14ac:dyDescent="0.25">
      <c r="B21" s="45" t="s">
        <v>48</v>
      </c>
      <c r="C21" s="50">
        <v>13</v>
      </c>
      <c r="D21" s="50">
        <v>6</v>
      </c>
      <c r="E21" s="50">
        <v>5</v>
      </c>
      <c r="F21" s="50">
        <v>45</v>
      </c>
      <c r="G21" s="50">
        <v>0</v>
      </c>
      <c r="H21" s="50">
        <v>0</v>
      </c>
      <c r="I21" s="50">
        <v>6</v>
      </c>
      <c r="J21" s="50">
        <v>0</v>
      </c>
      <c r="K21" s="50">
        <v>0</v>
      </c>
      <c r="L21" s="50">
        <v>0</v>
      </c>
      <c r="M21" s="50">
        <v>175</v>
      </c>
      <c r="N21" s="50">
        <v>0</v>
      </c>
      <c r="O21" s="15">
        <f t="shared" si="0"/>
        <v>75</v>
      </c>
      <c r="P21" s="15">
        <f t="shared" si="1"/>
        <v>250</v>
      </c>
      <c r="R21" s="36" t="s">
        <v>20</v>
      </c>
      <c r="S21" s="34">
        <f t="shared" ref="S21:AF21" si="13">SUM(C54:C57)</f>
        <v>169</v>
      </c>
      <c r="T21" s="17">
        <f t="shared" si="13"/>
        <v>40</v>
      </c>
      <c r="U21" s="17">
        <f t="shared" si="13"/>
        <v>9</v>
      </c>
      <c r="V21" s="17">
        <f t="shared" si="13"/>
        <v>123</v>
      </c>
      <c r="W21" s="17">
        <f t="shared" si="13"/>
        <v>2</v>
      </c>
      <c r="X21" s="17">
        <f t="shared" si="13"/>
        <v>0</v>
      </c>
      <c r="Y21" s="17">
        <f t="shared" si="13"/>
        <v>20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371</v>
      </c>
      <c r="AD21" s="17">
        <f t="shared" si="13"/>
        <v>0</v>
      </c>
      <c r="AE21" s="31">
        <f t="shared" si="13"/>
        <v>364</v>
      </c>
      <c r="AF21" s="31">
        <f t="shared" si="13"/>
        <v>735</v>
      </c>
    </row>
    <row r="22" spans="2:32" ht="23.1" customHeight="1" x14ac:dyDescent="0.25">
      <c r="B22" s="45" t="s">
        <v>49</v>
      </c>
      <c r="C22" s="50">
        <v>11</v>
      </c>
      <c r="D22" s="50">
        <v>5</v>
      </c>
      <c r="E22" s="50">
        <v>3</v>
      </c>
      <c r="F22" s="50">
        <v>31</v>
      </c>
      <c r="G22" s="50">
        <v>0</v>
      </c>
      <c r="H22" s="50">
        <v>1</v>
      </c>
      <c r="I22" s="50">
        <v>3</v>
      </c>
      <c r="J22" s="50">
        <v>1</v>
      </c>
      <c r="K22" s="50">
        <v>0</v>
      </c>
      <c r="L22" s="50">
        <v>0</v>
      </c>
      <c r="M22" s="50">
        <v>120</v>
      </c>
      <c r="N22" s="50">
        <v>0</v>
      </c>
      <c r="O22" s="15">
        <f t="shared" si="0"/>
        <v>55</v>
      </c>
      <c r="P22" s="15">
        <f t="shared" si="1"/>
        <v>175</v>
      </c>
      <c r="R22" s="36" t="s">
        <v>146</v>
      </c>
      <c r="S22" s="34">
        <f>SUM(C58:C61)</f>
        <v>109</v>
      </c>
      <c r="T22" s="34">
        <f t="shared" ref="T22:AF22" si="14">SUM(D58:D61)</f>
        <v>43</v>
      </c>
      <c r="U22" s="34">
        <f t="shared" si="14"/>
        <v>14</v>
      </c>
      <c r="V22" s="34">
        <f t="shared" si="14"/>
        <v>155</v>
      </c>
      <c r="W22" s="34">
        <f t="shared" si="14"/>
        <v>2</v>
      </c>
      <c r="X22" s="34">
        <f t="shared" si="14"/>
        <v>1</v>
      </c>
      <c r="Y22" s="34">
        <f t="shared" si="14"/>
        <v>0</v>
      </c>
      <c r="Z22" s="34">
        <f t="shared" si="14"/>
        <v>8</v>
      </c>
      <c r="AA22" s="34">
        <f t="shared" si="14"/>
        <v>11</v>
      </c>
      <c r="AB22" s="34">
        <f t="shared" si="14"/>
        <v>0</v>
      </c>
      <c r="AC22" s="34">
        <f t="shared" si="14"/>
        <v>350</v>
      </c>
      <c r="AD22" s="34">
        <f t="shared" si="14"/>
        <v>0</v>
      </c>
      <c r="AE22" s="31">
        <f t="shared" si="14"/>
        <v>343</v>
      </c>
      <c r="AF22" s="31">
        <f t="shared" si="14"/>
        <v>693</v>
      </c>
    </row>
    <row r="23" spans="2:32" ht="23.1" customHeight="1" x14ac:dyDescent="0.25">
      <c r="B23" s="45" t="s">
        <v>50</v>
      </c>
      <c r="C23" s="50">
        <v>15</v>
      </c>
      <c r="D23" s="50">
        <v>7</v>
      </c>
      <c r="E23" s="50">
        <v>4</v>
      </c>
      <c r="F23" s="50">
        <v>42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116</v>
      </c>
      <c r="N23" s="50">
        <v>0</v>
      </c>
      <c r="O23" s="15">
        <f t="shared" si="0"/>
        <v>70</v>
      </c>
      <c r="P23" s="15">
        <f t="shared" si="1"/>
        <v>186</v>
      </c>
      <c r="R23" s="36" t="s">
        <v>147</v>
      </c>
      <c r="S23" s="34">
        <f>SUM(C62:C65)</f>
        <v>254</v>
      </c>
      <c r="T23" s="34">
        <f t="shared" ref="T23:AF23" si="15">SUM(D62:D65)</f>
        <v>58</v>
      </c>
      <c r="U23" s="34">
        <f t="shared" si="15"/>
        <v>25</v>
      </c>
      <c r="V23" s="34">
        <f t="shared" si="15"/>
        <v>169</v>
      </c>
      <c r="W23" s="34">
        <f t="shared" si="15"/>
        <v>2</v>
      </c>
      <c r="X23" s="34">
        <f t="shared" si="15"/>
        <v>0</v>
      </c>
      <c r="Y23" s="34">
        <f t="shared" si="15"/>
        <v>22</v>
      </c>
      <c r="Z23" s="34">
        <f t="shared" si="15"/>
        <v>4</v>
      </c>
      <c r="AA23" s="34">
        <f t="shared" si="15"/>
        <v>2</v>
      </c>
      <c r="AB23" s="34">
        <f t="shared" si="15"/>
        <v>0</v>
      </c>
      <c r="AC23" s="34">
        <f t="shared" si="15"/>
        <v>520</v>
      </c>
      <c r="AD23" s="34">
        <f t="shared" si="15"/>
        <v>0</v>
      </c>
      <c r="AE23" s="31">
        <f t="shared" si="15"/>
        <v>536</v>
      </c>
      <c r="AF23" s="31">
        <f t="shared" si="15"/>
        <v>1056</v>
      </c>
    </row>
    <row r="24" spans="2:32" ht="23.1" customHeight="1" x14ac:dyDescent="0.25">
      <c r="B24" s="45" t="s">
        <v>51</v>
      </c>
      <c r="C24" s="50">
        <v>15</v>
      </c>
      <c r="D24" s="50">
        <v>12</v>
      </c>
      <c r="E24" s="50">
        <v>6</v>
      </c>
      <c r="F24" s="50">
        <v>36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170</v>
      </c>
      <c r="N24" s="50">
        <v>0</v>
      </c>
      <c r="O24" s="15">
        <f t="shared" si="0"/>
        <v>70</v>
      </c>
      <c r="P24" s="15">
        <f t="shared" si="1"/>
        <v>240</v>
      </c>
      <c r="R24" s="36" t="s">
        <v>148</v>
      </c>
      <c r="S24" s="34">
        <f>SUM(C66:C69)</f>
        <v>137</v>
      </c>
      <c r="T24" s="34">
        <f t="shared" ref="T24:AF24" si="16">SUM(D66:D69)</f>
        <v>25</v>
      </c>
      <c r="U24" s="34">
        <f t="shared" si="16"/>
        <v>9</v>
      </c>
      <c r="V24" s="34">
        <f t="shared" si="16"/>
        <v>132</v>
      </c>
      <c r="W24" s="34">
        <f t="shared" si="16"/>
        <v>0</v>
      </c>
      <c r="X24" s="34">
        <f t="shared" si="16"/>
        <v>0</v>
      </c>
      <c r="Y24" s="34">
        <f t="shared" si="16"/>
        <v>7</v>
      </c>
      <c r="Z24" s="34">
        <f t="shared" si="16"/>
        <v>3</v>
      </c>
      <c r="AA24" s="34">
        <f t="shared" si="16"/>
        <v>3</v>
      </c>
      <c r="AB24" s="34">
        <f t="shared" si="16"/>
        <v>0</v>
      </c>
      <c r="AC24" s="34">
        <f t="shared" si="16"/>
        <v>447</v>
      </c>
      <c r="AD24" s="34">
        <f t="shared" si="16"/>
        <v>0</v>
      </c>
      <c r="AE24" s="31">
        <f t="shared" si="16"/>
        <v>316</v>
      </c>
      <c r="AF24" s="31">
        <f t="shared" si="16"/>
        <v>763</v>
      </c>
    </row>
    <row r="25" spans="2:32" ht="23.1" customHeight="1" x14ac:dyDescent="0.25">
      <c r="B25" s="45" t="s">
        <v>52</v>
      </c>
      <c r="C25" s="50">
        <v>16</v>
      </c>
      <c r="D25" s="50">
        <v>10</v>
      </c>
      <c r="E25" s="50">
        <v>1</v>
      </c>
      <c r="F25" s="50">
        <v>35</v>
      </c>
      <c r="G25" s="50">
        <v>0</v>
      </c>
      <c r="H25" s="50">
        <v>1</v>
      </c>
      <c r="I25" s="50">
        <v>2</v>
      </c>
      <c r="J25" s="50">
        <v>1</v>
      </c>
      <c r="K25" s="50">
        <v>0</v>
      </c>
      <c r="L25" s="50">
        <v>0</v>
      </c>
      <c r="M25" s="50">
        <v>146</v>
      </c>
      <c r="N25" s="50">
        <v>0</v>
      </c>
      <c r="O25" s="15">
        <f t="shared" si="0"/>
        <v>66</v>
      </c>
      <c r="P25" s="15">
        <f t="shared" si="1"/>
        <v>212</v>
      </c>
      <c r="R25" s="36" t="s">
        <v>149</v>
      </c>
      <c r="S25" s="34">
        <f>SUM(C70:C73)</f>
        <v>215</v>
      </c>
      <c r="T25" s="34">
        <f t="shared" ref="T25:AF25" si="17">SUM(D70:D73)</f>
        <v>31</v>
      </c>
      <c r="U25" s="34">
        <f t="shared" si="17"/>
        <v>5</v>
      </c>
      <c r="V25" s="34">
        <f t="shared" si="17"/>
        <v>165</v>
      </c>
      <c r="W25" s="34">
        <f t="shared" si="17"/>
        <v>0</v>
      </c>
      <c r="X25" s="34">
        <f t="shared" si="17"/>
        <v>0</v>
      </c>
      <c r="Y25" s="34">
        <f t="shared" si="17"/>
        <v>9</v>
      </c>
      <c r="Z25" s="34">
        <f t="shared" si="17"/>
        <v>3</v>
      </c>
      <c r="AA25" s="34">
        <f t="shared" si="17"/>
        <v>1</v>
      </c>
      <c r="AB25" s="34">
        <f t="shared" si="17"/>
        <v>0</v>
      </c>
      <c r="AC25" s="34">
        <f t="shared" si="17"/>
        <v>365</v>
      </c>
      <c r="AD25" s="34">
        <f t="shared" si="17"/>
        <v>0</v>
      </c>
      <c r="AE25" s="31">
        <f t="shared" si="17"/>
        <v>429</v>
      </c>
      <c r="AF25" s="31">
        <f t="shared" si="17"/>
        <v>794</v>
      </c>
    </row>
    <row r="26" spans="2:32" ht="23.1" customHeight="1" x14ac:dyDescent="0.25">
      <c r="B26" s="45" t="s">
        <v>53</v>
      </c>
      <c r="C26" s="50">
        <v>28</v>
      </c>
      <c r="D26" s="50">
        <v>2</v>
      </c>
      <c r="E26" s="50">
        <v>5</v>
      </c>
      <c r="F26" s="50">
        <v>49</v>
      </c>
      <c r="G26" s="50">
        <v>0</v>
      </c>
      <c r="H26" s="50">
        <v>0</v>
      </c>
      <c r="I26" s="50">
        <v>1</v>
      </c>
      <c r="J26" s="50">
        <v>1</v>
      </c>
      <c r="K26" s="50">
        <v>1</v>
      </c>
      <c r="L26" s="50">
        <v>0</v>
      </c>
      <c r="M26" s="50">
        <v>141</v>
      </c>
      <c r="N26" s="50">
        <v>0</v>
      </c>
      <c r="O26" s="15">
        <f t="shared" si="0"/>
        <v>87</v>
      </c>
      <c r="P26" s="15">
        <f t="shared" si="1"/>
        <v>228</v>
      </c>
      <c r="R26" s="36" t="s">
        <v>150</v>
      </c>
      <c r="S26" s="34">
        <f>SUM(C74:C77)</f>
        <v>131</v>
      </c>
      <c r="T26" s="34">
        <f t="shared" ref="T26:AF26" si="18">SUM(D74:D77)</f>
        <v>13</v>
      </c>
      <c r="U26" s="34">
        <f t="shared" si="18"/>
        <v>3</v>
      </c>
      <c r="V26" s="34">
        <f t="shared" si="18"/>
        <v>102</v>
      </c>
      <c r="W26" s="34">
        <f t="shared" si="18"/>
        <v>1</v>
      </c>
      <c r="X26" s="34">
        <f t="shared" si="18"/>
        <v>0</v>
      </c>
      <c r="Y26" s="34">
        <f t="shared" si="18"/>
        <v>4</v>
      </c>
      <c r="Z26" s="34">
        <f t="shared" si="18"/>
        <v>4</v>
      </c>
      <c r="AA26" s="34">
        <f t="shared" si="18"/>
        <v>0</v>
      </c>
      <c r="AB26" s="34">
        <f t="shared" si="18"/>
        <v>0</v>
      </c>
      <c r="AC26" s="34">
        <f t="shared" si="18"/>
        <v>250</v>
      </c>
      <c r="AD26" s="34">
        <f t="shared" si="18"/>
        <v>0</v>
      </c>
      <c r="AE26" s="31">
        <f t="shared" si="18"/>
        <v>258</v>
      </c>
      <c r="AF26" s="31">
        <f t="shared" si="18"/>
        <v>508</v>
      </c>
    </row>
    <row r="27" spans="2:32" ht="23.1" customHeight="1" x14ac:dyDescent="0.25">
      <c r="B27" s="45" t="s">
        <v>54</v>
      </c>
      <c r="C27" s="50">
        <v>16</v>
      </c>
      <c r="D27" s="50">
        <v>4</v>
      </c>
      <c r="E27" s="50">
        <v>4</v>
      </c>
      <c r="F27" s="50">
        <v>36</v>
      </c>
      <c r="G27" s="50">
        <v>0</v>
      </c>
      <c r="H27" s="50">
        <v>0</v>
      </c>
      <c r="I27" s="50">
        <v>5</v>
      </c>
      <c r="J27" s="50">
        <v>1</v>
      </c>
      <c r="K27" s="50">
        <v>0</v>
      </c>
      <c r="L27" s="50">
        <v>0</v>
      </c>
      <c r="M27" s="50">
        <v>90</v>
      </c>
      <c r="N27" s="50">
        <v>0</v>
      </c>
      <c r="O27" s="15">
        <f t="shared" si="0"/>
        <v>66</v>
      </c>
      <c r="P27" s="15">
        <f t="shared" si="1"/>
        <v>156</v>
      </c>
      <c r="R27" s="36" t="s">
        <v>151</v>
      </c>
      <c r="S27" s="34">
        <f>SUM(C78:C81)</f>
        <v>170</v>
      </c>
      <c r="T27" s="34">
        <f t="shared" ref="T27:AF27" si="19">SUM(D78:D81)</f>
        <v>37</v>
      </c>
      <c r="U27" s="34">
        <f t="shared" si="19"/>
        <v>5</v>
      </c>
      <c r="V27" s="34">
        <f t="shared" si="19"/>
        <v>165</v>
      </c>
      <c r="W27" s="34">
        <f t="shared" si="19"/>
        <v>0</v>
      </c>
      <c r="X27" s="34">
        <f t="shared" si="19"/>
        <v>0</v>
      </c>
      <c r="Y27" s="34">
        <f t="shared" si="19"/>
        <v>4</v>
      </c>
      <c r="Z27" s="34">
        <f t="shared" si="19"/>
        <v>3</v>
      </c>
      <c r="AA27" s="34">
        <f t="shared" si="19"/>
        <v>0</v>
      </c>
      <c r="AB27" s="34">
        <f t="shared" si="19"/>
        <v>0</v>
      </c>
      <c r="AC27" s="34">
        <f t="shared" si="19"/>
        <v>208</v>
      </c>
      <c r="AD27" s="34">
        <f t="shared" si="19"/>
        <v>0</v>
      </c>
      <c r="AE27" s="31">
        <f t="shared" si="19"/>
        <v>384</v>
      </c>
      <c r="AF27" s="31">
        <f t="shared" si="19"/>
        <v>592</v>
      </c>
    </row>
    <row r="28" spans="2:32" ht="23.1" customHeight="1" x14ac:dyDescent="0.25">
      <c r="B28" s="45" t="s">
        <v>55</v>
      </c>
      <c r="C28" s="50">
        <v>16</v>
      </c>
      <c r="D28" s="50">
        <v>10</v>
      </c>
      <c r="E28" s="50">
        <v>4</v>
      </c>
      <c r="F28" s="50">
        <v>32</v>
      </c>
      <c r="G28" s="50">
        <v>0</v>
      </c>
      <c r="H28" s="50">
        <v>0</v>
      </c>
      <c r="I28" s="50">
        <v>3</v>
      </c>
      <c r="J28" s="50">
        <v>1</v>
      </c>
      <c r="K28" s="50">
        <v>0</v>
      </c>
      <c r="L28" s="50">
        <v>0</v>
      </c>
      <c r="M28" s="50">
        <v>104</v>
      </c>
      <c r="N28" s="50">
        <v>0</v>
      </c>
      <c r="O28" s="15">
        <f t="shared" si="0"/>
        <v>66</v>
      </c>
      <c r="P28" s="15">
        <f t="shared" si="1"/>
        <v>170</v>
      </c>
      <c r="R28" s="36" t="s">
        <v>152</v>
      </c>
      <c r="S28" s="34">
        <f>SUM(C82:C85)</f>
        <v>176</v>
      </c>
      <c r="T28" s="34">
        <f t="shared" ref="T28:AF28" si="20">SUM(D82:D85)</f>
        <v>25</v>
      </c>
      <c r="U28" s="34">
        <f t="shared" si="20"/>
        <v>3</v>
      </c>
      <c r="V28" s="34">
        <f t="shared" si="20"/>
        <v>70</v>
      </c>
      <c r="W28" s="34">
        <f t="shared" si="20"/>
        <v>0</v>
      </c>
      <c r="X28" s="34">
        <f t="shared" si="20"/>
        <v>1</v>
      </c>
      <c r="Y28" s="34">
        <f t="shared" si="20"/>
        <v>2</v>
      </c>
      <c r="Z28" s="34">
        <f t="shared" si="20"/>
        <v>3</v>
      </c>
      <c r="AA28" s="34">
        <f t="shared" si="20"/>
        <v>0</v>
      </c>
      <c r="AB28" s="34">
        <f t="shared" si="20"/>
        <v>0</v>
      </c>
      <c r="AC28" s="34">
        <f t="shared" si="20"/>
        <v>180</v>
      </c>
      <c r="AD28" s="34">
        <f t="shared" si="20"/>
        <v>0</v>
      </c>
      <c r="AE28" s="31">
        <f t="shared" si="20"/>
        <v>280</v>
      </c>
      <c r="AF28" s="31">
        <f t="shared" si="20"/>
        <v>460</v>
      </c>
    </row>
    <row r="29" spans="2:32" ht="23.1" customHeight="1" x14ac:dyDescent="0.25">
      <c r="B29" s="45" t="s">
        <v>56</v>
      </c>
      <c r="C29" s="50">
        <v>25</v>
      </c>
      <c r="D29" s="50">
        <v>4</v>
      </c>
      <c r="E29" s="50">
        <v>2</v>
      </c>
      <c r="F29" s="50">
        <v>22</v>
      </c>
      <c r="G29" s="50">
        <v>0</v>
      </c>
      <c r="H29" s="50">
        <v>0</v>
      </c>
      <c r="I29" s="50">
        <v>5</v>
      </c>
      <c r="J29" s="50">
        <v>0</v>
      </c>
      <c r="K29" s="50">
        <v>0</v>
      </c>
      <c r="L29" s="50">
        <v>0</v>
      </c>
      <c r="M29" s="50">
        <v>70</v>
      </c>
      <c r="N29" s="50">
        <v>0</v>
      </c>
      <c r="O29" s="15">
        <f t="shared" si="0"/>
        <v>58</v>
      </c>
      <c r="P29" s="15">
        <f t="shared" si="1"/>
        <v>128</v>
      </c>
      <c r="R29" s="36" t="s">
        <v>153</v>
      </c>
      <c r="S29" s="34">
        <f>SUM(C86:C89)</f>
        <v>73</v>
      </c>
      <c r="T29" s="34">
        <f t="shared" ref="T29:AF29" si="21">SUM(D86:D89)</f>
        <v>4</v>
      </c>
      <c r="U29" s="34">
        <f t="shared" si="21"/>
        <v>1</v>
      </c>
      <c r="V29" s="34">
        <f t="shared" si="21"/>
        <v>25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0</v>
      </c>
      <c r="AA29" s="34">
        <f t="shared" si="21"/>
        <v>3</v>
      </c>
      <c r="AB29" s="34">
        <f t="shared" si="21"/>
        <v>0</v>
      </c>
      <c r="AC29" s="34">
        <f t="shared" si="21"/>
        <v>140</v>
      </c>
      <c r="AD29" s="34">
        <f t="shared" si="21"/>
        <v>0</v>
      </c>
      <c r="AE29" s="31">
        <f t="shared" si="21"/>
        <v>109</v>
      </c>
      <c r="AF29" s="31">
        <f t="shared" si="21"/>
        <v>249</v>
      </c>
    </row>
    <row r="30" spans="2:32" ht="23.1" customHeight="1" x14ac:dyDescent="0.25">
      <c r="B30" s="45" t="s">
        <v>57</v>
      </c>
      <c r="C30" s="50">
        <v>12</v>
      </c>
      <c r="D30" s="50">
        <v>3</v>
      </c>
      <c r="E30" s="50">
        <v>2</v>
      </c>
      <c r="F30" s="50">
        <v>20</v>
      </c>
      <c r="G30" s="50">
        <v>0</v>
      </c>
      <c r="H30" s="50">
        <v>0</v>
      </c>
      <c r="I30" s="50">
        <v>2</v>
      </c>
      <c r="J30" s="50">
        <v>0</v>
      </c>
      <c r="K30" s="50">
        <v>1</v>
      </c>
      <c r="L30" s="50">
        <v>0</v>
      </c>
      <c r="M30" s="50">
        <v>100</v>
      </c>
      <c r="N30" s="50">
        <v>0</v>
      </c>
      <c r="O30" s="15">
        <f t="shared" si="0"/>
        <v>40</v>
      </c>
      <c r="P30" s="15">
        <f t="shared" si="1"/>
        <v>140</v>
      </c>
      <c r="R30" s="36" t="s">
        <v>154</v>
      </c>
      <c r="S30" s="34">
        <f>SUM(C90:C93)</f>
        <v>60</v>
      </c>
      <c r="T30" s="34">
        <f t="shared" ref="T30:AF30" si="22">SUM(D90:D93)</f>
        <v>2</v>
      </c>
      <c r="U30" s="34">
        <f t="shared" si="22"/>
        <v>1</v>
      </c>
      <c r="V30" s="34">
        <f t="shared" si="22"/>
        <v>18</v>
      </c>
      <c r="W30" s="34">
        <f t="shared" si="22"/>
        <v>1</v>
      </c>
      <c r="X30" s="34">
        <f t="shared" si="22"/>
        <v>0</v>
      </c>
      <c r="Y30" s="34">
        <f t="shared" si="22"/>
        <v>4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148</v>
      </c>
      <c r="AD30" s="34">
        <f t="shared" si="22"/>
        <v>0</v>
      </c>
      <c r="AE30" s="31">
        <f t="shared" si="22"/>
        <v>86</v>
      </c>
      <c r="AF30" s="31">
        <f t="shared" si="22"/>
        <v>234</v>
      </c>
    </row>
    <row r="31" spans="2:32" ht="23.1" customHeight="1" x14ac:dyDescent="0.25">
      <c r="B31" s="46" t="s">
        <v>58</v>
      </c>
      <c r="C31" s="50">
        <v>15</v>
      </c>
      <c r="D31" s="50">
        <v>8</v>
      </c>
      <c r="E31" s="50">
        <v>0</v>
      </c>
      <c r="F31" s="50">
        <v>25</v>
      </c>
      <c r="G31" s="50">
        <v>0</v>
      </c>
      <c r="H31" s="50">
        <v>0</v>
      </c>
      <c r="I31" s="50">
        <v>1</v>
      </c>
      <c r="J31" s="50">
        <v>0</v>
      </c>
      <c r="K31" s="50">
        <v>1</v>
      </c>
      <c r="L31" s="50">
        <v>0</v>
      </c>
      <c r="M31" s="50">
        <v>135</v>
      </c>
      <c r="N31" s="50">
        <v>0</v>
      </c>
      <c r="O31" s="15">
        <f t="shared" si="0"/>
        <v>50</v>
      </c>
      <c r="P31" s="15">
        <f t="shared" si="1"/>
        <v>185</v>
      </c>
      <c r="R31" s="36" t="s">
        <v>155</v>
      </c>
      <c r="S31" s="34">
        <f>SUM(C94:C97)</f>
        <v>66</v>
      </c>
      <c r="T31" s="34">
        <f t="shared" ref="T31:AF31" si="23">SUM(D94:D97)</f>
        <v>3</v>
      </c>
      <c r="U31" s="34">
        <f t="shared" si="23"/>
        <v>1</v>
      </c>
      <c r="V31" s="34">
        <f t="shared" si="23"/>
        <v>8</v>
      </c>
      <c r="W31" s="34">
        <f t="shared" si="23"/>
        <v>0</v>
      </c>
      <c r="X31" s="34">
        <f t="shared" si="23"/>
        <v>1</v>
      </c>
      <c r="Y31" s="34">
        <f t="shared" si="23"/>
        <v>0</v>
      </c>
      <c r="Z31" s="34">
        <f t="shared" si="23"/>
        <v>1</v>
      </c>
      <c r="AA31" s="34">
        <f t="shared" si="23"/>
        <v>5</v>
      </c>
      <c r="AB31" s="34">
        <f t="shared" si="23"/>
        <v>0</v>
      </c>
      <c r="AC31" s="34">
        <f t="shared" si="23"/>
        <v>174</v>
      </c>
      <c r="AD31" s="34">
        <f t="shared" si="23"/>
        <v>0</v>
      </c>
      <c r="AE31" s="31">
        <f t="shared" si="23"/>
        <v>85</v>
      </c>
      <c r="AF31" s="31">
        <f t="shared" si="23"/>
        <v>259</v>
      </c>
    </row>
    <row r="32" spans="2:32" ht="23.1" customHeight="1" x14ac:dyDescent="0.25">
      <c r="B32" s="46" t="s">
        <v>59</v>
      </c>
      <c r="C32" s="50">
        <v>21</v>
      </c>
      <c r="D32" s="50">
        <v>10</v>
      </c>
      <c r="E32" s="50">
        <v>0</v>
      </c>
      <c r="F32" s="50">
        <v>42</v>
      </c>
      <c r="G32" s="50">
        <v>0</v>
      </c>
      <c r="H32" s="50">
        <v>0</v>
      </c>
      <c r="I32" s="50">
        <v>5</v>
      </c>
      <c r="J32" s="50">
        <v>2</v>
      </c>
      <c r="K32" s="50">
        <v>0</v>
      </c>
      <c r="L32" s="50">
        <v>0</v>
      </c>
      <c r="M32" s="50">
        <v>120</v>
      </c>
      <c r="N32" s="50">
        <v>0</v>
      </c>
      <c r="O32" s="15">
        <f t="shared" si="0"/>
        <v>80</v>
      </c>
      <c r="P32" s="15">
        <f t="shared" si="1"/>
        <v>200</v>
      </c>
      <c r="R32" s="33" t="s">
        <v>156</v>
      </c>
      <c r="S32" s="34">
        <f>SUM(C98:C101)</f>
        <v>47</v>
      </c>
      <c r="T32" s="34">
        <f t="shared" ref="T32:AF32" si="24">SUM(D98:D101)</f>
        <v>7</v>
      </c>
      <c r="U32" s="34">
        <f t="shared" si="24"/>
        <v>0</v>
      </c>
      <c r="V32" s="34">
        <f t="shared" si="24"/>
        <v>6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9</v>
      </c>
      <c r="AB32" s="34">
        <f t="shared" si="24"/>
        <v>0</v>
      </c>
      <c r="AC32" s="34">
        <f t="shared" si="24"/>
        <v>136</v>
      </c>
      <c r="AD32" s="34">
        <f t="shared" si="24"/>
        <v>0</v>
      </c>
      <c r="AE32" s="31">
        <f t="shared" si="24"/>
        <v>69</v>
      </c>
      <c r="AF32" s="31">
        <f t="shared" si="24"/>
        <v>205</v>
      </c>
    </row>
    <row r="33" spans="2:32" ht="23.1" customHeight="1" x14ac:dyDescent="0.25">
      <c r="B33" s="45" t="s">
        <v>60</v>
      </c>
      <c r="C33" s="50">
        <v>35</v>
      </c>
      <c r="D33" s="50">
        <v>9</v>
      </c>
      <c r="E33" s="50">
        <v>1</v>
      </c>
      <c r="F33" s="50">
        <v>25</v>
      </c>
      <c r="G33" s="50">
        <v>0</v>
      </c>
      <c r="H33" s="50">
        <v>0</v>
      </c>
      <c r="I33" s="50">
        <v>3</v>
      </c>
      <c r="J33" s="50">
        <v>1</v>
      </c>
      <c r="K33" s="50">
        <v>0</v>
      </c>
      <c r="L33" s="50">
        <v>0</v>
      </c>
      <c r="M33" s="50">
        <v>115</v>
      </c>
      <c r="N33" s="50">
        <v>0</v>
      </c>
      <c r="O33" s="15">
        <f t="shared" si="0"/>
        <v>74</v>
      </c>
      <c r="P33" s="15">
        <f t="shared" si="1"/>
        <v>189</v>
      </c>
      <c r="R33" s="33" t="s">
        <v>157</v>
      </c>
      <c r="S33" s="34">
        <f>SUM(C102:C105)</f>
        <v>37</v>
      </c>
      <c r="T33" s="34">
        <f t="shared" ref="T33:AF33" si="25">SUM(D102:D105)</f>
        <v>4</v>
      </c>
      <c r="U33" s="34">
        <f t="shared" si="25"/>
        <v>3</v>
      </c>
      <c r="V33" s="34">
        <f t="shared" si="25"/>
        <v>4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1</v>
      </c>
      <c r="AA33" s="34">
        <f t="shared" si="25"/>
        <v>4</v>
      </c>
      <c r="AB33" s="34">
        <f t="shared" si="25"/>
        <v>0</v>
      </c>
      <c r="AC33" s="34">
        <f t="shared" si="25"/>
        <v>75</v>
      </c>
      <c r="AD33" s="34">
        <f t="shared" si="25"/>
        <v>0</v>
      </c>
      <c r="AE33" s="31">
        <f t="shared" si="25"/>
        <v>53</v>
      </c>
      <c r="AF33" s="31">
        <f t="shared" si="25"/>
        <v>128</v>
      </c>
    </row>
    <row r="34" spans="2:32" ht="23.1" customHeight="1" x14ac:dyDescent="0.25">
      <c r="B34" s="46" t="s">
        <v>61</v>
      </c>
      <c r="C34" s="50">
        <v>20</v>
      </c>
      <c r="D34" s="50">
        <v>12</v>
      </c>
      <c r="E34" s="50">
        <v>2</v>
      </c>
      <c r="F34" s="50">
        <v>23</v>
      </c>
      <c r="G34" s="50">
        <v>0</v>
      </c>
      <c r="H34" s="50">
        <v>0</v>
      </c>
      <c r="I34" s="50">
        <v>9</v>
      </c>
      <c r="J34" s="50">
        <v>0</v>
      </c>
      <c r="K34" s="50">
        <v>1</v>
      </c>
      <c r="L34" s="50">
        <v>0</v>
      </c>
      <c r="M34" s="50">
        <v>120</v>
      </c>
      <c r="N34" s="50">
        <v>0</v>
      </c>
      <c r="O34" s="15">
        <f t="shared" si="0"/>
        <v>67</v>
      </c>
      <c r="P34" s="15">
        <f t="shared" si="1"/>
        <v>187</v>
      </c>
      <c r="R34" s="38" t="s">
        <v>90</v>
      </c>
      <c r="S34" s="39">
        <f t="shared" ref="S34:AF34" si="26">MAX(S10:S12)</f>
        <v>58</v>
      </c>
      <c r="T34" s="39">
        <f t="shared" si="26"/>
        <v>24</v>
      </c>
      <c r="U34" s="39">
        <f t="shared" si="26"/>
        <v>15</v>
      </c>
      <c r="V34" s="39">
        <f t="shared" si="26"/>
        <v>283</v>
      </c>
      <c r="W34" s="39">
        <f t="shared" si="26"/>
        <v>1</v>
      </c>
      <c r="X34" s="39">
        <f t="shared" si="26"/>
        <v>1</v>
      </c>
      <c r="Y34" s="39">
        <f t="shared" si="26"/>
        <v>9</v>
      </c>
      <c r="Z34" s="39">
        <f t="shared" si="26"/>
        <v>6</v>
      </c>
      <c r="AA34" s="39">
        <f t="shared" si="26"/>
        <v>1</v>
      </c>
      <c r="AB34" s="39">
        <f t="shared" si="26"/>
        <v>0</v>
      </c>
      <c r="AC34" s="39">
        <f t="shared" si="26"/>
        <v>669</v>
      </c>
      <c r="AD34" s="39">
        <f t="shared" si="26"/>
        <v>0</v>
      </c>
      <c r="AE34" s="40">
        <f t="shared" si="26"/>
        <v>373</v>
      </c>
      <c r="AF34" s="40">
        <f t="shared" si="26"/>
        <v>961</v>
      </c>
    </row>
    <row r="35" spans="2:32" ht="23.1" customHeight="1" x14ac:dyDescent="0.25">
      <c r="B35" s="46" t="s">
        <v>62</v>
      </c>
      <c r="C35" s="50">
        <v>45</v>
      </c>
      <c r="D35" s="50">
        <v>9</v>
      </c>
      <c r="E35" s="50">
        <v>4</v>
      </c>
      <c r="F35" s="50">
        <v>20</v>
      </c>
      <c r="G35" s="50">
        <v>0</v>
      </c>
      <c r="H35" s="50">
        <v>0</v>
      </c>
      <c r="I35" s="50">
        <v>4</v>
      </c>
      <c r="J35" s="50">
        <v>1</v>
      </c>
      <c r="K35" s="50">
        <v>1</v>
      </c>
      <c r="L35" s="50">
        <v>0</v>
      </c>
      <c r="M35" s="50">
        <v>70</v>
      </c>
      <c r="N35" s="50">
        <v>0</v>
      </c>
      <c r="O35" s="15">
        <f t="shared" si="0"/>
        <v>84</v>
      </c>
      <c r="P35" s="15">
        <f t="shared" si="1"/>
        <v>154</v>
      </c>
      <c r="R35" s="38" t="s">
        <v>91</v>
      </c>
      <c r="S35" s="39">
        <f t="shared" ref="S35:AF35" si="27">MAX(S13:S18)</f>
        <v>152</v>
      </c>
      <c r="T35" s="39">
        <f t="shared" si="27"/>
        <v>56</v>
      </c>
      <c r="U35" s="39">
        <f t="shared" si="27"/>
        <v>16</v>
      </c>
      <c r="V35" s="39">
        <f t="shared" si="27"/>
        <v>144</v>
      </c>
      <c r="W35" s="39">
        <f t="shared" si="27"/>
        <v>25</v>
      </c>
      <c r="X35" s="39">
        <f t="shared" si="27"/>
        <v>2</v>
      </c>
      <c r="Y35" s="39">
        <f t="shared" si="27"/>
        <v>28</v>
      </c>
      <c r="Z35" s="39">
        <f t="shared" si="27"/>
        <v>8</v>
      </c>
      <c r="AA35" s="39">
        <f t="shared" si="27"/>
        <v>5</v>
      </c>
      <c r="AB35" s="39">
        <f t="shared" si="27"/>
        <v>0</v>
      </c>
      <c r="AC35" s="39">
        <f t="shared" si="27"/>
        <v>552</v>
      </c>
      <c r="AD35" s="39">
        <f t="shared" si="27"/>
        <v>0</v>
      </c>
      <c r="AE35" s="40">
        <f t="shared" si="27"/>
        <v>340</v>
      </c>
      <c r="AF35" s="40">
        <f t="shared" si="27"/>
        <v>813</v>
      </c>
    </row>
    <row r="36" spans="2:32" ht="23.1" customHeight="1" x14ac:dyDescent="0.25">
      <c r="B36" s="46" t="s">
        <v>63</v>
      </c>
      <c r="C36" s="50">
        <v>30</v>
      </c>
      <c r="D36" s="50">
        <v>10</v>
      </c>
      <c r="E36" s="50">
        <v>6</v>
      </c>
      <c r="F36" s="50">
        <v>30</v>
      </c>
      <c r="G36" s="50">
        <v>0</v>
      </c>
      <c r="H36" s="50">
        <v>0</v>
      </c>
      <c r="I36" s="50">
        <v>10</v>
      </c>
      <c r="J36" s="50">
        <v>1</v>
      </c>
      <c r="K36" s="50">
        <v>2</v>
      </c>
      <c r="L36" s="50">
        <v>0</v>
      </c>
      <c r="M36" s="50">
        <v>110</v>
      </c>
      <c r="N36" s="50">
        <v>0</v>
      </c>
      <c r="O36" s="15">
        <f t="shared" si="0"/>
        <v>89</v>
      </c>
      <c r="P36" s="15">
        <f t="shared" si="1"/>
        <v>199</v>
      </c>
      <c r="R36" s="38" t="s">
        <v>92</v>
      </c>
      <c r="S36" s="39">
        <f t="shared" ref="S36:AF36" si="28">MAX(S19:S21)</f>
        <v>192</v>
      </c>
      <c r="T36" s="39">
        <f t="shared" si="28"/>
        <v>93</v>
      </c>
      <c r="U36" s="39">
        <f t="shared" si="28"/>
        <v>20</v>
      </c>
      <c r="V36" s="39">
        <f t="shared" si="28"/>
        <v>148</v>
      </c>
      <c r="W36" s="39">
        <f t="shared" si="28"/>
        <v>2</v>
      </c>
      <c r="X36" s="39">
        <f t="shared" si="28"/>
        <v>0</v>
      </c>
      <c r="Y36" s="39">
        <f t="shared" si="28"/>
        <v>21</v>
      </c>
      <c r="Z36" s="39">
        <f t="shared" si="28"/>
        <v>1</v>
      </c>
      <c r="AA36" s="39">
        <f t="shared" si="28"/>
        <v>0</v>
      </c>
      <c r="AB36" s="39">
        <f t="shared" si="28"/>
        <v>0</v>
      </c>
      <c r="AC36" s="39">
        <f t="shared" si="28"/>
        <v>373</v>
      </c>
      <c r="AD36" s="39">
        <f t="shared" si="28"/>
        <v>0</v>
      </c>
      <c r="AE36" s="40">
        <f t="shared" si="28"/>
        <v>460</v>
      </c>
      <c r="AF36" s="40">
        <f t="shared" si="28"/>
        <v>833</v>
      </c>
    </row>
    <row r="37" spans="2:32" ht="23.1" customHeight="1" x14ac:dyDescent="0.25">
      <c r="B37" s="45" t="s">
        <v>64</v>
      </c>
      <c r="C37" s="50">
        <v>22</v>
      </c>
      <c r="D37" s="50">
        <v>11</v>
      </c>
      <c r="E37" s="50">
        <v>1</v>
      </c>
      <c r="F37" s="50">
        <v>18</v>
      </c>
      <c r="G37" s="50">
        <v>0</v>
      </c>
      <c r="H37" s="50">
        <v>0</v>
      </c>
      <c r="I37" s="50">
        <v>5</v>
      </c>
      <c r="J37" s="50">
        <v>0</v>
      </c>
      <c r="K37" s="50">
        <v>1</v>
      </c>
      <c r="L37" s="50">
        <v>0</v>
      </c>
      <c r="M37" s="50">
        <v>85</v>
      </c>
      <c r="N37" s="50">
        <v>0</v>
      </c>
      <c r="O37" s="15">
        <f t="shared" si="0"/>
        <v>58</v>
      </c>
      <c r="P37" s="15">
        <f t="shared" si="1"/>
        <v>143</v>
      </c>
      <c r="R37" s="37" t="s">
        <v>85</v>
      </c>
      <c r="S37" s="35">
        <f t="shared" ref="S37:AF37" si="29">SUM(S10:S12)</f>
        <v>115</v>
      </c>
      <c r="T37" s="16">
        <f t="shared" si="29"/>
        <v>40</v>
      </c>
      <c r="U37" s="16">
        <f t="shared" si="29"/>
        <v>28</v>
      </c>
      <c r="V37" s="16">
        <f t="shared" si="29"/>
        <v>533</v>
      </c>
      <c r="W37" s="16">
        <f t="shared" si="29"/>
        <v>2</v>
      </c>
      <c r="X37" s="16">
        <f t="shared" si="29"/>
        <v>1</v>
      </c>
      <c r="Y37" s="16">
        <f t="shared" si="29"/>
        <v>18</v>
      </c>
      <c r="Z37" s="16">
        <f t="shared" si="29"/>
        <v>8</v>
      </c>
      <c r="AA37" s="16">
        <f t="shared" si="29"/>
        <v>1</v>
      </c>
      <c r="AB37" s="16">
        <f t="shared" si="29"/>
        <v>0</v>
      </c>
      <c r="AC37" s="16">
        <f t="shared" si="29"/>
        <v>1367</v>
      </c>
      <c r="AD37" s="16">
        <f t="shared" si="29"/>
        <v>0</v>
      </c>
      <c r="AE37" s="32">
        <f t="shared" si="29"/>
        <v>746</v>
      </c>
      <c r="AF37" s="32">
        <f t="shared" si="29"/>
        <v>2113</v>
      </c>
    </row>
    <row r="38" spans="2:32" ht="23.1" customHeight="1" x14ac:dyDescent="0.25">
      <c r="B38" s="46" t="s">
        <v>65</v>
      </c>
      <c r="C38" s="50">
        <v>52</v>
      </c>
      <c r="D38" s="50">
        <v>9</v>
      </c>
      <c r="E38" s="50">
        <v>0</v>
      </c>
      <c r="F38" s="50">
        <v>23</v>
      </c>
      <c r="G38" s="50">
        <v>0</v>
      </c>
      <c r="H38" s="50">
        <v>0</v>
      </c>
      <c r="I38" s="50">
        <v>4</v>
      </c>
      <c r="J38" s="50">
        <v>0</v>
      </c>
      <c r="K38" s="50">
        <v>0</v>
      </c>
      <c r="L38" s="50">
        <v>0</v>
      </c>
      <c r="M38" s="50">
        <v>180</v>
      </c>
      <c r="N38" s="50">
        <v>0</v>
      </c>
      <c r="O38" s="15">
        <f t="shared" si="0"/>
        <v>88</v>
      </c>
      <c r="P38" s="15">
        <f t="shared" si="1"/>
        <v>268</v>
      </c>
      <c r="R38" s="28" t="s">
        <v>86</v>
      </c>
      <c r="S38" s="16">
        <f t="shared" ref="S38:AF38" si="30">SUM(S13:S18)</f>
        <v>628</v>
      </c>
      <c r="T38" s="16">
        <f t="shared" si="30"/>
        <v>200</v>
      </c>
      <c r="U38" s="16">
        <f t="shared" si="30"/>
        <v>71</v>
      </c>
      <c r="V38" s="16">
        <f t="shared" si="30"/>
        <v>655</v>
      </c>
      <c r="W38" s="16">
        <f t="shared" si="30"/>
        <v>27</v>
      </c>
      <c r="X38" s="16">
        <f t="shared" si="30"/>
        <v>2</v>
      </c>
      <c r="Y38" s="16">
        <f t="shared" si="30"/>
        <v>82</v>
      </c>
      <c r="Z38" s="16">
        <f t="shared" si="30"/>
        <v>19</v>
      </c>
      <c r="AA38" s="16">
        <f t="shared" si="30"/>
        <v>10</v>
      </c>
      <c r="AB38" s="16">
        <f t="shared" si="30"/>
        <v>0</v>
      </c>
      <c r="AC38" s="16">
        <f t="shared" si="30"/>
        <v>2750</v>
      </c>
      <c r="AD38" s="16">
        <f t="shared" si="30"/>
        <v>0</v>
      </c>
      <c r="AE38" s="32">
        <f t="shared" si="30"/>
        <v>1694</v>
      </c>
      <c r="AF38" s="32">
        <f t="shared" si="30"/>
        <v>4444</v>
      </c>
    </row>
    <row r="39" spans="2:32" ht="23.1" customHeight="1" x14ac:dyDescent="0.25">
      <c r="B39" s="46" t="s">
        <v>66</v>
      </c>
      <c r="C39" s="50">
        <v>20</v>
      </c>
      <c r="D39" s="50">
        <v>0</v>
      </c>
      <c r="E39" s="50">
        <v>2</v>
      </c>
      <c r="F39" s="50">
        <v>25</v>
      </c>
      <c r="G39" s="50">
        <v>25</v>
      </c>
      <c r="H39" s="50">
        <v>0</v>
      </c>
      <c r="I39" s="50">
        <v>1</v>
      </c>
      <c r="J39" s="50">
        <v>1</v>
      </c>
      <c r="K39" s="50">
        <v>0</v>
      </c>
      <c r="L39" s="50">
        <v>0</v>
      </c>
      <c r="M39" s="50">
        <v>95</v>
      </c>
      <c r="N39" s="50">
        <v>0</v>
      </c>
      <c r="O39" s="15">
        <f t="shared" si="0"/>
        <v>74</v>
      </c>
      <c r="P39" s="15">
        <f t="shared" si="1"/>
        <v>169</v>
      </c>
      <c r="R39" s="29" t="s">
        <v>87</v>
      </c>
      <c r="S39" s="16">
        <f t="shared" ref="S39:AF39" si="31">SUM(S19:S21)</f>
        <v>538</v>
      </c>
      <c r="T39" s="16">
        <f t="shared" si="31"/>
        <v>201</v>
      </c>
      <c r="U39" s="16">
        <f t="shared" si="31"/>
        <v>43</v>
      </c>
      <c r="V39" s="16">
        <f t="shared" si="31"/>
        <v>377</v>
      </c>
      <c r="W39" s="16">
        <f t="shared" si="31"/>
        <v>4</v>
      </c>
      <c r="X39" s="16">
        <f t="shared" si="31"/>
        <v>0</v>
      </c>
      <c r="Y39" s="16">
        <f t="shared" si="31"/>
        <v>60</v>
      </c>
      <c r="Z39" s="16">
        <f t="shared" si="31"/>
        <v>3</v>
      </c>
      <c r="AA39" s="16">
        <f t="shared" si="31"/>
        <v>0</v>
      </c>
      <c r="AB39" s="16">
        <f t="shared" si="31"/>
        <v>0</v>
      </c>
      <c r="AC39" s="16">
        <f t="shared" si="31"/>
        <v>1069</v>
      </c>
      <c r="AD39" s="16">
        <f t="shared" si="31"/>
        <v>0</v>
      </c>
      <c r="AE39" s="32">
        <f t="shared" si="31"/>
        <v>1226</v>
      </c>
      <c r="AF39" s="32">
        <f t="shared" si="31"/>
        <v>2295</v>
      </c>
    </row>
    <row r="40" spans="2:32" ht="23.1" customHeight="1" x14ac:dyDescent="0.25">
      <c r="B40" s="46" t="s">
        <v>67</v>
      </c>
      <c r="C40" s="50">
        <v>35</v>
      </c>
      <c r="D40" s="50">
        <v>4</v>
      </c>
      <c r="E40" s="50">
        <v>4</v>
      </c>
      <c r="F40" s="50">
        <v>15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100</v>
      </c>
      <c r="N40" s="50">
        <v>0</v>
      </c>
      <c r="O40" s="15">
        <f t="shared" si="0"/>
        <v>60</v>
      </c>
      <c r="P40" s="15">
        <f t="shared" si="1"/>
        <v>160</v>
      </c>
      <c r="R40" s="5" t="s">
        <v>17</v>
      </c>
      <c r="S40" s="16">
        <f t="shared" ref="S40:AF40" si="32">SUM(S10:S21)</f>
        <v>1281</v>
      </c>
      <c r="T40" s="16">
        <f t="shared" si="32"/>
        <v>441</v>
      </c>
      <c r="U40" s="16">
        <f t="shared" si="32"/>
        <v>142</v>
      </c>
      <c r="V40" s="16">
        <f t="shared" si="32"/>
        <v>1565</v>
      </c>
      <c r="W40" s="16">
        <f t="shared" si="32"/>
        <v>33</v>
      </c>
      <c r="X40" s="16">
        <f t="shared" si="32"/>
        <v>3</v>
      </c>
      <c r="Y40" s="16">
        <f t="shared" si="32"/>
        <v>160</v>
      </c>
      <c r="Z40" s="16">
        <f t="shared" si="32"/>
        <v>30</v>
      </c>
      <c r="AA40" s="16">
        <f t="shared" si="32"/>
        <v>11</v>
      </c>
      <c r="AB40" s="16">
        <f t="shared" si="32"/>
        <v>0</v>
      </c>
      <c r="AC40" s="16">
        <f t="shared" si="32"/>
        <v>5186</v>
      </c>
      <c r="AD40" s="16">
        <f t="shared" si="32"/>
        <v>0</v>
      </c>
      <c r="AE40" s="32">
        <f t="shared" si="32"/>
        <v>3666</v>
      </c>
      <c r="AF40" s="32">
        <f t="shared" si="32"/>
        <v>8852</v>
      </c>
    </row>
    <row r="41" spans="2:32" ht="23.1" customHeight="1" x14ac:dyDescent="0.25">
      <c r="B41" s="45" t="s">
        <v>68</v>
      </c>
      <c r="C41" s="50">
        <v>27</v>
      </c>
      <c r="D41" s="50">
        <v>5</v>
      </c>
      <c r="E41" s="50">
        <v>4</v>
      </c>
      <c r="F41" s="50">
        <v>14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95</v>
      </c>
      <c r="N41" s="50">
        <v>0</v>
      </c>
      <c r="O41" s="15">
        <f t="shared" si="0"/>
        <v>52</v>
      </c>
      <c r="P41" s="15">
        <f t="shared" si="1"/>
        <v>147</v>
      </c>
      <c r="R41" s="5" t="s">
        <v>159</v>
      </c>
      <c r="S41" s="16">
        <f>SUM(S10:S33)</f>
        <v>2756</v>
      </c>
      <c r="T41" s="16">
        <f t="shared" ref="T41:AF41" si="33">SUM(T10:T33)</f>
        <v>693</v>
      </c>
      <c r="U41" s="16">
        <f t="shared" si="33"/>
        <v>212</v>
      </c>
      <c r="V41" s="16">
        <f t="shared" si="33"/>
        <v>2584</v>
      </c>
      <c r="W41" s="16">
        <f t="shared" si="33"/>
        <v>39</v>
      </c>
      <c r="X41" s="16">
        <f t="shared" si="33"/>
        <v>6</v>
      </c>
      <c r="Y41" s="16">
        <f t="shared" si="33"/>
        <v>215</v>
      </c>
      <c r="Z41" s="16">
        <f t="shared" si="33"/>
        <v>60</v>
      </c>
      <c r="AA41" s="16">
        <f t="shared" si="33"/>
        <v>49</v>
      </c>
      <c r="AB41" s="16">
        <f t="shared" si="33"/>
        <v>0</v>
      </c>
      <c r="AC41" s="16">
        <f t="shared" si="33"/>
        <v>8179</v>
      </c>
      <c r="AD41" s="16">
        <f t="shared" si="33"/>
        <v>0</v>
      </c>
      <c r="AE41" s="32">
        <f t="shared" si="33"/>
        <v>6614</v>
      </c>
      <c r="AF41" s="32">
        <f t="shared" si="33"/>
        <v>14793</v>
      </c>
    </row>
    <row r="42" spans="2:32" ht="23.1" customHeight="1" x14ac:dyDescent="0.25">
      <c r="B42" s="46" t="s">
        <v>69</v>
      </c>
      <c r="C42" s="50">
        <v>58</v>
      </c>
      <c r="D42" s="50">
        <v>15</v>
      </c>
      <c r="E42" s="50">
        <v>7</v>
      </c>
      <c r="F42" s="50">
        <v>20</v>
      </c>
      <c r="G42" s="50">
        <v>0</v>
      </c>
      <c r="H42" s="50">
        <v>0</v>
      </c>
      <c r="I42" s="50">
        <v>8</v>
      </c>
      <c r="J42" s="50">
        <v>0</v>
      </c>
      <c r="K42" s="50">
        <v>1</v>
      </c>
      <c r="L42" s="50">
        <v>0</v>
      </c>
      <c r="M42" s="50">
        <v>148</v>
      </c>
      <c r="N42" s="50">
        <v>0</v>
      </c>
      <c r="O42" s="15">
        <f t="shared" si="0"/>
        <v>109</v>
      </c>
      <c r="P42" s="15">
        <f t="shared" si="1"/>
        <v>257</v>
      </c>
      <c r="R42" s="5" t="s">
        <v>160</v>
      </c>
      <c r="S42" s="48">
        <f>S41/S40</f>
        <v>2.1514441842310696</v>
      </c>
      <c r="T42" s="48">
        <f t="shared" ref="T42:AF42" si="34">T41/T40</f>
        <v>1.5714285714285714</v>
      </c>
      <c r="U42" s="48">
        <f t="shared" si="34"/>
        <v>1.4929577464788732</v>
      </c>
      <c r="V42" s="48">
        <f t="shared" si="34"/>
        <v>1.6511182108626199</v>
      </c>
      <c r="W42" s="48">
        <f t="shared" si="34"/>
        <v>1.1818181818181819</v>
      </c>
      <c r="X42" s="48">
        <f t="shared" si="34"/>
        <v>2</v>
      </c>
      <c r="Y42" s="48">
        <f t="shared" si="34"/>
        <v>1.34375</v>
      </c>
      <c r="Z42" s="48">
        <f t="shared" si="34"/>
        <v>2</v>
      </c>
      <c r="AA42" s="48">
        <f t="shared" si="34"/>
        <v>4.4545454545454541</v>
      </c>
      <c r="AB42" s="48" t="e">
        <f t="shared" si="34"/>
        <v>#DIV/0!</v>
      </c>
      <c r="AC42" s="48">
        <f t="shared" si="34"/>
        <v>1.5771307365985345</v>
      </c>
      <c r="AD42" s="48" t="e">
        <f t="shared" si="34"/>
        <v>#DIV/0!</v>
      </c>
      <c r="AE42" s="48">
        <f t="shared" si="34"/>
        <v>1.8041462084015276</v>
      </c>
      <c r="AF42" s="48">
        <f t="shared" si="34"/>
        <v>1.6711477632173519</v>
      </c>
    </row>
    <row r="43" spans="2:32" ht="23.1" customHeight="1" x14ac:dyDescent="0.25">
      <c r="B43" s="45" t="s">
        <v>70</v>
      </c>
      <c r="C43" s="50">
        <v>28</v>
      </c>
      <c r="D43" s="50">
        <v>16</v>
      </c>
      <c r="E43" s="50">
        <v>3</v>
      </c>
      <c r="F43" s="50">
        <v>20</v>
      </c>
      <c r="G43" s="50">
        <v>1</v>
      </c>
      <c r="H43" s="50">
        <v>0</v>
      </c>
      <c r="I43" s="50">
        <v>0</v>
      </c>
      <c r="J43" s="50">
        <v>7</v>
      </c>
      <c r="K43" s="50">
        <v>0</v>
      </c>
      <c r="L43" s="50">
        <v>0</v>
      </c>
      <c r="M43" s="50">
        <v>120</v>
      </c>
      <c r="N43" s="50">
        <v>0</v>
      </c>
      <c r="O43" s="15">
        <f t="shared" si="0"/>
        <v>75</v>
      </c>
      <c r="P43" s="15">
        <f t="shared" si="1"/>
        <v>195</v>
      </c>
    </row>
    <row r="44" spans="2:32" ht="23.1" customHeight="1" x14ac:dyDescent="0.25">
      <c r="B44" s="47" t="s">
        <v>71</v>
      </c>
      <c r="C44" s="50">
        <v>16</v>
      </c>
      <c r="D44" s="50">
        <v>3</v>
      </c>
      <c r="E44" s="50">
        <v>1</v>
      </c>
      <c r="F44" s="50">
        <v>30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95</v>
      </c>
      <c r="N44" s="50">
        <v>0</v>
      </c>
      <c r="O44" s="15">
        <f t="shared" si="0"/>
        <v>51</v>
      </c>
      <c r="P44" s="15">
        <f t="shared" si="1"/>
        <v>146</v>
      </c>
    </row>
    <row r="45" spans="2:32" ht="23.1" customHeight="1" x14ac:dyDescent="0.25">
      <c r="B45" s="45" t="s">
        <v>72</v>
      </c>
      <c r="C45" s="50">
        <v>50</v>
      </c>
      <c r="D45" s="50">
        <v>22</v>
      </c>
      <c r="E45" s="50">
        <v>5</v>
      </c>
      <c r="F45" s="50">
        <v>22</v>
      </c>
      <c r="G45" s="50">
        <v>1</v>
      </c>
      <c r="H45" s="50">
        <v>0</v>
      </c>
      <c r="I45" s="50">
        <v>3</v>
      </c>
      <c r="J45" s="50">
        <v>1</v>
      </c>
      <c r="K45" s="50">
        <v>1</v>
      </c>
      <c r="L45" s="50">
        <v>0</v>
      </c>
      <c r="M45" s="50">
        <v>105</v>
      </c>
      <c r="N45" s="50">
        <v>0</v>
      </c>
      <c r="O45" s="15">
        <f t="shared" si="0"/>
        <v>105</v>
      </c>
      <c r="P45" s="15">
        <f t="shared" si="1"/>
        <v>210</v>
      </c>
    </row>
    <row r="46" spans="2:32" ht="23.1" customHeight="1" x14ac:dyDescent="0.25">
      <c r="B46" s="46" t="s">
        <v>73</v>
      </c>
      <c r="C46" s="50">
        <v>41</v>
      </c>
      <c r="D46" s="50">
        <v>15</v>
      </c>
      <c r="E46" s="50">
        <v>5</v>
      </c>
      <c r="F46" s="50">
        <v>23</v>
      </c>
      <c r="G46" s="50">
        <v>0</v>
      </c>
      <c r="H46" s="50">
        <v>0</v>
      </c>
      <c r="I46" s="50">
        <v>4</v>
      </c>
      <c r="J46" s="50">
        <v>0</v>
      </c>
      <c r="K46" s="50">
        <v>0</v>
      </c>
      <c r="L46" s="50">
        <v>0</v>
      </c>
      <c r="M46" s="50">
        <v>61</v>
      </c>
      <c r="N46" s="50">
        <v>0</v>
      </c>
      <c r="O46" s="15">
        <f t="shared" si="0"/>
        <v>88</v>
      </c>
      <c r="P46" s="15">
        <f t="shared" si="1"/>
        <v>149</v>
      </c>
      <c r="R46" s="8"/>
      <c r="T46"/>
    </row>
    <row r="47" spans="2:32" ht="23.1" customHeight="1" x14ac:dyDescent="0.25">
      <c r="B47" s="46" t="s">
        <v>74</v>
      </c>
      <c r="C47" s="50">
        <v>30</v>
      </c>
      <c r="D47" s="50">
        <v>16</v>
      </c>
      <c r="E47" s="50">
        <v>4</v>
      </c>
      <c r="F47" s="50">
        <v>20</v>
      </c>
      <c r="G47" s="50">
        <v>0</v>
      </c>
      <c r="H47" s="50">
        <v>0</v>
      </c>
      <c r="I47" s="50">
        <v>2</v>
      </c>
      <c r="J47" s="50">
        <v>1</v>
      </c>
      <c r="K47" s="50">
        <v>0</v>
      </c>
      <c r="L47" s="50">
        <v>0</v>
      </c>
      <c r="M47" s="50">
        <v>115</v>
      </c>
      <c r="N47" s="50">
        <v>0</v>
      </c>
      <c r="O47" s="15">
        <f t="shared" si="0"/>
        <v>73</v>
      </c>
      <c r="P47" s="15">
        <f t="shared" si="1"/>
        <v>188</v>
      </c>
      <c r="R47" s="8"/>
      <c r="T47"/>
    </row>
    <row r="48" spans="2:32" ht="23.1" customHeight="1" x14ac:dyDescent="0.25">
      <c r="B48" s="46" t="s">
        <v>75</v>
      </c>
      <c r="C48" s="50">
        <v>61</v>
      </c>
      <c r="D48" s="50">
        <v>23</v>
      </c>
      <c r="E48" s="50">
        <v>8</v>
      </c>
      <c r="F48" s="50">
        <v>45</v>
      </c>
      <c r="G48" s="50">
        <v>0</v>
      </c>
      <c r="H48" s="50">
        <v>0</v>
      </c>
      <c r="I48" s="50">
        <v>10</v>
      </c>
      <c r="J48" s="50">
        <v>0</v>
      </c>
      <c r="K48" s="50">
        <v>0</v>
      </c>
      <c r="L48" s="50">
        <v>0</v>
      </c>
      <c r="M48" s="50">
        <v>107</v>
      </c>
      <c r="N48" s="50">
        <v>0</v>
      </c>
      <c r="O48" s="15">
        <f t="shared" si="0"/>
        <v>147</v>
      </c>
      <c r="P48" s="15">
        <f t="shared" si="1"/>
        <v>254</v>
      </c>
      <c r="R48" s="8"/>
      <c r="T48"/>
    </row>
    <row r="49" spans="2:20" ht="23.1" customHeight="1" x14ac:dyDescent="0.25">
      <c r="B49" s="45" t="s">
        <v>76</v>
      </c>
      <c r="C49" s="50">
        <v>45</v>
      </c>
      <c r="D49" s="50">
        <v>39</v>
      </c>
      <c r="E49" s="50">
        <v>3</v>
      </c>
      <c r="F49" s="50">
        <v>60</v>
      </c>
      <c r="G49" s="50">
        <v>0</v>
      </c>
      <c r="H49" s="50">
        <v>0</v>
      </c>
      <c r="I49" s="50">
        <v>5</v>
      </c>
      <c r="J49" s="50">
        <v>0</v>
      </c>
      <c r="K49" s="50">
        <v>0</v>
      </c>
      <c r="L49" s="50">
        <v>0</v>
      </c>
      <c r="M49" s="50">
        <v>90</v>
      </c>
      <c r="N49" s="50">
        <v>0</v>
      </c>
      <c r="O49" s="15">
        <f t="shared" si="0"/>
        <v>152</v>
      </c>
      <c r="P49" s="15">
        <f t="shared" si="1"/>
        <v>242</v>
      </c>
      <c r="R49" s="8"/>
      <c r="T49"/>
    </row>
    <row r="50" spans="2:20" ht="23.1" customHeight="1" x14ac:dyDescent="0.25">
      <c r="B50" s="46" t="s">
        <v>77</v>
      </c>
      <c r="C50" s="50">
        <v>31</v>
      </c>
      <c r="D50" s="50">
        <v>5</v>
      </c>
      <c r="E50" s="50">
        <v>4</v>
      </c>
      <c r="F50" s="50">
        <v>20</v>
      </c>
      <c r="G50" s="50">
        <v>1</v>
      </c>
      <c r="H50" s="50">
        <v>0</v>
      </c>
      <c r="I50" s="50">
        <v>5</v>
      </c>
      <c r="J50" s="50">
        <v>1</v>
      </c>
      <c r="K50" s="50">
        <v>0</v>
      </c>
      <c r="L50" s="50">
        <v>0</v>
      </c>
      <c r="M50" s="50">
        <v>85</v>
      </c>
      <c r="N50" s="50">
        <v>0</v>
      </c>
      <c r="O50" s="15">
        <f t="shared" si="0"/>
        <v>67</v>
      </c>
      <c r="P50" s="15">
        <f t="shared" si="1"/>
        <v>152</v>
      </c>
      <c r="R50" s="8"/>
      <c r="T50"/>
    </row>
    <row r="51" spans="2:20" ht="23.1" customHeight="1" x14ac:dyDescent="0.25">
      <c r="B51" s="46" t="s">
        <v>78</v>
      </c>
      <c r="C51" s="50">
        <v>56</v>
      </c>
      <c r="D51" s="50">
        <v>17</v>
      </c>
      <c r="E51" s="50">
        <v>4</v>
      </c>
      <c r="F51" s="50">
        <v>28</v>
      </c>
      <c r="G51" s="50">
        <v>1</v>
      </c>
      <c r="H51" s="50">
        <v>0</v>
      </c>
      <c r="I51" s="50">
        <v>4</v>
      </c>
      <c r="J51" s="50">
        <v>0</v>
      </c>
      <c r="K51" s="50">
        <v>0</v>
      </c>
      <c r="L51" s="50">
        <v>0</v>
      </c>
      <c r="M51" s="50">
        <v>100</v>
      </c>
      <c r="N51" s="50">
        <v>0</v>
      </c>
      <c r="O51" s="15">
        <f t="shared" si="0"/>
        <v>110</v>
      </c>
      <c r="P51" s="15">
        <f t="shared" si="1"/>
        <v>210</v>
      </c>
      <c r="R51" s="8"/>
      <c r="T51"/>
    </row>
    <row r="52" spans="2:20" ht="23.1" customHeight="1" x14ac:dyDescent="0.25">
      <c r="B52" s="46" t="s">
        <v>79</v>
      </c>
      <c r="C52" s="50">
        <v>45</v>
      </c>
      <c r="D52" s="50">
        <v>12</v>
      </c>
      <c r="E52" s="50">
        <v>4</v>
      </c>
      <c r="F52" s="50">
        <v>28</v>
      </c>
      <c r="G52" s="50">
        <v>0</v>
      </c>
      <c r="H52" s="50">
        <v>0</v>
      </c>
      <c r="I52" s="50">
        <v>4</v>
      </c>
      <c r="J52" s="50">
        <v>0</v>
      </c>
      <c r="K52" s="50">
        <v>0</v>
      </c>
      <c r="L52" s="50">
        <v>0</v>
      </c>
      <c r="M52" s="50">
        <v>85</v>
      </c>
      <c r="N52" s="50">
        <v>0</v>
      </c>
      <c r="O52" s="15">
        <f t="shared" si="0"/>
        <v>93</v>
      </c>
      <c r="P52" s="15">
        <f t="shared" si="1"/>
        <v>178</v>
      </c>
      <c r="R52" s="8"/>
      <c r="T52"/>
    </row>
    <row r="53" spans="2:20" ht="23.1" customHeight="1" x14ac:dyDescent="0.25">
      <c r="B53" s="45" t="s">
        <v>80</v>
      </c>
      <c r="C53" s="50">
        <v>60</v>
      </c>
      <c r="D53" s="50">
        <v>34</v>
      </c>
      <c r="E53" s="50">
        <v>2</v>
      </c>
      <c r="F53" s="50">
        <v>30</v>
      </c>
      <c r="G53" s="50">
        <v>0</v>
      </c>
      <c r="H53" s="50">
        <v>0</v>
      </c>
      <c r="I53" s="50">
        <v>6</v>
      </c>
      <c r="J53" s="50">
        <v>0</v>
      </c>
      <c r="K53" s="50">
        <v>0</v>
      </c>
      <c r="L53" s="50">
        <v>0</v>
      </c>
      <c r="M53" s="50">
        <v>55</v>
      </c>
      <c r="N53" s="50">
        <v>0</v>
      </c>
      <c r="O53" s="15">
        <f t="shared" si="0"/>
        <v>132</v>
      </c>
      <c r="P53" s="15">
        <f t="shared" si="1"/>
        <v>187</v>
      </c>
      <c r="R53" s="8"/>
      <c r="T53"/>
    </row>
    <row r="54" spans="2:20" ht="23.1" customHeight="1" x14ac:dyDescent="0.25">
      <c r="B54" s="45" t="s">
        <v>81</v>
      </c>
      <c r="C54" s="50">
        <v>39</v>
      </c>
      <c r="D54" s="50">
        <v>20</v>
      </c>
      <c r="E54" s="50">
        <v>3</v>
      </c>
      <c r="F54" s="50">
        <v>37</v>
      </c>
      <c r="G54" s="50">
        <v>0</v>
      </c>
      <c r="H54" s="50">
        <v>0</v>
      </c>
      <c r="I54" s="50">
        <v>4</v>
      </c>
      <c r="J54" s="50">
        <v>0</v>
      </c>
      <c r="K54" s="50">
        <v>0</v>
      </c>
      <c r="L54" s="50">
        <v>0</v>
      </c>
      <c r="M54" s="50">
        <v>85</v>
      </c>
      <c r="N54" s="50">
        <v>0</v>
      </c>
      <c r="O54" s="15">
        <f t="shared" si="0"/>
        <v>103</v>
      </c>
      <c r="P54" s="15">
        <f t="shared" si="1"/>
        <v>188</v>
      </c>
      <c r="R54" s="8"/>
      <c r="T54"/>
    </row>
    <row r="55" spans="2:20" ht="23.1" customHeight="1" x14ac:dyDescent="0.25">
      <c r="B55" s="45" t="s">
        <v>82</v>
      </c>
      <c r="C55" s="50">
        <v>47</v>
      </c>
      <c r="D55" s="50">
        <v>8</v>
      </c>
      <c r="E55" s="50">
        <v>5</v>
      </c>
      <c r="F55" s="50">
        <v>25</v>
      </c>
      <c r="G55" s="50">
        <v>1</v>
      </c>
      <c r="H55" s="50">
        <v>0</v>
      </c>
      <c r="I55" s="50">
        <v>7</v>
      </c>
      <c r="J55" s="50">
        <v>1</v>
      </c>
      <c r="K55" s="50">
        <v>0</v>
      </c>
      <c r="L55" s="50">
        <v>0</v>
      </c>
      <c r="M55" s="50">
        <v>85</v>
      </c>
      <c r="N55" s="50">
        <v>0</v>
      </c>
      <c r="O55" s="15">
        <f t="shared" si="0"/>
        <v>94</v>
      </c>
      <c r="P55" s="15">
        <f t="shared" si="1"/>
        <v>179</v>
      </c>
      <c r="R55" s="8"/>
      <c r="T55"/>
    </row>
    <row r="56" spans="2:20" ht="23.1" customHeight="1" x14ac:dyDescent="0.25">
      <c r="B56" s="45" t="s">
        <v>83</v>
      </c>
      <c r="C56" s="50">
        <v>40</v>
      </c>
      <c r="D56" s="50">
        <v>5</v>
      </c>
      <c r="E56" s="50">
        <v>1</v>
      </c>
      <c r="F56" s="50">
        <v>31</v>
      </c>
      <c r="G56" s="50">
        <v>1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116</v>
      </c>
      <c r="N56" s="50">
        <v>0</v>
      </c>
      <c r="O56" s="15">
        <f t="shared" si="0"/>
        <v>80</v>
      </c>
      <c r="P56" s="15">
        <f t="shared" si="1"/>
        <v>196</v>
      </c>
      <c r="R56" s="8"/>
      <c r="T56"/>
    </row>
    <row r="57" spans="2:20" ht="23.1" customHeight="1" x14ac:dyDescent="0.25">
      <c r="B57" s="45" t="s">
        <v>84</v>
      </c>
      <c r="C57" s="50">
        <v>43</v>
      </c>
      <c r="D57" s="50">
        <v>7</v>
      </c>
      <c r="E57" s="50">
        <v>0</v>
      </c>
      <c r="F57" s="50">
        <v>30</v>
      </c>
      <c r="G57" s="50">
        <v>0</v>
      </c>
      <c r="H57" s="50">
        <v>0</v>
      </c>
      <c r="I57" s="50">
        <v>7</v>
      </c>
      <c r="J57" s="50">
        <v>0</v>
      </c>
      <c r="K57" s="50">
        <v>0</v>
      </c>
      <c r="L57" s="50">
        <v>0</v>
      </c>
      <c r="M57" s="50">
        <v>85</v>
      </c>
      <c r="N57" s="50">
        <v>0</v>
      </c>
      <c r="O57" s="15">
        <f t="shared" si="0"/>
        <v>87</v>
      </c>
      <c r="P57" s="15">
        <f t="shared" si="1"/>
        <v>172</v>
      </c>
      <c r="R57" s="8"/>
      <c r="T57"/>
    </row>
    <row r="58" spans="2:20" ht="23.1" customHeight="1" x14ac:dyDescent="0.25">
      <c r="B58" s="45" t="s">
        <v>99</v>
      </c>
      <c r="C58" s="50">
        <v>23</v>
      </c>
      <c r="D58" s="50">
        <v>4</v>
      </c>
      <c r="E58" s="50">
        <v>3</v>
      </c>
      <c r="F58" s="50">
        <v>40</v>
      </c>
      <c r="G58" s="50">
        <v>2</v>
      </c>
      <c r="H58" s="50">
        <v>0</v>
      </c>
      <c r="I58" s="50">
        <v>0</v>
      </c>
      <c r="J58" s="50">
        <v>0</v>
      </c>
      <c r="K58" s="50">
        <v>3</v>
      </c>
      <c r="L58" s="50">
        <v>0</v>
      </c>
      <c r="M58" s="50">
        <v>65</v>
      </c>
      <c r="N58" s="50">
        <v>0</v>
      </c>
      <c r="O58" s="15">
        <f t="shared" si="0"/>
        <v>75</v>
      </c>
      <c r="P58" s="15">
        <f t="shared" si="1"/>
        <v>140</v>
      </c>
      <c r="R58" s="8"/>
      <c r="T58"/>
    </row>
    <row r="59" spans="2:20" ht="23.1" customHeight="1" x14ac:dyDescent="0.25">
      <c r="B59" s="45" t="s">
        <v>100</v>
      </c>
      <c r="C59" s="50">
        <v>40</v>
      </c>
      <c r="D59" s="50">
        <v>5</v>
      </c>
      <c r="E59" s="50">
        <v>6</v>
      </c>
      <c r="F59" s="50">
        <v>35</v>
      </c>
      <c r="G59" s="50">
        <v>0</v>
      </c>
      <c r="H59" s="50">
        <v>0</v>
      </c>
      <c r="I59" s="50">
        <v>0</v>
      </c>
      <c r="J59" s="50">
        <v>6</v>
      </c>
      <c r="K59" s="50">
        <v>0</v>
      </c>
      <c r="L59" s="50">
        <v>0</v>
      </c>
      <c r="M59" s="50">
        <v>120</v>
      </c>
      <c r="N59" s="50">
        <v>0</v>
      </c>
      <c r="O59" s="15">
        <f t="shared" si="0"/>
        <v>92</v>
      </c>
      <c r="P59" s="15">
        <f t="shared" si="1"/>
        <v>212</v>
      </c>
      <c r="R59" s="8"/>
      <c r="T59"/>
    </row>
    <row r="60" spans="2:20" ht="23.1" customHeight="1" x14ac:dyDescent="0.25">
      <c r="B60" s="45" t="s">
        <v>101</v>
      </c>
      <c r="C60" s="50">
        <v>25</v>
      </c>
      <c r="D60" s="50">
        <v>21</v>
      </c>
      <c r="E60" s="50">
        <v>3</v>
      </c>
      <c r="F60" s="50">
        <v>35</v>
      </c>
      <c r="G60" s="50">
        <v>0</v>
      </c>
      <c r="H60" s="50">
        <v>0</v>
      </c>
      <c r="I60" s="50">
        <v>0</v>
      </c>
      <c r="J60" s="50">
        <v>1</v>
      </c>
      <c r="K60" s="50">
        <v>5</v>
      </c>
      <c r="L60" s="50">
        <v>0</v>
      </c>
      <c r="M60" s="50">
        <v>100</v>
      </c>
      <c r="N60" s="50">
        <v>0</v>
      </c>
      <c r="O60" s="15">
        <f t="shared" si="0"/>
        <v>90</v>
      </c>
      <c r="P60" s="15">
        <f t="shared" si="1"/>
        <v>190</v>
      </c>
      <c r="R60" s="8"/>
      <c r="T60"/>
    </row>
    <row r="61" spans="2:20" ht="23.1" customHeight="1" x14ac:dyDescent="0.25">
      <c r="B61" s="45" t="s">
        <v>102</v>
      </c>
      <c r="C61" s="50">
        <v>21</v>
      </c>
      <c r="D61" s="50">
        <v>13</v>
      </c>
      <c r="E61" s="50">
        <v>2</v>
      </c>
      <c r="F61" s="50">
        <v>45</v>
      </c>
      <c r="G61" s="50">
        <v>0</v>
      </c>
      <c r="H61" s="50">
        <v>1</v>
      </c>
      <c r="I61" s="50">
        <v>0</v>
      </c>
      <c r="J61" s="50">
        <v>1</v>
      </c>
      <c r="K61" s="50">
        <v>3</v>
      </c>
      <c r="L61" s="50">
        <v>0</v>
      </c>
      <c r="M61" s="50">
        <v>65</v>
      </c>
      <c r="N61" s="50">
        <v>0</v>
      </c>
      <c r="O61" s="15">
        <f t="shared" si="0"/>
        <v>86</v>
      </c>
      <c r="P61" s="15">
        <f t="shared" si="1"/>
        <v>151</v>
      </c>
      <c r="R61" s="8"/>
      <c r="T61"/>
    </row>
    <row r="62" spans="2:20" ht="23.1" customHeight="1" x14ac:dyDescent="0.25">
      <c r="B62" s="45" t="s">
        <v>107</v>
      </c>
      <c r="C62" s="50">
        <v>47</v>
      </c>
      <c r="D62" s="50">
        <v>16</v>
      </c>
      <c r="E62" s="50">
        <v>7</v>
      </c>
      <c r="F62" s="50">
        <v>48</v>
      </c>
      <c r="G62" s="50">
        <v>0</v>
      </c>
      <c r="H62" s="50">
        <v>0</v>
      </c>
      <c r="I62" s="50">
        <v>0</v>
      </c>
      <c r="J62" s="50">
        <v>3</v>
      </c>
      <c r="K62" s="50">
        <v>2</v>
      </c>
      <c r="L62" s="50">
        <v>0</v>
      </c>
      <c r="M62" s="50">
        <v>145</v>
      </c>
      <c r="N62" s="50">
        <v>0</v>
      </c>
      <c r="O62" s="15">
        <f t="shared" si="0"/>
        <v>123</v>
      </c>
      <c r="P62" s="15">
        <f t="shared" si="1"/>
        <v>268</v>
      </c>
      <c r="R62" s="8"/>
      <c r="T62"/>
    </row>
    <row r="63" spans="2:20" ht="23.1" customHeight="1" x14ac:dyDescent="0.25">
      <c r="B63" s="45" t="s">
        <v>108</v>
      </c>
      <c r="C63" s="50">
        <v>83</v>
      </c>
      <c r="D63" s="50">
        <v>25</v>
      </c>
      <c r="E63" s="50">
        <v>6</v>
      </c>
      <c r="F63" s="50">
        <v>55</v>
      </c>
      <c r="G63" s="50">
        <v>0</v>
      </c>
      <c r="H63" s="50">
        <v>0</v>
      </c>
      <c r="I63" s="50">
        <v>10</v>
      </c>
      <c r="J63" s="50">
        <v>0</v>
      </c>
      <c r="K63" s="50">
        <v>0</v>
      </c>
      <c r="L63" s="50">
        <v>0</v>
      </c>
      <c r="M63" s="50">
        <v>180</v>
      </c>
      <c r="N63" s="50">
        <v>0</v>
      </c>
      <c r="O63" s="15">
        <f t="shared" si="0"/>
        <v>179</v>
      </c>
      <c r="P63" s="15">
        <f t="shared" si="1"/>
        <v>359</v>
      </c>
      <c r="R63" s="8"/>
      <c r="T63"/>
    </row>
    <row r="64" spans="2:20" ht="23.1" customHeight="1" x14ac:dyDescent="0.25">
      <c r="B64" s="45" t="s">
        <v>109</v>
      </c>
      <c r="C64" s="50">
        <v>57</v>
      </c>
      <c r="D64" s="50">
        <v>5</v>
      </c>
      <c r="E64" s="50">
        <v>6</v>
      </c>
      <c r="F64" s="50">
        <v>40</v>
      </c>
      <c r="G64" s="50">
        <v>2</v>
      </c>
      <c r="H64" s="50">
        <v>0</v>
      </c>
      <c r="I64" s="50">
        <v>5</v>
      </c>
      <c r="J64" s="50">
        <v>1</v>
      </c>
      <c r="K64" s="50">
        <v>0</v>
      </c>
      <c r="L64" s="50">
        <v>0</v>
      </c>
      <c r="M64" s="50">
        <v>65</v>
      </c>
      <c r="N64" s="50">
        <v>0</v>
      </c>
      <c r="O64" s="15">
        <f t="shared" si="0"/>
        <v>116</v>
      </c>
      <c r="P64" s="15">
        <f t="shared" si="1"/>
        <v>181</v>
      </c>
      <c r="R64" s="8"/>
      <c r="T64"/>
    </row>
    <row r="65" spans="2:20" ht="23.1" customHeight="1" x14ac:dyDescent="0.25">
      <c r="B65" s="45" t="s">
        <v>158</v>
      </c>
      <c r="C65" s="50">
        <v>67</v>
      </c>
      <c r="D65" s="50">
        <v>12</v>
      </c>
      <c r="E65" s="50">
        <v>6</v>
      </c>
      <c r="F65" s="50">
        <v>26</v>
      </c>
      <c r="G65" s="50">
        <v>0</v>
      </c>
      <c r="H65" s="50">
        <v>0</v>
      </c>
      <c r="I65" s="50">
        <v>7</v>
      </c>
      <c r="J65" s="50">
        <v>0</v>
      </c>
      <c r="K65" s="50">
        <v>0</v>
      </c>
      <c r="L65" s="50">
        <v>0</v>
      </c>
      <c r="M65" s="50">
        <v>130</v>
      </c>
      <c r="N65" s="50">
        <v>0</v>
      </c>
      <c r="O65" s="15">
        <f t="shared" si="0"/>
        <v>118</v>
      </c>
      <c r="P65" s="15">
        <f t="shared" si="1"/>
        <v>248</v>
      </c>
      <c r="R65" s="8"/>
      <c r="T65"/>
    </row>
    <row r="66" spans="2:20" ht="23.1" customHeight="1" x14ac:dyDescent="0.25">
      <c r="B66" s="45" t="s">
        <v>103</v>
      </c>
      <c r="C66" s="50">
        <v>22</v>
      </c>
      <c r="D66" s="50">
        <v>2</v>
      </c>
      <c r="E66" s="50">
        <v>0</v>
      </c>
      <c r="F66" s="50">
        <v>37</v>
      </c>
      <c r="G66" s="50">
        <v>0</v>
      </c>
      <c r="H66" s="50">
        <v>0</v>
      </c>
      <c r="I66" s="50">
        <v>5</v>
      </c>
      <c r="J66" s="50">
        <v>1</v>
      </c>
      <c r="K66" s="50">
        <v>0</v>
      </c>
      <c r="L66" s="50">
        <v>0</v>
      </c>
      <c r="M66" s="50">
        <v>180</v>
      </c>
      <c r="N66" s="50">
        <v>0</v>
      </c>
      <c r="O66" s="15">
        <f t="shared" si="0"/>
        <v>67</v>
      </c>
      <c r="P66" s="15">
        <f t="shared" si="1"/>
        <v>247</v>
      </c>
      <c r="R66" s="8"/>
      <c r="T66"/>
    </row>
    <row r="67" spans="2:20" ht="23.1" customHeight="1" x14ac:dyDescent="0.25">
      <c r="B67" s="45" t="s">
        <v>104</v>
      </c>
      <c r="C67" s="50">
        <v>35</v>
      </c>
      <c r="D67" s="50">
        <v>7</v>
      </c>
      <c r="E67" s="50">
        <v>2</v>
      </c>
      <c r="F67" s="50">
        <v>45</v>
      </c>
      <c r="G67" s="50">
        <v>0</v>
      </c>
      <c r="H67" s="50">
        <v>0</v>
      </c>
      <c r="I67" s="50">
        <v>1</v>
      </c>
      <c r="J67" s="50">
        <v>1</v>
      </c>
      <c r="K67" s="50">
        <v>0</v>
      </c>
      <c r="L67" s="50">
        <v>0</v>
      </c>
      <c r="M67" s="50">
        <v>95</v>
      </c>
      <c r="N67" s="50">
        <v>0</v>
      </c>
      <c r="O67" s="15">
        <f t="shared" si="0"/>
        <v>91</v>
      </c>
      <c r="P67" s="15">
        <f t="shared" si="1"/>
        <v>186</v>
      </c>
      <c r="R67" s="8"/>
      <c r="T67"/>
    </row>
    <row r="68" spans="2:20" ht="23.1" customHeight="1" x14ac:dyDescent="0.25">
      <c r="B68" s="45" t="s">
        <v>105</v>
      </c>
      <c r="C68" s="50">
        <v>47</v>
      </c>
      <c r="D68" s="50">
        <v>9</v>
      </c>
      <c r="E68" s="50">
        <v>6</v>
      </c>
      <c r="F68" s="50">
        <v>27</v>
      </c>
      <c r="G68" s="50">
        <v>0</v>
      </c>
      <c r="H68" s="50">
        <v>0</v>
      </c>
      <c r="I68" s="50">
        <v>0</v>
      </c>
      <c r="J68" s="50">
        <v>1</v>
      </c>
      <c r="K68" s="50">
        <v>2</v>
      </c>
      <c r="L68" s="50">
        <v>0</v>
      </c>
      <c r="M68" s="50">
        <v>100</v>
      </c>
      <c r="N68" s="50">
        <v>0</v>
      </c>
      <c r="O68" s="15">
        <f t="shared" si="0"/>
        <v>92</v>
      </c>
      <c r="P68" s="15">
        <f t="shared" si="1"/>
        <v>192</v>
      </c>
      <c r="R68" s="8"/>
      <c r="T68"/>
    </row>
    <row r="69" spans="2:20" ht="23.1" customHeight="1" x14ac:dyDescent="0.25">
      <c r="B69" s="45" t="s">
        <v>106</v>
      </c>
      <c r="C69" s="50">
        <v>33</v>
      </c>
      <c r="D69" s="50">
        <v>7</v>
      </c>
      <c r="E69" s="50">
        <v>1</v>
      </c>
      <c r="F69" s="50">
        <v>23</v>
      </c>
      <c r="G69" s="50">
        <v>0</v>
      </c>
      <c r="H69" s="50">
        <v>0</v>
      </c>
      <c r="I69" s="50">
        <v>1</v>
      </c>
      <c r="J69" s="50">
        <v>0</v>
      </c>
      <c r="K69" s="50">
        <v>1</v>
      </c>
      <c r="L69" s="50">
        <v>0</v>
      </c>
      <c r="M69" s="50">
        <v>72</v>
      </c>
      <c r="N69" s="50">
        <v>0</v>
      </c>
      <c r="O69" s="15">
        <f t="shared" si="0"/>
        <v>66</v>
      </c>
      <c r="P69" s="15">
        <f t="shared" si="1"/>
        <v>138</v>
      </c>
      <c r="R69" s="8"/>
      <c r="T69"/>
    </row>
    <row r="70" spans="2:20" ht="23.1" customHeight="1" x14ac:dyDescent="0.25">
      <c r="B70" s="45" t="s">
        <v>110</v>
      </c>
      <c r="C70" s="50">
        <v>60</v>
      </c>
      <c r="D70" s="50">
        <v>3</v>
      </c>
      <c r="E70" s="50">
        <v>2</v>
      </c>
      <c r="F70" s="50">
        <v>35</v>
      </c>
      <c r="G70" s="50">
        <v>0</v>
      </c>
      <c r="H70" s="50">
        <v>0</v>
      </c>
      <c r="I70" s="50">
        <v>4</v>
      </c>
      <c r="J70" s="50">
        <v>1</v>
      </c>
      <c r="K70" s="50">
        <v>1</v>
      </c>
      <c r="L70" s="50">
        <v>0</v>
      </c>
      <c r="M70" s="50">
        <v>125</v>
      </c>
      <c r="N70" s="50">
        <v>0</v>
      </c>
      <c r="O70" s="15">
        <f t="shared" si="0"/>
        <v>106</v>
      </c>
      <c r="P70" s="15">
        <f t="shared" si="1"/>
        <v>231</v>
      </c>
      <c r="R70" s="8"/>
      <c r="T70"/>
    </row>
    <row r="71" spans="2:20" ht="23.1" customHeight="1" x14ac:dyDescent="0.25">
      <c r="B71" s="45" t="s">
        <v>111</v>
      </c>
      <c r="C71" s="50">
        <v>70</v>
      </c>
      <c r="D71" s="50">
        <v>4</v>
      </c>
      <c r="E71" s="50">
        <v>1</v>
      </c>
      <c r="F71" s="50">
        <v>50</v>
      </c>
      <c r="G71" s="50">
        <v>0</v>
      </c>
      <c r="H71" s="50">
        <v>0</v>
      </c>
      <c r="I71" s="50">
        <v>3</v>
      </c>
      <c r="J71" s="50">
        <v>0</v>
      </c>
      <c r="K71" s="50">
        <v>0</v>
      </c>
      <c r="L71" s="50">
        <v>0</v>
      </c>
      <c r="M71" s="50">
        <v>85</v>
      </c>
      <c r="N71" s="50">
        <v>0</v>
      </c>
      <c r="O71" s="15">
        <f t="shared" si="0"/>
        <v>128</v>
      </c>
      <c r="P71" s="15">
        <f t="shared" si="1"/>
        <v>213</v>
      </c>
      <c r="R71" s="8"/>
      <c r="T71"/>
    </row>
    <row r="72" spans="2:20" ht="23.1" customHeight="1" x14ac:dyDescent="0.25">
      <c r="B72" s="45" t="s">
        <v>112</v>
      </c>
      <c r="C72" s="50">
        <v>55</v>
      </c>
      <c r="D72" s="50">
        <v>9</v>
      </c>
      <c r="E72" s="50">
        <v>0</v>
      </c>
      <c r="F72" s="50">
        <v>50</v>
      </c>
      <c r="G72" s="50">
        <v>0</v>
      </c>
      <c r="H72" s="50">
        <v>0</v>
      </c>
      <c r="I72" s="50">
        <v>2</v>
      </c>
      <c r="J72" s="50">
        <v>0</v>
      </c>
      <c r="K72" s="50">
        <v>0</v>
      </c>
      <c r="L72" s="50">
        <v>0</v>
      </c>
      <c r="M72" s="50">
        <v>85</v>
      </c>
      <c r="N72" s="50">
        <v>0</v>
      </c>
      <c r="O72" s="15">
        <f t="shared" si="0"/>
        <v>116</v>
      </c>
      <c r="P72" s="15">
        <f t="shared" si="1"/>
        <v>201</v>
      </c>
      <c r="R72" s="8"/>
      <c r="T72"/>
    </row>
    <row r="73" spans="2:20" ht="23.1" customHeight="1" x14ac:dyDescent="0.25">
      <c r="B73" s="45" t="s">
        <v>113</v>
      </c>
      <c r="C73" s="50">
        <v>30</v>
      </c>
      <c r="D73" s="50">
        <v>15</v>
      </c>
      <c r="E73" s="50">
        <v>2</v>
      </c>
      <c r="F73" s="50">
        <v>30</v>
      </c>
      <c r="G73" s="50">
        <v>0</v>
      </c>
      <c r="H73" s="50">
        <v>0</v>
      </c>
      <c r="I73" s="50">
        <v>0</v>
      </c>
      <c r="J73" s="50">
        <v>2</v>
      </c>
      <c r="K73" s="50">
        <v>0</v>
      </c>
      <c r="L73" s="50">
        <v>0</v>
      </c>
      <c r="M73" s="50">
        <v>70</v>
      </c>
      <c r="N73" s="50">
        <v>0</v>
      </c>
      <c r="O73" s="15">
        <f t="shared" si="0"/>
        <v>79</v>
      </c>
      <c r="P73" s="15">
        <f t="shared" si="1"/>
        <v>149</v>
      </c>
      <c r="R73" s="8"/>
      <c r="T73"/>
    </row>
    <row r="74" spans="2:20" ht="23.1" customHeight="1" x14ac:dyDescent="0.25">
      <c r="B74" s="45" t="s">
        <v>114</v>
      </c>
      <c r="C74" s="50">
        <v>40</v>
      </c>
      <c r="D74" s="50">
        <v>2</v>
      </c>
      <c r="E74" s="50">
        <v>1</v>
      </c>
      <c r="F74" s="50">
        <v>30</v>
      </c>
      <c r="G74" s="50">
        <v>1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55</v>
      </c>
      <c r="N74" s="50">
        <v>0</v>
      </c>
      <c r="O74" s="15">
        <f t="shared" ref="O74:O105" si="35">SUM(C74:L74,N74)</f>
        <v>74</v>
      </c>
      <c r="P74" s="15">
        <f t="shared" ref="P74:P105" si="36">SUM(C74:N74)</f>
        <v>129</v>
      </c>
      <c r="R74" s="8"/>
      <c r="T74"/>
    </row>
    <row r="75" spans="2:20" ht="23.1" customHeight="1" x14ac:dyDescent="0.25">
      <c r="B75" s="45" t="s">
        <v>115</v>
      </c>
      <c r="C75" s="50">
        <v>30</v>
      </c>
      <c r="D75" s="50">
        <v>2</v>
      </c>
      <c r="E75" s="50">
        <v>1</v>
      </c>
      <c r="F75" s="50">
        <v>30</v>
      </c>
      <c r="G75" s="50">
        <v>0</v>
      </c>
      <c r="H75" s="50">
        <v>0</v>
      </c>
      <c r="I75" s="50">
        <v>1</v>
      </c>
      <c r="J75" s="50">
        <v>2</v>
      </c>
      <c r="K75" s="50">
        <v>0</v>
      </c>
      <c r="L75" s="50">
        <v>0</v>
      </c>
      <c r="M75" s="50">
        <v>65</v>
      </c>
      <c r="N75" s="50">
        <v>0</v>
      </c>
      <c r="O75" s="15">
        <f t="shared" si="35"/>
        <v>66</v>
      </c>
      <c r="P75" s="15">
        <f t="shared" si="36"/>
        <v>131</v>
      </c>
      <c r="R75" s="8"/>
      <c r="T75"/>
    </row>
    <row r="76" spans="2:20" ht="23.1" customHeight="1" x14ac:dyDescent="0.25">
      <c r="B76" s="45" t="s">
        <v>116</v>
      </c>
      <c r="C76" s="50">
        <v>25</v>
      </c>
      <c r="D76" s="50">
        <v>5</v>
      </c>
      <c r="E76" s="50">
        <v>0</v>
      </c>
      <c r="F76" s="50">
        <v>22</v>
      </c>
      <c r="G76" s="50">
        <v>0</v>
      </c>
      <c r="H76" s="50">
        <v>0</v>
      </c>
      <c r="I76" s="50">
        <v>3</v>
      </c>
      <c r="J76" s="50">
        <v>1</v>
      </c>
      <c r="K76" s="50">
        <v>0</v>
      </c>
      <c r="L76" s="50">
        <v>0</v>
      </c>
      <c r="M76" s="50">
        <v>60</v>
      </c>
      <c r="N76" s="50">
        <v>0</v>
      </c>
      <c r="O76" s="15">
        <f t="shared" si="35"/>
        <v>56</v>
      </c>
      <c r="P76" s="15">
        <f t="shared" si="36"/>
        <v>116</v>
      </c>
      <c r="R76" s="8"/>
      <c r="T76"/>
    </row>
    <row r="77" spans="2:20" ht="23.1" customHeight="1" x14ac:dyDescent="0.25">
      <c r="B77" s="45" t="s">
        <v>117</v>
      </c>
      <c r="C77" s="50">
        <v>36</v>
      </c>
      <c r="D77" s="50">
        <v>4</v>
      </c>
      <c r="E77" s="50">
        <v>1</v>
      </c>
      <c r="F77" s="50">
        <v>20</v>
      </c>
      <c r="G77" s="50">
        <v>0</v>
      </c>
      <c r="H77" s="50">
        <v>0</v>
      </c>
      <c r="I77" s="50">
        <v>0</v>
      </c>
      <c r="J77" s="50">
        <v>1</v>
      </c>
      <c r="K77" s="50">
        <v>0</v>
      </c>
      <c r="L77" s="50">
        <v>0</v>
      </c>
      <c r="M77" s="50">
        <v>70</v>
      </c>
      <c r="N77" s="50">
        <v>0</v>
      </c>
      <c r="O77" s="15">
        <f t="shared" si="35"/>
        <v>62</v>
      </c>
      <c r="P77" s="15">
        <f t="shared" si="36"/>
        <v>132</v>
      </c>
      <c r="R77" s="8"/>
      <c r="T77"/>
    </row>
    <row r="78" spans="2:20" ht="23.1" customHeight="1" x14ac:dyDescent="0.25">
      <c r="B78" s="46" t="s">
        <v>118</v>
      </c>
      <c r="C78" s="50">
        <v>50</v>
      </c>
      <c r="D78" s="50">
        <v>8</v>
      </c>
      <c r="E78" s="50">
        <v>0</v>
      </c>
      <c r="F78" s="50">
        <v>35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63</v>
      </c>
      <c r="N78" s="50">
        <v>0</v>
      </c>
      <c r="O78" s="15">
        <f t="shared" si="35"/>
        <v>93</v>
      </c>
      <c r="P78" s="15">
        <f t="shared" si="36"/>
        <v>156</v>
      </c>
      <c r="R78" s="8"/>
      <c r="T78"/>
    </row>
    <row r="79" spans="2:20" ht="23.1" customHeight="1" x14ac:dyDescent="0.25">
      <c r="B79" s="45" t="s">
        <v>119</v>
      </c>
      <c r="C79" s="50">
        <v>45</v>
      </c>
      <c r="D79" s="50">
        <v>2</v>
      </c>
      <c r="E79" s="50">
        <v>2</v>
      </c>
      <c r="F79" s="50">
        <v>30</v>
      </c>
      <c r="G79" s="50">
        <v>0</v>
      </c>
      <c r="H79" s="50">
        <v>0</v>
      </c>
      <c r="I79" s="50">
        <v>2</v>
      </c>
      <c r="J79" s="50">
        <v>3</v>
      </c>
      <c r="K79" s="50">
        <v>0</v>
      </c>
      <c r="L79" s="50">
        <v>0</v>
      </c>
      <c r="M79" s="50">
        <v>50</v>
      </c>
      <c r="N79" s="50">
        <v>0</v>
      </c>
      <c r="O79" s="15">
        <f t="shared" si="35"/>
        <v>84</v>
      </c>
      <c r="P79" s="15">
        <f t="shared" si="36"/>
        <v>134</v>
      </c>
      <c r="R79" s="8"/>
      <c r="T79"/>
    </row>
    <row r="80" spans="2:20" ht="23.1" customHeight="1" x14ac:dyDescent="0.25">
      <c r="B80" s="47" t="s">
        <v>120</v>
      </c>
      <c r="C80" s="50">
        <v>40</v>
      </c>
      <c r="D80" s="50">
        <v>12</v>
      </c>
      <c r="E80" s="50">
        <v>2</v>
      </c>
      <c r="F80" s="50">
        <v>60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40</v>
      </c>
      <c r="N80" s="50">
        <v>0</v>
      </c>
      <c r="O80" s="15">
        <f t="shared" si="35"/>
        <v>114</v>
      </c>
      <c r="P80" s="15">
        <f t="shared" si="36"/>
        <v>154</v>
      </c>
      <c r="R80" s="8"/>
      <c r="T80"/>
    </row>
    <row r="81" spans="2:20" ht="23.1" customHeight="1" x14ac:dyDescent="0.25">
      <c r="B81" s="45" t="s">
        <v>121</v>
      </c>
      <c r="C81" s="50">
        <v>35</v>
      </c>
      <c r="D81" s="50">
        <v>15</v>
      </c>
      <c r="E81" s="50">
        <v>1</v>
      </c>
      <c r="F81" s="50">
        <v>40</v>
      </c>
      <c r="G81" s="50">
        <v>0</v>
      </c>
      <c r="H81" s="50">
        <v>0</v>
      </c>
      <c r="I81" s="50">
        <v>2</v>
      </c>
      <c r="J81" s="50">
        <v>0</v>
      </c>
      <c r="K81" s="50">
        <v>0</v>
      </c>
      <c r="L81" s="50">
        <v>0</v>
      </c>
      <c r="M81" s="50">
        <v>55</v>
      </c>
      <c r="N81" s="50">
        <v>0</v>
      </c>
      <c r="O81" s="15">
        <f t="shared" si="35"/>
        <v>93</v>
      </c>
      <c r="P81" s="15">
        <f t="shared" si="36"/>
        <v>148</v>
      </c>
      <c r="R81" s="8"/>
      <c r="T81"/>
    </row>
    <row r="82" spans="2:20" ht="23.1" customHeight="1" x14ac:dyDescent="0.25">
      <c r="B82" s="46" t="s">
        <v>122</v>
      </c>
      <c r="C82" s="50">
        <v>50</v>
      </c>
      <c r="D82" s="50">
        <v>2</v>
      </c>
      <c r="E82" s="50">
        <v>0</v>
      </c>
      <c r="F82" s="50">
        <v>5</v>
      </c>
      <c r="G82" s="50">
        <v>0</v>
      </c>
      <c r="H82" s="50">
        <v>1</v>
      </c>
      <c r="I82" s="50">
        <v>0</v>
      </c>
      <c r="J82" s="50">
        <v>0</v>
      </c>
      <c r="K82" s="50">
        <v>0</v>
      </c>
      <c r="L82" s="50">
        <v>0</v>
      </c>
      <c r="M82" s="50">
        <v>50</v>
      </c>
      <c r="N82" s="50">
        <v>0</v>
      </c>
      <c r="O82" s="15">
        <f t="shared" si="35"/>
        <v>58</v>
      </c>
      <c r="P82" s="15">
        <f t="shared" si="36"/>
        <v>108</v>
      </c>
      <c r="R82" s="8"/>
      <c r="T82"/>
    </row>
    <row r="83" spans="2:20" ht="23.1" customHeight="1" x14ac:dyDescent="0.25">
      <c r="B83" s="45" t="s">
        <v>123</v>
      </c>
      <c r="C83" s="50">
        <v>30</v>
      </c>
      <c r="D83" s="50">
        <v>5</v>
      </c>
      <c r="E83" s="50">
        <v>2</v>
      </c>
      <c r="F83" s="50">
        <v>20</v>
      </c>
      <c r="G83" s="50">
        <v>0</v>
      </c>
      <c r="H83" s="50">
        <v>0</v>
      </c>
      <c r="I83" s="50">
        <v>2</v>
      </c>
      <c r="J83" s="50">
        <v>0</v>
      </c>
      <c r="K83" s="50">
        <v>0</v>
      </c>
      <c r="L83" s="50">
        <v>0</v>
      </c>
      <c r="M83" s="50">
        <v>50</v>
      </c>
      <c r="N83" s="50">
        <v>0</v>
      </c>
      <c r="O83" s="15">
        <f t="shared" si="35"/>
        <v>59</v>
      </c>
      <c r="P83" s="15">
        <f t="shared" si="36"/>
        <v>109</v>
      </c>
      <c r="R83" s="8"/>
      <c r="T83"/>
    </row>
    <row r="84" spans="2:20" ht="23.1" customHeight="1" x14ac:dyDescent="0.25">
      <c r="B84" s="47" t="s">
        <v>124</v>
      </c>
      <c r="C84" s="50">
        <v>61</v>
      </c>
      <c r="D84" s="50">
        <v>11</v>
      </c>
      <c r="E84" s="50">
        <v>0</v>
      </c>
      <c r="F84" s="50">
        <v>23</v>
      </c>
      <c r="G84" s="50">
        <v>0</v>
      </c>
      <c r="H84" s="50">
        <v>0</v>
      </c>
      <c r="I84" s="50">
        <v>0</v>
      </c>
      <c r="J84" s="50">
        <v>1</v>
      </c>
      <c r="K84" s="50">
        <v>0</v>
      </c>
      <c r="L84" s="50">
        <v>0</v>
      </c>
      <c r="M84" s="50">
        <v>35</v>
      </c>
      <c r="N84" s="50">
        <v>0</v>
      </c>
      <c r="O84" s="15">
        <f t="shared" si="35"/>
        <v>96</v>
      </c>
      <c r="P84" s="15">
        <f t="shared" si="36"/>
        <v>131</v>
      </c>
      <c r="R84" s="8"/>
      <c r="T84"/>
    </row>
    <row r="85" spans="2:20" ht="23.1" customHeight="1" x14ac:dyDescent="0.25">
      <c r="B85" s="45" t="s">
        <v>125</v>
      </c>
      <c r="C85" s="50">
        <v>35</v>
      </c>
      <c r="D85" s="50">
        <v>7</v>
      </c>
      <c r="E85" s="50">
        <v>1</v>
      </c>
      <c r="F85" s="50">
        <v>22</v>
      </c>
      <c r="G85" s="50">
        <v>0</v>
      </c>
      <c r="H85" s="50">
        <v>0</v>
      </c>
      <c r="I85" s="50">
        <v>0</v>
      </c>
      <c r="J85" s="50">
        <v>2</v>
      </c>
      <c r="K85" s="50">
        <v>0</v>
      </c>
      <c r="L85" s="50">
        <v>0</v>
      </c>
      <c r="M85" s="50">
        <v>45</v>
      </c>
      <c r="N85" s="50">
        <v>0</v>
      </c>
      <c r="O85" s="15">
        <f t="shared" si="35"/>
        <v>67</v>
      </c>
      <c r="P85" s="15">
        <f t="shared" si="36"/>
        <v>112</v>
      </c>
      <c r="R85" s="8"/>
      <c r="T85"/>
    </row>
    <row r="86" spans="2:20" ht="23.1" customHeight="1" x14ac:dyDescent="0.25">
      <c r="B86" s="46" t="s">
        <v>126</v>
      </c>
      <c r="C86" s="50">
        <v>26</v>
      </c>
      <c r="D86" s="50">
        <v>0</v>
      </c>
      <c r="E86" s="50">
        <v>0</v>
      </c>
      <c r="F86" s="50">
        <v>9</v>
      </c>
      <c r="G86" s="50">
        <v>0</v>
      </c>
      <c r="H86" s="50">
        <v>0</v>
      </c>
      <c r="I86" s="50">
        <v>0</v>
      </c>
      <c r="J86" s="50">
        <v>0</v>
      </c>
      <c r="K86" s="50">
        <v>1</v>
      </c>
      <c r="L86" s="50">
        <v>0</v>
      </c>
      <c r="M86" s="50">
        <v>40</v>
      </c>
      <c r="N86" s="50">
        <v>0</v>
      </c>
      <c r="O86" s="15">
        <f t="shared" si="35"/>
        <v>36</v>
      </c>
      <c r="P86" s="15">
        <f t="shared" si="36"/>
        <v>76</v>
      </c>
      <c r="R86" s="8"/>
      <c r="T86"/>
    </row>
    <row r="87" spans="2:20" ht="23.1" customHeight="1" x14ac:dyDescent="0.25">
      <c r="B87" s="45" t="s">
        <v>127</v>
      </c>
      <c r="C87" s="50">
        <v>15</v>
      </c>
      <c r="D87" s="50">
        <v>0</v>
      </c>
      <c r="E87" s="50">
        <v>0</v>
      </c>
      <c r="F87" s="50">
        <v>2</v>
      </c>
      <c r="G87" s="50">
        <v>0</v>
      </c>
      <c r="H87" s="50">
        <v>0</v>
      </c>
      <c r="I87" s="50">
        <v>1</v>
      </c>
      <c r="J87" s="50">
        <v>0</v>
      </c>
      <c r="K87" s="50">
        <v>0</v>
      </c>
      <c r="L87" s="50">
        <v>0</v>
      </c>
      <c r="M87" s="50">
        <v>30</v>
      </c>
      <c r="N87" s="50">
        <v>0</v>
      </c>
      <c r="O87" s="15">
        <f t="shared" si="35"/>
        <v>18</v>
      </c>
      <c r="P87" s="15">
        <f t="shared" si="36"/>
        <v>48</v>
      </c>
      <c r="R87" s="8"/>
      <c r="T87"/>
    </row>
    <row r="88" spans="2:20" ht="23.1" customHeight="1" x14ac:dyDescent="0.25">
      <c r="B88" s="47" t="s">
        <v>128</v>
      </c>
      <c r="C88" s="50">
        <v>17</v>
      </c>
      <c r="D88" s="50">
        <v>1</v>
      </c>
      <c r="E88" s="50">
        <v>1</v>
      </c>
      <c r="F88" s="50">
        <v>10</v>
      </c>
      <c r="G88" s="50">
        <v>0</v>
      </c>
      <c r="H88" s="50">
        <v>0</v>
      </c>
      <c r="I88" s="50">
        <v>1</v>
      </c>
      <c r="J88" s="50">
        <v>0</v>
      </c>
      <c r="K88" s="50">
        <v>2</v>
      </c>
      <c r="L88" s="50">
        <v>0</v>
      </c>
      <c r="M88" s="50">
        <v>20</v>
      </c>
      <c r="N88" s="50">
        <v>0</v>
      </c>
      <c r="O88" s="15">
        <f t="shared" si="35"/>
        <v>32</v>
      </c>
      <c r="P88" s="15">
        <f t="shared" si="36"/>
        <v>52</v>
      </c>
      <c r="R88" s="8"/>
      <c r="T88"/>
    </row>
    <row r="89" spans="2:20" ht="23.1" customHeight="1" x14ac:dyDescent="0.25">
      <c r="B89" s="45" t="s">
        <v>129</v>
      </c>
      <c r="C89" s="50">
        <v>15</v>
      </c>
      <c r="D89" s="50">
        <v>3</v>
      </c>
      <c r="E89" s="50">
        <v>0</v>
      </c>
      <c r="F89" s="50">
        <v>4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v>0</v>
      </c>
      <c r="M89" s="50">
        <v>50</v>
      </c>
      <c r="N89" s="50">
        <v>0</v>
      </c>
      <c r="O89" s="15">
        <f t="shared" si="35"/>
        <v>23</v>
      </c>
      <c r="P89" s="15">
        <f t="shared" si="36"/>
        <v>73</v>
      </c>
      <c r="R89" s="8"/>
      <c r="T89"/>
    </row>
    <row r="90" spans="2:20" ht="23.1" customHeight="1" x14ac:dyDescent="0.25">
      <c r="B90" s="46" t="s">
        <v>130</v>
      </c>
      <c r="C90" s="50">
        <v>11</v>
      </c>
      <c r="D90" s="50">
        <v>1</v>
      </c>
      <c r="E90" s="50">
        <v>0</v>
      </c>
      <c r="F90" s="50">
        <v>12</v>
      </c>
      <c r="G90" s="50">
        <v>1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40</v>
      </c>
      <c r="N90" s="50">
        <v>0</v>
      </c>
      <c r="O90" s="15">
        <f t="shared" si="35"/>
        <v>25</v>
      </c>
      <c r="P90" s="15">
        <f t="shared" si="36"/>
        <v>65</v>
      </c>
      <c r="R90" s="8"/>
      <c r="T90"/>
    </row>
    <row r="91" spans="2:20" ht="23.1" customHeight="1" x14ac:dyDescent="0.25">
      <c r="B91" s="45" t="s">
        <v>131</v>
      </c>
      <c r="C91" s="50">
        <v>25</v>
      </c>
      <c r="D91" s="50">
        <v>0</v>
      </c>
      <c r="E91" s="50">
        <v>0</v>
      </c>
      <c r="F91" s="50">
        <v>2</v>
      </c>
      <c r="G91" s="50">
        <v>0</v>
      </c>
      <c r="H91" s="50">
        <v>0</v>
      </c>
      <c r="I91" s="50">
        <v>2</v>
      </c>
      <c r="J91" s="50">
        <v>0</v>
      </c>
      <c r="K91" s="50">
        <v>0</v>
      </c>
      <c r="L91" s="50">
        <v>0</v>
      </c>
      <c r="M91" s="50">
        <v>35</v>
      </c>
      <c r="N91" s="50">
        <v>0</v>
      </c>
      <c r="O91" s="15">
        <f t="shared" si="35"/>
        <v>29</v>
      </c>
      <c r="P91" s="15">
        <f t="shared" si="36"/>
        <v>64</v>
      </c>
      <c r="R91" s="8"/>
      <c r="T91"/>
    </row>
    <row r="92" spans="2:20" ht="23.1" customHeight="1" x14ac:dyDescent="0.25">
      <c r="B92" s="47" t="s">
        <v>132</v>
      </c>
      <c r="C92" s="50">
        <v>17</v>
      </c>
      <c r="D92" s="50">
        <v>0</v>
      </c>
      <c r="E92" s="50">
        <v>1</v>
      </c>
      <c r="F92" s="50">
        <v>3</v>
      </c>
      <c r="G92" s="50">
        <v>0</v>
      </c>
      <c r="H92" s="50">
        <v>0</v>
      </c>
      <c r="I92" s="50">
        <v>2</v>
      </c>
      <c r="J92" s="50">
        <v>0</v>
      </c>
      <c r="K92" s="50">
        <v>0</v>
      </c>
      <c r="L92" s="50">
        <v>0</v>
      </c>
      <c r="M92" s="50">
        <v>40</v>
      </c>
      <c r="N92" s="50">
        <v>0</v>
      </c>
      <c r="O92" s="15">
        <f t="shared" si="35"/>
        <v>23</v>
      </c>
      <c r="P92" s="15">
        <f t="shared" si="36"/>
        <v>63</v>
      </c>
      <c r="R92" s="8"/>
      <c r="T92"/>
    </row>
    <row r="93" spans="2:20" ht="23.1" customHeight="1" x14ac:dyDescent="0.25">
      <c r="B93" s="45" t="s">
        <v>133</v>
      </c>
      <c r="C93" s="50">
        <v>7</v>
      </c>
      <c r="D93" s="50">
        <v>1</v>
      </c>
      <c r="E93" s="50">
        <v>0</v>
      </c>
      <c r="F93" s="50">
        <v>1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33</v>
      </c>
      <c r="N93" s="50">
        <v>0</v>
      </c>
      <c r="O93" s="15">
        <f t="shared" si="35"/>
        <v>9</v>
      </c>
      <c r="P93" s="15">
        <f t="shared" si="36"/>
        <v>42</v>
      </c>
      <c r="R93" s="8"/>
      <c r="T93"/>
    </row>
    <row r="94" spans="2:20" ht="23.1" customHeight="1" x14ac:dyDescent="0.25">
      <c r="B94" s="46" t="s">
        <v>134</v>
      </c>
      <c r="C94" s="50">
        <v>23</v>
      </c>
      <c r="D94" s="50">
        <v>2</v>
      </c>
      <c r="E94" s="50">
        <v>0</v>
      </c>
      <c r="F94" s="50">
        <v>6</v>
      </c>
      <c r="G94" s="50">
        <v>0</v>
      </c>
      <c r="H94" s="50">
        <v>1</v>
      </c>
      <c r="I94" s="50">
        <v>0</v>
      </c>
      <c r="J94" s="50">
        <v>0</v>
      </c>
      <c r="K94" s="50">
        <v>1</v>
      </c>
      <c r="L94" s="50">
        <v>0</v>
      </c>
      <c r="M94" s="50">
        <v>60</v>
      </c>
      <c r="N94" s="50">
        <v>0</v>
      </c>
      <c r="O94" s="15">
        <f t="shared" si="35"/>
        <v>33</v>
      </c>
      <c r="P94" s="15">
        <f t="shared" si="36"/>
        <v>93</v>
      </c>
      <c r="R94" s="8"/>
      <c r="T94"/>
    </row>
    <row r="95" spans="2:20" ht="23.1" customHeight="1" x14ac:dyDescent="0.25">
      <c r="B95" s="45" t="s">
        <v>135</v>
      </c>
      <c r="C95" s="50">
        <v>19</v>
      </c>
      <c r="D95" s="50">
        <v>0</v>
      </c>
      <c r="E95" s="50">
        <v>0</v>
      </c>
      <c r="F95" s="50">
        <v>1</v>
      </c>
      <c r="G95" s="50">
        <v>0</v>
      </c>
      <c r="H95" s="50">
        <v>0</v>
      </c>
      <c r="I95" s="50">
        <v>0</v>
      </c>
      <c r="J95" s="50">
        <v>1</v>
      </c>
      <c r="K95" s="50">
        <v>2</v>
      </c>
      <c r="L95" s="50">
        <v>0</v>
      </c>
      <c r="M95" s="50">
        <v>61</v>
      </c>
      <c r="N95" s="50">
        <v>0</v>
      </c>
      <c r="O95" s="15">
        <f t="shared" si="35"/>
        <v>23</v>
      </c>
      <c r="P95" s="15">
        <f t="shared" si="36"/>
        <v>84</v>
      </c>
      <c r="R95" s="8"/>
      <c r="T95"/>
    </row>
    <row r="96" spans="2:20" ht="23.1" customHeight="1" x14ac:dyDescent="0.25">
      <c r="B96" s="47" t="s">
        <v>136</v>
      </c>
      <c r="C96" s="50">
        <v>16</v>
      </c>
      <c r="D96" s="50">
        <v>1</v>
      </c>
      <c r="E96" s="50">
        <v>1</v>
      </c>
      <c r="F96" s="50">
        <v>1</v>
      </c>
      <c r="G96" s="50">
        <v>0</v>
      </c>
      <c r="H96" s="50">
        <v>0</v>
      </c>
      <c r="I96" s="50">
        <v>0</v>
      </c>
      <c r="J96" s="50">
        <v>0</v>
      </c>
      <c r="K96" s="50">
        <v>2</v>
      </c>
      <c r="L96" s="50">
        <v>0</v>
      </c>
      <c r="M96" s="50">
        <v>30</v>
      </c>
      <c r="N96" s="50">
        <v>0</v>
      </c>
      <c r="O96" s="15">
        <f t="shared" si="35"/>
        <v>21</v>
      </c>
      <c r="P96" s="15">
        <f t="shared" si="36"/>
        <v>51</v>
      </c>
      <c r="R96" s="8"/>
      <c r="T96"/>
    </row>
    <row r="97" spans="2:20" ht="23.1" customHeight="1" x14ac:dyDescent="0.25">
      <c r="B97" s="45" t="s">
        <v>137</v>
      </c>
      <c r="C97" s="50">
        <v>8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23</v>
      </c>
      <c r="N97" s="50">
        <v>0</v>
      </c>
      <c r="O97" s="15">
        <f t="shared" si="35"/>
        <v>8</v>
      </c>
      <c r="P97" s="15">
        <f t="shared" si="36"/>
        <v>31</v>
      </c>
      <c r="R97" s="8"/>
      <c r="T97"/>
    </row>
    <row r="98" spans="2:20" ht="23.1" customHeight="1" x14ac:dyDescent="0.25">
      <c r="B98" s="46" t="s">
        <v>138</v>
      </c>
      <c r="C98" s="50">
        <v>12</v>
      </c>
      <c r="D98" s="50">
        <v>1</v>
      </c>
      <c r="E98" s="50">
        <v>0</v>
      </c>
      <c r="F98" s="50">
        <v>3</v>
      </c>
      <c r="G98" s="50">
        <v>0</v>
      </c>
      <c r="H98" s="50">
        <v>0</v>
      </c>
      <c r="I98" s="50">
        <v>0</v>
      </c>
      <c r="J98" s="50">
        <v>0</v>
      </c>
      <c r="K98" s="50">
        <v>3</v>
      </c>
      <c r="L98" s="50">
        <v>0</v>
      </c>
      <c r="M98" s="50">
        <v>38</v>
      </c>
      <c r="N98" s="50">
        <v>0</v>
      </c>
      <c r="O98" s="15">
        <f t="shared" si="35"/>
        <v>19</v>
      </c>
      <c r="P98" s="15">
        <f t="shared" si="36"/>
        <v>57</v>
      </c>
      <c r="R98" s="8"/>
      <c r="T98"/>
    </row>
    <row r="99" spans="2:20" ht="23.1" customHeight="1" x14ac:dyDescent="0.25">
      <c r="B99" s="45" t="s">
        <v>139</v>
      </c>
      <c r="C99" s="50">
        <v>12</v>
      </c>
      <c r="D99" s="50">
        <v>0</v>
      </c>
      <c r="E99" s="50">
        <v>0</v>
      </c>
      <c r="F99" s="50">
        <v>2</v>
      </c>
      <c r="G99" s="50">
        <v>0</v>
      </c>
      <c r="H99" s="50">
        <v>0</v>
      </c>
      <c r="I99" s="50">
        <v>0</v>
      </c>
      <c r="J99" s="50">
        <v>0</v>
      </c>
      <c r="K99" s="50">
        <v>1</v>
      </c>
      <c r="L99" s="50">
        <v>0</v>
      </c>
      <c r="M99" s="50">
        <v>30</v>
      </c>
      <c r="N99" s="50">
        <v>0</v>
      </c>
      <c r="O99" s="15">
        <f t="shared" si="35"/>
        <v>15</v>
      </c>
      <c r="P99" s="15">
        <f t="shared" si="36"/>
        <v>45</v>
      </c>
      <c r="R99" s="8"/>
      <c r="T99"/>
    </row>
    <row r="100" spans="2:20" ht="23.1" customHeight="1" x14ac:dyDescent="0.25">
      <c r="B100" s="47" t="s">
        <v>140</v>
      </c>
      <c r="C100" s="50">
        <v>13</v>
      </c>
      <c r="D100" s="50">
        <v>4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3</v>
      </c>
      <c r="L100" s="50">
        <v>0</v>
      </c>
      <c r="M100" s="50">
        <v>48</v>
      </c>
      <c r="N100" s="50">
        <v>0</v>
      </c>
      <c r="O100" s="15">
        <f t="shared" si="35"/>
        <v>20</v>
      </c>
      <c r="P100" s="15">
        <f t="shared" si="36"/>
        <v>68</v>
      </c>
      <c r="R100" s="8"/>
      <c r="T100"/>
    </row>
    <row r="101" spans="2:20" ht="23.1" customHeight="1" x14ac:dyDescent="0.25">
      <c r="B101" s="45" t="s">
        <v>141</v>
      </c>
      <c r="C101" s="50">
        <v>10</v>
      </c>
      <c r="D101" s="50">
        <v>2</v>
      </c>
      <c r="E101" s="50">
        <v>0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2</v>
      </c>
      <c r="L101" s="50">
        <v>0</v>
      </c>
      <c r="M101" s="50">
        <v>20</v>
      </c>
      <c r="N101" s="50">
        <v>0</v>
      </c>
      <c r="O101" s="15">
        <f t="shared" si="35"/>
        <v>15</v>
      </c>
      <c r="P101" s="15">
        <f t="shared" si="36"/>
        <v>35</v>
      </c>
      <c r="R101" s="8"/>
      <c r="T101"/>
    </row>
    <row r="102" spans="2:20" ht="23.1" customHeight="1" x14ac:dyDescent="0.25">
      <c r="B102" s="46" t="s">
        <v>142</v>
      </c>
      <c r="C102" s="50">
        <v>14</v>
      </c>
      <c r="D102" s="50">
        <v>2</v>
      </c>
      <c r="E102" s="50">
        <v>3</v>
      </c>
      <c r="F102" s="50">
        <v>2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25</v>
      </c>
      <c r="N102" s="50">
        <v>0</v>
      </c>
      <c r="O102" s="15">
        <f t="shared" si="35"/>
        <v>21</v>
      </c>
      <c r="P102" s="15">
        <f t="shared" si="36"/>
        <v>46</v>
      </c>
      <c r="R102" s="8"/>
      <c r="T102"/>
    </row>
    <row r="103" spans="2:20" ht="23.1" customHeight="1" x14ac:dyDescent="0.25">
      <c r="B103" s="45" t="s">
        <v>143</v>
      </c>
      <c r="C103" s="50">
        <v>11</v>
      </c>
      <c r="D103" s="50">
        <v>0</v>
      </c>
      <c r="E103" s="50">
        <v>0</v>
      </c>
      <c r="F103" s="50">
        <v>1</v>
      </c>
      <c r="G103" s="50">
        <v>0</v>
      </c>
      <c r="H103" s="50">
        <v>0</v>
      </c>
      <c r="I103" s="50">
        <v>0</v>
      </c>
      <c r="J103" s="50">
        <v>0</v>
      </c>
      <c r="K103" s="50">
        <v>1</v>
      </c>
      <c r="L103" s="50">
        <v>0</v>
      </c>
      <c r="M103" s="50">
        <v>14</v>
      </c>
      <c r="N103" s="50">
        <v>0</v>
      </c>
      <c r="O103" s="15">
        <f t="shared" si="35"/>
        <v>13</v>
      </c>
      <c r="P103" s="15">
        <f t="shared" si="36"/>
        <v>27</v>
      </c>
      <c r="R103" s="8"/>
      <c r="T103"/>
    </row>
    <row r="104" spans="2:20" ht="23.1" customHeight="1" x14ac:dyDescent="0.25">
      <c r="B104" s="47" t="s">
        <v>144</v>
      </c>
      <c r="C104" s="50">
        <v>4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2</v>
      </c>
      <c r="L104" s="50">
        <v>0</v>
      </c>
      <c r="M104" s="50">
        <v>25</v>
      </c>
      <c r="N104" s="50">
        <v>0</v>
      </c>
      <c r="O104" s="15">
        <f t="shared" si="35"/>
        <v>6</v>
      </c>
      <c r="P104" s="15">
        <f t="shared" si="36"/>
        <v>31</v>
      </c>
      <c r="R104" s="8"/>
      <c r="T104"/>
    </row>
    <row r="105" spans="2:20" ht="23.1" customHeight="1" x14ac:dyDescent="0.25">
      <c r="B105" s="45" t="s">
        <v>145</v>
      </c>
      <c r="C105" s="50">
        <v>8</v>
      </c>
      <c r="D105" s="50">
        <v>2</v>
      </c>
      <c r="E105" s="50">
        <v>0</v>
      </c>
      <c r="F105" s="50">
        <v>1</v>
      </c>
      <c r="G105" s="50">
        <v>0</v>
      </c>
      <c r="H105" s="50">
        <v>0</v>
      </c>
      <c r="I105" s="50">
        <v>0</v>
      </c>
      <c r="J105" s="50">
        <v>1</v>
      </c>
      <c r="K105" s="50">
        <v>1</v>
      </c>
      <c r="L105" s="50">
        <v>0</v>
      </c>
      <c r="M105" s="50">
        <v>11</v>
      </c>
      <c r="N105" s="50">
        <v>0</v>
      </c>
      <c r="O105" s="15">
        <f t="shared" si="35"/>
        <v>13</v>
      </c>
      <c r="P105" s="15">
        <f t="shared" si="36"/>
        <v>24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2756</v>
      </c>
      <c r="D106" s="16">
        <f t="shared" ref="D106:P106" si="37">SUM(D10:D105)</f>
        <v>693</v>
      </c>
      <c r="E106" s="16">
        <f t="shared" si="37"/>
        <v>212</v>
      </c>
      <c r="F106" s="16">
        <f t="shared" si="37"/>
        <v>2584</v>
      </c>
      <c r="G106" s="16">
        <f t="shared" si="37"/>
        <v>39</v>
      </c>
      <c r="H106" s="16">
        <f t="shared" si="37"/>
        <v>6</v>
      </c>
      <c r="I106" s="16">
        <f t="shared" si="37"/>
        <v>215</v>
      </c>
      <c r="J106" s="16">
        <f t="shared" si="37"/>
        <v>60</v>
      </c>
      <c r="K106" s="16">
        <f t="shared" si="37"/>
        <v>49</v>
      </c>
      <c r="L106" s="16">
        <f t="shared" si="37"/>
        <v>0</v>
      </c>
      <c r="M106" s="16">
        <f t="shared" si="37"/>
        <v>8179</v>
      </c>
      <c r="N106" s="16">
        <f t="shared" si="37"/>
        <v>0</v>
      </c>
      <c r="O106" s="16">
        <f t="shared" si="37"/>
        <v>6614</v>
      </c>
      <c r="P106" s="16">
        <f t="shared" si="37"/>
        <v>14793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0.18630433313053471</v>
      </c>
      <c r="D107" s="43">
        <f t="shared" si="38"/>
        <v>4.6846481443926183E-2</v>
      </c>
      <c r="E107" s="43">
        <f t="shared" si="38"/>
        <v>1.433110254850267E-2</v>
      </c>
      <c r="F107" s="43">
        <f t="shared" si="38"/>
        <v>0.17467721219495708</v>
      </c>
      <c r="G107" s="43">
        <f t="shared" si="38"/>
        <v>2.6363820726019063E-3</v>
      </c>
      <c r="H107" s="43">
        <f t="shared" si="38"/>
        <v>4.0559724193875484E-4</v>
      </c>
      <c r="I107" s="43">
        <f t="shared" si="38"/>
        <v>1.4533901169472048E-2</v>
      </c>
      <c r="J107" s="43">
        <f t="shared" si="38"/>
        <v>4.0559724193875478E-3</v>
      </c>
      <c r="K107" s="43">
        <f t="shared" si="38"/>
        <v>3.3123774758331641E-3</v>
      </c>
      <c r="L107" s="43">
        <f t="shared" si="38"/>
        <v>0</v>
      </c>
      <c r="M107" s="43">
        <f t="shared" si="38"/>
        <v>0.55289664030284591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0.41669186573934081</v>
      </c>
      <c r="D108" s="44">
        <f t="shared" ref="D108:N108" si="39">D106/$O$106</f>
        <v>0.10477774417901421</v>
      </c>
      <c r="E108" s="44">
        <f t="shared" si="39"/>
        <v>3.2053220441487756E-2</v>
      </c>
      <c r="F108" s="44">
        <f t="shared" si="39"/>
        <v>0.39068642273964316</v>
      </c>
      <c r="G108" s="44">
        <f t="shared" si="39"/>
        <v>5.8965830057453889E-3</v>
      </c>
      <c r="H108" s="44">
        <f t="shared" si="39"/>
        <v>9.0716661626852129E-4</v>
      </c>
      <c r="I108" s="44">
        <f t="shared" si="39"/>
        <v>3.2506803749622011E-2</v>
      </c>
      <c r="J108" s="44">
        <f t="shared" si="39"/>
        <v>9.0716661626852133E-3</v>
      </c>
      <c r="K108" s="44">
        <f t="shared" si="39"/>
        <v>7.4085273661929239E-3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249977111117893"/>
  </sheetPr>
  <dimension ref="B1:AF174"/>
  <sheetViews>
    <sheetView view="pageBreakPreview" topLeftCell="A58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Kibuye-Munyonyo'!C3:G3</f>
        <v>MCC - C1 - STN01A - SALAMA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'27.07 Kibuye-Munyonyo-24h'!D5</f>
        <v>27.07.19</v>
      </c>
      <c r="E5" s="3"/>
      <c r="F5" s="41" t="s">
        <v>1</v>
      </c>
      <c r="G5" s="64" t="str">
        <f>'27.07 Kibuye-Munyonyo-24h'!G5:H5</f>
        <v>Salama road 1A</v>
      </c>
      <c r="H5" s="65"/>
      <c r="I5" s="14"/>
      <c r="J5" s="2" t="s">
        <v>5</v>
      </c>
      <c r="K5" s="64" t="s">
        <v>174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Munyonyo-Kibuye'!D6:E6</f>
        <v>Munyonyo</v>
      </c>
      <c r="E6" s="65"/>
      <c r="F6" s="2" t="s">
        <v>2</v>
      </c>
      <c r="G6" s="64" t="str">
        <f>'22.07 Munyonyo-Kibuye'!G6:H6</f>
        <v>Kibuye</v>
      </c>
      <c r="H6" s="65"/>
      <c r="J6" s="2" t="s">
        <v>21</v>
      </c>
      <c r="K6" s="64" t="str">
        <f>'27.07 Kibuye-Munyonyo-24h'!K6:L6</f>
        <v>Emma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73" si="0">SUM(C10:L10,N10)</f>
        <v>0</v>
      </c>
      <c r="P10" s="15">
        <f t="shared" ref="P10:P73" si="1">SUM(C10:N10)</f>
        <v>0</v>
      </c>
      <c r="R10" s="1" t="s">
        <v>6</v>
      </c>
      <c r="S10" s="17">
        <f t="shared" ref="S10:AF10" si="2">SUM(C10:C13)</f>
        <v>46</v>
      </c>
      <c r="T10" s="17">
        <f t="shared" si="2"/>
        <v>35</v>
      </c>
      <c r="U10" s="17">
        <f t="shared" si="2"/>
        <v>8</v>
      </c>
      <c r="V10" s="17">
        <f t="shared" si="2"/>
        <v>141</v>
      </c>
      <c r="W10" s="17">
        <f t="shared" si="2"/>
        <v>0</v>
      </c>
      <c r="X10" s="17">
        <f t="shared" si="2"/>
        <v>0</v>
      </c>
      <c r="Y10" s="17">
        <f t="shared" si="2"/>
        <v>7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485</v>
      </c>
      <c r="AD10" s="17">
        <f t="shared" si="2"/>
        <v>0</v>
      </c>
      <c r="AE10" s="31">
        <f t="shared" si="2"/>
        <v>238</v>
      </c>
      <c r="AF10" s="31">
        <f t="shared" si="2"/>
        <v>723</v>
      </c>
    </row>
    <row r="11" spans="2:32" s="6" customFormat="1" ht="23.1" customHeight="1" x14ac:dyDescent="0.25">
      <c r="B11" s="45" t="s">
        <v>38</v>
      </c>
      <c r="C11" s="50">
        <v>15</v>
      </c>
      <c r="D11" s="50">
        <v>13</v>
      </c>
      <c r="E11" s="50">
        <v>4</v>
      </c>
      <c r="F11" s="50">
        <v>37</v>
      </c>
      <c r="G11" s="50">
        <v>0</v>
      </c>
      <c r="H11" s="50">
        <v>0</v>
      </c>
      <c r="I11" s="50">
        <v>2</v>
      </c>
      <c r="J11" s="50">
        <v>1</v>
      </c>
      <c r="K11" s="50">
        <v>0</v>
      </c>
      <c r="L11" s="50">
        <v>0</v>
      </c>
      <c r="M11" s="50">
        <v>128</v>
      </c>
      <c r="N11" s="50">
        <v>0</v>
      </c>
      <c r="O11" s="15">
        <f t="shared" si="0"/>
        <v>72</v>
      </c>
      <c r="P11" s="15">
        <f t="shared" si="1"/>
        <v>200</v>
      </c>
      <c r="R11" s="1" t="s">
        <v>7</v>
      </c>
      <c r="S11" s="17">
        <f t="shared" ref="S11:AF11" si="3">SUM(C14:C17)</f>
        <v>120</v>
      </c>
      <c r="T11" s="17">
        <f t="shared" si="3"/>
        <v>66</v>
      </c>
      <c r="U11" s="17">
        <f t="shared" si="3"/>
        <v>23</v>
      </c>
      <c r="V11" s="17">
        <f t="shared" si="3"/>
        <v>227</v>
      </c>
      <c r="W11" s="17">
        <f t="shared" si="3"/>
        <v>1</v>
      </c>
      <c r="X11" s="17">
        <f t="shared" si="3"/>
        <v>0</v>
      </c>
      <c r="Y11" s="17">
        <f t="shared" si="3"/>
        <v>15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930</v>
      </c>
      <c r="AD11" s="17">
        <f t="shared" si="3"/>
        <v>0</v>
      </c>
      <c r="AE11" s="31">
        <f t="shared" si="3"/>
        <v>453</v>
      </c>
      <c r="AF11" s="31">
        <f t="shared" si="3"/>
        <v>1383</v>
      </c>
    </row>
    <row r="12" spans="2:32" ht="23.1" customHeight="1" x14ac:dyDescent="0.25">
      <c r="B12" s="45" t="s">
        <v>39</v>
      </c>
      <c r="C12" s="50">
        <v>7</v>
      </c>
      <c r="D12" s="50">
        <v>8</v>
      </c>
      <c r="E12" s="50">
        <v>1</v>
      </c>
      <c r="F12" s="50">
        <v>42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130</v>
      </c>
      <c r="N12" s="50">
        <v>0</v>
      </c>
      <c r="O12" s="15">
        <f t="shared" si="0"/>
        <v>59</v>
      </c>
      <c r="P12" s="15">
        <f t="shared" si="1"/>
        <v>189</v>
      </c>
      <c r="R12" s="1" t="s">
        <v>8</v>
      </c>
      <c r="S12" s="17">
        <f t="shared" ref="S12:AF12" si="4">SUM(C18:C21)</f>
        <v>122</v>
      </c>
      <c r="T12" s="17">
        <f t="shared" si="4"/>
        <v>53</v>
      </c>
      <c r="U12" s="17">
        <f t="shared" si="4"/>
        <v>14</v>
      </c>
      <c r="V12" s="17">
        <f t="shared" si="4"/>
        <v>143</v>
      </c>
      <c r="W12" s="17">
        <f t="shared" si="4"/>
        <v>0</v>
      </c>
      <c r="X12" s="17">
        <f t="shared" si="4"/>
        <v>1</v>
      </c>
      <c r="Y12" s="17">
        <f t="shared" si="4"/>
        <v>17</v>
      </c>
      <c r="Z12" s="17">
        <f t="shared" si="4"/>
        <v>0</v>
      </c>
      <c r="AA12" s="17">
        <f t="shared" si="4"/>
        <v>0</v>
      </c>
      <c r="AB12" s="17">
        <f t="shared" si="4"/>
        <v>1</v>
      </c>
      <c r="AC12" s="17">
        <f t="shared" si="4"/>
        <v>728</v>
      </c>
      <c r="AD12" s="17">
        <f t="shared" si="4"/>
        <v>0</v>
      </c>
      <c r="AE12" s="31">
        <f t="shared" si="4"/>
        <v>351</v>
      </c>
      <c r="AF12" s="31">
        <f t="shared" si="4"/>
        <v>1079</v>
      </c>
    </row>
    <row r="13" spans="2:32" ht="23.1" customHeight="1" x14ac:dyDescent="0.25">
      <c r="B13" s="45" t="s">
        <v>40</v>
      </c>
      <c r="C13" s="50">
        <v>24</v>
      </c>
      <c r="D13" s="50">
        <v>14</v>
      </c>
      <c r="E13" s="50">
        <v>3</v>
      </c>
      <c r="F13" s="50">
        <v>62</v>
      </c>
      <c r="G13" s="50">
        <v>0</v>
      </c>
      <c r="H13" s="50">
        <v>0</v>
      </c>
      <c r="I13" s="50">
        <v>4</v>
      </c>
      <c r="J13" s="50">
        <v>0</v>
      </c>
      <c r="K13" s="50">
        <v>0</v>
      </c>
      <c r="L13" s="50">
        <v>0</v>
      </c>
      <c r="M13" s="50">
        <v>227</v>
      </c>
      <c r="N13" s="50">
        <v>0</v>
      </c>
      <c r="O13" s="15">
        <f t="shared" si="0"/>
        <v>107</v>
      </c>
      <c r="P13" s="15">
        <f t="shared" si="1"/>
        <v>334</v>
      </c>
      <c r="R13" s="1" t="s">
        <v>9</v>
      </c>
      <c r="S13" s="17">
        <f t="shared" ref="S13:AF13" si="5">SUM(C22:C25)</f>
        <v>141</v>
      </c>
      <c r="T13" s="17">
        <f t="shared" si="5"/>
        <v>79</v>
      </c>
      <c r="U13" s="17">
        <f t="shared" si="5"/>
        <v>13</v>
      </c>
      <c r="V13" s="17">
        <f t="shared" si="5"/>
        <v>135</v>
      </c>
      <c r="W13" s="17">
        <f t="shared" si="5"/>
        <v>3</v>
      </c>
      <c r="X13" s="17">
        <f t="shared" si="5"/>
        <v>0</v>
      </c>
      <c r="Y13" s="17">
        <f t="shared" si="5"/>
        <v>14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699</v>
      </c>
      <c r="AD13" s="17">
        <f t="shared" si="5"/>
        <v>0</v>
      </c>
      <c r="AE13" s="31">
        <f t="shared" si="5"/>
        <v>386</v>
      </c>
      <c r="AF13" s="31">
        <f t="shared" si="5"/>
        <v>1085</v>
      </c>
    </row>
    <row r="14" spans="2:32" ht="23.1" customHeight="1" x14ac:dyDescent="0.25">
      <c r="B14" s="45" t="s">
        <v>41</v>
      </c>
      <c r="C14" s="50">
        <v>24</v>
      </c>
      <c r="D14" s="50">
        <v>14</v>
      </c>
      <c r="E14" s="50">
        <v>1</v>
      </c>
      <c r="F14" s="50">
        <v>61</v>
      </c>
      <c r="G14" s="50">
        <v>0</v>
      </c>
      <c r="H14" s="50">
        <v>0</v>
      </c>
      <c r="I14" s="50">
        <v>4</v>
      </c>
      <c r="J14" s="50">
        <v>0</v>
      </c>
      <c r="K14" s="50">
        <v>0</v>
      </c>
      <c r="L14" s="50">
        <v>0</v>
      </c>
      <c r="M14" s="50">
        <v>231</v>
      </c>
      <c r="N14" s="50">
        <v>0</v>
      </c>
      <c r="O14" s="15">
        <f t="shared" si="0"/>
        <v>104</v>
      </c>
      <c r="P14" s="15">
        <f t="shared" si="1"/>
        <v>335</v>
      </c>
      <c r="R14" s="1" t="s">
        <v>10</v>
      </c>
      <c r="S14" s="17">
        <f t="shared" ref="S14:AF14" si="6">SUM(C26:C29)</f>
        <v>104</v>
      </c>
      <c r="T14" s="17">
        <f t="shared" si="6"/>
        <v>52</v>
      </c>
      <c r="U14" s="17">
        <f t="shared" si="6"/>
        <v>9</v>
      </c>
      <c r="V14" s="17">
        <f t="shared" si="6"/>
        <v>113</v>
      </c>
      <c r="W14" s="17">
        <f t="shared" si="6"/>
        <v>0</v>
      </c>
      <c r="X14" s="17">
        <f t="shared" si="6"/>
        <v>0</v>
      </c>
      <c r="Y14" s="17">
        <f t="shared" si="6"/>
        <v>24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536</v>
      </c>
      <c r="AD14" s="17">
        <f t="shared" si="6"/>
        <v>0</v>
      </c>
      <c r="AE14" s="31">
        <f t="shared" si="6"/>
        <v>303</v>
      </c>
      <c r="AF14" s="31">
        <f t="shared" si="6"/>
        <v>839</v>
      </c>
    </row>
    <row r="15" spans="2:32" ht="23.1" customHeight="1" x14ac:dyDescent="0.25">
      <c r="B15" s="45" t="s">
        <v>42</v>
      </c>
      <c r="C15" s="50">
        <v>27</v>
      </c>
      <c r="D15" s="50">
        <v>12</v>
      </c>
      <c r="E15" s="50">
        <v>5</v>
      </c>
      <c r="F15" s="50">
        <v>60</v>
      </c>
      <c r="G15" s="50">
        <v>0</v>
      </c>
      <c r="H15" s="50">
        <v>0</v>
      </c>
      <c r="I15" s="50">
        <v>5</v>
      </c>
      <c r="J15" s="50">
        <v>0</v>
      </c>
      <c r="K15" s="50">
        <v>0</v>
      </c>
      <c r="L15" s="50">
        <v>0</v>
      </c>
      <c r="M15" s="50">
        <v>225</v>
      </c>
      <c r="N15" s="50">
        <v>0</v>
      </c>
      <c r="O15" s="15">
        <f t="shared" si="0"/>
        <v>109</v>
      </c>
      <c r="P15" s="15">
        <f t="shared" si="1"/>
        <v>334</v>
      </c>
      <c r="R15" s="1" t="s">
        <v>11</v>
      </c>
      <c r="S15" s="17">
        <f t="shared" ref="S15:AF15" si="7">SUM(C30:C33)</f>
        <v>119</v>
      </c>
      <c r="T15" s="17">
        <f t="shared" si="7"/>
        <v>48</v>
      </c>
      <c r="U15" s="17">
        <f t="shared" si="7"/>
        <v>21</v>
      </c>
      <c r="V15" s="17">
        <f t="shared" si="7"/>
        <v>107</v>
      </c>
      <c r="W15" s="17">
        <f t="shared" si="7"/>
        <v>0</v>
      </c>
      <c r="X15" s="17">
        <f t="shared" si="7"/>
        <v>1</v>
      </c>
      <c r="Y15" s="17">
        <f t="shared" si="7"/>
        <v>19</v>
      </c>
      <c r="Z15" s="17">
        <f t="shared" si="7"/>
        <v>3</v>
      </c>
      <c r="AA15" s="17">
        <f t="shared" si="7"/>
        <v>0</v>
      </c>
      <c r="AB15" s="17">
        <f t="shared" si="7"/>
        <v>1</v>
      </c>
      <c r="AC15" s="17">
        <f t="shared" si="7"/>
        <v>640</v>
      </c>
      <c r="AD15" s="17">
        <f t="shared" si="7"/>
        <v>0</v>
      </c>
      <c r="AE15" s="31">
        <f t="shared" si="7"/>
        <v>319</v>
      </c>
      <c r="AF15" s="31">
        <f t="shared" si="7"/>
        <v>959</v>
      </c>
    </row>
    <row r="16" spans="2:32" ht="23.1" customHeight="1" x14ac:dyDescent="0.25">
      <c r="B16" s="45" t="s">
        <v>43</v>
      </c>
      <c r="C16" s="50">
        <v>28</v>
      </c>
      <c r="D16" s="50">
        <v>20</v>
      </c>
      <c r="E16" s="50">
        <v>8</v>
      </c>
      <c r="F16" s="50">
        <v>51</v>
      </c>
      <c r="G16" s="50">
        <v>1</v>
      </c>
      <c r="H16" s="50">
        <v>0</v>
      </c>
      <c r="I16" s="50">
        <v>6</v>
      </c>
      <c r="J16" s="50">
        <v>0</v>
      </c>
      <c r="K16" s="50">
        <v>0</v>
      </c>
      <c r="L16" s="50">
        <v>0</v>
      </c>
      <c r="M16" s="50">
        <v>244</v>
      </c>
      <c r="N16" s="50">
        <v>0</v>
      </c>
      <c r="O16" s="15">
        <f t="shared" si="0"/>
        <v>114</v>
      </c>
      <c r="P16" s="15">
        <f t="shared" si="1"/>
        <v>358</v>
      </c>
      <c r="R16" s="1" t="s">
        <v>12</v>
      </c>
      <c r="S16" s="17">
        <f t="shared" ref="S16:AF16" si="8">SUM(C34:C37)</f>
        <v>85</v>
      </c>
      <c r="T16" s="17">
        <f t="shared" si="8"/>
        <v>58</v>
      </c>
      <c r="U16" s="17">
        <f t="shared" si="8"/>
        <v>13</v>
      </c>
      <c r="V16" s="17">
        <f t="shared" si="8"/>
        <v>88</v>
      </c>
      <c r="W16" s="17">
        <f t="shared" si="8"/>
        <v>0</v>
      </c>
      <c r="X16" s="17">
        <f t="shared" si="8"/>
        <v>0</v>
      </c>
      <c r="Y16" s="17">
        <f t="shared" si="8"/>
        <v>16</v>
      </c>
      <c r="Z16" s="17">
        <f t="shared" si="8"/>
        <v>4</v>
      </c>
      <c r="AA16" s="17">
        <f t="shared" si="8"/>
        <v>0</v>
      </c>
      <c r="AB16" s="17">
        <f t="shared" si="8"/>
        <v>0</v>
      </c>
      <c r="AC16" s="17">
        <f t="shared" si="8"/>
        <v>509</v>
      </c>
      <c r="AD16" s="17">
        <f t="shared" si="8"/>
        <v>0</v>
      </c>
      <c r="AE16" s="31">
        <f t="shared" si="8"/>
        <v>264</v>
      </c>
      <c r="AF16" s="31">
        <f t="shared" si="8"/>
        <v>773</v>
      </c>
    </row>
    <row r="17" spans="2:32" ht="23.1" customHeight="1" x14ac:dyDescent="0.25">
      <c r="B17" s="45" t="s">
        <v>44</v>
      </c>
      <c r="C17" s="50">
        <v>41</v>
      </c>
      <c r="D17" s="50">
        <v>20</v>
      </c>
      <c r="E17" s="50">
        <v>9</v>
      </c>
      <c r="F17" s="50">
        <v>55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230</v>
      </c>
      <c r="N17" s="50">
        <v>0</v>
      </c>
      <c r="O17" s="15">
        <f t="shared" si="0"/>
        <v>126</v>
      </c>
      <c r="P17" s="15">
        <f t="shared" si="1"/>
        <v>356</v>
      </c>
      <c r="R17" s="1" t="s">
        <v>13</v>
      </c>
      <c r="S17" s="17">
        <f t="shared" ref="S17:AF17" si="9">SUM(C38:C41)</f>
        <v>87</v>
      </c>
      <c r="T17" s="17">
        <f t="shared" si="9"/>
        <v>38</v>
      </c>
      <c r="U17" s="17">
        <f t="shared" si="9"/>
        <v>26</v>
      </c>
      <c r="V17" s="17">
        <f t="shared" si="9"/>
        <v>85</v>
      </c>
      <c r="W17" s="17">
        <f t="shared" si="9"/>
        <v>0</v>
      </c>
      <c r="X17" s="17">
        <f t="shared" si="9"/>
        <v>0</v>
      </c>
      <c r="Y17" s="17">
        <f t="shared" si="9"/>
        <v>11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489</v>
      </c>
      <c r="AD17" s="17">
        <f t="shared" si="9"/>
        <v>0</v>
      </c>
      <c r="AE17" s="31">
        <f t="shared" si="9"/>
        <v>249</v>
      </c>
      <c r="AF17" s="31">
        <f t="shared" si="9"/>
        <v>738</v>
      </c>
    </row>
    <row r="18" spans="2:32" ht="23.1" customHeight="1" x14ac:dyDescent="0.25">
      <c r="B18" s="45" t="s">
        <v>45</v>
      </c>
      <c r="C18" s="50">
        <v>14</v>
      </c>
      <c r="D18" s="50">
        <v>15</v>
      </c>
      <c r="E18" s="50">
        <v>3</v>
      </c>
      <c r="F18" s="50">
        <v>33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1</v>
      </c>
      <c r="M18" s="50">
        <v>160</v>
      </c>
      <c r="N18" s="50">
        <v>0</v>
      </c>
      <c r="O18" s="15">
        <f t="shared" si="0"/>
        <v>66</v>
      </c>
      <c r="P18" s="15">
        <f t="shared" si="1"/>
        <v>226</v>
      </c>
      <c r="R18" s="1" t="s">
        <v>14</v>
      </c>
      <c r="S18" s="17">
        <f t="shared" ref="S18:AF18" si="10">SUM(C42:C45)</f>
        <v>107</v>
      </c>
      <c r="T18" s="17">
        <f t="shared" si="10"/>
        <v>34</v>
      </c>
      <c r="U18" s="17">
        <f t="shared" si="10"/>
        <v>16</v>
      </c>
      <c r="V18" s="17">
        <f t="shared" si="10"/>
        <v>94</v>
      </c>
      <c r="W18" s="17">
        <f t="shared" si="10"/>
        <v>0</v>
      </c>
      <c r="X18" s="17">
        <f t="shared" si="10"/>
        <v>0</v>
      </c>
      <c r="Y18" s="17">
        <f t="shared" si="10"/>
        <v>18</v>
      </c>
      <c r="Z18" s="17">
        <f t="shared" si="10"/>
        <v>2</v>
      </c>
      <c r="AA18" s="17">
        <f t="shared" si="10"/>
        <v>1</v>
      </c>
      <c r="AB18" s="17">
        <f t="shared" si="10"/>
        <v>0</v>
      </c>
      <c r="AC18" s="17">
        <f t="shared" si="10"/>
        <v>705</v>
      </c>
      <c r="AD18" s="17">
        <f t="shared" si="10"/>
        <v>0</v>
      </c>
      <c r="AE18" s="31">
        <f t="shared" si="10"/>
        <v>272</v>
      </c>
      <c r="AF18" s="31">
        <f t="shared" si="10"/>
        <v>977</v>
      </c>
    </row>
    <row r="19" spans="2:32" ht="23.1" customHeight="1" x14ac:dyDescent="0.25">
      <c r="B19" s="45" t="s">
        <v>46</v>
      </c>
      <c r="C19" s="50">
        <v>15</v>
      </c>
      <c r="D19" s="50">
        <v>17</v>
      </c>
      <c r="E19" s="50">
        <v>3</v>
      </c>
      <c r="F19" s="50">
        <v>25</v>
      </c>
      <c r="G19" s="50">
        <v>0</v>
      </c>
      <c r="H19" s="50">
        <v>0</v>
      </c>
      <c r="I19" s="50">
        <v>3</v>
      </c>
      <c r="J19" s="50">
        <v>0</v>
      </c>
      <c r="K19" s="50">
        <v>0</v>
      </c>
      <c r="L19" s="50">
        <v>0</v>
      </c>
      <c r="M19" s="50">
        <v>100</v>
      </c>
      <c r="N19" s="50">
        <v>0</v>
      </c>
      <c r="O19" s="15">
        <f t="shared" si="0"/>
        <v>63</v>
      </c>
      <c r="P19" s="15">
        <f t="shared" si="1"/>
        <v>163</v>
      </c>
      <c r="R19" s="1" t="s">
        <v>15</v>
      </c>
      <c r="S19" s="17">
        <f t="shared" ref="S19:AF19" si="11">SUM(C46:C49)</f>
        <v>179</v>
      </c>
      <c r="T19" s="17">
        <f t="shared" si="11"/>
        <v>54</v>
      </c>
      <c r="U19" s="17">
        <f t="shared" si="11"/>
        <v>21</v>
      </c>
      <c r="V19" s="17">
        <f t="shared" si="11"/>
        <v>104</v>
      </c>
      <c r="W19" s="17">
        <f t="shared" si="11"/>
        <v>4</v>
      </c>
      <c r="X19" s="17">
        <f t="shared" si="11"/>
        <v>0</v>
      </c>
      <c r="Y19" s="17">
        <f t="shared" si="11"/>
        <v>16</v>
      </c>
      <c r="Z19" s="17">
        <f t="shared" si="11"/>
        <v>0</v>
      </c>
      <c r="AA19" s="17">
        <f t="shared" si="11"/>
        <v>1</v>
      </c>
      <c r="AB19" s="17">
        <f t="shared" si="11"/>
        <v>0</v>
      </c>
      <c r="AC19" s="17">
        <f t="shared" si="11"/>
        <v>723</v>
      </c>
      <c r="AD19" s="17">
        <f t="shared" si="11"/>
        <v>0</v>
      </c>
      <c r="AE19" s="31">
        <f t="shared" si="11"/>
        <v>379</v>
      </c>
      <c r="AF19" s="31">
        <f t="shared" si="11"/>
        <v>1102</v>
      </c>
    </row>
    <row r="20" spans="2:32" ht="23.1" customHeight="1" x14ac:dyDescent="0.25">
      <c r="B20" s="45" t="s">
        <v>47</v>
      </c>
      <c r="C20" s="50">
        <v>50</v>
      </c>
      <c r="D20" s="50">
        <v>13</v>
      </c>
      <c r="E20" s="50">
        <v>2</v>
      </c>
      <c r="F20" s="50">
        <v>37</v>
      </c>
      <c r="G20" s="50">
        <v>0</v>
      </c>
      <c r="H20" s="50">
        <v>1</v>
      </c>
      <c r="I20" s="50">
        <v>11</v>
      </c>
      <c r="J20" s="50">
        <v>0</v>
      </c>
      <c r="K20" s="50">
        <v>0</v>
      </c>
      <c r="L20" s="50">
        <v>0</v>
      </c>
      <c r="M20" s="50">
        <v>211</v>
      </c>
      <c r="N20" s="50">
        <v>0</v>
      </c>
      <c r="O20" s="15">
        <f t="shared" si="0"/>
        <v>114</v>
      </c>
      <c r="P20" s="15">
        <f t="shared" si="1"/>
        <v>325</v>
      </c>
      <c r="R20" s="1" t="s">
        <v>16</v>
      </c>
      <c r="S20" s="17">
        <f t="shared" ref="S20:AF20" si="12">SUM(C50:C53)</f>
        <v>122</v>
      </c>
      <c r="T20" s="17">
        <f t="shared" si="12"/>
        <v>24</v>
      </c>
      <c r="U20" s="17">
        <f t="shared" si="12"/>
        <v>12</v>
      </c>
      <c r="V20" s="17">
        <f t="shared" si="12"/>
        <v>90</v>
      </c>
      <c r="W20" s="17">
        <f t="shared" si="12"/>
        <v>0</v>
      </c>
      <c r="X20" s="17">
        <f t="shared" si="12"/>
        <v>0</v>
      </c>
      <c r="Y20" s="17">
        <f t="shared" si="12"/>
        <v>9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622</v>
      </c>
      <c r="AD20" s="17">
        <f t="shared" si="12"/>
        <v>0</v>
      </c>
      <c r="AE20" s="31">
        <f t="shared" si="12"/>
        <v>257</v>
      </c>
      <c r="AF20" s="31">
        <f t="shared" si="12"/>
        <v>879</v>
      </c>
    </row>
    <row r="21" spans="2:32" ht="23.1" customHeight="1" x14ac:dyDescent="0.25">
      <c r="B21" s="45" t="s">
        <v>48</v>
      </c>
      <c r="C21" s="50">
        <v>43</v>
      </c>
      <c r="D21" s="50">
        <v>8</v>
      </c>
      <c r="E21" s="50">
        <v>6</v>
      </c>
      <c r="F21" s="50">
        <v>48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257</v>
      </c>
      <c r="N21" s="50">
        <v>0</v>
      </c>
      <c r="O21" s="15">
        <f t="shared" si="0"/>
        <v>108</v>
      </c>
      <c r="P21" s="15">
        <f t="shared" si="1"/>
        <v>365</v>
      </c>
      <c r="R21" s="36" t="s">
        <v>20</v>
      </c>
      <c r="S21" s="34">
        <f t="shared" ref="S21:AF21" si="13">SUM(C54:C57)</f>
        <v>103</v>
      </c>
      <c r="T21" s="17">
        <f t="shared" si="13"/>
        <v>34</v>
      </c>
      <c r="U21" s="17">
        <f t="shared" si="13"/>
        <v>16</v>
      </c>
      <c r="V21" s="17">
        <f t="shared" si="13"/>
        <v>85</v>
      </c>
      <c r="W21" s="17">
        <f t="shared" si="13"/>
        <v>0</v>
      </c>
      <c r="X21" s="17">
        <f t="shared" si="13"/>
        <v>3</v>
      </c>
      <c r="Y21" s="17">
        <f t="shared" si="13"/>
        <v>9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611</v>
      </c>
      <c r="AD21" s="17">
        <f t="shared" si="13"/>
        <v>0</v>
      </c>
      <c r="AE21" s="31">
        <f t="shared" si="13"/>
        <v>251</v>
      </c>
      <c r="AF21" s="31">
        <f t="shared" si="13"/>
        <v>862</v>
      </c>
    </row>
    <row r="22" spans="2:32" ht="23.1" customHeight="1" x14ac:dyDescent="0.25">
      <c r="B22" s="45" t="s">
        <v>49</v>
      </c>
      <c r="C22" s="50">
        <v>35</v>
      </c>
      <c r="D22" s="50">
        <v>17</v>
      </c>
      <c r="E22" s="50">
        <v>2</v>
      </c>
      <c r="F22" s="50">
        <v>21</v>
      </c>
      <c r="G22" s="50">
        <v>0</v>
      </c>
      <c r="H22" s="50">
        <v>0</v>
      </c>
      <c r="I22" s="50">
        <v>10</v>
      </c>
      <c r="J22" s="50">
        <v>0</v>
      </c>
      <c r="K22" s="50">
        <v>0</v>
      </c>
      <c r="L22" s="50">
        <v>0</v>
      </c>
      <c r="M22" s="50">
        <v>155</v>
      </c>
      <c r="N22" s="50">
        <v>0</v>
      </c>
      <c r="O22" s="15">
        <f t="shared" si="0"/>
        <v>85</v>
      </c>
      <c r="P22" s="15">
        <f t="shared" si="1"/>
        <v>240</v>
      </c>
      <c r="R22" s="36" t="s">
        <v>146</v>
      </c>
      <c r="S22" s="34">
        <f>SUM(C58:C61)</f>
        <v>225</v>
      </c>
      <c r="T22" s="34">
        <f t="shared" ref="T22:AF22" si="14">SUM(D58:D61)</f>
        <v>33</v>
      </c>
      <c r="U22" s="34">
        <f t="shared" si="14"/>
        <v>17</v>
      </c>
      <c r="V22" s="34">
        <f t="shared" si="14"/>
        <v>300</v>
      </c>
      <c r="W22" s="34">
        <f t="shared" si="14"/>
        <v>1</v>
      </c>
      <c r="X22" s="34">
        <f t="shared" si="14"/>
        <v>5</v>
      </c>
      <c r="Y22" s="34">
        <f t="shared" si="14"/>
        <v>6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1028</v>
      </c>
      <c r="AD22" s="34">
        <f t="shared" si="14"/>
        <v>0</v>
      </c>
      <c r="AE22" s="31">
        <f t="shared" si="14"/>
        <v>588</v>
      </c>
      <c r="AF22" s="31">
        <f t="shared" si="14"/>
        <v>1616</v>
      </c>
    </row>
    <row r="23" spans="2:32" ht="23.1" customHeight="1" x14ac:dyDescent="0.25">
      <c r="B23" s="45" t="s">
        <v>50</v>
      </c>
      <c r="C23" s="50">
        <v>36</v>
      </c>
      <c r="D23" s="50">
        <v>18</v>
      </c>
      <c r="E23" s="50">
        <v>2</v>
      </c>
      <c r="F23" s="50">
        <v>38</v>
      </c>
      <c r="G23" s="50">
        <v>2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174</v>
      </c>
      <c r="N23" s="50">
        <v>0</v>
      </c>
      <c r="O23" s="15">
        <f t="shared" si="0"/>
        <v>98</v>
      </c>
      <c r="P23" s="15">
        <f t="shared" si="1"/>
        <v>272</v>
      </c>
      <c r="R23" s="36" t="s">
        <v>147</v>
      </c>
      <c r="S23" s="34">
        <f>SUM(C62:C65)</f>
        <v>360</v>
      </c>
      <c r="T23" s="34">
        <f t="shared" ref="T23:AF23" si="15">SUM(D62:D65)</f>
        <v>164</v>
      </c>
      <c r="U23" s="34">
        <f t="shared" si="15"/>
        <v>20</v>
      </c>
      <c r="V23" s="34">
        <f t="shared" si="15"/>
        <v>550</v>
      </c>
      <c r="W23" s="34">
        <f t="shared" si="15"/>
        <v>3</v>
      </c>
      <c r="X23" s="34">
        <f t="shared" si="15"/>
        <v>0</v>
      </c>
      <c r="Y23" s="34">
        <f t="shared" si="15"/>
        <v>12</v>
      </c>
      <c r="Z23" s="34">
        <f t="shared" si="15"/>
        <v>2</v>
      </c>
      <c r="AA23" s="34">
        <f t="shared" si="15"/>
        <v>0</v>
      </c>
      <c r="AB23" s="34">
        <f t="shared" si="15"/>
        <v>0</v>
      </c>
      <c r="AC23" s="34">
        <f t="shared" si="15"/>
        <v>1110</v>
      </c>
      <c r="AD23" s="34">
        <f t="shared" si="15"/>
        <v>0</v>
      </c>
      <c r="AE23" s="31">
        <f t="shared" si="15"/>
        <v>1111</v>
      </c>
      <c r="AF23" s="31">
        <f t="shared" si="15"/>
        <v>2221</v>
      </c>
    </row>
    <row r="24" spans="2:32" ht="23.1" customHeight="1" x14ac:dyDescent="0.25">
      <c r="B24" s="45" t="s">
        <v>51</v>
      </c>
      <c r="C24" s="50">
        <v>29</v>
      </c>
      <c r="D24" s="50">
        <v>21</v>
      </c>
      <c r="E24" s="50">
        <v>4</v>
      </c>
      <c r="F24" s="50">
        <v>37</v>
      </c>
      <c r="G24" s="50">
        <v>0</v>
      </c>
      <c r="H24" s="50">
        <v>0</v>
      </c>
      <c r="I24" s="50">
        <v>2</v>
      </c>
      <c r="J24" s="50">
        <v>1</v>
      </c>
      <c r="K24" s="50">
        <v>0</v>
      </c>
      <c r="L24" s="50">
        <v>0</v>
      </c>
      <c r="M24" s="50">
        <v>190</v>
      </c>
      <c r="N24" s="50">
        <v>0</v>
      </c>
      <c r="O24" s="15">
        <f t="shared" si="0"/>
        <v>94</v>
      </c>
      <c r="P24" s="15">
        <f t="shared" si="1"/>
        <v>284</v>
      </c>
      <c r="R24" s="36" t="s">
        <v>148</v>
      </c>
      <c r="S24" s="34">
        <f>SUM(C66:C69)</f>
        <v>350</v>
      </c>
      <c r="T24" s="34">
        <f t="shared" ref="T24:AF24" si="16">SUM(D66:D69)</f>
        <v>130</v>
      </c>
      <c r="U24" s="34">
        <f t="shared" si="16"/>
        <v>23</v>
      </c>
      <c r="V24" s="34">
        <f t="shared" si="16"/>
        <v>355</v>
      </c>
      <c r="W24" s="34">
        <f t="shared" si="16"/>
        <v>5</v>
      </c>
      <c r="X24" s="34">
        <f t="shared" si="16"/>
        <v>0</v>
      </c>
      <c r="Y24" s="34">
        <f t="shared" si="16"/>
        <v>3</v>
      </c>
      <c r="Z24" s="34">
        <f t="shared" si="16"/>
        <v>0</v>
      </c>
      <c r="AA24" s="34">
        <f t="shared" si="16"/>
        <v>2</v>
      </c>
      <c r="AB24" s="34">
        <f t="shared" si="16"/>
        <v>0</v>
      </c>
      <c r="AC24" s="34">
        <f t="shared" si="16"/>
        <v>1080</v>
      </c>
      <c r="AD24" s="34">
        <f t="shared" si="16"/>
        <v>0</v>
      </c>
      <c r="AE24" s="31">
        <f t="shared" si="16"/>
        <v>868</v>
      </c>
      <c r="AF24" s="31">
        <f t="shared" si="16"/>
        <v>1948</v>
      </c>
    </row>
    <row r="25" spans="2:32" ht="23.1" customHeight="1" x14ac:dyDescent="0.25">
      <c r="B25" s="45" t="s">
        <v>52</v>
      </c>
      <c r="C25" s="50">
        <v>41</v>
      </c>
      <c r="D25" s="50">
        <v>23</v>
      </c>
      <c r="E25" s="50">
        <v>5</v>
      </c>
      <c r="F25" s="50">
        <v>39</v>
      </c>
      <c r="G25" s="50">
        <v>1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180</v>
      </c>
      <c r="N25" s="50">
        <v>0</v>
      </c>
      <c r="O25" s="15">
        <f t="shared" si="0"/>
        <v>109</v>
      </c>
      <c r="P25" s="15">
        <f t="shared" si="1"/>
        <v>289</v>
      </c>
      <c r="R25" s="36" t="s">
        <v>149</v>
      </c>
      <c r="S25" s="34">
        <f>SUM(C70:C73)</f>
        <v>345</v>
      </c>
      <c r="T25" s="34">
        <f t="shared" ref="T25:AF25" si="17">SUM(D70:D73)</f>
        <v>105</v>
      </c>
      <c r="U25" s="34">
        <f t="shared" si="17"/>
        <v>11</v>
      </c>
      <c r="V25" s="34">
        <f t="shared" si="17"/>
        <v>262</v>
      </c>
      <c r="W25" s="34">
        <f t="shared" si="17"/>
        <v>1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2</v>
      </c>
      <c r="AB25" s="34">
        <f t="shared" si="17"/>
        <v>0</v>
      </c>
      <c r="AC25" s="34">
        <f t="shared" si="17"/>
        <v>1102</v>
      </c>
      <c r="AD25" s="34">
        <f t="shared" si="17"/>
        <v>0</v>
      </c>
      <c r="AE25" s="31">
        <f t="shared" si="17"/>
        <v>726</v>
      </c>
      <c r="AF25" s="31">
        <f t="shared" si="17"/>
        <v>1828</v>
      </c>
    </row>
    <row r="26" spans="2:32" ht="23.1" customHeight="1" x14ac:dyDescent="0.25">
      <c r="B26" s="45" t="s">
        <v>53</v>
      </c>
      <c r="C26" s="50">
        <v>34</v>
      </c>
      <c r="D26" s="50">
        <v>16</v>
      </c>
      <c r="E26" s="50">
        <v>2</v>
      </c>
      <c r="F26" s="50">
        <v>27</v>
      </c>
      <c r="G26" s="50">
        <v>0</v>
      </c>
      <c r="H26" s="50">
        <v>0</v>
      </c>
      <c r="I26" s="50">
        <v>6</v>
      </c>
      <c r="J26" s="50">
        <v>1</v>
      </c>
      <c r="K26" s="50">
        <v>0</v>
      </c>
      <c r="L26" s="50">
        <v>0</v>
      </c>
      <c r="M26" s="50">
        <v>145</v>
      </c>
      <c r="N26" s="50">
        <v>0</v>
      </c>
      <c r="O26" s="15">
        <f t="shared" si="0"/>
        <v>86</v>
      </c>
      <c r="P26" s="15">
        <f t="shared" si="1"/>
        <v>231</v>
      </c>
      <c r="R26" s="36" t="s">
        <v>150</v>
      </c>
      <c r="S26" s="34">
        <f>SUM(C74:C77)</f>
        <v>180</v>
      </c>
      <c r="T26" s="34">
        <f t="shared" ref="T26:AF26" si="18">SUM(D74:D77)</f>
        <v>88</v>
      </c>
      <c r="U26" s="34">
        <f t="shared" si="18"/>
        <v>7</v>
      </c>
      <c r="V26" s="34">
        <f t="shared" si="18"/>
        <v>151</v>
      </c>
      <c r="W26" s="34">
        <f t="shared" si="18"/>
        <v>3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1</v>
      </c>
      <c r="AB26" s="34">
        <f t="shared" si="18"/>
        <v>0</v>
      </c>
      <c r="AC26" s="34">
        <f t="shared" si="18"/>
        <v>1030</v>
      </c>
      <c r="AD26" s="34">
        <f t="shared" si="18"/>
        <v>0</v>
      </c>
      <c r="AE26" s="31">
        <f t="shared" si="18"/>
        <v>432</v>
      </c>
      <c r="AF26" s="31">
        <f t="shared" si="18"/>
        <v>1462</v>
      </c>
    </row>
    <row r="27" spans="2:32" ht="23.1" customHeight="1" x14ac:dyDescent="0.25">
      <c r="B27" s="45" t="s">
        <v>54</v>
      </c>
      <c r="C27" s="50">
        <v>25</v>
      </c>
      <c r="D27" s="50">
        <v>5</v>
      </c>
      <c r="E27" s="50">
        <v>2</v>
      </c>
      <c r="F27" s="50">
        <v>26</v>
      </c>
      <c r="G27" s="50">
        <v>0</v>
      </c>
      <c r="H27" s="50">
        <v>0</v>
      </c>
      <c r="I27" s="50">
        <v>4</v>
      </c>
      <c r="J27" s="50">
        <v>0</v>
      </c>
      <c r="K27" s="50">
        <v>0</v>
      </c>
      <c r="L27" s="50">
        <v>0</v>
      </c>
      <c r="M27" s="50">
        <v>130</v>
      </c>
      <c r="N27" s="50">
        <v>0</v>
      </c>
      <c r="O27" s="15">
        <f t="shared" si="0"/>
        <v>62</v>
      </c>
      <c r="P27" s="15">
        <f t="shared" si="1"/>
        <v>192</v>
      </c>
      <c r="R27" s="36" t="s">
        <v>151</v>
      </c>
      <c r="S27" s="34">
        <f>SUM(C78:C81)</f>
        <v>100</v>
      </c>
      <c r="T27" s="34">
        <f t="shared" ref="T27:AF27" si="19">SUM(D78:D81)</f>
        <v>24</v>
      </c>
      <c r="U27" s="34">
        <f t="shared" si="19"/>
        <v>12</v>
      </c>
      <c r="V27" s="34">
        <f t="shared" si="19"/>
        <v>43</v>
      </c>
      <c r="W27" s="34">
        <f t="shared" si="19"/>
        <v>0</v>
      </c>
      <c r="X27" s="34">
        <f t="shared" si="19"/>
        <v>0</v>
      </c>
      <c r="Y27" s="34">
        <f t="shared" si="19"/>
        <v>3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858</v>
      </c>
      <c r="AD27" s="34">
        <f t="shared" si="19"/>
        <v>0</v>
      </c>
      <c r="AE27" s="31">
        <f t="shared" si="19"/>
        <v>182</v>
      </c>
      <c r="AF27" s="31">
        <f t="shared" si="19"/>
        <v>1040</v>
      </c>
    </row>
    <row r="28" spans="2:32" ht="23.1" customHeight="1" x14ac:dyDescent="0.25">
      <c r="B28" s="45" t="s">
        <v>55</v>
      </c>
      <c r="C28" s="50">
        <v>27</v>
      </c>
      <c r="D28" s="50">
        <v>14</v>
      </c>
      <c r="E28" s="50">
        <v>3</v>
      </c>
      <c r="F28" s="50">
        <v>29</v>
      </c>
      <c r="G28" s="50">
        <v>0</v>
      </c>
      <c r="H28" s="50">
        <v>0</v>
      </c>
      <c r="I28" s="50">
        <v>6</v>
      </c>
      <c r="J28" s="50">
        <v>0</v>
      </c>
      <c r="K28" s="50">
        <v>0</v>
      </c>
      <c r="L28" s="50">
        <v>0</v>
      </c>
      <c r="M28" s="50">
        <v>111</v>
      </c>
      <c r="N28" s="50">
        <v>0</v>
      </c>
      <c r="O28" s="15">
        <f t="shared" si="0"/>
        <v>79</v>
      </c>
      <c r="P28" s="15">
        <f t="shared" si="1"/>
        <v>190</v>
      </c>
      <c r="R28" s="36" t="s">
        <v>152</v>
      </c>
      <c r="S28" s="34">
        <f>SUM(C82:C85)</f>
        <v>92</v>
      </c>
      <c r="T28" s="34">
        <f t="shared" ref="T28:AF28" si="20">SUM(D82:D85)</f>
        <v>31</v>
      </c>
      <c r="U28" s="34">
        <f t="shared" si="20"/>
        <v>2</v>
      </c>
      <c r="V28" s="34">
        <f t="shared" si="20"/>
        <v>17</v>
      </c>
      <c r="W28" s="34">
        <f t="shared" si="20"/>
        <v>0</v>
      </c>
      <c r="X28" s="34">
        <f t="shared" si="20"/>
        <v>0</v>
      </c>
      <c r="Y28" s="34">
        <f t="shared" si="20"/>
        <v>3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463</v>
      </c>
      <c r="AD28" s="34">
        <f t="shared" si="20"/>
        <v>0</v>
      </c>
      <c r="AE28" s="31">
        <f t="shared" si="20"/>
        <v>145</v>
      </c>
      <c r="AF28" s="31">
        <f t="shared" si="20"/>
        <v>608</v>
      </c>
    </row>
    <row r="29" spans="2:32" ht="23.1" customHeight="1" x14ac:dyDescent="0.25">
      <c r="B29" s="45" t="s">
        <v>56</v>
      </c>
      <c r="C29" s="50">
        <v>18</v>
      </c>
      <c r="D29" s="50">
        <v>17</v>
      </c>
      <c r="E29" s="50">
        <v>2</v>
      </c>
      <c r="F29" s="50">
        <v>31</v>
      </c>
      <c r="G29" s="50">
        <v>0</v>
      </c>
      <c r="H29" s="50">
        <v>0</v>
      </c>
      <c r="I29" s="50">
        <v>8</v>
      </c>
      <c r="J29" s="50">
        <v>0</v>
      </c>
      <c r="K29" s="50">
        <v>0</v>
      </c>
      <c r="L29" s="50">
        <v>0</v>
      </c>
      <c r="M29" s="50">
        <v>150</v>
      </c>
      <c r="N29" s="50">
        <v>0</v>
      </c>
      <c r="O29" s="15">
        <f t="shared" si="0"/>
        <v>76</v>
      </c>
      <c r="P29" s="15">
        <f t="shared" si="1"/>
        <v>226</v>
      </c>
      <c r="R29" s="36" t="s">
        <v>153</v>
      </c>
      <c r="S29" s="34">
        <f>SUM(C86:C89)</f>
        <v>30</v>
      </c>
      <c r="T29" s="34">
        <f t="shared" ref="T29:AF29" si="21">SUM(D86:D89)</f>
        <v>1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316</v>
      </c>
      <c r="AD29" s="34">
        <f t="shared" si="21"/>
        <v>0</v>
      </c>
      <c r="AE29" s="31">
        <f t="shared" si="21"/>
        <v>35</v>
      </c>
      <c r="AF29" s="31">
        <f t="shared" si="21"/>
        <v>351</v>
      </c>
    </row>
    <row r="30" spans="2:32" ht="23.1" customHeight="1" x14ac:dyDescent="0.25">
      <c r="B30" s="45" t="s">
        <v>57</v>
      </c>
      <c r="C30" s="50">
        <v>25</v>
      </c>
      <c r="D30" s="50">
        <v>13</v>
      </c>
      <c r="E30" s="50">
        <v>4</v>
      </c>
      <c r="F30" s="50">
        <v>23</v>
      </c>
      <c r="G30" s="50">
        <v>0</v>
      </c>
      <c r="H30" s="50">
        <v>0</v>
      </c>
      <c r="I30" s="50">
        <v>4</v>
      </c>
      <c r="J30" s="50">
        <v>1</v>
      </c>
      <c r="K30" s="50">
        <v>0</v>
      </c>
      <c r="L30" s="50">
        <v>0</v>
      </c>
      <c r="M30" s="50">
        <v>154</v>
      </c>
      <c r="N30" s="50">
        <v>0</v>
      </c>
      <c r="O30" s="15">
        <f t="shared" si="0"/>
        <v>70</v>
      </c>
      <c r="P30" s="15">
        <f t="shared" si="1"/>
        <v>224</v>
      </c>
      <c r="R30" s="36" t="s">
        <v>154</v>
      </c>
      <c r="S30" s="34">
        <f>SUM(C90:C93)</f>
        <v>32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3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2</v>
      </c>
      <c r="AB30" s="34">
        <f t="shared" si="22"/>
        <v>0</v>
      </c>
      <c r="AC30" s="34">
        <f t="shared" si="22"/>
        <v>417</v>
      </c>
      <c r="AD30" s="34">
        <f t="shared" si="22"/>
        <v>0</v>
      </c>
      <c r="AE30" s="31">
        <f t="shared" si="22"/>
        <v>37</v>
      </c>
      <c r="AF30" s="31">
        <f t="shared" si="22"/>
        <v>454</v>
      </c>
    </row>
    <row r="31" spans="2:32" ht="23.1" customHeight="1" x14ac:dyDescent="0.25">
      <c r="B31" s="46" t="s">
        <v>58</v>
      </c>
      <c r="C31" s="50">
        <v>24</v>
      </c>
      <c r="D31" s="50">
        <v>8</v>
      </c>
      <c r="E31" s="50">
        <v>4</v>
      </c>
      <c r="F31" s="50">
        <v>25</v>
      </c>
      <c r="G31" s="50">
        <v>0</v>
      </c>
      <c r="H31" s="50">
        <v>0</v>
      </c>
      <c r="I31" s="50">
        <v>6</v>
      </c>
      <c r="J31" s="50">
        <v>1</v>
      </c>
      <c r="K31" s="50">
        <v>0</v>
      </c>
      <c r="L31" s="50">
        <v>0</v>
      </c>
      <c r="M31" s="50">
        <v>150</v>
      </c>
      <c r="N31" s="50">
        <v>0</v>
      </c>
      <c r="O31" s="15">
        <f t="shared" si="0"/>
        <v>68</v>
      </c>
      <c r="P31" s="15">
        <f t="shared" si="1"/>
        <v>218</v>
      </c>
      <c r="R31" s="36" t="s">
        <v>155</v>
      </c>
      <c r="S31" s="34">
        <f>SUM(C94:C97)</f>
        <v>26</v>
      </c>
      <c r="T31" s="34">
        <f t="shared" ref="T31:AF31" si="23">SUM(D94:D97)</f>
        <v>2</v>
      </c>
      <c r="U31" s="34">
        <f t="shared" si="23"/>
        <v>1</v>
      </c>
      <c r="V31" s="34">
        <f t="shared" si="23"/>
        <v>7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218</v>
      </c>
      <c r="AD31" s="34">
        <f t="shared" si="23"/>
        <v>0</v>
      </c>
      <c r="AE31" s="31">
        <f t="shared" si="23"/>
        <v>36</v>
      </c>
      <c r="AF31" s="31">
        <f t="shared" si="23"/>
        <v>254</v>
      </c>
    </row>
    <row r="32" spans="2:32" ht="23.1" customHeight="1" x14ac:dyDescent="0.25">
      <c r="B32" s="46" t="s">
        <v>59</v>
      </c>
      <c r="C32" s="50">
        <v>31</v>
      </c>
      <c r="D32" s="50">
        <v>18</v>
      </c>
      <c r="E32" s="50">
        <v>6</v>
      </c>
      <c r="F32" s="50">
        <v>27</v>
      </c>
      <c r="G32" s="50">
        <v>0</v>
      </c>
      <c r="H32" s="50">
        <v>1</v>
      </c>
      <c r="I32" s="50">
        <v>5</v>
      </c>
      <c r="J32" s="50">
        <v>1</v>
      </c>
      <c r="K32" s="50">
        <v>0</v>
      </c>
      <c r="L32" s="50">
        <v>0</v>
      </c>
      <c r="M32" s="50">
        <v>178</v>
      </c>
      <c r="N32" s="50">
        <v>0</v>
      </c>
      <c r="O32" s="15">
        <f t="shared" si="0"/>
        <v>89</v>
      </c>
      <c r="P32" s="15">
        <f t="shared" si="1"/>
        <v>267</v>
      </c>
      <c r="R32" s="33" t="s">
        <v>156</v>
      </c>
      <c r="S32" s="34">
        <f>SUM(C98:C101)</f>
        <v>169</v>
      </c>
      <c r="T32" s="34">
        <f t="shared" ref="T32:AF32" si="24">SUM(D98:D101)</f>
        <v>11</v>
      </c>
      <c r="U32" s="34">
        <f t="shared" si="24"/>
        <v>10</v>
      </c>
      <c r="V32" s="34">
        <f t="shared" si="24"/>
        <v>209</v>
      </c>
      <c r="W32" s="34">
        <f t="shared" si="24"/>
        <v>5</v>
      </c>
      <c r="X32" s="34">
        <f t="shared" si="24"/>
        <v>1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641</v>
      </c>
      <c r="AD32" s="34">
        <f t="shared" si="24"/>
        <v>0</v>
      </c>
      <c r="AE32" s="31">
        <f t="shared" si="24"/>
        <v>405</v>
      </c>
      <c r="AF32" s="31">
        <f t="shared" si="24"/>
        <v>1046</v>
      </c>
    </row>
    <row r="33" spans="2:32" ht="23.1" customHeight="1" x14ac:dyDescent="0.25">
      <c r="B33" s="45" t="s">
        <v>60</v>
      </c>
      <c r="C33" s="50">
        <v>39</v>
      </c>
      <c r="D33" s="50">
        <v>9</v>
      </c>
      <c r="E33" s="50">
        <v>7</v>
      </c>
      <c r="F33" s="50">
        <v>32</v>
      </c>
      <c r="G33" s="50">
        <v>0</v>
      </c>
      <c r="H33" s="50">
        <v>0</v>
      </c>
      <c r="I33" s="50">
        <v>4</v>
      </c>
      <c r="J33" s="50">
        <v>0</v>
      </c>
      <c r="K33" s="50">
        <v>0</v>
      </c>
      <c r="L33" s="50">
        <v>1</v>
      </c>
      <c r="M33" s="50">
        <v>158</v>
      </c>
      <c r="N33" s="50">
        <v>0</v>
      </c>
      <c r="O33" s="15">
        <f t="shared" si="0"/>
        <v>92</v>
      </c>
      <c r="P33" s="15">
        <f t="shared" si="1"/>
        <v>250</v>
      </c>
      <c r="R33" s="33" t="s">
        <v>157</v>
      </c>
      <c r="S33" s="34">
        <f>SUM(C102:C105)</f>
        <v>455</v>
      </c>
      <c r="T33" s="34">
        <f t="shared" ref="T33:AF33" si="25">SUM(D102:D105)</f>
        <v>75</v>
      </c>
      <c r="U33" s="34">
        <f t="shared" si="25"/>
        <v>18</v>
      </c>
      <c r="V33" s="34">
        <f t="shared" si="25"/>
        <v>432</v>
      </c>
      <c r="W33" s="34">
        <f t="shared" si="25"/>
        <v>11</v>
      </c>
      <c r="X33" s="34">
        <f t="shared" si="25"/>
        <v>1</v>
      </c>
      <c r="Y33" s="34">
        <f t="shared" si="25"/>
        <v>10</v>
      </c>
      <c r="Z33" s="34">
        <f t="shared" si="25"/>
        <v>1</v>
      </c>
      <c r="AA33" s="34">
        <f t="shared" si="25"/>
        <v>2</v>
      </c>
      <c r="AB33" s="34">
        <f t="shared" si="25"/>
        <v>0</v>
      </c>
      <c r="AC33" s="34">
        <f t="shared" si="25"/>
        <v>749</v>
      </c>
      <c r="AD33" s="34">
        <f t="shared" si="25"/>
        <v>0</v>
      </c>
      <c r="AE33" s="31">
        <f t="shared" si="25"/>
        <v>1005</v>
      </c>
      <c r="AF33" s="31">
        <f t="shared" si="25"/>
        <v>1754</v>
      </c>
    </row>
    <row r="34" spans="2:32" ht="23.1" customHeight="1" x14ac:dyDescent="0.25">
      <c r="B34" s="46" t="s">
        <v>61</v>
      </c>
      <c r="C34" s="50">
        <v>27</v>
      </c>
      <c r="D34" s="50">
        <v>18</v>
      </c>
      <c r="E34" s="50">
        <v>2</v>
      </c>
      <c r="F34" s="50">
        <v>29</v>
      </c>
      <c r="G34" s="50">
        <v>0</v>
      </c>
      <c r="H34" s="50">
        <v>0</v>
      </c>
      <c r="I34" s="50">
        <v>3</v>
      </c>
      <c r="J34" s="50">
        <v>2</v>
      </c>
      <c r="K34" s="50">
        <v>0</v>
      </c>
      <c r="L34" s="50">
        <v>0</v>
      </c>
      <c r="M34" s="50">
        <v>145</v>
      </c>
      <c r="N34" s="50">
        <v>0</v>
      </c>
      <c r="O34" s="15">
        <f t="shared" si="0"/>
        <v>81</v>
      </c>
      <c r="P34" s="15">
        <f t="shared" si="1"/>
        <v>226</v>
      </c>
      <c r="R34" s="38" t="s">
        <v>90</v>
      </c>
      <c r="S34" s="39">
        <f t="shared" ref="S34:AF34" si="26">MAX(S10:S12)</f>
        <v>122</v>
      </c>
      <c r="T34" s="39">
        <f t="shared" si="26"/>
        <v>66</v>
      </c>
      <c r="U34" s="39">
        <f t="shared" si="26"/>
        <v>23</v>
      </c>
      <c r="V34" s="39">
        <f t="shared" si="26"/>
        <v>227</v>
      </c>
      <c r="W34" s="39">
        <f t="shared" si="26"/>
        <v>1</v>
      </c>
      <c r="X34" s="39">
        <f t="shared" si="26"/>
        <v>1</v>
      </c>
      <c r="Y34" s="39">
        <f t="shared" si="26"/>
        <v>17</v>
      </c>
      <c r="Z34" s="39">
        <f t="shared" si="26"/>
        <v>1</v>
      </c>
      <c r="AA34" s="39">
        <f t="shared" si="26"/>
        <v>0</v>
      </c>
      <c r="AB34" s="39">
        <f t="shared" si="26"/>
        <v>1</v>
      </c>
      <c r="AC34" s="39">
        <f t="shared" si="26"/>
        <v>930</v>
      </c>
      <c r="AD34" s="39">
        <f t="shared" si="26"/>
        <v>0</v>
      </c>
      <c r="AE34" s="40">
        <f t="shared" si="26"/>
        <v>453</v>
      </c>
      <c r="AF34" s="40">
        <f t="shared" si="26"/>
        <v>1383</v>
      </c>
    </row>
    <row r="35" spans="2:32" ht="23.1" customHeight="1" x14ac:dyDescent="0.25">
      <c r="B35" s="46" t="s">
        <v>62</v>
      </c>
      <c r="C35" s="50">
        <v>18</v>
      </c>
      <c r="D35" s="50">
        <v>10</v>
      </c>
      <c r="E35" s="50">
        <v>3</v>
      </c>
      <c r="F35" s="50">
        <v>18</v>
      </c>
      <c r="G35" s="50">
        <v>0</v>
      </c>
      <c r="H35" s="50">
        <v>0</v>
      </c>
      <c r="I35" s="50">
        <v>3</v>
      </c>
      <c r="J35" s="50">
        <v>2</v>
      </c>
      <c r="K35" s="50">
        <v>0</v>
      </c>
      <c r="L35" s="50">
        <v>0</v>
      </c>
      <c r="M35" s="50">
        <v>117</v>
      </c>
      <c r="N35" s="50">
        <v>0</v>
      </c>
      <c r="O35" s="15">
        <f t="shared" si="0"/>
        <v>54</v>
      </c>
      <c r="P35" s="15">
        <f t="shared" si="1"/>
        <v>171</v>
      </c>
      <c r="R35" s="38" t="s">
        <v>91</v>
      </c>
      <c r="S35" s="39">
        <f t="shared" ref="S35:AF35" si="27">MAX(S13:S18)</f>
        <v>141</v>
      </c>
      <c r="T35" s="39">
        <f t="shared" si="27"/>
        <v>79</v>
      </c>
      <c r="U35" s="39">
        <f t="shared" si="27"/>
        <v>26</v>
      </c>
      <c r="V35" s="39">
        <f t="shared" si="27"/>
        <v>135</v>
      </c>
      <c r="W35" s="39">
        <f t="shared" si="27"/>
        <v>3</v>
      </c>
      <c r="X35" s="39">
        <f t="shared" si="27"/>
        <v>1</v>
      </c>
      <c r="Y35" s="39">
        <f t="shared" si="27"/>
        <v>24</v>
      </c>
      <c r="Z35" s="39">
        <f t="shared" si="27"/>
        <v>4</v>
      </c>
      <c r="AA35" s="39">
        <f t="shared" si="27"/>
        <v>1</v>
      </c>
      <c r="AB35" s="39">
        <f t="shared" si="27"/>
        <v>1</v>
      </c>
      <c r="AC35" s="39">
        <f t="shared" si="27"/>
        <v>705</v>
      </c>
      <c r="AD35" s="39">
        <f t="shared" si="27"/>
        <v>0</v>
      </c>
      <c r="AE35" s="40">
        <f t="shared" si="27"/>
        <v>386</v>
      </c>
      <c r="AF35" s="40">
        <f t="shared" si="27"/>
        <v>1085</v>
      </c>
    </row>
    <row r="36" spans="2:32" ht="23.1" customHeight="1" x14ac:dyDescent="0.25">
      <c r="B36" s="46" t="s">
        <v>63</v>
      </c>
      <c r="C36" s="50">
        <v>21</v>
      </c>
      <c r="D36" s="50">
        <v>17</v>
      </c>
      <c r="E36" s="50">
        <v>5</v>
      </c>
      <c r="F36" s="50">
        <v>21</v>
      </c>
      <c r="G36" s="50">
        <v>0</v>
      </c>
      <c r="H36" s="50">
        <v>0</v>
      </c>
      <c r="I36" s="50">
        <v>7</v>
      </c>
      <c r="J36" s="50">
        <v>0</v>
      </c>
      <c r="K36" s="50">
        <v>0</v>
      </c>
      <c r="L36" s="50">
        <v>0</v>
      </c>
      <c r="M36" s="50">
        <v>123</v>
      </c>
      <c r="N36" s="50">
        <v>0</v>
      </c>
      <c r="O36" s="15">
        <f t="shared" si="0"/>
        <v>71</v>
      </c>
      <c r="P36" s="15">
        <f t="shared" si="1"/>
        <v>194</v>
      </c>
      <c r="R36" s="38" t="s">
        <v>92</v>
      </c>
      <c r="S36" s="39">
        <f t="shared" ref="S36:AF36" si="28">MAX(S19:S21)</f>
        <v>179</v>
      </c>
      <c r="T36" s="39">
        <f t="shared" si="28"/>
        <v>54</v>
      </c>
      <c r="U36" s="39">
        <f t="shared" si="28"/>
        <v>21</v>
      </c>
      <c r="V36" s="39">
        <f t="shared" si="28"/>
        <v>104</v>
      </c>
      <c r="W36" s="39">
        <f t="shared" si="28"/>
        <v>4</v>
      </c>
      <c r="X36" s="39">
        <f t="shared" si="28"/>
        <v>3</v>
      </c>
      <c r="Y36" s="39">
        <f t="shared" si="28"/>
        <v>16</v>
      </c>
      <c r="Z36" s="39">
        <f t="shared" si="28"/>
        <v>0</v>
      </c>
      <c r="AA36" s="39">
        <f t="shared" si="28"/>
        <v>1</v>
      </c>
      <c r="AB36" s="39">
        <f t="shared" si="28"/>
        <v>0</v>
      </c>
      <c r="AC36" s="39">
        <f t="shared" si="28"/>
        <v>723</v>
      </c>
      <c r="AD36" s="39">
        <f t="shared" si="28"/>
        <v>0</v>
      </c>
      <c r="AE36" s="40">
        <f t="shared" si="28"/>
        <v>379</v>
      </c>
      <c r="AF36" s="40">
        <f t="shared" si="28"/>
        <v>1102</v>
      </c>
    </row>
    <row r="37" spans="2:32" ht="23.1" customHeight="1" x14ac:dyDescent="0.25">
      <c r="B37" s="45" t="s">
        <v>64</v>
      </c>
      <c r="C37" s="50">
        <v>19</v>
      </c>
      <c r="D37" s="50">
        <v>13</v>
      </c>
      <c r="E37" s="50">
        <v>3</v>
      </c>
      <c r="F37" s="50">
        <v>20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124</v>
      </c>
      <c r="N37" s="50">
        <v>0</v>
      </c>
      <c r="O37" s="15">
        <f t="shared" si="0"/>
        <v>58</v>
      </c>
      <c r="P37" s="15">
        <f t="shared" si="1"/>
        <v>182</v>
      </c>
      <c r="R37" s="37" t="s">
        <v>85</v>
      </c>
      <c r="S37" s="35">
        <f t="shared" ref="S37:AF37" si="29">SUM(S10:S12)</f>
        <v>288</v>
      </c>
      <c r="T37" s="16">
        <f t="shared" si="29"/>
        <v>154</v>
      </c>
      <c r="U37" s="16">
        <f t="shared" si="29"/>
        <v>45</v>
      </c>
      <c r="V37" s="16">
        <f t="shared" si="29"/>
        <v>511</v>
      </c>
      <c r="W37" s="16">
        <f t="shared" si="29"/>
        <v>1</v>
      </c>
      <c r="X37" s="16">
        <f t="shared" si="29"/>
        <v>1</v>
      </c>
      <c r="Y37" s="16">
        <f t="shared" si="29"/>
        <v>39</v>
      </c>
      <c r="Z37" s="16">
        <f t="shared" si="29"/>
        <v>2</v>
      </c>
      <c r="AA37" s="16">
        <f t="shared" si="29"/>
        <v>0</v>
      </c>
      <c r="AB37" s="16">
        <f t="shared" si="29"/>
        <v>1</v>
      </c>
      <c r="AC37" s="16">
        <f t="shared" si="29"/>
        <v>2143</v>
      </c>
      <c r="AD37" s="16">
        <f t="shared" si="29"/>
        <v>0</v>
      </c>
      <c r="AE37" s="32">
        <f t="shared" si="29"/>
        <v>1042</v>
      </c>
      <c r="AF37" s="32">
        <f t="shared" si="29"/>
        <v>3185</v>
      </c>
    </row>
    <row r="38" spans="2:32" ht="23.1" customHeight="1" x14ac:dyDescent="0.25">
      <c r="B38" s="46" t="s">
        <v>65</v>
      </c>
      <c r="C38" s="50">
        <v>11</v>
      </c>
      <c r="D38" s="50">
        <v>8</v>
      </c>
      <c r="E38" s="50">
        <v>2</v>
      </c>
      <c r="F38" s="50">
        <v>10</v>
      </c>
      <c r="G38" s="50">
        <v>0</v>
      </c>
      <c r="H38" s="50">
        <v>0</v>
      </c>
      <c r="I38" s="50">
        <v>2</v>
      </c>
      <c r="J38" s="50">
        <v>1</v>
      </c>
      <c r="K38" s="50">
        <v>0</v>
      </c>
      <c r="L38" s="50">
        <v>0</v>
      </c>
      <c r="M38" s="50">
        <v>78</v>
      </c>
      <c r="N38" s="50">
        <v>0</v>
      </c>
      <c r="O38" s="15">
        <f t="shared" si="0"/>
        <v>34</v>
      </c>
      <c r="P38" s="15">
        <f t="shared" si="1"/>
        <v>112</v>
      </c>
      <c r="R38" s="28" t="s">
        <v>86</v>
      </c>
      <c r="S38" s="16">
        <f t="shared" ref="S38:AF38" si="30">SUM(S13:S18)</f>
        <v>643</v>
      </c>
      <c r="T38" s="16">
        <f t="shared" si="30"/>
        <v>309</v>
      </c>
      <c r="U38" s="16">
        <f t="shared" si="30"/>
        <v>98</v>
      </c>
      <c r="V38" s="16">
        <f t="shared" si="30"/>
        <v>622</v>
      </c>
      <c r="W38" s="16">
        <f t="shared" si="30"/>
        <v>3</v>
      </c>
      <c r="X38" s="16">
        <f t="shared" si="30"/>
        <v>1</v>
      </c>
      <c r="Y38" s="16">
        <f t="shared" si="30"/>
        <v>102</v>
      </c>
      <c r="Z38" s="16">
        <f t="shared" si="30"/>
        <v>13</v>
      </c>
      <c r="AA38" s="16">
        <f t="shared" si="30"/>
        <v>1</v>
      </c>
      <c r="AB38" s="16">
        <f t="shared" si="30"/>
        <v>1</v>
      </c>
      <c r="AC38" s="16">
        <f t="shared" si="30"/>
        <v>3578</v>
      </c>
      <c r="AD38" s="16">
        <f t="shared" si="30"/>
        <v>0</v>
      </c>
      <c r="AE38" s="32">
        <f t="shared" si="30"/>
        <v>1793</v>
      </c>
      <c r="AF38" s="32">
        <f t="shared" si="30"/>
        <v>5371</v>
      </c>
    </row>
    <row r="39" spans="2:32" ht="23.1" customHeight="1" x14ac:dyDescent="0.25">
      <c r="B39" s="46" t="s">
        <v>66</v>
      </c>
      <c r="C39" s="50">
        <v>24</v>
      </c>
      <c r="D39" s="50">
        <v>10</v>
      </c>
      <c r="E39" s="50">
        <v>6</v>
      </c>
      <c r="F39" s="50">
        <v>30</v>
      </c>
      <c r="G39" s="50">
        <v>0</v>
      </c>
      <c r="H39" s="50">
        <v>0</v>
      </c>
      <c r="I39" s="50">
        <v>4</v>
      </c>
      <c r="J39" s="50">
        <v>0</v>
      </c>
      <c r="K39" s="50">
        <v>0</v>
      </c>
      <c r="L39" s="50">
        <v>0</v>
      </c>
      <c r="M39" s="50">
        <v>116</v>
      </c>
      <c r="N39" s="50">
        <v>0</v>
      </c>
      <c r="O39" s="15">
        <f t="shared" si="0"/>
        <v>74</v>
      </c>
      <c r="P39" s="15">
        <f t="shared" si="1"/>
        <v>190</v>
      </c>
      <c r="R39" s="29" t="s">
        <v>87</v>
      </c>
      <c r="S39" s="16">
        <f t="shared" ref="S39:AF39" si="31">SUM(S19:S21)</f>
        <v>404</v>
      </c>
      <c r="T39" s="16">
        <f t="shared" si="31"/>
        <v>112</v>
      </c>
      <c r="U39" s="16">
        <f t="shared" si="31"/>
        <v>49</v>
      </c>
      <c r="V39" s="16">
        <f t="shared" si="31"/>
        <v>279</v>
      </c>
      <c r="W39" s="16">
        <f t="shared" si="31"/>
        <v>4</v>
      </c>
      <c r="X39" s="16">
        <f t="shared" si="31"/>
        <v>3</v>
      </c>
      <c r="Y39" s="16">
        <f t="shared" si="31"/>
        <v>34</v>
      </c>
      <c r="Z39" s="16">
        <f t="shared" si="31"/>
        <v>0</v>
      </c>
      <c r="AA39" s="16">
        <f t="shared" si="31"/>
        <v>2</v>
      </c>
      <c r="AB39" s="16">
        <f t="shared" si="31"/>
        <v>0</v>
      </c>
      <c r="AC39" s="16">
        <f t="shared" si="31"/>
        <v>1956</v>
      </c>
      <c r="AD39" s="16">
        <f t="shared" si="31"/>
        <v>0</v>
      </c>
      <c r="AE39" s="32">
        <f t="shared" si="31"/>
        <v>887</v>
      </c>
      <c r="AF39" s="32">
        <f t="shared" si="31"/>
        <v>2843</v>
      </c>
    </row>
    <row r="40" spans="2:32" ht="23.1" customHeight="1" x14ac:dyDescent="0.25">
      <c r="B40" s="46" t="s">
        <v>67</v>
      </c>
      <c r="C40" s="50">
        <v>25</v>
      </c>
      <c r="D40" s="50">
        <v>14</v>
      </c>
      <c r="E40" s="50">
        <v>11</v>
      </c>
      <c r="F40" s="50">
        <v>18</v>
      </c>
      <c r="G40" s="50">
        <v>0</v>
      </c>
      <c r="H40" s="50">
        <v>0</v>
      </c>
      <c r="I40" s="50">
        <v>5</v>
      </c>
      <c r="J40" s="50">
        <v>0</v>
      </c>
      <c r="K40" s="50">
        <v>0</v>
      </c>
      <c r="L40" s="50">
        <v>0</v>
      </c>
      <c r="M40" s="50">
        <v>145</v>
      </c>
      <c r="N40" s="50">
        <v>0</v>
      </c>
      <c r="O40" s="15">
        <f t="shared" si="0"/>
        <v>73</v>
      </c>
      <c r="P40" s="15">
        <f t="shared" si="1"/>
        <v>218</v>
      </c>
      <c r="R40" s="5" t="s">
        <v>17</v>
      </c>
      <c r="S40" s="16">
        <f t="shared" ref="S40:AF40" si="32">SUM(S10:S21)</f>
        <v>1335</v>
      </c>
      <c r="T40" s="16">
        <f t="shared" si="32"/>
        <v>575</v>
      </c>
      <c r="U40" s="16">
        <f t="shared" si="32"/>
        <v>192</v>
      </c>
      <c r="V40" s="16">
        <f t="shared" si="32"/>
        <v>1412</v>
      </c>
      <c r="W40" s="16">
        <f t="shared" si="32"/>
        <v>8</v>
      </c>
      <c r="X40" s="16">
        <f t="shared" si="32"/>
        <v>5</v>
      </c>
      <c r="Y40" s="16">
        <f t="shared" si="32"/>
        <v>175</v>
      </c>
      <c r="Z40" s="16">
        <f t="shared" si="32"/>
        <v>15</v>
      </c>
      <c r="AA40" s="16">
        <f t="shared" si="32"/>
        <v>3</v>
      </c>
      <c r="AB40" s="16">
        <f t="shared" si="32"/>
        <v>2</v>
      </c>
      <c r="AC40" s="16">
        <f t="shared" si="32"/>
        <v>7677</v>
      </c>
      <c r="AD40" s="16">
        <f t="shared" si="32"/>
        <v>0</v>
      </c>
      <c r="AE40" s="32">
        <f t="shared" si="32"/>
        <v>3722</v>
      </c>
      <c r="AF40" s="32">
        <f t="shared" si="32"/>
        <v>11399</v>
      </c>
    </row>
    <row r="41" spans="2:32" ht="23.1" customHeight="1" x14ac:dyDescent="0.25">
      <c r="B41" s="45" t="s">
        <v>68</v>
      </c>
      <c r="C41" s="50">
        <v>27</v>
      </c>
      <c r="D41" s="50">
        <v>6</v>
      </c>
      <c r="E41" s="50">
        <v>7</v>
      </c>
      <c r="F41" s="50">
        <v>27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150</v>
      </c>
      <c r="N41" s="50">
        <v>0</v>
      </c>
      <c r="O41" s="15">
        <f t="shared" si="0"/>
        <v>68</v>
      </c>
      <c r="P41" s="15">
        <f t="shared" si="1"/>
        <v>218</v>
      </c>
      <c r="R41" s="5" t="s">
        <v>159</v>
      </c>
      <c r="S41" s="16">
        <f>SUM(S10:S33)</f>
        <v>3699</v>
      </c>
      <c r="T41" s="16">
        <f t="shared" ref="T41:AF41" si="33">SUM(T10:T33)</f>
        <v>1239</v>
      </c>
      <c r="U41" s="16">
        <f t="shared" si="33"/>
        <v>314</v>
      </c>
      <c r="V41" s="16">
        <f t="shared" si="33"/>
        <v>3741</v>
      </c>
      <c r="W41" s="16">
        <f t="shared" si="33"/>
        <v>37</v>
      </c>
      <c r="X41" s="16">
        <f t="shared" si="33"/>
        <v>12</v>
      </c>
      <c r="Y41" s="16">
        <f t="shared" si="33"/>
        <v>217</v>
      </c>
      <c r="Z41" s="16">
        <f t="shared" si="33"/>
        <v>19</v>
      </c>
      <c r="AA41" s="16">
        <f t="shared" si="33"/>
        <v>12</v>
      </c>
      <c r="AB41" s="16">
        <f t="shared" si="33"/>
        <v>2</v>
      </c>
      <c r="AC41" s="16">
        <f t="shared" si="33"/>
        <v>16689</v>
      </c>
      <c r="AD41" s="16">
        <f t="shared" si="33"/>
        <v>0</v>
      </c>
      <c r="AE41" s="32">
        <f t="shared" si="33"/>
        <v>9292</v>
      </c>
      <c r="AF41" s="32">
        <f t="shared" si="33"/>
        <v>25981</v>
      </c>
    </row>
    <row r="42" spans="2:32" ht="23.1" customHeight="1" x14ac:dyDescent="0.25">
      <c r="B42" s="46" t="s">
        <v>69</v>
      </c>
      <c r="C42" s="50">
        <v>28</v>
      </c>
      <c r="D42" s="50">
        <v>5</v>
      </c>
      <c r="E42" s="50">
        <v>3</v>
      </c>
      <c r="F42" s="50">
        <v>22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163</v>
      </c>
      <c r="N42" s="50">
        <v>0</v>
      </c>
      <c r="O42" s="15">
        <f t="shared" si="0"/>
        <v>61</v>
      </c>
      <c r="P42" s="15">
        <f t="shared" si="1"/>
        <v>224</v>
      </c>
      <c r="R42" s="5" t="s">
        <v>160</v>
      </c>
      <c r="S42" s="48">
        <f>S41/S40</f>
        <v>2.7707865168539327</v>
      </c>
      <c r="T42" s="48">
        <f t="shared" ref="T42:AF42" si="34">T41/T40</f>
        <v>2.1547826086956521</v>
      </c>
      <c r="U42" s="48">
        <f t="shared" si="34"/>
        <v>1.6354166666666667</v>
      </c>
      <c r="V42" s="48">
        <f t="shared" si="34"/>
        <v>2.6494334277620397</v>
      </c>
      <c r="W42" s="48">
        <f t="shared" si="34"/>
        <v>4.625</v>
      </c>
      <c r="X42" s="48">
        <f t="shared" si="34"/>
        <v>2.4</v>
      </c>
      <c r="Y42" s="48">
        <f t="shared" si="34"/>
        <v>1.24</v>
      </c>
      <c r="Z42" s="48">
        <f t="shared" si="34"/>
        <v>1.2666666666666666</v>
      </c>
      <c r="AA42" s="48">
        <f t="shared" si="34"/>
        <v>4</v>
      </c>
      <c r="AB42" s="48">
        <f t="shared" si="34"/>
        <v>1</v>
      </c>
      <c r="AC42" s="48">
        <f t="shared" si="34"/>
        <v>2.1738960531457598</v>
      </c>
      <c r="AD42" s="48" t="e">
        <f t="shared" si="34"/>
        <v>#DIV/0!</v>
      </c>
      <c r="AE42" s="48">
        <f t="shared" si="34"/>
        <v>2.4965072541644275</v>
      </c>
      <c r="AF42" s="48">
        <f t="shared" si="34"/>
        <v>2.2792350206158436</v>
      </c>
    </row>
    <row r="43" spans="2:32" ht="23.1" customHeight="1" x14ac:dyDescent="0.25">
      <c r="B43" s="45" t="s">
        <v>70</v>
      </c>
      <c r="C43" s="50">
        <v>21</v>
      </c>
      <c r="D43" s="50">
        <v>11</v>
      </c>
      <c r="E43" s="50">
        <v>1</v>
      </c>
      <c r="F43" s="50">
        <v>27</v>
      </c>
      <c r="G43" s="50">
        <v>0</v>
      </c>
      <c r="H43" s="50">
        <v>0</v>
      </c>
      <c r="I43" s="50">
        <v>7</v>
      </c>
      <c r="J43" s="50">
        <v>0</v>
      </c>
      <c r="K43" s="50">
        <v>0</v>
      </c>
      <c r="L43" s="50">
        <v>0</v>
      </c>
      <c r="M43" s="50">
        <v>191</v>
      </c>
      <c r="N43" s="50">
        <v>0</v>
      </c>
      <c r="O43" s="15">
        <f t="shared" si="0"/>
        <v>67</v>
      </c>
      <c r="P43" s="15">
        <f t="shared" si="1"/>
        <v>258</v>
      </c>
    </row>
    <row r="44" spans="2:32" ht="23.1" customHeight="1" x14ac:dyDescent="0.25">
      <c r="B44" s="47" t="s">
        <v>71</v>
      </c>
      <c r="C44" s="50">
        <v>17</v>
      </c>
      <c r="D44" s="50">
        <v>11</v>
      </c>
      <c r="E44" s="50">
        <v>6</v>
      </c>
      <c r="F44" s="50">
        <v>25</v>
      </c>
      <c r="G44" s="50">
        <v>0</v>
      </c>
      <c r="H44" s="50">
        <v>0</v>
      </c>
      <c r="I44" s="50">
        <v>4</v>
      </c>
      <c r="J44" s="50">
        <v>1</v>
      </c>
      <c r="K44" s="50">
        <v>0</v>
      </c>
      <c r="L44" s="50">
        <v>0</v>
      </c>
      <c r="M44" s="50">
        <v>175</v>
      </c>
      <c r="N44" s="50">
        <v>0</v>
      </c>
      <c r="O44" s="15">
        <f t="shared" si="0"/>
        <v>64</v>
      </c>
      <c r="P44" s="15">
        <f t="shared" si="1"/>
        <v>239</v>
      </c>
    </row>
    <row r="45" spans="2:32" ht="23.1" customHeight="1" x14ac:dyDescent="0.25">
      <c r="B45" s="45" t="s">
        <v>72</v>
      </c>
      <c r="C45" s="50">
        <v>41</v>
      </c>
      <c r="D45" s="50">
        <v>7</v>
      </c>
      <c r="E45" s="50">
        <v>6</v>
      </c>
      <c r="F45" s="50">
        <v>20</v>
      </c>
      <c r="G45" s="50">
        <v>0</v>
      </c>
      <c r="H45" s="50">
        <v>0</v>
      </c>
      <c r="I45" s="50">
        <v>4</v>
      </c>
      <c r="J45" s="50">
        <v>1</v>
      </c>
      <c r="K45" s="50">
        <v>1</v>
      </c>
      <c r="L45" s="50">
        <v>0</v>
      </c>
      <c r="M45" s="50">
        <v>176</v>
      </c>
      <c r="N45" s="50">
        <v>0</v>
      </c>
      <c r="O45" s="15">
        <f t="shared" si="0"/>
        <v>80</v>
      </c>
      <c r="P45" s="15">
        <f t="shared" si="1"/>
        <v>256</v>
      </c>
    </row>
    <row r="46" spans="2:32" ht="23.1" customHeight="1" x14ac:dyDescent="0.25">
      <c r="B46" s="46" t="s">
        <v>73</v>
      </c>
      <c r="C46" s="50">
        <v>42</v>
      </c>
      <c r="D46" s="50">
        <v>13</v>
      </c>
      <c r="E46" s="50">
        <v>5</v>
      </c>
      <c r="F46" s="50">
        <v>26</v>
      </c>
      <c r="G46" s="50">
        <v>2</v>
      </c>
      <c r="H46" s="50">
        <v>0</v>
      </c>
      <c r="I46" s="50">
        <v>6</v>
      </c>
      <c r="J46" s="50">
        <v>0</v>
      </c>
      <c r="K46" s="50">
        <v>0</v>
      </c>
      <c r="L46" s="50">
        <v>0</v>
      </c>
      <c r="M46" s="50">
        <v>212</v>
      </c>
      <c r="N46" s="50">
        <v>0</v>
      </c>
      <c r="O46" s="15">
        <f t="shared" si="0"/>
        <v>94</v>
      </c>
      <c r="P46" s="15">
        <f t="shared" si="1"/>
        <v>306</v>
      </c>
      <c r="R46" s="8"/>
      <c r="T46"/>
    </row>
    <row r="47" spans="2:32" ht="23.1" customHeight="1" x14ac:dyDescent="0.25">
      <c r="B47" s="46" t="s">
        <v>74</v>
      </c>
      <c r="C47" s="50">
        <v>63</v>
      </c>
      <c r="D47" s="50">
        <v>24</v>
      </c>
      <c r="E47" s="50">
        <v>5</v>
      </c>
      <c r="F47" s="50">
        <v>40</v>
      </c>
      <c r="G47" s="50">
        <v>2</v>
      </c>
      <c r="H47" s="50">
        <v>0</v>
      </c>
      <c r="I47" s="50">
        <v>6</v>
      </c>
      <c r="J47" s="50">
        <v>0</v>
      </c>
      <c r="K47" s="50">
        <v>1</v>
      </c>
      <c r="L47" s="50">
        <v>0</v>
      </c>
      <c r="M47" s="50">
        <v>268</v>
      </c>
      <c r="N47" s="50">
        <v>0</v>
      </c>
      <c r="O47" s="15">
        <f t="shared" si="0"/>
        <v>141</v>
      </c>
      <c r="P47" s="15">
        <f t="shared" si="1"/>
        <v>409</v>
      </c>
      <c r="R47" s="8"/>
      <c r="T47"/>
    </row>
    <row r="48" spans="2:32" ht="23.1" customHeight="1" x14ac:dyDescent="0.25">
      <c r="B48" s="46" t="s">
        <v>75</v>
      </c>
      <c r="C48" s="50">
        <v>53</v>
      </c>
      <c r="D48" s="50">
        <v>11</v>
      </c>
      <c r="E48" s="50">
        <v>9</v>
      </c>
      <c r="F48" s="50">
        <v>24</v>
      </c>
      <c r="G48" s="50">
        <v>0</v>
      </c>
      <c r="H48" s="50">
        <v>0</v>
      </c>
      <c r="I48" s="50">
        <v>4</v>
      </c>
      <c r="J48" s="50">
        <v>0</v>
      </c>
      <c r="K48" s="50">
        <v>0</v>
      </c>
      <c r="L48" s="50">
        <v>0</v>
      </c>
      <c r="M48" s="50">
        <v>177</v>
      </c>
      <c r="N48" s="50">
        <v>0</v>
      </c>
      <c r="O48" s="15">
        <f t="shared" si="0"/>
        <v>101</v>
      </c>
      <c r="P48" s="15">
        <f t="shared" si="1"/>
        <v>278</v>
      </c>
      <c r="R48" s="8"/>
      <c r="T48"/>
    </row>
    <row r="49" spans="2:20" ht="23.1" customHeight="1" x14ac:dyDescent="0.25">
      <c r="B49" s="45" t="s">
        <v>76</v>
      </c>
      <c r="C49" s="50">
        <v>21</v>
      </c>
      <c r="D49" s="50">
        <v>6</v>
      </c>
      <c r="E49" s="50">
        <v>2</v>
      </c>
      <c r="F49" s="50">
        <v>14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66</v>
      </c>
      <c r="N49" s="50">
        <v>0</v>
      </c>
      <c r="O49" s="15">
        <f t="shared" si="0"/>
        <v>43</v>
      </c>
      <c r="P49" s="15">
        <f t="shared" si="1"/>
        <v>109</v>
      </c>
      <c r="R49" s="8"/>
      <c r="T49"/>
    </row>
    <row r="50" spans="2:20" ht="23.1" customHeight="1" x14ac:dyDescent="0.25">
      <c r="B50" s="46" t="s">
        <v>77</v>
      </c>
      <c r="C50" s="50">
        <v>19</v>
      </c>
      <c r="D50" s="50">
        <v>1</v>
      </c>
      <c r="E50" s="50">
        <v>3</v>
      </c>
      <c r="F50" s="50">
        <v>13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59</v>
      </c>
      <c r="N50" s="50">
        <v>0</v>
      </c>
      <c r="O50" s="15">
        <f t="shared" si="0"/>
        <v>38</v>
      </c>
      <c r="P50" s="15">
        <f t="shared" si="1"/>
        <v>97</v>
      </c>
      <c r="R50" s="8"/>
      <c r="T50"/>
    </row>
    <row r="51" spans="2:20" ht="23.1" customHeight="1" x14ac:dyDescent="0.25">
      <c r="B51" s="46" t="s">
        <v>78</v>
      </c>
      <c r="C51" s="50">
        <v>23</v>
      </c>
      <c r="D51" s="50">
        <v>4</v>
      </c>
      <c r="E51" s="50">
        <v>2</v>
      </c>
      <c r="F51" s="50">
        <v>32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217</v>
      </c>
      <c r="N51" s="50">
        <v>0</v>
      </c>
      <c r="O51" s="15">
        <f t="shared" si="0"/>
        <v>62</v>
      </c>
      <c r="P51" s="15">
        <f t="shared" si="1"/>
        <v>279</v>
      </c>
      <c r="R51" s="8"/>
      <c r="T51"/>
    </row>
    <row r="52" spans="2:20" ht="23.1" customHeight="1" x14ac:dyDescent="0.25">
      <c r="B52" s="46" t="s">
        <v>79</v>
      </c>
      <c r="C52" s="50">
        <v>44</v>
      </c>
      <c r="D52" s="50">
        <v>8</v>
      </c>
      <c r="E52" s="50">
        <v>4</v>
      </c>
      <c r="F52" s="50">
        <v>26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158</v>
      </c>
      <c r="N52" s="50">
        <v>0</v>
      </c>
      <c r="O52" s="15">
        <f t="shared" si="0"/>
        <v>85</v>
      </c>
      <c r="P52" s="15">
        <f t="shared" si="1"/>
        <v>243</v>
      </c>
      <c r="R52" s="8"/>
      <c r="T52"/>
    </row>
    <row r="53" spans="2:20" ht="23.1" customHeight="1" x14ac:dyDescent="0.25">
      <c r="B53" s="45" t="s">
        <v>80</v>
      </c>
      <c r="C53" s="50">
        <v>36</v>
      </c>
      <c r="D53" s="50">
        <v>11</v>
      </c>
      <c r="E53" s="50">
        <v>3</v>
      </c>
      <c r="F53" s="50">
        <v>19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188</v>
      </c>
      <c r="N53" s="50">
        <v>0</v>
      </c>
      <c r="O53" s="15">
        <f t="shared" si="0"/>
        <v>72</v>
      </c>
      <c r="P53" s="15">
        <f t="shared" si="1"/>
        <v>260</v>
      </c>
      <c r="R53" s="8"/>
      <c r="T53"/>
    </row>
    <row r="54" spans="2:20" ht="23.1" customHeight="1" x14ac:dyDescent="0.25">
      <c r="B54" s="45" t="s">
        <v>81</v>
      </c>
      <c r="C54" s="50">
        <v>32</v>
      </c>
      <c r="D54" s="50">
        <v>10</v>
      </c>
      <c r="E54" s="50">
        <v>3</v>
      </c>
      <c r="F54" s="50">
        <v>21</v>
      </c>
      <c r="G54" s="50">
        <v>0</v>
      </c>
      <c r="H54" s="50">
        <v>0</v>
      </c>
      <c r="I54" s="50">
        <v>5</v>
      </c>
      <c r="J54" s="50">
        <v>0</v>
      </c>
      <c r="K54" s="50">
        <v>0</v>
      </c>
      <c r="L54" s="50">
        <v>0</v>
      </c>
      <c r="M54" s="50">
        <v>156</v>
      </c>
      <c r="N54" s="50">
        <v>0</v>
      </c>
      <c r="O54" s="15">
        <f t="shared" si="0"/>
        <v>71</v>
      </c>
      <c r="P54" s="15">
        <f t="shared" si="1"/>
        <v>227</v>
      </c>
      <c r="R54" s="8"/>
      <c r="T54"/>
    </row>
    <row r="55" spans="2:20" ht="23.1" customHeight="1" x14ac:dyDescent="0.25">
      <c r="B55" s="45" t="s">
        <v>82</v>
      </c>
      <c r="C55" s="50">
        <v>30</v>
      </c>
      <c r="D55" s="50">
        <v>9</v>
      </c>
      <c r="E55" s="50">
        <v>7</v>
      </c>
      <c r="F55" s="50">
        <v>23</v>
      </c>
      <c r="G55" s="50">
        <v>0</v>
      </c>
      <c r="H55" s="50">
        <v>0</v>
      </c>
      <c r="I55" s="50">
        <v>1</v>
      </c>
      <c r="J55" s="50">
        <v>0</v>
      </c>
      <c r="K55" s="50">
        <v>1</v>
      </c>
      <c r="L55" s="50">
        <v>0</v>
      </c>
      <c r="M55" s="50">
        <v>155</v>
      </c>
      <c r="N55" s="50">
        <v>0</v>
      </c>
      <c r="O55" s="15">
        <f t="shared" si="0"/>
        <v>71</v>
      </c>
      <c r="P55" s="15">
        <f t="shared" si="1"/>
        <v>226</v>
      </c>
      <c r="R55" s="8"/>
      <c r="T55"/>
    </row>
    <row r="56" spans="2:20" ht="23.1" customHeight="1" x14ac:dyDescent="0.25">
      <c r="B56" s="45" t="s">
        <v>83</v>
      </c>
      <c r="C56" s="50">
        <v>26</v>
      </c>
      <c r="D56" s="50">
        <v>12</v>
      </c>
      <c r="E56" s="50">
        <v>3</v>
      </c>
      <c r="F56" s="50">
        <v>23</v>
      </c>
      <c r="G56" s="50">
        <v>0</v>
      </c>
      <c r="H56" s="50">
        <v>3</v>
      </c>
      <c r="I56" s="50">
        <v>1</v>
      </c>
      <c r="J56" s="50">
        <v>0</v>
      </c>
      <c r="K56" s="50">
        <v>0</v>
      </c>
      <c r="L56" s="50">
        <v>0</v>
      </c>
      <c r="M56" s="50">
        <v>198</v>
      </c>
      <c r="N56" s="50">
        <v>0</v>
      </c>
      <c r="O56" s="15">
        <f t="shared" si="0"/>
        <v>68</v>
      </c>
      <c r="P56" s="15">
        <f t="shared" si="1"/>
        <v>266</v>
      </c>
      <c r="R56" s="8"/>
      <c r="T56"/>
    </row>
    <row r="57" spans="2:20" ht="23.1" customHeight="1" x14ac:dyDescent="0.25">
      <c r="B57" s="45" t="s">
        <v>84</v>
      </c>
      <c r="C57" s="50">
        <v>15</v>
      </c>
      <c r="D57" s="50">
        <v>3</v>
      </c>
      <c r="E57" s="50">
        <v>3</v>
      </c>
      <c r="F57" s="50">
        <v>18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102</v>
      </c>
      <c r="N57" s="50">
        <v>0</v>
      </c>
      <c r="O57" s="15">
        <f t="shared" si="0"/>
        <v>41</v>
      </c>
      <c r="P57" s="15">
        <f t="shared" si="1"/>
        <v>143</v>
      </c>
      <c r="R57" s="8"/>
      <c r="T57"/>
    </row>
    <row r="58" spans="2:20" ht="23.1" customHeight="1" x14ac:dyDescent="0.25">
      <c r="B58" s="45" t="s">
        <v>99</v>
      </c>
      <c r="C58" s="50">
        <v>40</v>
      </c>
      <c r="D58" s="50">
        <v>11</v>
      </c>
      <c r="E58" s="50">
        <v>10</v>
      </c>
      <c r="F58" s="50">
        <v>20</v>
      </c>
      <c r="G58" s="50">
        <v>1</v>
      </c>
      <c r="H58" s="50">
        <v>1</v>
      </c>
      <c r="I58" s="50">
        <v>0</v>
      </c>
      <c r="J58" s="50">
        <v>0</v>
      </c>
      <c r="K58" s="50">
        <v>0</v>
      </c>
      <c r="L58" s="50">
        <v>0</v>
      </c>
      <c r="M58" s="50">
        <v>193</v>
      </c>
      <c r="N58" s="50">
        <v>0</v>
      </c>
      <c r="O58" s="15">
        <f t="shared" si="0"/>
        <v>83</v>
      </c>
      <c r="P58" s="15">
        <f t="shared" si="1"/>
        <v>276</v>
      </c>
      <c r="R58" s="8"/>
      <c r="T58"/>
    </row>
    <row r="59" spans="2:20" ht="23.1" customHeight="1" x14ac:dyDescent="0.25">
      <c r="B59" s="45" t="s">
        <v>100</v>
      </c>
      <c r="C59" s="50">
        <v>28</v>
      </c>
      <c r="D59" s="50">
        <v>7</v>
      </c>
      <c r="E59" s="50">
        <v>2</v>
      </c>
      <c r="F59" s="50">
        <v>20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260</v>
      </c>
      <c r="N59" s="50">
        <v>0</v>
      </c>
      <c r="O59" s="15">
        <f t="shared" si="0"/>
        <v>57</v>
      </c>
      <c r="P59" s="15">
        <f t="shared" si="1"/>
        <v>317</v>
      </c>
      <c r="R59" s="8"/>
      <c r="T59"/>
    </row>
    <row r="60" spans="2:20" ht="23.1" customHeight="1" x14ac:dyDescent="0.25">
      <c r="B60" s="45" t="s">
        <v>101</v>
      </c>
      <c r="C60" s="50">
        <v>52</v>
      </c>
      <c r="D60" s="50">
        <v>6</v>
      </c>
      <c r="E60" s="50">
        <v>3</v>
      </c>
      <c r="F60" s="50">
        <v>105</v>
      </c>
      <c r="G60" s="50">
        <v>0</v>
      </c>
      <c r="H60" s="50">
        <v>4</v>
      </c>
      <c r="I60" s="50">
        <v>0</v>
      </c>
      <c r="J60" s="50">
        <v>1</v>
      </c>
      <c r="K60" s="50">
        <v>0</v>
      </c>
      <c r="L60" s="50">
        <v>0</v>
      </c>
      <c r="M60" s="50">
        <v>290</v>
      </c>
      <c r="N60" s="50">
        <v>0</v>
      </c>
      <c r="O60" s="15">
        <f t="shared" si="0"/>
        <v>171</v>
      </c>
      <c r="P60" s="15">
        <f t="shared" si="1"/>
        <v>461</v>
      </c>
      <c r="R60" s="8"/>
      <c r="T60"/>
    </row>
    <row r="61" spans="2:20" ht="23.1" customHeight="1" x14ac:dyDescent="0.25">
      <c r="B61" s="45" t="s">
        <v>102</v>
      </c>
      <c r="C61" s="50">
        <v>105</v>
      </c>
      <c r="D61" s="50">
        <v>9</v>
      </c>
      <c r="E61" s="50">
        <v>2</v>
      </c>
      <c r="F61" s="50">
        <v>155</v>
      </c>
      <c r="G61" s="50">
        <v>0</v>
      </c>
      <c r="H61" s="50">
        <v>0</v>
      </c>
      <c r="I61" s="50">
        <v>6</v>
      </c>
      <c r="J61" s="50">
        <v>0</v>
      </c>
      <c r="K61" s="50">
        <v>0</v>
      </c>
      <c r="L61" s="50">
        <v>0</v>
      </c>
      <c r="M61" s="50">
        <v>285</v>
      </c>
      <c r="N61" s="50">
        <v>0</v>
      </c>
      <c r="O61" s="15">
        <f t="shared" si="0"/>
        <v>277</v>
      </c>
      <c r="P61" s="15">
        <f t="shared" si="1"/>
        <v>562</v>
      </c>
      <c r="R61" s="8"/>
      <c r="T61"/>
    </row>
    <row r="62" spans="2:20" ht="23.1" customHeight="1" x14ac:dyDescent="0.25">
      <c r="B62" s="45" t="s">
        <v>107</v>
      </c>
      <c r="C62" s="50">
        <v>85</v>
      </c>
      <c r="D62" s="50">
        <v>4</v>
      </c>
      <c r="E62" s="50">
        <v>2</v>
      </c>
      <c r="F62" s="50">
        <v>110</v>
      </c>
      <c r="G62" s="50">
        <v>0</v>
      </c>
      <c r="H62" s="50">
        <v>0</v>
      </c>
      <c r="I62" s="50">
        <v>5</v>
      </c>
      <c r="J62" s="50">
        <v>2</v>
      </c>
      <c r="K62" s="50">
        <v>0</v>
      </c>
      <c r="L62" s="50">
        <v>0</v>
      </c>
      <c r="M62" s="50">
        <v>150</v>
      </c>
      <c r="N62" s="50">
        <v>0</v>
      </c>
      <c r="O62" s="15">
        <f t="shared" si="0"/>
        <v>208</v>
      </c>
      <c r="P62" s="15">
        <f t="shared" si="1"/>
        <v>358</v>
      </c>
      <c r="R62" s="8"/>
      <c r="T62"/>
    </row>
    <row r="63" spans="2:20" ht="23.1" customHeight="1" x14ac:dyDescent="0.25">
      <c r="B63" s="45" t="s">
        <v>108</v>
      </c>
      <c r="C63" s="50">
        <v>95</v>
      </c>
      <c r="D63" s="50">
        <v>45</v>
      </c>
      <c r="E63" s="50">
        <v>5</v>
      </c>
      <c r="F63" s="50">
        <v>170</v>
      </c>
      <c r="G63" s="50">
        <v>1</v>
      </c>
      <c r="H63" s="50">
        <v>0</v>
      </c>
      <c r="I63" s="50">
        <v>7</v>
      </c>
      <c r="J63" s="50">
        <v>0</v>
      </c>
      <c r="K63" s="50">
        <v>0</v>
      </c>
      <c r="L63" s="50">
        <v>0</v>
      </c>
      <c r="M63" s="50">
        <v>340</v>
      </c>
      <c r="N63" s="50">
        <v>0</v>
      </c>
      <c r="O63" s="15">
        <f t="shared" si="0"/>
        <v>323</v>
      </c>
      <c r="P63" s="15">
        <f t="shared" si="1"/>
        <v>663</v>
      </c>
      <c r="R63" s="8"/>
      <c r="T63"/>
    </row>
    <row r="64" spans="2:20" ht="23.1" customHeight="1" x14ac:dyDescent="0.25">
      <c r="B64" s="45" t="s">
        <v>109</v>
      </c>
      <c r="C64" s="50">
        <v>100</v>
      </c>
      <c r="D64" s="50">
        <v>30</v>
      </c>
      <c r="E64" s="50">
        <v>8</v>
      </c>
      <c r="F64" s="50">
        <v>120</v>
      </c>
      <c r="G64" s="50">
        <v>1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295</v>
      </c>
      <c r="N64" s="50">
        <v>0</v>
      </c>
      <c r="O64" s="15">
        <f t="shared" si="0"/>
        <v>259</v>
      </c>
      <c r="P64" s="15">
        <f t="shared" si="1"/>
        <v>554</v>
      </c>
      <c r="R64" s="8"/>
      <c r="T64"/>
    </row>
    <row r="65" spans="2:20" ht="23.1" customHeight="1" x14ac:dyDescent="0.25">
      <c r="B65" s="45" t="s">
        <v>158</v>
      </c>
      <c r="C65" s="50">
        <v>80</v>
      </c>
      <c r="D65" s="50">
        <v>85</v>
      </c>
      <c r="E65" s="50">
        <v>5</v>
      </c>
      <c r="F65" s="50">
        <v>150</v>
      </c>
      <c r="G65" s="50">
        <v>1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325</v>
      </c>
      <c r="N65" s="50">
        <v>0</v>
      </c>
      <c r="O65" s="15">
        <f t="shared" si="0"/>
        <v>321</v>
      </c>
      <c r="P65" s="15">
        <f t="shared" si="1"/>
        <v>646</v>
      </c>
      <c r="R65" s="8"/>
      <c r="T65"/>
    </row>
    <row r="66" spans="2:20" ht="23.1" customHeight="1" x14ac:dyDescent="0.25">
      <c r="B66" s="45" t="s">
        <v>103</v>
      </c>
      <c r="C66" s="50">
        <v>105</v>
      </c>
      <c r="D66" s="50">
        <v>25</v>
      </c>
      <c r="E66" s="50">
        <v>3</v>
      </c>
      <c r="F66" s="50">
        <v>15</v>
      </c>
      <c r="G66" s="50">
        <v>1</v>
      </c>
      <c r="H66" s="50">
        <v>0</v>
      </c>
      <c r="I66" s="50">
        <v>0</v>
      </c>
      <c r="J66" s="50">
        <v>0</v>
      </c>
      <c r="K66" s="50">
        <v>1</v>
      </c>
      <c r="L66" s="50">
        <v>0</v>
      </c>
      <c r="M66" s="50">
        <v>270</v>
      </c>
      <c r="N66" s="50">
        <v>0</v>
      </c>
      <c r="O66" s="15">
        <f t="shared" si="0"/>
        <v>150</v>
      </c>
      <c r="P66" s="15">
        <f t="shared" si="1"/>
        <v>420</v>
      </c>
      <c r="R66" s="8"/>
      <c r="T66"/>
    </row>
    <row r="67" spans="2:20" ht="23.1" customHeight="1" x14ac:dyDescent="0.25">
      <c r="B67" s="45" t="s">
        <v>104</v>
      </c>
      <c r="C67" s="50">
        <v>115</v>
      </c>
      <c r="D67" s="50">
        <v>20</v>
      </c>
      <c r="E67" s="50">
        <v>15</v>
      </c>
      <c r="F67" s="50">
        <v>135</v>
      </c>
      <c r="G67" s="50">
        <v>2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225</v>
      </c>
      <c r="N67" s="50">
        <v>0</v>
      </c>
      <c r="O67" s="15">
        <f t="shared" si="0"/>
        <v>288</v>
      </c>
      <c r="P67" s="15">
        <f t="shared" si="1"/>
        <v>513</v>
      </c>
      <c r="R67" s="8"/>
      <c r="T67"/>
    </row>
    <row r="68" spans="2:20" ht="23.1" customHeight="1" x14ac:dyDescent="0.25">
      <c r="B68" s="45" t="s">
        <v>105</v>
      </c>
      <c r="C68" s="50">
        <v>80</v>
      </c>
      <c r="D68" s="50">
        <v>50</v>
      </c>
      <c r="E68" s="50">
        <v>4</v>
      </c>
      <c r="F68" s="50">
        <v>95</v>
      </c>
      <c r="G68" s="50">
        <v>1</v>
      </c>
      <c r="H68" s="50">
        <v>0</v>
      </c>
      <c r="I68" s="50">
        <v>1</v>
      </c>
      <c r="J68" s="50">
        <v>0</v>
      </c>
      <c r="K68" s="50">
        <v>1</v>
      </c>
      <c r="L68" s="50">
        <v>0</v>
      </c>
      <c r="M68" s="50">
        <v>300</v>
      </c>
      <c r="N68" s="50">
        <v>0</v>
      </c>
      <c r="O68" s="15">
        <f t="shared" si="0"/>
        <v>232</v>
      </c>
      <c r="P68" s="15">
        <f t="shared" si="1"/>
        <v>532</v>
      </c>
      <c r="R68" s="8"/>
      <c r="T68"/>
    </row>
    <row r="69" spans="2:20" ht="23.1" customHeight="1" x14ac:dyDescent="0.25">
      <c r="B69" s="45" t="s">
        <v>106</v>
      </c>
      <c r="C69" s="50">
        <v>50</v>
      </c>
      <c r="D69" s="50">
        <v>35</v>
      </c>
      <c r="E69" s="50">
        <v>1</v>
      </c>
      <c r="F69" s="50">
        <v>110</v>
      </c>
      <c r="G69" s="50">
        <v>1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285</v>
      </c>
      <c r="N69" s="50">
        <v>0</v>
      </c>
      <c r="O69" s="15">
        <f t="shared" si="0"/>
        <v>198</v>
      </c>
      <c r="P69" s="15">
        <f t="shared" si="1"/>
        <v>483</v>
      </c>
      <c r="R69" s="8"/>
      <c r="T69"/>
    </row>
    <row r="70" spans="2:20" ht="23.1" customHeight="1" x14ac:dyDescent="0.25">
      <c r="B70" s="45" t="s">
        <v>110</v>
      </c>
      <c r="C70" s="50">
        <v>140</v>
      </c>
      <c r="D70" s="50">
        <v>60</v>
      </c>
      <c r="E70" s="50">
        <v>3</v>
      </c>
      <c r="F70" s="50">
        <v>130</v>
      </c>
      <c r="G70" s="50">
        <v>0</v>
      </c>
      <c r="H70" s="50">
        <v>0</v>
      </c>
      <c r="I70" s="50">
        <v>0</v>
      </c>
      <c r="J70" s="50">
        <v>0</v>
      </c>
      <c r="K70" s="50">
        <v>1</v>
      </c>
      <c r="L70" s="50">
        <v>0</v>
      </c>
      <c r="M70" s="50">
        <v>270</v>
      </c>
      <c r="N70" s="50">
        <v>0</v>
      </c>
      <c r="O70" s="15">
        <f t="shared" si="0"/>
        <v>334</v>
      </c>
      <c r="P70" s="15">
        <f t="shared" si="1"/>
        <v>604</v>
      </c>
      <c r="R70" s="8"/>
      <c r="T70"/>
    </row>
    <row r="71" spans="2:20" ht="23.1" customHeight="1" x14ac:dyDescent="0.25">
      <c r="B71" s="45" t="s">
        <v>111</v>
      </c>
      <c r="C71" s="50">
        <v>76</v>
      </c>
      <c r="D71" s="50">
        <v>21</v>
      </c>
      <c r="E71" s="50">
        <v>2</v>
      </c>
      <c r="F71" s="50">
        <v>40</v>
      </c>
      <c r="G71" s="50">
        <v>1</v>
      </c>
      <c r="H71" s="50">
        <v>0</v>
      </c>
      <c r="I71" s="50">
        <v>0</v>
      </c>
      <c r="J71" s="50">
        <v>0</v>
      </c>
      <c r="K71" s="50">
        <v>1</v>
      </c>
      <c r="L71" s="50">
        <v>0</v>
      </c>
      <c r="M71" s="50">
        <v>430</v>
      </c>
      <c r="N71" s="50">
        <v>0</v>
      </c>
      <c r="O71" s="15">
        <f t="shared" si="0"/>
        <v>141</v>
      </c>
      <c r="P71" s="15">
        <f t="shared" si="1"/>
        <v>571</v>
      </c>
      <c r="R71" s="8"/>
      <c r="T71"/>
    </row>
    <row r="72" spans="2:20" ht="23.1" customHeight="1" x14ac:dyDescent="0.25">
      <c r="B72" s="45" t="s">
        <v>112</v>
      </c>
      <c r="C72" s="50">
        <v>68</v>
      </c>
      <c r="D72" s="50">
        <v>11</v>
      </c>
      <c r="E72" s="50">
        <v>2</v>
      </c>
      <c r="F72" s="50">
        <v>46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272</v>
      </c>
      <c r="N72" s="50">
        <v>0</v>
      </c>
      <c r="O72" s="15">
        <f t="shared" si="0"/>
        <v>127</v>
      </c>
      <c r="P72" s="15">
        <f t="shared" si="1"/>
        <v>399</v>
      </c>
      <c r="R72" s="8"/>
      <c r="T72"/>
    </row>
    <row r="73" spans="2:20" ht="23.1" customHeight="1" x14ac:dyDescent="0.25">
      <c r="B73" s="45" t="s">
        <v>113</v>
      </c>
      <c r="C73" s="50">
        <v>61</v>
      </c>
      <c r="D73" s="50">
        <v>13</v>
      </c>
      <c r="E73" s="50">
        <v>4</v>
      </c>
      <c r="F73" s="50">
        <v>46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130</v>
      </c>
      <c r="N73" s="50">
        <v>0</v>
      </c>
      <c r="O73" s="15">
        <f t="shared" si="0"/>
        <v>124</v>
      </c>
      <c r="P73" s="15">
        <f t="shared" si="1"/>
        <v>254</v>
      </c>
      <c r="R73" s="8"/>
      <c r="T73"/>
    </row>
    <row r="74" spans="2:20" ht="23.1" customHeight="1" x14ac:dyDescent="0.25">
      <c r="B74" s="45" t="s">
        <v>114</v>
      </c>
      <c r="C74" s="50">
        <v>22</v>
      </c>
      <c r="D74" s="50">
        <v>6</v>
      </c>
      <c r="E74" s="50">
        <v>0</v>
      </c>
      <c r="F74" s="50">
        <v>50</v>
      </c>
      <c r="G74" s="50">
        <v>1</v>
      </c>
      <c r="H74" s="50">
        <v>0</v>
      </c>
      <c r="I74" s="50">
        <v>0</v>
      </c>
      <c r="J74" s="50">
        <v>0</v>
      </c>
      <c r="K74" s="50">
        <v>1</v>
      </c>
      <c r="L74" s="50">
        <v>0</v>
      </c>
      <c r="M74" s="50">
        <v>220</v>
      </c>
      <c r="N74" s="50">
        <v>0</v>
      </c>
      <c r="O74" s="15">
        <f t="shared" ref="O74:O105" si="35">SUM(C74:L74,N74)</f>
        <v>80</v>
      </c>
      <c r="P74" s="15">
        <f t="shared" ref="P74:P105" si="36">SUM(C74:N74)</f>
        <v>300</v>
      </c>
      <c r="R74" s="8"/>
      <c r="T74"/>
    </row>
    <row r="75" spans="2:20" ht="23.1" customHeight="1" x14ac:dyDescent="0.25">
      <c r="B75" s="45" t="s">
        <v>115</v>
      </c>
      <c r="C75" s="50">
        <v>51</v>
      </c>
      <c r="D75" s="50">
        <v>41</v>
      </c>
      <c r="E75" s="50">
        <v>3</v>
      </c>
      <c r="F75" s="50">
        <v>55</v>
      </c>
      <c r="G75" s="50">
        <v>1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281</v>
      </c>
      <c r="N75" s="50">
        <v>0</v>
      </c>
      <c r="O75" s="15">
        <f t="shared" si="35"/>
        <v>151</v>
      </c>
      <c r="P75" s="15">
        <f t="shared" si="36"/>
        <v>432</v>
      </c>
      <c r="R75" s="8"/>
      <c r="T75"/>
    </row>
    <row r="76" spans="2:20" ht="23.1" customHeight="1" x14ac:dyDescent="0.25">
      <c r="B76" s="45" t="s">
        <v>116</v>
      </c>
      <c r="C76" s="50">
        <v>81</v>
      </c>
      <c r="D76" s="50">
        <v>32</v>
      </c>
      <c r="E76" s="50">
        <v>4</v>
      </c>
      <c r="F76" s="50">
        <v>31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0</v>
      </c>
      <c r="M76" s="50">
        <v>341</v>
      </c>
      <c r="N76" s="50">
        <v>0</v>
      </c>
      <c r="O76" s="15">
        <f t="shared" si="35"/>
        <v>149</v>
      </c>
      <c r="P76" s="15">
        <f t="shared" si="36"/>
        <v>490</v>
      </c>
      <c r="R76" s="8"/>
      <c r="T76"/>
    </row>
    <row r="77" spans="2:20" ht="23.1" customHeight="1" x14ac:dyDescent="0.25">
      <c r="B77" s="45" t="s">
        <v>117</v>
      </c>
      <c r="C77" s="50">
        <v>26</v>
      </c>
      <c r="D77" s="50">
        <v>9</v>
      </c>
      <c r="E77" s="50">
        <v>0</v>
      </c>
      <c r="F77" s="50">
        <v>15</v>
      </c>
      <c r="G77" s="50">
        <v>1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188</v>
      </c>
      <c r="N77" s="50">
        <v>0</v>
      </c>
      <c r="O77" s="15">
        <f t="shared" si="35"/>
        <v>52</v>
      </c>
      <c r="P77" s="15">
        <f t="shared" si="36"/>
        <v>240</v>
      </c>
      <c r="R77" s="8"/>
      <c r="T77"/>
    </row>
    <row r="78" spans="2:20" ht="23.1" customHeight="1" x14ac:dyDescent="0.25">
      <c r="B78" s="46" t="s">
        <v>118</v>
      </c>
      <c r="C78" s="50">
        <v>31</v>
      </c>
      <c r="D78" s="50">
        <v>7</v>
      </c>
      <c r="E78" s="50">
        <v>2</v>
      </c>
      <c r="F78" s="50">
        <v>25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185</v>
      </c>
      <c r="N78" s="50">
        <v>0</v>
      </c>
      <c r="O78" s="15">
        <f t="shared" si="35"/>
        <v>65</v>
      </c>
      <c r="P78" s="15">
        <f t="shared" si="36"/>
        <v>250</v>
      </c>
      <c r="R78" s="8"/>
      <c r="T78"/>
    </row>
    <row r="79" spans="2:20" ht="23.1" customHeight="1" x14ac:dyDescent="0.25">
      <c r="B79" s="45" t="s">
        <v>119</v>
      </c>
      <c r="C79" s="50">
        <v>21</v>
      </c>
      <c r="D79" s="50">
        <v>9</v>
      </c>
      <c r="E79" s="50">
        <v>6</v>
      </c>
      <c r="F79" s="50">
        <v>6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302</v>
      </c>
      <c r="N79" s="50">
        <v>0</v>
      </c>
      <c r="O79" s="15">
        <f t="shared" si="35"/>
        <v>42</v>
      </c>
      <c r="P79" s="15">
        <f t="shared" si="36"/>
        <v>344</v>
      </c>
      <c r="R79" s="8"/>
      <c r="T79"/>
    </row>
    <row r="80" spans="2:20" ht="23.1" customHeight="1" x14ac:dyDescent="0.25">
      <c r="B80" s="47" t="s">
        <v>120</v>
      </c>
      <c r="C80" s="50">
        <v>22</v>
      </c>
      <c r="D80" s="50">
        <v>6</v>
      </c>
      <c r="E80" s="50">
        <v>4</v>
      </c>
      <c r="F80" s="50">
        <v>5</v>
      </c>
      <c r="G80" s="50">
        <v>0</v>
      </c>
      <c r="H80" s="50">
        <v>0</v>
      </c>
      <c r="I80" s="50">
        <v>2</v>
      </c>
      <c r="J80" s="50">
        <v>0</v>
      </c>
      <c r="K80" s="50">
        <v>0</v>
      </c>
      <c r="L80" s="50">
        <v>0</v>
      </c>
      <c r="M80" s="50">
        <v>250</v>
      </c>
      <c r="N80" s="50">
        <v>0</v>
      </c>
      <c r="O80" s="15">
        <f t="shared" si="35"/>
        <v>39</v>
      </c>
      <c r="P80" s="15">
        <f t="shared" si="36"/>
        <v>289</v>
      </c>
      <c r="R80" s="8"/>
      <c r="T80"/>
    </row>
    <row r="81" spans="2:20" ht="23.1" customHeight="1" x14ac:dyDescent="0.25">
      <c r="B81" s="45" t="s">
        <v>121</v>
      </c>
      <c r="C81" s="50">
        <v>26</v>
      </c>
      <c r="D81" s="50">
        <v>2</v>
      </c>
      <c r="E81" s="50">
        <v>0</v>
      </c>
      <c r="F81" s="50">
        <v>7</v>
      </c>
      <c r="G81" s="50">
        <v>0</v>
      </c>
      <c r="H81" s="50">
        <v>0</v>
      </c>
      <c r="I81" s="50">
        <v>1</v>
      </c>
      <c r="J81" s="50">
        <v>0</v>
      </c>
      <c r="K81" s="50">
        <v>0</v>
      </c>
      <c r="L81" s="50">
        <v>0</v>
      </c>
      <c r="M81" s="50">
        <v>121</v>
      </c>
      <c r="N81" s="50">
        <v>0</v>
      </c>
      <c r="O81" s="15">
        <f t="shared" si="35"/>
        <v>36</v>
      </c>
      <c r="P81" s="15">
        <f t="shared" si="36"/>
        <v>157</v>
      </c>
      <c r="R81" s="8"/>
      <c r="T81"/>
    </row>
    <row r="82" spans="2:20" ht="23.1" customHeight="1" x14ac:dyDescent="0.25">
      <c r="B82" s="46" t="s">
        <v>122</v>
      </c>
      <c r="C82" s="50">
        <v>15</v>
      </c>
      <c r="D82" s="50">
        <v>6</v>
      </c>
      <c r="E82" s="50">
        <v>1</v>
      </c>
      <c r="F82" s="50">
        <v>6</v>
      </c>
      <c r="G82" s="50">
        <v>0</v>
      </c>
      <c r="H82" s="50">
        <v>0</v>
      </c>
      <c r="I82" s="50">
        <v>2</v>
      </c>
      <c r="J82" s="50">
        <v>0</v>
      </c>
      <c r="K82" s="50">
        <v>0</v>
      </c>
      <c r="L82" s="50">
        <v>0</v>
      </c>
      <c r="M82" s="50">
        <v>125</v>
      </c>
      <c r="N82" s="50">
        <v>0</v>
      </c>
      <c r="O82" s="15">
        <f t="shared" si="35"/>
        <v>30</v>
      </c>
      <c r="P82" s="15">
        <f t="shared" si="36"/>
        <v>155</v>
      </c>
      <c r="R82" s="8"/>
      <c r="T82"/>
    </row>
    <row r="83" spans="2:20" ht="23.1" customHeight="1" x14ac:dyDescent="0.25">
      <c r="B83" s="45" t="s">
        <v>123</v>
      </c>
      <c r="C83" s="50">
        <v>43</v>
      </c>
      <c r="D83" s="50">
        <v>18</v>
      </c>
      <c r="E83" s="50">
        <v>0</v>
      </c>
      <c r="F83" s="50">
        <v>8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165</v>
      </c>
      <c r="N83" s="50">
        <v>0</v>
      </c>
      <c r="O83" s="15">
        <f t="shared" si="35"/>
        <v>69</v>
      </c>
      <c r="P83" s="15">
        <f t="shared" si="36"/>
        <v>234</v>
      </c>
      <c r="R83" s="8"/>
      <c r="T83"/>
    </row>
    <row r="84" spans="2:20" ht="23.1" customHeight="1" x14ac:dyDescent="0.25">
      <c r="B84" s="47" t="s">
        <v>124</v>
      </c>
      <c r="C84" s="50">
        <v>19</v>
      </c>
      <c r="D84" s="50">
        <v>5</v>
      </c>
      <c r="E84" s="50">
        <v>0</v>
      </c>
      <c r="F84" s="50">
        <v>2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120</v>
      </c>
      <c r="N84" s="50">
        <v>0</v>
      </c>
      <c r="O84" s="15">
        <f t="shared" si="35"/>
        <v>27</v>
      </c>
      <c r="P84" s="15">
        <f t="shared" si="36"/>
        <v>147</v>
      </c>
      <c r="R84" s="8"/>
      <c r="T84"/>
    </row>
    <row r="85" spans="2:20" ht="23.1" customHeight="1" x14ac:dyDescent="0.25">
      <c r="B85" s="45" t="s">
        <v>125</v>
      </c>
      <c r="C85" s="50">
        <v>15</v>
      </c>
      <c r="D85" s="50">
        <v>2</v>
      </c>
      <c r="E85" s="50">
        <v>1</v>
      </c>
      <c r="F85" s="50">
        <v>1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53</v>
      </c>
      <c r="N85" s="50">
        <v>0</v>
      </c>
      <c r="O85" s="15">
        <f t="shared" si="35"/>
        <v>19</v>
      </c>
      <c r="P85" s="15">
        <f t="shared" si="36"/>
        <v>72</v>
      </c>
      <c r="R85" s="8"/>
      <c r="T85"/>
    </row>
    <row r="86" spans="2:20" ht="23.1" customHeight="1" x14ac:dyDescent="0.25">
      <c r="B86" s="46" t="s">
        <v>126</v>
      </c>
      <c r="C86" s="50">
        <v>10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185</v>
      </c>
      <c r="N86" s="50">
        <v>0</v>
      </c>
      <c r="O86" s="15">
        <f t="shared" si="35"/>
        <v>10</v>
      </c>
      <c r="P86" s="15">
        <f t="shared" si="36"/>
        <v>195</v>
      </c>
      <c r="R86" s="8"/>
      <c r="T86"/>
    </row>
    <row r="87" spans="2:20" ht="23.1" customHeight="1" x14ac:dyDescent="0.25">
      <c r="B87" s="45" t="s">
        <v>127</v>
      </c>
      <c r="C87" s="50">
        <v>8</v>
      </c>
      <c r="D87" s="50">
        <v>1</v>
      </c>
      <c r="E87" s="50">
        <v>1</v>
      </c>
      <c r="F87" s="50">
        <v>0</v>
      </c>
      <c r="G87" s="50">
        <v>0</v>
      </c>
      <c r="H87" s="50">
        <v>0</v>
      </c>
      <c r="I87" s="50">
        <v>2</v>
      </c>
      <c r="J87" s="50">
        <v>0</v>
      </c>
      <c r="K87" s="50">
        <v>0</v>
      </c>
      <c r="L87" s="50">
        <v>0</v>
      </c>
      <c r="M87" s="50">
        <v>37</v>
      </c>
      <c r="N87" s="50">
        <v>0</v>
      </c>
      <c r="O87" s="15">
        <f t="shared" si="35"/>
        <v>12</v>
      </c>
      <c r="P87" s="15">
        <f t="shared" si="36"/>
        <v>49</v>
      </c>
      <c r="R87" s="8"/>
      <c r="T87"/>
    </row>
    <row r="88" spans="2:20" ht="23.1" customHeight="1" x14ac:dyDescent="0.25">
      <c r="B88" s="47" t="s">
        <v>128</v>
      </c>
      <c r="C88" s="50">
        <v>4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29</v>
      </c>
      <c r="N88" s="50">
        <v>0</v>
      </c>
      <c r="O88" s="15">
        <f t="shared" si="35"/>
        <v>4</v>
      </c>
      <c r="P88" s="15">
        <f t="shared" si="36"/>
        <v>33</v>
      </c>
      <c r="R88" s="8"/>
      <c r="T88"/>
    </row>
    <row r="89" spans="2:20" ht="23.1" customHeight="1" x14ac:dyDescent="0.25">
      <c r="B89" s="45" t="s">
        <v>129</v>
      </c>
      <c r="C89" s="50">
        <v>8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v>0</v>
      </c>
      <c r="M89" s="50">
        <v>65</v>
      </c>
      <c r="N89" s="50">
        <v>0</v>
      </c>
      <c r="O89" s="15">
        <f t="shared" si="35"/>
        <v>9</v>
      </c>
      <c r="P89" s="15">
        <f t="shared" si="36"/>
        <v>74</v>
      </c>
      <c r="R89" s="8"/>
      <c r="T89"/>
    </row>
    <row r="90" spans="2:20" ht="23.1" customHeight="1" x14ac:dyDescent="0.25">
      <c r="B90" s="46" t="s">
        <v>130</v>
      </c>
      <c r="C90" s="50">
        <v>7</v>
      </c>
      <c r="D90" s="50">
        <v>0</v>
      </c>
      <c r="E90" s="50">
        <v>0</v>
      </c>
      <c r="F90" s="50">
        <v>2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153</v>
      </c>
      <c r="N90" s="50">
        <v>0</v>
      </c>
      <c r="O90" s="15">
        <f t="shared" si="35"/>
        <v>9</v>
      </c>
      <c r="P90" s="15">
        <f t="shared" si="36"/>
        <v>162</v>
      </c>
      <c r="R90" s="8"/>
      <c r="T90"/>
    </row>
    <row r="91" spans="2:20" ht="23.1" customHeight="1" x14ac:dyDescent="0.25">
      <c r="B91" s="45" t="s">
        <v>131</v>
      </c>
      <c r="C91" s="50">
        <v>18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81</v>
      </c>
      <c r="N91" s="50">
        <v>0</v>
      </c>
      <c r="O91" s="15">
        <f t="shared" si="35"/>
        <v>18</v>
      </c>
      <c r="P91" s="15">
        <f t="shared" si="36"/>
        <v>99</v>
      </c>
      <c r="R91" s="8"/>
      <c r="T91"/>
    </row>
    <row r="92" spans="2:20" ht="23.1" customHeight="1" x14ac:dyDescent="0.25">
      <c r="B92" s="47" t="s">
        <v>132</v>
      </c>
      <c r="C92" s="50">
        <v>5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1</v>
      </c>
      <c r="L92" s="50">
        <v>0</v>
      </c>
      <c r="M92" s="50">
        <v>70</v>
      </c>
      <c r="N92" s="50">
        <v>0</v>
      </c>
      <c r="O92" s="15">
        <f t="shared" si="35"/>
        <v>6</v>
      </c>
      <c r="P92" s="15">
        <f t="shared" si="36"/>
        <v>76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0</v>
      </c>
      <c r="E93" s="50">
        <v>0</v>
      </c>
      <c r="F93" s="50">
        <v>1</v>
      </c>
      <c r="G93" s="50">
        <v>0</v>
      </c>
      <c r="H93" s="50">
        <v>0</v>
      </c>
      <c r="I93" s="50">
        <v>0</v>
      </c>
      <c r="J93" s="50">
        <v>0</v>
      </c>
      <c r="K93" s="50">
        <v>1</v>
      </c>
      <c r="L93" s="50">
        <v>0</v>
      </c>
      <c r="M93" s="50">
        <v>113</v>
      </c>
      <c r="N93" s="50">
        <v>0</v>
      </c>
      <c r="O93" s="15">
        <f t="shared" si="35"/>
        <v>4</v>
      </c>
      <c r="P93" s="15">
        <f t="shared" si="36"/>
        <v>117</v>
      </c>
      <c r="R93" s="8"/>
      <c r="T93"/>
    </row>
    <row r="94" spans="2:20" ht="23.1" customHeight="1" x14ac:dyDescent="0.25">
      <c r="B94" s="46" t="s">
        <v>134</v>
      </c>
      <c r="C94" s="50">
        <v>5</v>
      </c>
      <c r="D94" s="50">
        <v>0</v>
      </c>
      <c r="E94" s="50">
        <v>0</v>
      </c>
      <c r="F94" s="50">
        <v>1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62</v>
      </c>
      <c r="N94" s="50">
        <v>0</v>
      </c>
      <c r="O94" s="15">
        <f t="shared" si="35"/>
        <v>6</v>
      </c>
      <c r="P94" s="15">
        <f t="shared" si="36"/>
        <v>68</v>
      </c>
      <c r="R94" s="8"/>
      <c r="T94"/>
    </row>
    <row r="95" spans="2:20" ht="23.1" customHeight="1" x14ac:dyDescent="0.25">
      <c r="B95" s="45" t="s">
        <v>135</v>
      </c>
      <c r="C95" s="50">
        <v>2</v>
      </c>
      <c r="D95" s="50">
        <v>0</v>
      </c>
      <c r="E95" s="50">
        <v>1</v>
      </c>
      <c r="F95" s="50">
        <v>1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50</v>
      </c>
      <c r="N95" s="50">
        <v>0</v>
      </c>
      <c r="O95" s="15">
        <f t="shared" si="35"/>
        <v>4</v>
      </c>
      <c r="P95" s="15">
        <f t="shared" si="36"/>
        <v>54</v>
      </c>
      <c r="R95" s="8"/>
      <c r="T95"/>
    </row>
    <row r="96" spans="2:20" ht="23.1" customHeight="1" x14ac:dyDescent="0.25">
      <c r="B96" s="47" t="s">
        <v>136</v>
      </c>
      <c r="C96" s="50">
        <v>8</v>
      </c>
      <c r="D96" s="50">
        <v>2</v>
      </c>
      <c r="E96" s="50">
        <v>0</v>
      </c>
      <c r="F96" s="50">
        <v>3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47</v>
      </c>
      <c r="N96" s="50">
        <v>0</v>
      </c>
      <c r="O96" s="15">
        <f t="shared" si="35"/>
        <v>13</v>
      </c>
      <c r="P96" s="15">
        <f t="shared" si="36"/>
        <v>60</v>
      </c>
      <c r="R96" s="8"/>
      <c r="T96"/>
    </row>
    <row r="97" spans="2:20" ht="23.1" customHeight="1" x14ac:dyDescent="0.25">
      <c r="B97" s="45" t="s">
        <v>137</v>
      </c>
      <c r="C97" s="50">
        <v>11</v>
      </c>
      <c r="D97" s="50">
        <v>0</v>
      </c>
      <c r="E97" s="50">
        <v>0</v>
      </c>
      <c r="F97" s="50">
        <v>2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59</v>
      </c>
      <c r="N97" s="50">
        <v>0</v>
      </c>
      <c r="O97" s="15">
        <f t="shared" si="35"/>
        <v>13</v>
      </c>
      <c r="P97" s="15">
        <f t="shared" si="36"/>
        <v>72</v>
      </c>
      <c r="R97" s="8"/>
      <c r="T97"/>
    </row>
    <row r="98" spans="2:20" ht="23.1" customHeight="1" x14ac:dyDescent="0.25">
      <c r="B98" s="46" t="s">
        <v>138</v>
      </c>
      <c r="C98" s="50">
        <v>26</v>
      </c>
      <c r="D98" s="50">
        <v>1</v>
      </c>
      <c r="E98" s="50">
        <v>0</v>
      </c>
      <c r="F98" s="50">
        <v>24</v>
      </c>
      <c r="G98" s="50">
        <v>1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92</v>
      </c>
      <c r="N98" s="50">
        <v>0</v>
      </c>
      <c r="O98" s="15">
        <f t="shared" si="35"/>
        <v>52</v>
      </c>
      <c r="P98" s="15">
        <f t="shared" si="36"/>
        <v>144</v>
      </c>
      <c r="R98" s="8"/>
      <c r="T98"/>
    </row>
    <row r="99" spans="2:20" ht="23.1" customHeight="1" x14ac:dyDescent="0.25">
      <c r="B99" s="45" t="s">
        <v>139</v>
      </c>
      <c r="C99" s="50">
        <v>46</v>
      </c>
      <c r="D99" s="50">
        <v>8</v>
      </c>
      <c r="E99" s="50">
        <v>2</v>
      </c>
      <c r="F99" s="50">
        <v>68</v>
      </c>
      <c r="G99" s="50">
        <v>1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84</v>
      </c>
      <c r="N99" s="50">
        <v>0</v>
      </c>
      <c r="O99" s="15">
        <f t="shared" si="35"/>
        <v>125</v>
      </c>
      <c r="P99" s="15">
        <f t="shared" si="36"/>
        <v>209</v>
      </c>
      <c r="R99" s="8"/>
      <c r="T99"/>
    </row>
    <row r="100" spans="2:20" ht="23.1" customHeight="1" x14ac:dyDescent="0.25">
      <c r="B100" s="47" t="s">
        <v>140</v>
      </c>
      <c r="C100" s="50">
        <v>45</v>
      </c>
      <c r="D100" s="50">
        <v>2</v>
      </c>
      <c r="E100" s="50">
        <v>0</v>
      </c>
      <c r="F100" s="50">
        <v>46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138</v>
      </c>
      <c r="N100" s="50">
        <v>0</v>
      </c>
      <c r="O100" s="15">
        <f t="shared" si="35"/>
        <v>93</v>
      </c>
      <c r="P100" s="15">
        <f t="shared" si="36"/>
        <v>231</v>
      </c>
      <c r="R100" s="8"/>
      <c r="T100"/>
    </row>
    <row r="101" spans="2:20" ht="23.1" customHeight="1" x14ac:dyDescent="0.25">
      <c r="B101" s="45" t="s">
        <v>141</v>
      </c>
      <c r="C101" s="50">
        <v>52</v>
      </c>
      <c r="D101" s="50">
        <v>0</v>
      </c>
      <c r="E101" s="50">
        <v>8</v>
      </c>
      <c r="F101" s="50">
        <v>71</v>
      </c>
      <c r="G101" s="50">
        <v>3</v>
      </c>
      <c r="H101" s="50">
        <v>1</v>
      </c>
      <c r="I101" s="50">
        <v>0</v>
      </c>
      <c r="J101" s="50">
        <v>0</v>
      </c>
      <c r="K101" s="50">
        <v>0</v>
      </c>
      <c r="L101" s="50">
        <v>0</v>
      </c>
      <c r="M101" s="50">
        <v>327</v>
      </c>
      <c r="N101" s="50">
        <v>0</v>
      </c>
      <c r="O101" s="15">
        <f t="shared" si="35"/>
        <v>135</v>
      </c>
      <c r="P101" s="15">
        <f t="shared" si="36"/>
        <v>462</v>
      </c>
      <c r="R101" s="8"/>
      <c r="T101"/>
    </row>
    <row r="102" spans="2:20" ht="23.1" customHeight="1" x14ac:dyDescent="0.25">
      <c r="B102" s="46" t="s">
        <v>142</v>
      </c>
      <c r="C102" s="50">
        <v>45</v>
      </c>
      <c r="D102" s="50">
        <v>3</v>
      </c>
      <c r="E102" s="50">
        <v>1</v>
      </c>
      <c r="F102" s="50">
        <v>45</v>
      </c>
      <c r="G102" s="50">
        <v>3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185</v>
      </c>
      <c r="N102" s="50">
        <v>0</v>
      </c>
      <c r="O102" s="15">
        <f t="shared" si="35"/>
        <v>97</v>
      </c>
      <c r="P102" s="15">
        <f t="shared" si="36"/>
        <v>282</v>
      </c>
      <c r="R102" s="8"/>
      <c r="T102"/>
    </row>
    <row r="103" spans="2:20" ht="23.1" customHeight="1" x14ac:dyDescent="0.25">
      <c r="B103" s="45" t="s">
        <v>143</v>
      </c>
      <c r="C103" s="50">
        <v>82</v>
      </c>
      <c r="D103" s="50">
        <v>7</v>
      </c>
      <c r="E103" s="50">
        <v>5</v>
      </c>
      <c r="F103" s="50">
        <v>67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84</v>
      </c>
      <c r="N103" s="50">
        <v>0</v>
      </c>
      <c r="O103" s="15">
        <f t="shared" si="35"/>
        <v>161</v>
      </c>
      <c r="P103" s="15">
        <f t="shared" si="36"/>
        <v>245</v>
      </c>
      <c r="R103" s="8"/>
      <c r="T103"/>
    </row>
    <row r="104" spans="2:20" ht="23.1" customHeight="1" x14ac:dyDescent="0.25">
      <c r="B104" s="47" t="s">
        <v>144</v>
      </c>
      <c r="C104" s="50">
        <v>155</v>
      </c>
      <c r="D104" s="50">
        <v>33</v>
      </c>
      <c r="E104" s="50">
        <v>3</v>
      </c>
      <c r="F104" s="50">
        <v>210</v>
      </c>
      <c r="G104" s="50">
        <v>6</v>
      </c>
      <c r="H104" s="50">
        <v>1</v>
      </c>
      <c r="I104" s="50">
        <v>2</v>
      </c>
      <c r="J104" s="50">
        <v>1</v>
      </c>
      <c r="K104" s="50">
        <v>0</v>
      </c>
      <c r="L104" s="50">
        <v>0</v>
      </c>
      <c r="M104" s="50">
        <v>240</v>
      </c>
      <c r="N104" s="50">
        <v>0</v>
      </c>
      <c r="O104" s="15">
        <f t="shared" si="35"/>
        <v>411</v>
      </c>
      <c r="P104" s="15">
        <f t="shared" si="36"/>
        <v>651</v>
      </c>
      <c r="R104" s="8"/>
      <c r="T104"/>
    </row>
    <row r="105" spans="2:20" ht="23.1" customHeight="1" x14ac:dyDescent="0.25">
      <c r="B105" s="45" t="s">
        <v>145</v>
      </c>
      <c r="C105" s="50">
        <v>173</v>
      </c>
      <c r="D105" s="50">
        <v>32</v>
      </c>
      <c r="E105" s="50">
        <v>9</v>
      </c>
      <c r="F105" s="50">
        <v>110</v>
      </c>
      <c r="G105" s="50">
        <v>2</v>
      </c>
      <c r="H105" s="50">
        <v>0</v>
      </c>
      <c r="I105" s="50">
        <v>8</v>
      </c>
      <c r="J105" s="50">
        <v>0</v>
      </c>
      <c r="K105" s="50">
        <v>2</v>
      </c>
      <c r="L105" s="50">
        <v>0</v>
      </c>
      <c r="M105" s="50">
        <v>240</v>
      </c>
      <c r="N105" s="50">
        <v>0</v>
      </c>
      <c r="O105" s="15">
        <f t="shared" si="35"/>
        <v>336</v>
      </c>
      <c r="P105" s="15">
        <f t="shared" si="36"/>
        <v>576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3699</v>
      </c>
      <c r="D106" s="16">
        <f t="shared" ref="D106:P106" si="37">SUM(D10:D105)</f>
        <v>1239</v>
      </c>
      <c r="E106" s="16">
        <f t="shared" si="37"/>
        <v>314</v>
      </c>
      <c r="F106" s="16">
        <f t="shared" si="37"/>
        <v>3741</v>
      </c>
      <c r="G106" s="16">
        <f t="shared" si="37"/>
        <v>37</v>
      </c>
      <c r="H106" s="16">
        <f t="shared" si="37"/>
        <v>12</v>
      </c>
      <c r="I106" s="16">
        <f t="shared" si="37"/>
        <v>217</v>
      </c>
      <c r="J106" s="16">
        <f t="shared" si="37"/>
        <v>19</v>
      </c>
      <c r="K106" s="16">
        <f t="shared" si="37"/>
        <v>12</v>
      </c>
      <c r="L106" s="16">
        <f t="shared" si="37"/>
        <v>2</v>
      </c>
      <c r="M106" s="16">
        <f t="shared" si="37"/>
        <v>16689</v>
      </c>
      <c r="N106" s="16">
        <f t="shared" si="37"/>
        <v>0</v>
      </c>
      <c r="O106" s="16">
        <f t="shared" si="37"/>
        <v>9292</v>
      </c>
      <c r="P106" s="16">
        <f t="shared" si="37"/>
        <v>25981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0.14237327277625958</v>
      </c>
      <c r="D107" s="43">
        <f t="shared" si="38"/>
        <v>4.7688695585235363E-2</v>
      </c>
      <c r="E107" s="43">
        <f t="shared" si="38"/>
        <v>1.2085754974789269E-2</v>
      </c>
      <c r="F107" s="43">
        <f t="shared" si="38"/>
        <v>0.14398983872830146</v>
      </c>
      <c r="G107" s="43">
        <f t="shared" si="38"/>
        <v>1.4241176244178437E-3</v>
      </c>
      <c r="H107" s="43">
        <f t="shared" si="38"/>
        <v>4.618759862976791E-4</v>
      </c>
      <c r="I107" s="43">
        <f t="shared" si="38"/>
        <v>8.352257418883029E-3</v>
      </c>
      <c r="J107" s="43">
        <f t="shared" si="38"/>
        <v>7.3130364497132525E-4</v>
      </c>
      <c r="K107" s="43">
        <f t="shared" si="38"/>
        <v>4.618759862976791E-4</v>
      </c>
      <c r="L107" s="43">
        <f t="shared" si="38"/>
        <v>7.6979331049613174E-5</v>
      </c>
      <c r="M107" s="43">
        <f t="shared" si="38"/>
        <v>0.64235402794349716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0.3980843736547568</v>
      </c>
      <c r="D108" s="44">
        <f t="shared" ref="D108:N108" si="39">D106/$O$106</f>
        <v>0.13334050796383987</v>
      </c>
      <c r="E108" s="44">
        <f t="shared" si="39"/>
        <v>3.3792509685751183E-2</v>
      </c>
      <c r="F108" s="44">
        <f t="shared" si="39"/>
        <v>0.40260439087387001</v>
      </c>
      <c r="G108" s="44">
        <f t="shared" si="39"/>
        <v>3.9819199311235468E-3</v>
      </c>
      <c r="H108" s="44">
        <f t="shared" si="39"/>
        <v>1.2914334911752045E-3</v>
      </c>
      <c r="I108" s="44">
        <f t="shared" si="39"/>
        <v>2.3353422298751616E-2</v>
      </c>
      <c r="J108" s="44">
        <f t="shared" si="39"/>
        <v>2.0447696943607404E-3</v>
      </c>
      <c r="K108" s="44">
        <f t="shared" si="39"/>
        <v>1.2914334911752045E-3</v>
      </c>
      <c r="L108" s="44">
        <f t="shared" si="39"/>
        <v>2.1523891519586742E-4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topLeftCell="A52" zoomScale="60" workbookViewId="0">
      <selection activeCell="B57" sqref="B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Kibuye-Munyonyo'!C3:G3</f>
        <v>MCC - C1 - STN01A - SALAMA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64" t="str">
        <f>'27.07 Munyonyo-Kibuye-24h'!G5:H5</f>
        <v>Salama road 1A</v>
      </c>
      <c r="H5" s="65"/>
      <c r="I5" s="14"/>
      <c r="J5" s="2" t="s">
        <v>5</v>
      </c>
      <c r="K5" s="64" t="str">
        <f>'27.07 Munyonyo-Kibuye-24h'!K5:L5</f>
        <v>Gerald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Kibuye-Munyonyo'!D6:E6</f>
        <v>Kibuye</v>
      </c>
      <c r="E6" s="65"/>
      <c r="F6" s="2" t="s">
        <v>2</v>
      </c>
      <c r="G6" s="64" t="str">
        <f>'22.07 Kibuye-Munyonyo'!G6:H6</f>
        <v>Munyonyo</v>
      </c>
      <c r="H6" s="65"/>
      <c r="J6" s="2" t="s">
        <v>21</v>
      </c>
      <c r="K6" s="64" t="str">
        <f>'27.07 Munyonyo-Kibuye-24h'!K6:L6</f>
        <v>Emma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</v>
      </c>
      <c r="D10" s="50">
        <v>4</v>
      </c>
      <c r="E10" s="50">
        <v>2</v>
      </c>
      <c r="F10" s="50">
        <v>34</v>
      </c>
      <c r="G10" s="50">
        <v>1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102</v>
      </c>
      <c r="N10" s="50">
        <v>0</v>
      </c>
      <c r="O10" s="15">
        <f t="shared" ref="O10:O57" si="0">SUM(C10:L10,N10)</f>
        <v>49</v>
      </c>
      <c r="P10" s="15">
        <f t="shared" ref="P10:P57" si="1">SUM(C10:N10)</f>
        <v>151</v>
      </c>
      <c r="R10" s="1" t="s">
        <v>6</v>
      </c>
      <c r="S10" s="17">
        <f t="shared" ref="S10:AF10" si="2">SUM(C10:C13)</f>
        <v>42</v>
      </c>
      <c r="T10" s="17">
        <f t="shared" si="2"/>
        <v>12</v>
      </c>
      <c r="U10" s="17">
        <f t="shared" si="2"/>
        <v>6</v>
      </c>
      <c r="V10" s="17">
        <f t="shared" si="2"/>
        <v>138</v>
      </c>
      <c r="W10" s="17">
        <f t="shared" si="2"/>
        <v>2</v>
      </c>
      <c r="X10" s="17">
        <f t="shared" si="2"/>
        <v>1</v>
      </c>
      <c r="Y10" s="17">
        <f t="shared" si="2"/>
        <v>6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407</v>
      </c>
      <c r="AD10" s="17">
        <f t="shared" si="2"/>
        <v>0</v>
      </c>
      <c r="AE10" s="31">
        <f t="shared" si="2"/>
        <v>208</v>
      </c>
      <c r="AF10" s="31">
        <f t="shared" si="2"/>
        <v>615</v>
      </c>
    </row>
    <row r="11" spans="2:32" s="6" customFormat="1" ht="23.1" customHeight="1" x14ac:dyDescent="0.25">
      <c r="B11" s="23" t="s">
        <v>38</v>
      </c>
      <c r="C11" s="50">
        <v>9</v>
      </c>
      <c r="D11" s="50">
        <v>0</v>
      </c>
      <c r="E11" s="50">
        <v>1</v>
      </c>
      <c r="F11" s="50">
        <v>37</v>
      </c>
      <c r="G11" s="50">
        <v>0</v>
      </c>
      <c r="H11" s="50">
        <v>1</v>
      </c>
      <c r="I11" s="50">
        <v>0</v>
      </c>
      <c r="J11" s="50">
        <v>0</v>
      </c>
      <c r="K11" s="50">
        <v>0</v>
      </c>
      <c r="L11" s="50">
        <v>0</v>
      </c>
      <c r="M11" s="50">
        <v>110</v>
      </c>
      <c r="N11" s="50">
        <v>0</v>
      </c>
      <c r="O11" s="15">
        <f t="shared" si="0"/>
        <v>48</v>
      </c>
      <c r="P11" s="15">
        <f t="shared" si="1"/>
        <v>158</v>
      </c>
      <c r="R11" s="1" t="s">
        <v>7</v>
      </c>
      <c r="S11" s="17">
        <f t="shared" ref="S11:AF11" si="3">SUM(C14:C17)</f>
        <v>48</v>
      </c>
      <c r="T11" s="17">
        <f t="shared" si="3"/>
        <v>12</v>
      </c>
      <c r="U11" s="17">
        <f t="shared" si="3"/>
        <v>5</v>
      </c>
      <c r="V11" s="17">
        <f t="shared" si="3"/>
        <v>172</v>
      </c>
      <c r="W11" s="17">
        <f t="shared" si="3"/>
        <v>2</v>
      </c>
      <c r="X11" s="17">
        <f t="shared" si="3"/>
        <v>0</v>
      </c>
      <c r="Y11" s="17">
        <f t="shared" si="3"/>
        <v>2</v>
      </c>
      <c r="Z11" s="17">
        <f t="shared" si="3"/>
        <v>2</v>
      </c>
      <c r="AA11" s="17">
        <f t="shared" si="3"/>
        <v>1</v>
      </c>
      <c r="AB11" s="17">
        <f t="shared" si="3"/>
        <v>0</v>
      </c>
      <c r="AC11" s="17">
        <f t="shared" si="3"/>
        <v>302</v>
      </c>
      <c r="AD11" s="17">
        <f t="shared" si="3"/>
        <v>0</v>
      </c>
      <c r="AE11" s="31">
        <f t="shared" si="3"/>
        <v>244</v>
      </c>
      <c r="AF11" s="31">
        <f t="shared" si="3"/>
        <v>546</v>
      </c>
    </row>
    <row r="12" spans="2:32" ht="23.1" customHeight="1" x14ac:dyDescent="0.25">
      <c r="B12" s="23" t="s">
        <v>39</v>
      </c>
      <c r="C12" s="50">
        <v>14</v>
      </c>
      <c r="D12" s="50">
        <v>3</v>
      </c>
      <c r="E12" s="50">
        <v>0</v>
      </c>
      <c r="F12" s="50">
        <v>32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115</v>
      </c>
      <c r="N12" s="50">
        <v>0</v>
      </c>
      <c r="O12" s="15">
        <f t="shared" si="0"/>
        <v>51</v>
      </c>
      <c r="P12" s="15">
        <f t="shared" si="1"/>
        <v>166</v>
      </c>
      <c r="R12" s="1" t="s">
        <v>8</v>
      </c>
      <c r="S12" s="17">
        <f t="shared" ref="S12:AF12" si="4">SUM(C18:C21)</f>
        <v>78</v>
      </c>
      <c r="T12" s="17">
        <f t="shared" si="4"/>
        <v>23</v>
      </c>
      <c r="U12" s="17">
        <f t="shared" si="4"/>
        <v>4</v>
      </c>
      <c r="V12" s="17">
        <f t="shared" si="4"/>
        <v>158</v>
      </c>
      <c r="W12" s="17">
        <f t="shared" si="4"/>
        <v>2</v>
      </c>
      <c r="X12" s="17">
        <f t="shared" si="4"/>
        <v>1</v>
      </c>
      <c r="Y12" s="17">
        <f t="shared" si="4"/>
        <v>8</v>
      </c>
      <c r="Z12" s="17">
        <f t="shared" si="4"/>
        <v>2</v>
      </c>
      <c r="AA12" s="17">
        <f t="shared" si="4"/>
        <v>1</v>
      </c>
      <c r="AB12" s="17">
        <f t="shared" si="4"/>
        <v>0</v>
      </c>
      <c r="AC12" s="17">
        <f t="shared" si="4"/>
        <v>469</v>
      </c>
      <c r="AD12" s="17">
        <f t="shared" si="4"/>
        <v>0</v>
      </c>
      <c r="AE12" s="31">
        <f t="shared" si="4"/>
        <v>277</v>
      </c>
      <c r="AF12" s="31">
        <f t="shared" si="4"/>
        <v>746</v>
      </c>
    </row>
    <row r="13" spans="2:32" ht="23.1" customHeight="1" x14ac:dyDescent="0.25">
      <c r="B13" s="23" t="s">
        <v>40</v>
      </c>
      <c r="C13" s="50">
        <v>13</v>
      </c>
      <c r="D13" s="50">
        <v>5</v>
      </c>
      <c r="E13" s="50">
        <v>3</v>
      </c>
      <c r="F13" s="50">
        <v>35</v>
      </c>
      <c r="G13" s="50">
        <v>1</v>
      </c>
      <c r="H13" s="50">
        <v>0</v>
      </c>
      <c r="I13" s="50">
        <v>2</v>
      </c>
      <c r="J13" s="50">
        <v>0</v>
      </c>
      <c r="K13" s="50">
        <v>1</v>
      </c>
      <c r="L13" s="50">
        <v>0</v>
      </c>
      <c r="M13" s="50">
        <v>80</v>
      </c>
      <c r="N13" s="50">
        <v>0</v>
      </c>
      <c r="O13" s="15">
        <f t="shared" si="0"/>
        <v>60</v>
      </c>
      <c r="P13" s="15">
        <f t="shared" si="1"/>
        <v>140</v>
      </c>
      <c r="R13" s="1" t="s">
        <v>9</v>
      </c>
      <c r="S13" s="17">
        <f t="shared" ref="S13:AF13" si="5">SUM(C22:C25)</f>
        <v>88</v>
      </c>
      <c r="T13" s="17">
        <f t="shared" si="5"/>
        <v>24</v>
      </c>
      <c r="U13" s="17">
        <f t="shared" si="5"/>
        <v>5</v>
      </c>
      <c r="V13" s="17">
        <f t="shared" si="5"/>
        <v>125</v>
      </c>
      <c r="W13" s="17">
        <f t="shared" si="5"/>
        <v>2</v>
      </c>
      <c r="X13" s="17">
        <f t="shared" si="5"/>
        <v>0</v>
      </c>
      <c r="Y13" s="17">
        <f t="shared" si="5"/>
        <v>13</v>
      </c>
      <c r="Z13" s="17">
        <f t="shared" si="5"/>
        <v>0</v>
      </c>
      <c r="AA13" s="17">
        <f t="shared" si="5"/>
        <v>2</v>
      </c>
      <c r="AB13" s="17">
        <f t="shared" si="5"/>
        <v>0</v>
      </c>
      <c r="AC13" s="17">
        <f t="shared" si="5"/>
        <v>491</v>
      </c>
      <c r="AD13" s="17">
        <f t="shared" si="5"/>
        <v>0</v>
      </c>
      <c r="AE13" s="31">
        <f t="shared" si="5"/>
        <v>259</v>
      </c>
      <c r="AF13" s="31">
        <f t="shared" si="5"/>
        <v>750</v>
      </c>
    </row>
    <row r="14" spans="2:32" ht="23.1" customHeight="1" x14ac:dyDescent="0.25">
      <c r="B14" s="23" t="s">
        <v>41</v>
      </c>
      <c r="C14" s="50">
        <v>12</v>
      </c>
      <c r="D14" s="50">
        <v>7</v>
      </c>
      <c r="E14" s="50">
        <v>1</v>
      </c>
      <c r="F14" s="50">
        <v>37</v>
      </c>
      <c r="G14" s="50">
        <v>2</v>
      </c>
      <c r="H14" s="50">
        <v>0</v>
      </c>
      <c r="I14" s="50">
        <v>0</v>
      </c>
      <c r="J14" s="50">
        <v>2</v>
      </c>
      <c r="K14" s="50">
        <v>1</v>
      </c>
      <c r="L14" s="50">
        <v>0</v>
      </c>
      <c r="M14" s="50">
        <v>62</v>
      </c>
      <c r="N14" s="50">
        <v>0</v>
      </c>
      <c r="O14" s="15">
        <f t="shared" si="0"/>
        <v>62</v>
      </c>
      <c r="P14" s="15">
        <f t="shared" si="1"/>
        <v>124</v>
      </c>
      <c r="R14" s="1" t="s">
        <v>10</v>
      </c>
      <c r="S14" s="17">
        <f t="shared" ref="S14:AF14" si="6">SUM(C26:C29)</f>
        <v>90</v>
      </c>
      <c r="T14" s="17">
        <f t="shared" si="6"/>
        <v>37</v>
      </c>
      <c r="U14" s="17">
        <f t="shared" si="6"/>
        <v>14</v>
      </c>
      <c r="V14" s="17">
        <f t="shared" si="6"/>
        <v>122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0</v>
      </c>
      <c r="AA14" s="17">
        <f t="shared" si="6"/>
        <v>1</v>
      </c>
      <c r="AB14" s="17">
        <f t="shared" si="6"/>
        <v>0</v>
      </c>
      <c r="AC14" s="17">
        <f t="shared" si="6"/>
        <v>580</v>
      </c>
      <c r="AD14" s="17">
        <f t="shared" si="6"/>
        <v>0</v>
      </c>
      <c r="AE14" s="31">
        <f t="shared" si="6"/>
        <v>270</v>
      </c>
      <c r="AF14" s="31">
        <f t="shared" si="6"/>
        <v>850</v>
      </c>
    </row>
    <row r="15" spans="2:32" ht="23.1" customHeight="1" x14ac:dyDescent="0.25">
      <c r="B15" s="23" t="s">
        <v>42</v>
      </c>
      <c r="C15" s="50">
        <v>11</v>
      </c>
      <c r="D15" s="50">
        <v>1</v>
      </c>
      <c r="E15" s="50">
        <v>2</v>
      </c>
      <c r="F15" s="50">
        <v>34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60</v>
      </c>
      <c r="N15" s="50">
        <v>0</v>
      </c>
      <c r="O15" s="15">
        <f t="shared" si="0"/>
        <v>48</v>
      </c>
      <c r="P15" s="15">
        <f t="shared" si="1"/>
        <v>108</v>
      </c>
      <c r="R15" s="1" t="s">
        <v>11</v>
      </c>
      <c r="S15" s="17">
        <f t="shared" ref="S15:AF15" si="7">SUM(C30:C33)</f>
        <v>103</v>
      </c>
      <c r="T15" s="17">
        <f t="shared" si="7"/>
        <v>20</v>
      </c>
      <c r="U15" s="17">
        <f t="shared" si="7"/>
        <v>34</v>
      </c>
      <c r="V15" s="17">
        <f t="shared" si="7"/>
        <v>62</v>
      </c>
      <c r="W15" s="17">
        <f t="shared" si="7"/>
        <v>0</v>
      </c>
      <c r="X15" s="17">
        <f t="shared" si="7"/>
        <v>0</v>
      </c>
      <c r="Y15" s="17">
        <f t="shared" si="7"/>
        <v>9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498</v>
      </c>
      <c r="AD15" s="17">
        <f t="shared" si="7"/>
        <v>0</v>
      </c>
      <c r="AE15" s="31">
        <f t="shared" si="7"/>
        <v>228</v>
      </c>
      <c r="AF15" s="31">
        <f t="shared" si="7"/>
        <v>726</v>
      </c>
    </row>
    <row r="16" spans="2:32" ht="23.1" customHeight="1" x14ac:dyDescent="0.25">
      <c r="B16" s="23" t="s">
        <v>43</v>
      </c>
      <c r="C16" s="50">
        <v>14</v>
      </c>
      <c r="D16" s="50">
        <v>3</v>
      </c>
      <c r="E16" s="50">
        <v>1</v>
      </c>
      <c r="F16" s="50">
        <v>54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60</v>
      </c>
      <c r="N16" s="50">
        <v>0</v>
      </c>
      <c r="O16" s="15">
        <f t="shared" si="0"/>
        <v>73</v>
      </c>
      <c r="P16" s="15">
        <f t="shared" si="1"/>
        <v>133</v>
      </c>
      <c r="R16" s="1" t="s">
        <v>12</v>
      </c>
      <c r="S16" s="17">
        <f t="shared" ref="S16:AF16" si="8">SUM(C34:C37)</f>
        <v>141</v>
      </c>
      <c r="T16" s="17">
        <f t="shared" si="8"/>
        <v>27</v>
      </c>
      <c r="U16" s="17">
        <f t="shared" si="8"/>
        <v>6</v>
      </c>
      <c r="V16" s="17">
        <f t="shared" si="8"/>
        <v>103</v>
      </c>
      <c r="W16" s="17">
        <f t="shared" si="8"/>
        <v>6</v>
      </c>
      <c r="X16" s="17">
        <f t="shared" si="8"/>
        <v>0</v>
      </c>
      <c r="Y16" s="17">
        <f t="shared" si="8"/>
        <v>15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439</v>
      </c>
      <c r="AD16" s="17">
        <f t="shared" si="8"/>
        <v>0</v>
      </c>
      <c r="AE16" s="31">
        <f t="shared" si="8"/>
        <v>298</v>
      </c>
      <c r="AF16" s="31">
        <f t="shared" si="8"/>
        <v>737</v>
      </c>
    </row>
    <row r="17" spans="2:32" ht="23.1" customHeight="1" x14ac:dyDescent="0.25">
      <c r="B17" s="23" t="s">
        <v>44</v>
      </c>
      <c r="C17" s="50">
        <v>11</v>
      </c>
      <c r="D17" s="50">
        <v>1</v>
      </c>
      <c r="E17" s="50">
        <v>1</v>
      </c>
      <c r="F17" s="50">
        <v>47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120</v>
      </c>
      <c r="N17" s="50">
        <v>0</v>
      </c>
      <c r="O17" s="15">
        <f t="shared" si="0"/>
        <v>61</v>
      </c>
      <c r="P17" s="15">
        <f t="shared" si="1"/>
        <v>181</v>
      </c>
      <c r="R17" s="1" t="s">
        <v>13</v>
      </c>
      <c r="S17" s="17">
        <f t="shared" ref="S17:AF17" si="9">SUM(C38:C41)</f>
        <v>181</v>
      </c>
      <c r="T17" s="17">
        <f t="shared" si="9"/>
        <v>44</v>
      </c>
      <c r="U17" s="17">
        <f t="shared" si="9"/>
        <v>12</v>
      </c>
      <c r="V17" s="17">
        <f t="shared" si="9"/>
        <v>90</v>
      </c>
      <c r="W17" s="17">
        <f t="shared" si="9"/>
        <v>0</v>
      </c>
      <c r="X17" s="17">
        <f t="shared" si="9"/>
        <v>0</v>
      </c>
      <c r="Y17" s="17">
        <f t="shared" si="9"/>
        <v>29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706</v>
      </c>
      <c r="AD17" s="17">
        <f t="shared" si="9"/>
        <v>0</v>
      </c>
      <c r="AE17" s="31">
        <f t="shared" si="9"/>
        <v>356</v>
      </c>
      <c r="AF17" s="31">
        <f t="shared" si="9"/>
        <v>1062</v>
      </c>
    </row>
    <row r="18" spans="2:32" ht="23.1" customHeight="1" x14ac:dyDescent="0.25">
      <c r="B18" s="23" t="s">
        <v>45</v>
      </c>
      <c r="C18" s="50">
        <v>21</v>
      </c>
      <c r="D18" s="50">
        <v>5</v>
      </c>
      <c r="E18" s="50">
        <v>0</v>
      </c>
      <c r="F18" s="50">
        <v>34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101</v>
      </c>
      <c r="N18" s="50">
        <v>0</v>
      </c>
      <c r="O18" s="15">
        <f t="shared" si="0"/>
        <v>63</v>
      </c>
      <c r="P18" s="15">
        <f t="shared" si="1"/>
        <v>164</v>
      </c>
      <c r="R18" s="1" t="s">
        <v>14</v>
      </c>
      <c r="S18" s="17">
        <f t="shared" ref="S18:AF18" si="10">SUM(C42:C45)</f>
        <v>201</v>
      </c>
      <c r="T18" s="17">
        <f t="shared" si="10"/>
        <v>59</v>
      </c>
      <c r="U18" s="17">
        <f t="shared" si="10"/>
        <v>12</v>
      </c>
      <c r="V18" s="17">
        <f t="shared" si="10"/>
        <v>94</v>
      </c>
      <c r="W18" s="17">
        <f t="shared" si="10"/>
        <v>1</v>
      </c>
      <c r="X18" s="17">
        <f t="shared" si="10"/>
        <v>0</v>
      </c>
      <c r="Y18" s="17">
        <f t="shared" si="10"/>
        <v>14</v>
      </c>
      <c r="Z18" s="17">
        <f t="shared" si="10"/>
        <v>1</v>
      </c>
      <c r="AA18" s="17">
        <f t="shared" si="10"/>
        <v>0</v>
      </c>
      <c r="AB18" s="17">
        <f t="shared" si="10"/>
        <v>1</v>
      </c>
      <c r="AC18" s="17">
        <f t="shared" si="10"/>
        <v>870</v>
      </c>
      <c r="AD18" s="17">
        <f t="shared" si="10"/>
        <v>0</v>
      </c>
      <c r="AE18" s="31">
        <f t="shared" si="10"/>
        <v>383</v>
      </c>
      <c r="AF18" s="31">
        <f t="shared" si="10"/>
        <v>1253</v>
      </c>
    </row>
    <row r="19" spans="2:32" ht="23.1" customHeight="1" x14ac:dyDescent="0.25">
      <c r="B19" s="23" t="s">
        <v>46</v>
      </c>
      <c r="C19" s="50">
        <v>22</v>
      </c>
      <c r="D19" s="50">
        <v>6</v>
      </c>
      <c r="E19" s="50">
        <v>3</v>
      </c>
      <c r="F19" s="50">
        <v>45</v>
      </c>
      <c r="G19" s="50">
        <v>1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115</v>
      </c>
      <c r="N19" s="50">
        <v>0</v>
      </c>
      <c r="O19" s="15">
        <f t="shared" si="0"/>
        <v>77</v>
      </c>
      <c r="P19" s="15">
        <f t="shared" si="1"/>
        <v>192</v>
      </c>
      <c r="R19" s="1" t="s">
        <v>15</v>
      </c>
      <c r="S19" s="17">
        <f t="shared" ref="S19:AF19" si="11">SUM(C46:C49)</f>
        <v>217</v>
      </c>
      <c r="T19" s="17">
        <f t="shared" si="11"/>
        <v>68</v>
      </c>
      <c r="U19" s="17">
        <f t="shared" si="11"/>
        <v>10</v>
      </c>
      <c r="V19" s="17">
        <f t="shared" si="11"/>
        <v>102</v>
      </c>
      <c r="W19" s="17">
        <f t="shared" si="11"/>
        <v>1</v>
      </c>
      <c r="X19" s="17">
        <f t="shared" si="11"/>
        <v>0</v>
      </c>
      <c r="Y19" s="17">
        <f t="shared" si="11"/>
        <v>18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815</v>
      </c>
      <c r="AD19" s="17">
        <f t="shared" si="11"/>
        <v>0</v>
      </c>
      <c r="AE19" s="31">
        <f t="shared" si="11"/>
        <v>419</v>
      </c>
      <c r="AF19" s="31">
        <f t="shared" si="11"/>
        <v>1234</v>
      </c>
    </row>
    <row r="20" spans="2:32" ht="23.1" customHeight="1" x14ac:dyDescent="0.25">
      <c r="B20" s="23" t="s">
        <v>47</v>
      </c>
      <c r="C20" s="50">
        <v>17</v>
      </c>
      <c r="D20" s="50">
        <v>8</v>
      </c>
      <c r="E20" s="50">
        <v>1</v>
      </c>
      <c r="F20" s="50">
        <v>23</v>
      </c>
      <c r="G20" s="50">
        <v>1</v>
      </c>
      <c r="H20" s="50">
        <v>1</v>
      </c>
      <c r="I20" s="50">
        <v>4</v>
      </c>
      <c r="J20" s="50">
        <v>0</v>
      </c>
      <c r="K20" s="50">
        <v>1</v>
      </c>
      <c r="L20" s="50">
        <v>0</v>
      </c>
      <c r="M20" s="50">
        <v>123</v>
      </c>
      <c r="N20" s="50">
        <v>0</v>
      </c>
      <c r="O20" s="15">
        <f t="shared" si="0"/>
        <v>56</v>
      </c>
      <c r="P20" s="15">
        <f t="shared" si="1"/>
        <v>179</v>
      </c>
      <c r="R20" s="1" t="s">
        <v>16</v>
      </c>
      <c r="S20" s="17">
        <f t="shared" ref="S20:AF20" si="12">SUM(C50:C53)</f>
        <v>235</v>
      </c>
      <c r="T20" s="17">
        <f t="shared" si="12"/>
        <v>90</v>
      </c>
      <c r="U20" s="17">
        <f t="shared" si="12"/>
        <v>14</v>
      </c>
      <c r="V20" s="17">
        <f t="shared" si="12"/>
        <v>123</v>
      </c>
      <c r="W20" s="17">
        <f t="shared" si="12"/>
        <v>1</v>
      </c>
      <c r="X20" s="17">
        <f t="shared" si="12"/>
        <v>0</v>
      </c>
      <c r="Y20" s="17">
        <f t="shared" si="12"/>
        <v>12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660</v>
      </c>
      <c r="AD20" s="17">
        <f t="shared" si="12"/>
        <v>0</v>
      </c>
      <c r="AE20" s="31">
        <f t="shared" si="12"/>
        <v>475</v>
      </c>
      <c r="AF20" s="31">
        <f t="shared" si="12"/>
        <v>1135</v>
      </c>
    </row>
    <row r="21" spans="2:32" ht="23.1" customHeight="1" x14ac:dyDescent="0.25">
      <c r="B21" s="23" t="s">
        <v>48</v>
      </c>
      <c r="C21" s="50">
        <v>18</v>
      </c>
      <c r="D21" s="50">
        <v>4</v>
      </c>
      <c r="E21" s="50">
        <v>0</v>
      </c>
      <c r="F21" s="50">
        <v>56</v>
      </c>
      <c r="G21" s="50">
        <v>0</v>
      </c>
      <c r="H21" s="50">
        <v>0</v>
      </c>
      <c r="I21" s="50">
        <v>1</v>
      </c>
      <c r="J21" s="50">
        <v>2</v>
      </c>
      <c r="K21" s="50">
        <v>0</v>
      </c>
      <c r="L21" s="50">
        <v>0</v>
      </c>
      <c r="M21" s="50">
        <v>130</v>
      </c>
      <c r="N21" s="50">
        <v>0</v>
      </c>
      <c r="O21" s="15">
        <f t="shared" si="0"/>
        <v>81</v>
      </c>
      <c r="P21" s="15">
        <f t="shared" si="1"/>
        <v>211</v>
      </c>
      <c r="R21" s="36" t="s">
        <v>20</v>
      </c>
      <c r="S21" s="34">
        <f t="shared" ref="S21:AF21" si="13">SUM(C54:C57)</f>
        <v>153</v>
      </c>
      <c r="T21" s="17">
        <f t="shared" si="13"/>
        <v>47</v>
      </c>
      <c r="U21" s="17">
        <f t="shared" si="13"/>
        <v>7</v>
      </c>
      <c r="V21" s="17">
        <f t="shared" si="13"/>
        <v>100</v>
      </c>
      <c r="W21" s="17">
        <f t="shared" si="13"/>
        <v>1</v>
      </c>
      <c r="X21" s="17">
        <f t="shared" si="13"/>
        <v>0</v>
      </c>
      <c r="Y21" s="17">
        <f t="shared" si="13"/>
        <v>18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579</v>
      </c>
      <c r="AD21" s="17">
        <f t="shared" si="13"/>
        <v>0</v>
      </c>
      <c r="AE21" s="31">
        <f t="shared" si="13"/>
        <v>326</v>
      </c>
      <c r="AF21" s="31">
        <f t="shared" si="13"/>
        <v>905</v>
      </c>
    </row>
    <row r="22" spans="2:32" ht="23.1" customHeight="1" x14ac:dyDescent="0.25">
      <c r="B22" s="23" t="s">
        <v>49</v>
      </c>
      <c r="C22" s="50">
        <v>22</v>
      </c>
      <c r="D22" s="50">
        <v>5</v>
      </c>
      <c r="E22" s="50">
        <v>3</v>
      </c>
      <c r="F22" s="50">
        <v>27</v>
      </c>
      <c r="G22" s="50">
        <v>0</v>
      </c>
      <c r="H22" s="50">
        <v>0</v>
      </c>
      <c r="I22" s="50">
        <v>5</v>
      </c>
      <c r="J22" s="50">
        <v>0</v>
      </c>
      <c r="K22" s="50">
        <v>0</v>
      </c>
      <c r="L22" s="50">
        <v>0</v>
      </c>
      <c r="M22" s="50">
        <v>118</v>
      </c>
      <c r="N22" s="50">
        <v>0</v>
      </c>
      <c r="O22" s="15">
        <f t="shared" si="0"/>
        <v>62</v>
      </c>
      <c r="P22" s="15">
        <f t="shared" si="1"/>
        <v>180</v>
      </c>
      <c r="R22" s="38" t="s">
        <v>90</v>
      </c>
      <c r="S22" s="39">
        <f>MAX(S10:S12)</f>
        <v>78</v>
      </c>
      <c r="T22" s="39">
        <f t="shared" ref="T22:AF22" si="14">MAX(T10:T12)</f>
        <v>23</v>
      </c>
      <c r="U22" s="39">
        <f t="shared" si="14"/>
        <v>6</v>
      </c>
      <c r="V22" s="39">
        <f t="shared" si="14"/>
        <v>172</v>
      </c>
      <c r="W22" s="39">
        <f t="shared" si="14"/>
        <v>2</v>
      </c>
      <c r="X22" s="39">
        <f t="shared" si="14"/>
        <v>1</v>
      </c>
      <c r="Y22" s="39">
        <f t="shared" si="14"/>
        <v>8</v>
      </c>
      <c r="Z22" s="39">
        <f t="shared" si="14"/>
        <v>2</v>
      </c>
      <c r="AA22" s="39">
        <f t="shared" si="14"/>
        <v>1</v>
      </c>
      <c r="AB22" s="39">
        <f t="shared" si="14"/>
        <v>0</v>
      </c>
      <c r="AC22" s="39">
        <f t="shared" si="14"/>
        <v>469</v>
      </c>
      <c r="AD22" s="39">
        <f t="shared" si="14"/>
        <v>0</v>
      </c>
      <c r="AE22" s="40">
        <f t="shared" si="14"/>
        <v>277</v>
      </c>
      <c r="AF22" s="40">
        <f t="shared" si="14"/>
        <v>746</v>
      </c>
    </row>
    <row r="23" spans="2:32" ht="23.1" customHeight="1" x14ac:dyDescent="0.25">
      <c r="B23" s="23" t="s">
        <v>50</v>
      </c>
      <c r="C23" s="50">
        <v>14</v>
      </c>
      <c r="D23" s="50">
        <v>7</v>
      </c>
      <c r="E23" s="50">
        <v>0</v>
      </c>
      <c r="F23" s="50">
        <v>39</v>
      </c>
      <c r="G23" s="50">
        <v>2</v>
      </c>
      <c r="H23" s="50">
        <v>0</v>
      </c>
      <c r="I23" s="50">
        <v>1</v>
      </c>
      <c r="J23" s="50">
        <v>0</v>
      </c>
      <c r="K23" s="50">
        <v>2</v>
      </c>
      <c r="L23" s="50">
        <v>0</v>
      </c>
      <c r="M23" s="50">
        <v>160</v>
      </c>
      <c r="N23" s="50">
        <v>0</v>
      </c>
      <c r="O23" s="15">
        <f t="shared" si="0"/>
        <v>65</v>
      </c>
      <c r="P23" s="15">
        <f t="shared" si="1"/>
        <v>225</v>
      </c>
      <c r="R23" s="38" t="s">
        <v>91</v>
      </c>
      <c r="S23" s="39">
        <f>MAX(S13:S18)</f>
        <v>201</v>
      </c>
      <c r="T23" s="39">
        <f t="shared" ref="T23:AF23" si="15">MAX(T13:T18)</f>
        <v>59</v>
      </c>
      <c r="U23" s="39">
        <f t="shared" si="15"/>
        <v>34</v>
      </c>
      <c r="V23" s="39">
        <f t="shared" si="15"/>
        <v>125</v>
      </c>
      <c r="W23" s="39">
        <f t="shared" si="15"/>
        <v>6</v>
      </c>
      <c r="X23" s="39">
        <f t="shared" si="15"/>
        <v>0</v>
      </c>
      <c r="Y23" s="39">
        <f t="shared" si="15"/>
        <v>29</v>
      </c>
      <c r="Z23" s="39">
        <f t="shared" si="15"/>
        <v>1</v>
      </c>
      <c r="AA23" s="39">
        <f t="shared" si="15"/>
        <v>2</v>
      </c>
      <c r="AB23" s="39">
        <f t="shared" si="15"/>
        <v>1</v>
      </c>
      <c r="AC23" s="39">
        <f t="shared" si="15"/>
        <v>870</v>
      </c>
      <c r="AD23" s="39">
        <f t="shared" si="15"/>
        <v>0</v>
      </c>
      <c r="AE23" s="40">
        <f t="shared" si="15"/>
        <v>383</v>
      </c>
      <c r="AF23" s="40">
        <f t="shared" si="15"/>
        <v>1253</v>
      </c>
    </row>
    <row r="24" spans="2:32" ht="23.1" customHeight="1" x14ac:dyDescent="0.25">
      <c r="B24" s="23" t="s">
        <v>51</v>
      </c>
      <c r="C24" s="50">
        <v>27</v>
      </c>
      <c r="D24" s="50">
        <v>4</v>
      </c>
      <c r="E24" s="50">
        <v>2</v>
      </c>
      <c r="F24" s="50">
        <v>27</v>
      </c>
      <c r="G24" s="50">
        <v>0</v>
      </c>
      <c r="H24" s="50">
        <v>0</v>
      </c>
      <c r="I24" s="50">
        <v>4</v>
      </c>
      <c r="J24" s="50">
        <v>0</v>
      </c>
      <c r="K24" s="50">
        <v>0</v>
      </c>
      <c r="L24" s="50">
        <v>0</v>
      </c>
      <c r="M24" s="50">
        <v>72</v>
      </c>
      <c r="N24" s="50">
        <v>0</v>
      </c>
      <c r="O24" s="15">
        <f t="shared" si="0"/>
        <v>64</v>
      </c>
      <c r="P24" s="15">
        <f t="shared" si="1"/>
        <v>136</v>
      </c>
      <c r="R24" s="38" t="s">
        <v>92</v>
      </c>
      <c r="S24" s="39">
        <f>MAX(S19:S21)</f>
        <v>235</v>
      </c>
      <c r="T24" s="39">
        <f t="shared" ref="T24:AF24" si="16">MAX(T19:T21)</f>
        <v>90</v>
      </c>
      <c r="U24" s="39">
        <f t="shared" si="16"/>
        <v>14</v>
      </c>
      <c r="V24" s="39">
        <f t="shared" si="16"/>
        <v>123</v>
      </c>
      <c r="W24" s="39">
        <f t="shared" si="16"/>
        <v>1</v>
      </c>
      <c r="X24" s="39">
        <f t="shared" si="16"/>
        <v>0</v>
      </c>
      <c r="Y24" s="39">
        <f t="shared" si="16"/>
        <v>18</v>
      </c>
      <c r="Z24" s="39">
        <f t="shared" si="16"/>
        <v>3</v>
      </c>
      <c r="AA24" s="39">
        <f t="shared" si="16"/>
        <v>0</v>
      </c>
      <c r="AB24" s="39">
        <f t="shared" si="16"/>
        <v>0</v>
      </c>
      <c r="AC24" s="39">
        <f t="shared" si="16"/>
        <v>815</v>
      </c>
      <c r="AD24" s="39">
        <f t="shared" si="16"/>
        <v>0</v>
      </c>
      <c r="AE24" s="40">
        <f t="shared" si="16"/>
        <v>475</v>
      </c>
      <c r="AF24" s="40">
        <f t="shared" si="16"/>
        <v>1234</v>
      </c>
    </row>
    <row r="25" spans="2:32" ht="23.1" customHeight="1" x14ac:dyDescent="0.25">
      <c r="B25" s="23" t="s">
        <v>52</v>
      </c>
      <c r="C25" s="50">
        <v>25</v>
      </c>
      <c r="D25" s="50">
        <v>8</v>
      </c>
      <c r="E25" s="50">
        <v>0</v>
      </c>
      <c r="F25" s="50">
        <v>32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141</v>
      </c>
      <c r="N25" s="50">
        <v>0</v>
      </c>
      <c r="O25" s="15">
        <f t="shared" si="0"/>
        <v>68</v>
      </c>
      <c r="P25" s="15">
        <f t="shared" si="1"/>
        <v>209</v>
      </c>
      <c r="R25" s="37" t="s">
        <v>85</v>
      </c>
      <c r="S25" s="35">
        <f t="shared" ref="S25:AF25" si="17">SUM(S10:S12)</f>
        <v>168</v>
      </c>
      <c r="T25" s="16">
        <f t="shared" si="17"/>
        <v>47</v>
      </c>
      <c r="U25" s="16">
        <f t="shared" si="17"/>
        <v>15</v>
      </c>
      <c r="V25" s="16">
        <f t="shared" si="17"/>
        <v>468</v>
      </c>
      <c r="W25" s="16">
        <f t="shared" si="17"/>
        <v>6</v>
      </c>
      <c r="X25" s="16">
        <f t="shared" si="17"/>
        <v>2</v>
      </c>
      <c r="Y25" s="16">
        <f t="shared" si="17"/>
        <v>16</v>
      </c>
      <c r="Z25" s="16">
        <f t="shared" si="17"/>
        <v>4</v>
      </c>
      <c r="AA25" s="16">
        <f t="shared" si="17"/>
        <v>3</v>
      </c>
      <c r="AB25" s="16">
        <f t="shared" si="17"/>
        <v>0</v>
      </c>
      <c r="AC25" s="16">
        <f t="shared" si="17"/>
        <v>1178</v>
      </c>
      <c r="AD25" s="16">
        <f t="shared" si="17"/>
        <v>0</v>
      </c>
      <c r="AE25" s="32">
        <f t="shared" si="17"/>
        <v>729</v>
      </c>
      <c r="AF25" s="32">
        <f t="shared" si="17"/>
        <v>1907</v>
      </c>
    </row>
    <row r="26" spans="2:32" ht="23.1" customHeight="1" x14ac:dyDescent="0.25">
      <c r="B26" s="23" t="s">
        <v>53</v>
      </c>
      <c r="C26" s="50">
        <v>30</v>
      </c>
      <c r="D26" s="50">
        <v>11</v>
      </c>
      <c r="E26" s="50">
        <v>2</v>
      </c>
      <c r="F26" s="50">
        <v>35</v>
      </c>
      <c r="G26" s="50">
        <v>0</v>
      </c>
      <c r="H26" s="50">
        <v>0</v>
      </c>
      <c r="I26" s="50">
        <v>0</v>
      </c>
      <c r="J26" s="50">
        <v>0</v>
      </c>
      <c r="K26" s="50">
        <v>1</v>
      </c>
      <c r="L26" s="50">
        <v>0</v>
      </c>
      <c r="M26" s="50">
        <v>150</v>
      </c>
      <c r="N26" s="50">
        <v>0</v>
      </c>
      <c r="O26" s="15">
        <f t="shared" si="0"/>
        <v>79</v>
      </c>
      <c r="P26" s="15">
        <f t="shared" si="1"/>
        <v>229</v>
      </c>
      <c r="R26" s="28" t="s">
        <v>86</v>
      </c>
      <c r="S26" s="16">
        <f t="shared" ref="S26:AF26" si="18">SUM(S13:S18)</f>
        <v>804</v>
      </c>
      <c r="T26" s="16">
        <f t="shared" si="18"/>
        <v>211</v>
      </c>
      <c r="U26" s="16">
        <f t="shared" si="18"/>
        <v>83</v>
      </c>
      <c r="V26" s="16">
        <f t="shared" si="18"/>
        <v>596</v>
      </c>
      <c r="W26" s="16">
        <f t="shared" si="18"/>
        <v>9</v>
      </c>
      <c r="X26" s="16">
        <f t="shared" si="18"/>
        <v>0</v>
      </c>
      <c r="Y26" s="16">
        <f t="shared" si="18"/>
        <v>86</v>
      </c>
      <c r="Z26" s="16">
        <f t="shared" si="18"/>
        <v>1</v>
      </c>
      <c r="AA26" s="16">
        <f t="shared" si="18"/>
        <v>3</v>
      </c>
      <c r="AB26" s="16">
        <f t="shared" si="18"/>
        <v>1</v>
      </c>
      <c r="AC26" s="16">
        <f t="shared" si="18"/>
        <v>3584</v>
      </c>
      <c r="AD26" s="16">
        <f t="shared" si="18"/>
        <v>0</v>
      </c>
      <c r="AE26" s="32">
        <f t="shared" si="18"/>
        <v>1794</v>
      </c>
      <c r="AF26" s="32">
        <f t="shared" si="18"/>
        <v>5378</v>
      </c>
    </row>
    <row r="27" spans="2:32" ht="23.1" customHeight="1" x14ac:dyDescent="0.25">
      <c r="B27" s="23" t="s">
        <v>54</v>
      </c>
      <c r="C27" s="50">
        <v>16</v>
      </c>
      <c r="D27" s="50">
        <v>8</v>
      </c>
      <c r="E27" s="50">
        <v>3</v>
      </c>
      <c r="F27" s="50">
        <v>31</v>
      </c>
      <c r="G27" s="50">
        <v>0</v>
      </c>
      <c r="H27" s="50">
        <v>0</v>
      </c>
      <c r="I27" s="50">
        <v>4</v>
      </c>
      <c r="J27" s="50">
        <v>0</v>
      </c>
      <c r="K27" s="50">
        <v>0</v>
      </c>
      <c r="L27" s="50">
        <v>0</v>
      </c>
      <c r="M27" s="50">
        <v>140</v>
      </c>
      <c r="N27" s="50">
        <v>0</v>
      </c>
      <c r="O27" s="15">
        <f t="shared" si="0"/>
        <v>62</v>
      </c>
      <c r="P27" s="15">
        <f t="shared" si="1"/>
        <v>202</v>
      </c>
      <c r="R27" s="29" t="s">
        <v>87</v>
      </c>
      <c r="S27" s="16">
        <f t="shared" ref="S27:AF27" si="19">SUM(S19:S21)</f>
        <v>605</v>
      </c>
      <c r="T27" s="16">
        <f t="shared" si="19"/>
        <v>205</v>
      </c>
      <c r="U27" s="16">
        <f t="shared" si="19"/>
        <v>31</v>
      </c>
      <c r="V27" s="16">
        <f t="shared" si="19"/>
        <v>325</v>
      </c>
      <c r="W27" s="16">
        <f t="shared" si="19"/>
        <v>3</v>
      </c>
      <c r="X27" s="16">
        <f t="shared" si="19"/>
        <v>0</v>
      </c>
      <c r="Y27" s="16">
        <f t="shared" si="19"/>
        <v>48</v>
      </c>
      <c r="Z27" s="16">
        <f t="shared" si="19"/>
        <v>3</v>
      </c>
      <c r="AA27" s="16">
        <f t="shared" si="19"/>
        <v>0</v>
      </c>
      <c r="AB27" s="16">
        <f t="shared" si="19"/>
        <v>0</v>
      </c>
      <c r="AC27" s="16">
        <f t="shared" si="19"/>
        <v>2054</v>
      </c>
      <c r="AD27" s="16">
        <f t="shared" si="19"/>
        <v>0</v>
      </c>
      <c r="AE27" s="32">
        <f t="shared" si="19"/>
        <v>1220</v>
      </c>
      <c r="AF27" s="32">
        <f t="shared" si="19"/>
        <v>3274</v>
      </c>
    </row>
    <row r="28" spans="2:32" ht="23.1" customHeight="1" x14ac:dyDescent="0.25">
      <c r="B28" s="23" t="s">
        <v>55</v>
      </c>
      <c r="C28" s="50">
        <v>25</v>
      </c>
      <c r="D28" s="50">
        <v>9</v>
      </c>
      <c r="E28" s="50">
        <v>1</v>
      </c>
      <c r="F28" s="50">
        <v>28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165</v>
      </c>
      <c r="N28" s="50">
        <v>0</v>
      </c>
      <c r="O28" s="15">
        <f t="shared" si="0"/>
        <v>65</v>
      </c>
      <c r="P28" s="15">
        <f t="shared" si="1"/>
        <v>230</v>
      </c>
      <c r="R28" s="5" t="s">
        <v>17</v>
      </c>
      <c r="S28" s="16">
        <f t="shared" ref="S28:AF28" si="20">SUM(S10:S21)</f>
        <v>1577</v>
      </c>
      <c r="T28" s="16">
        <f t="shared" si="20"/>
        <v>463</v>
      </c>
      <c r="U28" s="16">
        <f t="shared" si="20"/>
        <v>129</v>
      </c>
      <c r="V28" s="16">
        <f t="shared" si="20"/>
        <v>1389</v>
      </c>
      <c r="W28" s="16">
        <f t="shared" si="20"/>
        <v>18</v>
      </c>
      <c r="X28" s="16">
        <f t="shared" si="20"/>
        <v>2</v>
      </c>
      <c r="Y28" s="16">
        <f t="shared" si="20"/>
        <v>150</v>
      </c>
      <c r="Z28" s="16">
        <f t="shared" si="20"/>
        <v>8</v>
      </c>
      <c r="AA28" s="16">
        <f t="shared" si="20"/>
        <v>6</v>
      </c>
      <c r="AB28" s="16">
        <f t="shared" si="20"/>
        <v>1</v>
      </c>
      <c r="AC28" s="16">
        <f t="shared" si="20"/>
        <v>6816</v>
      </c>
      <c r="AD28" s="16">
        <f t="shared" si="20"/>
        <v>0</v>
      </c>
      <c r="AE28" s="32">
        <f t="shared" si="20"/>
        <v>3743</v>
      </c>
      <c r="AF28" s="32">
        <f t="shared" si="20"/>
        <v>10559</v>
      </c>
    </row>
    <row r="29" spans="2:32" ht="23.1" customHeight="1" x14ac:dyDescent="0.25">
      <c r="B29" s="23" t="s">
        <v>56</v>
      </c>
      <c r="C29" s="50">
        <v>19</v>
      </c>
      <c r="D29" s="50">
        <v>9</v>
      </c>
      <c r="E29" s="50">
        <v>8</v>
      </c>
      <c r="F29" s="50">
        <v>28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125</v>
      </c>
      <c r="N29" s="50">
        <v>0</v>
      </c>
      <c r="O29" s="15">
        <f t="shared" si="0"/>
        <v>64</v>
      </c>
      <c r="P29" s="15">
        <f t="shared" si="1"/>
        <v>189</v>
      </c>
      <c r="R29"/>
      <c r="S29" s="20"/>
      <c r="T29" s="19"/>
    </row>
    <row r="30" spans="2:32" ht="23.1" customHeight="1" x14ac:dyDescent="0.25">
      <c r="B30" s="23" t="s">
        <v>57</v>
      </c>
      <c r="C30" s="50">
        <v>27</v>
      </c>
      <c r="D30" s="50">
        <v>5</v>
      </c>
      <c r="E30" s="50">
        <v>3</v>
      </c>
      <c r="F30" s="50">
        <v>18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105</v>
      </c>
      <c r="N30" s="50">
        <v>0</v>
      </c>
      <c r="O30" s="15">
        <f t="shared" si="0"/>
        <v>55</v>
      </c>
      <c r="P30" s="15">
        <f t="shared" si="1"/>
        <v>160</v>
      </c>
    </row>
    <row r="31" spans="2:32" ht="23.1" customHeight="1" x14ac:dyDescent="0.25">
      <c r="B31" s="24" t="s">
        <v>58</v>
      </c>
      <c r="C31" s="50">
        <v>6</v>
      </c>
      <c r="D31" s="50">
        <v>1</v>
      </c>
      <c r="E31" s="50">
        <v>28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108</v>
      </c>
      <c r="N31" s="50">
        <v>0</v>
      </c>
      <c r="O31" s="15">
        <f t="shared" si="0"/>
        <v>35</v>
      </c>
      <c r="P31" s="15">
        <f t="shared" si="1"/>
        <v>143</v>
      </c>
    </row>
    <row r="32" spans="2:32" ht="23.1" customHeight="1" x14ac:dyDescent="0.25">
      <c r="B32" s="24" t="s">
        <v>59</v>
      </c>
      <c r="C32" s="50">
        <v>40</v>
      </c>
      <c r="D32" s="50">
        <v>9</v>
      </c>
      <c r="E32" s="50">
        <v>2</v>
      </c>
      <c r="F32" s="50">
        <v>21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150</v>
      </c>
      <c r="N32" s="50">
        <v>0</v>
      </c>
      <c r="O32" s="15">
        <f t="shared" si="0"/>
        <v>75</v>
      </c>
      <c r="P32" s="15">
        <f t="shared" si="1"/>
        <v>225</v>
      </c>
    </row>
    <row r="33" spans="2:20" ht="23.1" customHeight="1" x14ac:dyDescent="0.25">
      <c r="B33" s="23" t="s">
        <v>60</v>
      </c>
      <c r="C33" s="50">
        <v>30</v>
      </c>
      <c r="D33" s="50">
        <v>5</v>
      </c>
      <c r="E33" s="50">
        <v>1</v>
      </c>
      <c r="F33" s="50">
        <v>23</v>
      </c>
      <c r="G33" s="50">
        <v>0</v>
      </c>
      <c r="H33" s="50">
        <v>0</v>
      </c>
      <c r="I33" s="50">
        <v>4</v>
      </c>
      <c r="J33" s="50">
        <v>0</v>
      </c>
      <c r="K33" s="50">
        <v>0</v>
      </c>
      <c r="L33" s="50">
        <v>0</v>
      </c>
      <c r="M33" s="50">
        <v>135</v>
      </c>
      <c r="N33" s="50">
        <v>0</v>
      </c>
      <c r="O33" s="15">
        <f t="shared" si="0"/>
        <v>63</v>
      </c>
      <c r="P33" s="15">
        <f t="shared" si="1"/>
        <v>198</v>
      </c>
    </row>
    <row r="34" spans="2:20" ht="23.1" customHeight="1" x14ac:dyDescent="0.25">
      <c r="B34" s="24" t="s">
        <v>61</v>
      </c>
      <c r="C34" s="50">
        <v>36</v>
      </c>
      <c r="D34" s="50">
        <v>3</v>
      </c>
      <c r="E34" s="50">
        <v>2</v>
      </c>
      <c r="F34" s="50">
        <v>23</v>
      </c>
      <c r="G34" s="50">
        <v>6</v>
      </c>
      <c r="H34" s="50">
        <v>0</v>
      </c>
      <c r="I34" s="50">
        <v>7</v>
      </c>
      <c r="J34" s="50">
        <v>0</v>
      </c>
      <c r="K34" s="50">
        <v>0</v>
      </c>
      <c r="L34" s="50">
        <v>0</v>
      </c>
      <c r="M34" s="50">
        <v>93</v>
      </c>
      <c r="N34" s="50">
        <v>0</v>
      </c>
      <c r="O34" s="15">
        <f t="shared" si="0"/>
        <v>77</v>
      </c>
      <c r="P34" s="15">
        <f t="shared" si="1"/>
        <v>170</v>
      </c>
    </row>
    <row r="35" spans="2:20" ht="23.1" customHeight="1" x14ac:dyDescent="0.25">
      <c r="B35" s="24" t="s">
        <v>62</v>
      </c>
      <c r="C35" s="50">
        <v>27</v>
      </c>
      <c r="D35" s="50">
        <v>7</v>
      </c>
      <c r="E35" s="50">
        <v>2</v>
      </c>
      <c r="F35" s="50">
        <v>26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0</v>
      </c>
      <c r="M35" s="50">
        <v>135</v>
      </c>
      <c r="N35" s="50">
        <v>0</v>
      </c>
      <c r="O35" s="15">
        <f t="shared" si="0"/>
        <v>65</v>
      </c>
      <c r="P35" s="15">
        <f t="shared" si="1"/>
        <v>200</v>
      </c>
    </row>
    <row r="36" spans="2:20" ht="23.1" customHeight="1" x14ac:dyDescent="0.25">
      <c r="B36" s="24" t="s">
        <v>63</v>
      </c>
      <c r="C36" s="50">
        <v>33</v>
      </c>
      <c r="D36" s="50">
        <v>12</v>
      </c>
      <c r="E36" s="50">
        <v>0</v>
      </c>
      <c r="F36" s="50">
        <v>40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115</v>
      </c>
      <c r="N36" s="50">
        <v>0</v>
      </c>
      <c r="O36" s="15">
        <f t="shared" si="0"/>
        <v>86</v>
      </c>
      <c r="P36" s="15">
        <f t="shared" si="1"/>
        <v>201</v>
      </c>
    </row>
    <row r="37" spans="2:20" ht="23.1" customHeight="1" x14ac:dyDescent="0.25">
      <c r="B37" s="23" t="s">
        <v>64</v>
      </c>
      <c r="C37" s="50">
        <v>45</v>
      </c>
      <c r="D37" s="50">
        <v>5</v>
      </c>
      <c r="E37" s="50">
        <v>2</v>
      </c>
      <c r="F37" s="50">
        <v>14</v>
      </c>
      <c r="G37" s="50">
        <v>0</v>
      </c>
      <c r="H37" s="50">
        <v>0</v>
      </c>
      <c r="I37" s="50">
        <v>4</v>
      </c>
      <c r="J37" s="50">
        <v>0</v>
      </c>
      <c r="K37" s="50">
        <v>0</v>
      </c>
      <c r="L37" s="50">
        <v>0</v>
      </c>
      <c r="M37" s="50">
        <v>96</v>
      </c>
      <c r="N37" s="50">
        <v>0</v>
      </c>
      <c r="O37" s="15">
        <f t="shared" si="0"/>
        <v>70</v>
      </c>
      <c r="P37" s="15">
        <f t="shared" si="1"/>
        <v>166</v>
      </c>
    </row>
    <row r="38" spans="2:20" ht="23.1" customHeight="1" x14ac:dyDescent="0.25">
      <c r="B38" s="24" t="s">
        <v>65</v>
      </c>
      <c r="C38" s="50">
        <v>47</v>
      </c>
      <c r="D38" s="50">
        <v>7</v>
      </c>
      <c r="E38" s="50">
        <v>1</v>
      </c>
      <c r="F38" s="50">
        <v>14</v>
      </c>
      <c r="G38" s="50">
        <v>0</v>
      </c>
      <c r="H38" s="50">
        <v>0</v>
      </c>
      <c r="I38" s="50">
        <v>7</v>
      </c>
      <c r="J38" s="50">
        <v>0</v>
      </c>
      <c r="K38" s="50">
        <v>0</v>
      </c>
      <c r="L38" s="50">
        <v>0</v>
      </c>
      <c r="M38" s="50">
        <v>120</v>
      </c>
      <c r="N38" s="50">
        <v>0</v>
      </c>
      <c r="O38" s="15">
        <f t="shared" si="0"/>
        <v>76</v>
      </c>
      <c r="P38" s="15">
        <f t="shared" si="1"/>
        <v>196</v>
      </c>
    </row>
    <row r="39" spans="2:20" ht="23.1" customHeight="1" x14ac:dyDescent="0.25">
      <c r="B39" s="24" t="s">
        <v>66</v>
      </c>
      <c r="C39" s="50">
        <v>29</v>
      </c>
      <c r="D39" s="50">
        <v>11</v>
      </c>
      <c r="E39" s="50">
        <v>2</v>
      </c>
      <c r="F39" s="50">
        <v>22</v>
      </c>
      <c r="G39" s="50">
        <v>0</v>
      </c>
      <c r="H39" s="50">
        <v>0</v>
      </c>
      <c r="I39" s="50">
        <v>7</v>
      </c>
      <c r="J39" s="50">
        <v>0</v>
      </c>
      <c r="K39" s="50">
        <v>0</v>
      </c>
      <c r="L39" s="50">
        <v>0</v>
      </c>
      <c r="M39" s="50">
        <v>156</v>
      </c>
      <c r="N39" s="50">
        <v>0</v>
      </c>
      <c r="O39" s="15">
        <f t="shared" si="0"/>
        <v>71</v>
      </c>
      <c r="P39" s="15">
        <f t="shared" si="1"/>
        <v>227</v>
      </c>
    </row>
    <row r="40" spans="2:20" ht="23.1" customHeight="1" x14ac:dyDescent="0.25">
      <c r="B40" s="24" t="s">
        <v>67</v>
      </c>
      <c r="C40" s="50">
        <v>57</v>
      </c>
      <c r="D40" s="50">
        <v>11</v>
      </c>
      <c r="E40" s="50">
        <v>3</v>
      </c>
      <c r="F40" s="50">
        <v>27</v>
      </c>
      <c r="G40" s="50">
        <v>0</v>
      </c>
      <c r="H40" s="50">
        <v>0</v>
      </c>
      <c r="I40" s="50">
        <v>8</v>
      </c>
      <c r="J40" s="50">
        <v>0</v>
      </c>
      <c r="K40" s="50">
        <v>0</v>
      </c>
      <c r="L40" s="50">
        <v>0</v>
      </c>
      <c r="M40" s="50">
        <v>195</v>
      </c>
      <c r="N40" s="50">
        <v>0</v>
      </c>
      <c r="O40" s="15">
        <f t="shared" si="0"/>
        <v>106</v>
      </c>
      <c r="P40" s="15">
        <f t="shared" si="1"/>
        <v>301</v>
      </c>
    </row>
    <row r="41" spans="2:20" ht="23.1" customHeight="1" x14ac:dyDescent="0.25">
      <c r="B41" s="23" t="s">
        <v>68</v>
      </c>
      <c r="C41" s="50">
        <v>48</v>
      </c>
      <c r="D41" s="50">
        <v>15</v>
      </c>
      <c r="E41" s="50">
        <v>6</v>
      </c>
      <c r="F41" s="50">
        <v>27</v>
      </c>
      <c r="G41" s="50">
        <v>0</v>
      </c>
      <c r="H41" s="50">
        <v>0</v>
      </c>
      <c r="I41" s="50">
        <v>7</v>
      </c>
      <c r="J41" s="50">
        <v>0</v>
      </c>
      <c r="K41" s="50">
        <v>0</v>
      </c>
      <c r="L41" s="50">
        <v>0</v>
      </c>
      <c r="M41" s="50">
        <v>235</v>
      </c>
      <c r="N41" s="50">
        <v>0</v>
      </c>
      <c r="O41" s="15">
        <f t="shared" si="0"/>
        <v>103</v>
      </c>
      <c r="P41" s="15">
        <f t="shared" si="1"/>
        <v>338</v>
      </c>
    </row>
    <row r="42" spans="2:20" ht="23.1" customHeight="1" x14ac:dyDescent="0.25">
      <c r="B42" s="24" t="s">
        <v>69</v>
      </c>
      <c r="C42" s="50">
        <v>72</v>
      </c>
      <c r="D42" s="50">
        <v>17</v>
      </c>
      <c r="E42" s="50">
        <v>4</v>
      </c>
      <c r="F42" s="50">
        <v>32</v>
      </c>
      <c r="G42" s="50">
        <v>1</v>
      </c>
      <c r="H42" s="50">
        <v>0</v>
      </c>
      <c r="I42" s="50">
        <v>5</v>
      </c>
      <c r="J42" s="50">
        <v>0</v>
      </c>
      <c r="K42" s="50">
        <v>0</v>
      </c>
      <c r="L42" s="50">
        <v>0</v>
      </c>
      <c r="M42" s="50">
        <v>215</v>
      </c>
      <c r="N42" s="50">
        <v>0</v>
      </c>
      <c r="O42" s="15">
        <f t="shared" si="0"/>
        <v>131</v>
      </c>
      <c r="P42" s="15">
        <f t="shared" si="1"/>
        <v>346</v>
      </c>
    </row>
    <row r="43" spans="2:20" ht="23.1" customHeight="1" x14ac:dyDescent="0.25">
      <c r="B43" s="23" t="s">
        <v>70</v>
      </c>
      <c r="C43" s="50">
        <v>40</v>
      </c>
      <c r="D43" s="50">
        <v>18</v>
      </c>
      <c r="E43" s="50">
        <v>3</v>
      </c>
      <c r="F43" s="50">
        <v>22</v>
      </c>
      <c r="G43" s="50">
        <v>0</v>
      </c>
      <c r="H43" s="50">
        <v>0</v>
      </c>
      <c r="I43" s="50">
        <v>3</v>
      </c>
      <c r="J43" s="50">
        <v>1</v>
      </c>
      <c r="K43" s="50">
        <v>0</v>
      </c>
      <c r="L43" s="50">
        <v>1</v>
      </c>
      <c r="M43" s="50">
        <v>260</v>
      </c>
      <c r="N43" s="50">
        <v>0</v>
      </c>
      <c r="O43" s="15">
        <f t="shared" si="0"/>
        <v>88</v>
      </c>
      <c r="P43" s="15">
        <f t="shared" si="1"/>
        <v>348</v>
      </c>
    </row>
    <row r="44" spans="2:20" ht="23.1" customHeight="1" x14ac:dyDescent="0.25">
      <c r="B44" s="25" t="s">
        <v>71</v>
      </c>
      <c r="C44" s="50">
        <v>55</v>
      </c>
      <c r="D44" s="50">
        <v>10</v>
      </c>
      <c r="E44" s="50">
        <v>2</v>
      </c>
      <c r="F44" s="50">
        <v>20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50">
        <v>200</v>
      </c>
      <c r="N44" s="50">
        <v>0</v>
      </c>
      <c r="O44" s="15">
        <f t="shared" si="0"/>
        <v>91</v>
      </c>
      <c r="P44" s="15">
        <f t="shared" si="1"/>
        <v>291</v>
      </c>
    </row>
    <row r="45" spans="2:20" ht="23.1" customHeight="1" x14ac:dyDescent="0.25">
      <c r="B45" s="23" t="s">
        <v>72</v>
      </c>
      <c r="C45" s="50">
        <v>34</v>
      </c>
      <c r="D45" s="50">
        <v>14</v>
      </c>
      <c r="E45" s="50">
        <v>3</v>
      </c>
      <c r="F45" s="50">
        <v>20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195</v>
      </c>
      <c r="N45" s="50">
        <v>0</v>
      </c>
      <c r="O45" s="15">
        <f t="shared" si="0"/>
        <v>73</v>
      </c>
      <c r="P45" s="15">
        <f t="shared" si="1"/>
        <v>268</v>
      </c>
    </row>
    <row r="46" spans="2:20" ht="23.1" customHeight="1" x14ac:dyDescent="0.25">
      <c r="B46" s="24" t="s">
        <v>73</v>
      </c>
      <c r="C46" s="50">
        <v>60</v>
      </c>
      <c r="D46" s="50">
        <v>18</v>
      </c>
      <c r="E46" s="50">
        <v>4</v>
      </c>
      <c r="F46" s="50">
        <v>26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170</v>
      </c>
      <c r="N46" s="50">
        <v>0</v>
      </c>
      <c r="O46" s="15">
        <f t="shared" si="0"/>
        <v>110</v>
      </c>
      <c r="P46" s="15">
        <f t="shared" si="1"/>
        <v>280</v>
      </c>
      <c r="R46" s="8"/>
      <c r="T46"/>
    </row>
    <row r="47" spans="2:20" ht="23.1" customHeight="1" x14ac:dyDescent="0.25">
      <c r="B47" s="24" t="s">
        <v>74</v>
      </c>
      <c r="C47" s="50">
        <v>48</v>
      </c>
      <c r="D47" s="50">
        <v>12</v>
      </c>
      <c r="E47" s="50">
        <v>2</v>
      </c>
      <c r="F47" s="50">
        <v>22</v>
      </c>
      <c r="G47" s="50">
        <v>1</v>
      </c>
      <c r="H47" s="50">
        <v>0</v>
      </c>
      <c r="I47" s="50">
        <v>5</v>
      </c>
      <c r="J47" s="50">
        <v>1</v>
      </c>
      <c r="K47" s="50">
        <v>0</v>
      </c>
      <c r="L47" s="50">
        <v>0</v>
      </c>
      <c r="M47" s="50">
        <v>290</v>
      </c>
      <c r="N47" s="50">
        <v>0</v>
      </c>
      <c r="O47" s="15">
        <f t="shared" si="0"/>
        <v>91</v>
      </c>
      <c r="P47" s="15">
        <f t="shared" si="1"/>
        <v>381</v>
      </c>
      <c r="R47" s="8"/>
      <c r="T47"/>
    </row>
    <row r="48" spans="2:20" ht="23.1" customHeight="1" x14ac:dyDescent="0.25">
      <c r="B48" s="24" t="s">
        <v>75</v>
      </c>
      <c r="C48" s="50">
        <v>70</v>
      </c>
      <c r="D48" s="50">
        <v>21</v>
      </c>
      <c r="E48" s="50">
        <v>0</v>
      </c>
      <c r="F48" s="50">
        <v>29</v>
      </c>
      <c r="G48" s="50">
        <v>0</v>
      </c>
      <c r="H48" s="50">
        <v>0</v>
      </c>
      <c r="I48" s="50">
        <v>6</v>
      </c>
      <c r="J48" s="50">
        <v>2</v>
      </c>
      <c r="K48" s="50">
        <v>0</v>
      </c>
      <c r="L48" s="50">
        <v>0</v>
      </c>
      <c r="M48" s="50">
        <v>185</v>
      </c>
      <c r="N48" s="50">
        <v>0</v>
      </c>
      <c r="O48" s="15">
        <f t="shared" si="0"/>
        <v>128</v>
      </c>
      <c r="P48" s="15">
        <f t="shared" si="1"/>
        <v>313</v>
      </c>
      <c r="R48" s="8"/>
      <c r="T48"/>
    </row>
    <row r="49" spans="2:20" ht="23.1" customHeight="1" x14ac:dyDescent="0.25">
      <c r="B49" s="23" t="s">
        <v>76</v>
      </c>
      <c r="C49" s="50">
        <v>39</v>
      </c>
      <c r="D49" s="50">
        <v>17</v>
      </c>
      <c r="E49" s="50">
        <v>4</v>
      </c>
      <c r="F49" s="50">
        <v>25</v>
      </c>
      <c r="G49" s="50">
        <v>0</v>
      </c>
      <c r="H49" s="50">
        <v>0</v>
      </c>
      <c r="I49" s="50">
        <v>5</v>
      </c>
      <c r="J49" s="50">
        <v>0</v>
      </c>
      <c r="K49" s="50">
        <v>0</v>
      </c>
      <c r="L49" s="50">
        <v>0</v>
      </c>
      <c r="M49" s="50">
        <v>170</v>
      </c>
      <c r="N49" s="50">
        <v>0</v>
      </c>
      <c r="O49" s="15">
        <f t="shared" si="0"/>
        <v>90</v>
      </c>
      <c r="P49" s="15">
        <f t="shared" si="1"/>
        <v>260</v>
      </c>
      <c r="R49" s="8"/>
      <c r="T49"/>
    </row>
    <row r="50" spans="2:20" ht="23.1" customHeight="1" x14ac:dyDescent="0.25">
      <c r="B50" s="24" t="s">
        <v>77</v>
      </c>
      <c r="C50" s="50">
        <v>45</v>
      </c>
      <c r="D50" s="50">
        <v>24</v>
      </c>
      <c r="E50" s="50">
        <v>0</v>
      </c>
      <c r="F50" s="50">
        <v>27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180</v>
      </c>
      <c r="N50" s="50">
        <v>0</v>
      </c>
      <c r="O50" s="15">
        <f t="shared" si="0"/>
        <v>96</v>
      </c>
      <c r="P50" s="15">
        <f t="shared" si="1"/>
        <v>276</v>
      </c>
      <c r="R50" s="8"/>
      <c r="T50"/>
    </row>
    <row r="51" spans="2:20" ht="23.1" customHeight="1" x14ac:dyDescent="0.25">
      <c r="B51" s="24" t="s">
        <v>78</v>
      </c>
      <c r="C51" s="50">
        <v>50</v>
      </c>
      <c r="D51" s="50">
        <v>27</v>
      </c>
      <c r="E51" s="50">
        <v>3</v>
      </c>
      <c r="F51" s="50">
        <v>25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185</v>
      </c>
      <c r="N51" s="50">
        <v>0</v>
      </c>
      <c r="O51" s="15">
        <f t="shared" si="0"/>
        <v>106</v>
      </c>
      <c r="P51" s="15">
        <f t="shared" si="1"/>
        <v>291</v>
      </c>
      <c r="R51" s="8"/>
      <c r="T51"/>
    </row>
    <row r="52" spans="2:20" ht="23.1" customHeight="1" x14ac:dyDescent="0.25">
      <c r="B52" s="24" t="s">
        <v>79</v>
      </c>
      <c r="C52" s="50">
        <v>65</v>
      </c>
      <c r="D52" s="50">
        <v>21</v>
      </c>
      <c r="E52" s="50">
        <v>7</v>
      </c>
      <c r="F52" s="50">
        <v>32</v>
      </c>
      <c r="G52" s="50">
        <v>1</v>
      </c>
      <c r="H52" s="50">
        <v>0</v>
      </c>
      <c r="I52" s="50">
        <v>10</v>
      </c>
      <c r="J52" s="50">
        <v>0</v>
      </c>
      <c r="K52" s="50">
        <v>0</v>
      </c>
      <c r="L52" s="50">
        <v>0</v>
      </c>
      <c r="M52" s="50">
        <v>155</v>
      </c>
      <c r="N52" s="50">
        <v>0</v>
      </c>
      <c r="O52" s="15">
        <f t="shared" si="0"/>
        <v>136</v>
      </c>
      <c r="P52" s="15">
        <f t="shared" si="1"/>
        <v>291</v>
      </c>
      <c r="R52" s="8"/>
      <c r="T52"/>
    </row>
    <row r="53" spans="2:20" ht="23.1" customHeight="1" x14ac:dyDescent="0.25">
      <c r="B53" s="23" t="s">
        <v>80</v>
      </c>
      <c r="C53" s="50">
        <v>75</v>
      </c>
      <c r="D53" s="50">
        <v>18</v>
      </c>
      <c r="E53" s="50">
        <v>4</v>
      </c>
      <c r="F53" s="50">
        <v>39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140</v>
      </c>
      <c r="N53" s="50">
        <v>0</v>
      </c>
      <c r="O53" s="15">
        <f t="shared" si="0"/>
        <v>137</v>
      </c>
      <c r="P53" s="15">
        <f t="shared" si="1"/>
        <v>277</v>
      </c>
      <c r="R53" s="8"/>
      <c r="T53"/>
    </row>
    <row r="54" spans="2:20" ht="23.1" customHeight="1" x14ac:dyDescent="0.25">
      <c r="B54" s="23" t="s">
        <v>81</v>
      </c>
      <c r="C54" s="50">
        <v>38</v>
      </c>
      <c r="D54" s="50">
        <v>4</v>
      </c>
      <c r="E54" s="50">
        <v>0</v>
      </c>
      <c r="F54" s="50">
        <v>23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150</v>
      </c>
      <c r="N54" s="50">
        <v>0</v>
      </c>
      <c r="O54" s="15">
        <f t="shared" si="0"/>
        <v>66</v>
      </c>
      <c r="P54" s="15">
        <f t="shared" si="1"/>
        <v>216</v>
      </c>
      <c r="R54" s="8"/>
      <c r="T54"/>
    </row>
    <row r="55" spans="2:20" ht="23.1" customHeight="1" x14ac:dyDescent="0.25">
      <c r="B55" s="23" t="s">
        <v>82</v>
      </c>
      <c r="C55" s="50">
        <v>47</v>
      </c>
      <c r="D55" s="50">
        <v>17</v>
      </c>
      <c r="E55" s="50">
        <v>3</v>
      </c>
      <c r="F55" s="50">
        <v>17</v>
      </c>
      <c r="G55" s="50">
        <v>0</v>
      </c>
      <c r="H55" s="50">
        <v>0</v>
      </c>
      <c r="I55" s="50">
        <v>6</v>
      </c>
      <c r="J55" s="50">
        <v>0</v>
      </c>
      <c r="K55" s="50">
        <v>0</v>
      </c>
      <c r="L55" s="50">
        <v>0</v>
      </c>
      <c r="M55" s="50">
        <v>150</v>
      </c>
      <c r="N55" s="50">
        <v>0</v>
      </c>
      <c r="O55" s="15">
        <f t="shared" si="0"/>
        <v>90</v>
      </c>
      <c r="P55" s="15">
        <f t="shared" si="1"/>
        <v>240</v>
      </c>
      <c r="R55" s="8"/>
      <c r="T55"/>
    </row>
    <row r="56" spans="2:20" ht="23.1" customHeight="1" x14ac:dyDescent="0.25">
      <c r="B56" s="23" t="s">
        <v>83</v>
      </c>
      <c r="C56" s="50">
        <v>31</v>
      </c>
      <c r="D56" s="50">
        <v>19</v>
      </c>
      <c r="E56" s="50">
        <v>2</v>
      </c>
      <c r="F56" s="50">
        <v>24</v>
      </c>
      <c r="G56" s="50">
        <v>1</v>
      </c>
      <c r="H56" s="50">
        <v>0</v>
      </c>
      <c r="I56" s="50">
        <v>5</v>
      </c>
      <c r="J56" s="50">
        <v>0</v>
      </c>
      <c r="K56" s="50">
        <v>0</v>
      </c>
      <c r="L56" s="50">
        <v>0</v>
      </c>
      <c r="M56" s="50">
        <v>154</v>
      </c>
      <c r="N56" s="50">
        <v>0</v>
      </c>
      <c r="O56" s="15">
        <f t="shared" si="0"/>
        <v>82</v>
      </c>
      <c r="P56" s="15">
        <f t="shared" si="1"/>
        <v>236</v>
      </c>
      <c r="R56" s="8"/>
      <c r="T56"/>
    </row>
    <row r="57" spans="2:20" ht="23.1" customHeight="1" x14ac:dyDescent="0.25">
      <c r="B57" s="23" t="s">
        <v>84</v>
      </c>
      <c r="C57" s="50">
        <v>37</v>
      </c>
      <c r="D57" s="50">
        <v>7</v>
      </c>
      <c r="E57" s="50">
        <v>2</v>
      </c>
      <c r="F57" s="50">
        <v>36</v>
      </c>
      <c r="G57" s="50">
        <v>0</v>
      </c>
      <c r="H57" s="50">
        <v>0</v>
      </c>
      <c r="I57" s="50">
        <v>6</v>
      </c>
      <c r="J57" s="50">
        <v>0</v>
      </c>
      <c r="K57" s="50">
        <v>0</v>
      </c>
      <c r="L57" s="50">
        <v>0</v>
      </c>
      <c r="M57" s="50">
        <v>125</v>
      </c>
      <c r="N57" s="50">
        <v>0</v>
      </c>
      <c r="O57" s="15">
        <f t="shared" si="0"/>
        <v>88</v>
      </c>
      <c r="P57" s="15">
        <f t="shared" si="1"/>
        <v>213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1577</v>
      </c>
      <c r="D58" s="16">
        <f t="shared" si="21"/>
        <v>463</v>
      </c>
      <c r="E58" s="16">
        <f t="shared" si="21"/>
        <v>129</v>
      </c>
      <c r="F58" s="16">
        <f t="shared" si="21"/>
        <v>1389</v>
      </c>
      <c r="G58" s="16">
        <f t="shared" si="21"/>
        <v>18</v>
      </c>
      <c r="H58" s="16">
        <f t="shared" si="21"/>
        <v>2</v>
      </c>
      <c r="I58" s="16">
        <f t="shared" si="21"/>
        <v>150</v>
      </c>
      <c r="J58" s="16">
        <f t="shared" si="21"/>
        <v>8</v>
      </c>
      <c r="K58" s="16">
        <f t="shared" si="21"/>
        <v>6</v>
      </c>
      <c r="L58" s="16">
        <f t="shared" si="21"/>
        <v>1</v>
      </c>
      <c r="M58" s="16">
        <f t="shared" si="21"/>
        <v>6816</v>
      </c>
      <c r="N58" s="16">
        <f t="shared" si="21"/>
        <v>0</v>
      </c>
      <c r="O58" s="16">
        <f t="shared" si="21"/>
        <v>3743</v>
      </c>
      <c r="P58" s="16">
        <f t="shared" si="21"/>
        <v>10559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0.14935126432427312</v>
      </c>
      <c r="D59" s="43">
        <f t="shared" si="22"/>
        <v>4.3848849322852546E-2</v>
      </c>
      <c r="E59" s="43">
        <f t="shared" si="22"/>
        <v>1.221706601003883E-2</v>
      </c>
      <c r="F59" s="43">
        <f t="shared" si="22"/>
        <v>0.13154654796855764</v>
      </c>
      <c r="G59" s="43">
        <f t="shared" si="22"/>
        <v>1.7047068851216971E-3</v>
      </c>
      <c r="H59" s="43">
        <f t="shared" si="22"/>
        <v>1.8941187612463303E-4</v>
      </c>
      <c r="I59" s="43">
        <f t="shared" si="22"/>
        <v>1.4205890709347475E-2</v>
      </c>
      <c r="J59" s="43">
        <f t="shared" si="22"/>
        <v>7.5764750449853211E-4</v>
      </c>
      <c r="K59" s="43">
        <f t="shared" si="22"/>
        <v>5.6823562837389908E-4</v>
      </c>
      <c r="L59" s="43">
        <f t="shared" si="22"/>
        <v>9.4705938062316513E-5</v>
      </c>
      <c r="M59" s="43">
        <f t="shared" si="22"/>
        <v>0.64551567383274933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0.42131979695431471</v>
      </c>
      <c r="D60" s="44">
        <f t="shared" ref="D60:N60" si="23">D58/$O$58</f>
        <v>0.12369756879508416</v>
      </c>
      <c r="E60" s="44">
        <f t="shared" si="23"/>
        <v>3.4464333422388457E-2</v>
      </c>
      <c r="F60" s="44">
        <f t="shared" si="23"/>
        <v>0.37109270638525249</v>
      </c>
      <c r="G60" s="44">
        <f t="shared" si="23"/>
        <v>4.8089767566123426E-3</v>
      </c>
      <c r="H60" s="44">
        <f t="shared" si="23"/>
        <v>5.3433075073470483E-4</v>
      </c>
      <c r="I60" s="44">
        <f t="shared" si="23"/>
        <v>4.0074806305102857E-2</v>
      </c>
      <c r="J60" s="44">
        <f t="shared" si="23"/>
        <v>2.1373230029388193E-3</v>
      </c>
      <c r="K60" s="44">
        <f t="shared" si="23"/>
        <v>1.6029922522041143E-3</v>
      </c>
      <c r="L60" s="44">
        <f t="shared" si="23"/>
        <v>2.6716537536735242E-4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Munyonyo-Kibuye'!C3:G3</f>
        <v>MCC - C1 - STN01A - SALAMA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'28.07 Kibuye-Munyonyo'!D5</f>
        <v>28.07.19</v>
      </c>
      <c r="E5" s="3"/>
      <c r="F5" s="41" t="s">
        <v>1</v>
      </c>
      <c r="G5" s="64" t="str">
        <f>'28.07 Kibuye-Munyonyo'!G5:H5</f>
        <v>Salama road 1A</v>
      </c>
      <c r="H5" s="65"/>
      <c r="I5" s="14"/>
      <c r="J5" s="2" t="s">
        <v>5</v>
      </c>
      <c r="K5" s="64" t="str">
        <f>'28.07 Kibuye-Munyonyo'!K5:L5</f>
        <v>Gerald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Munyonyo-Kibuye'!D6:E6</f>
        <v>Munyonyo</v>
      </c>
      <c r="E6" s="65"/>
      <c r="F6" s="2" t="s">
        <v>2</v>
      </c>
      <c r="G6" s="64" t="str">
        <f>'22.07 Munyonyo-Kibuye'!G6:H6</f>
        <v>Kibuye</v>
      </c>
      <c r="H6" s="65"/>
      <c r="J6" s="2" t="s">
        <v>21</v>
      </c>
      <c r="K6" s="64" t="str">
        <f>'28.07 Kibuye-Munyonyo'!K6:L6</f>
        <v>Emma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15</v>
      </c>
      <c r="D10" s="50">
        <v>12</v>
      </c>
      <c r="E10" s="50">
        <v>0</v>
      </c>
      <c r="F10" s="50">
        <v>43</v>
      </c>
      <c r="G10" s="50">
        <v>0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115</v>
      </c>
      <c r="N10" s="50">
        <v>0</v>
      </c>
      <c r="O10" s="15">
        <f t="shared" ref="O10:O57" si="0">SUM(C10:L10,N10)</f>
        <v>73</v>
      </c>
      <c r="P10" s="15">
        <f t="shared" ref="P10:P57" si="1">SUM(C10:N10)</f>
        <v>188</v>
      </c>
      <c r="R10" s="1" t="s">
        <v>6</v>
      </c>
      <c r="S10" s="17">
        <f t="shared" ref="S10:AF10" si="2">SUM(C10:C13)</f>
        <v>66</v>
      </c>
      <c r="T10" s="17">
        <f t="shared" si="2"/>
        <v>33</v>
      </c>
      <c r="U10" s="17">
        <f t="shared" si="2"/>
        <v>9</v>
      </c>
      <c r="V10" s="17">
        <f t="shared" si="2"/>
        <v>164</v>
      </c>
      <c r="W10" s="17">
        <f t="shared" si="2"/>
        <v>1</v>
      </c>
      <c r="X10" s="17">
        <f t="shared" si="2"/>
        <v>0</v>
      </c>
      <c r="Y10" s="17">
        <f t="shared" si="2"/>
        <v>15</v>
      </c>
      <c r="Z10" s="17">
        <f t="shared" si="2"/>
        <v>1</v>
      </c>
      <c r="AA10" s="17">
        <f t="shared" si="2"/>
        <v>1</v>
      </c>
      <c r="AB10" s="17">
        <f t="shared" si="2"/>
        <v>0</v>
      </c>
      <c r="AC10" s="17">
        <f t="shared" si="2"/>
        <v>535</v>
      </c>
      <c r="AD10" s="17">
        <f t="shared" si="2"/>
        <v>0</v>
      </c>
      <c r="AE10" s="31">
        <f t="shared" si="2"/>
        <v>290</v>
      </c>
      <c r="AF10" s="31">
        <f t="shared" si="2"/>
        <v>825</v>
      </c>
    </row>
    <row r="11" spans="2:32" s="6" customFormat="1" ht="23.1" customHeight="1" x14ac:dyDescent="0.25">
      <c r="B11" s="23" t="s">
        <v>38</v>
      </c>
      <c r="C11" s="50">
        <v>15</v>
      </c>
      <c r="D11" s="50">
        <v>10</v>
      </c>
      <c r="E11" s="50">
        <v>1</v>
      </c>
      <c r="F11" s="50">
        <v>33</v>
      </c>
      <c r="G11" s="50">
        <v>0</v>
      </c>
      <c r="H11" s="50">
        <v>0</v>
      </c>
      <c r="I11" s="50">
        <v>3</v>
      </c>
      <c r="J11" s="50">
        <v>1</v>
      </c>
      <c r="K11" s="50">
        <v>0</v>
      </c>
      <c r="L11" s="50">
        <v>0</v>
      </c>
      <c r="M11" s="50">
        <v>123</v>
      </c>
      <c r="N11" s="50">
        <v>0</v>
      </c>
      <c r="O11" s="15">
        <f t="shared" si="0"/>
        <v>63</v>
      </c>
      <c r="P11" s="15">
        <f t="shared" si="1"/>
        <v>186</v>
      </c>
      <c r="R11" s="1" t="s">
        <v>7</v>
      </c>
      <c r="S11" s="17">
        <f t="shared" ref="S11:AF11" si="3">SUM(C14:C17)</f>
        <v>93</v>
      </c>
      <c r="T11" s="17">
        <f t="shared" si="3"/>
        <v>46</v>
      </c>
      <c r="U11" s="17">
        <f t="shared" si="3"/>
        <v>15</v>
      </c>
      <c r="V11" s="17">
        <f t="shared" si="3"/>
        <v>186</v>
      </c>
      <c r="W11" s="17">
        <f t="shared" si="3"/>
        <v>0</v>
      </c>
      <c r="X11" s="17">
        <f t="shared" si="3"/>
        <v>0</v>
      </c>
      <c r="Y11" s="17">
        <f t="shared" si="3"/>
        <v>10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705</v>
      </c>
      <c r="AD11" s="17">
        <f t="shared" si="3"/>
        <v>0</v>
      </c>
      <c r="AE11" s="31">
        <f t="shared" si="3"/>
        <v>351</v>
      </c>
      <c r="AF11" s="31">
        <f t="shared" si="3"/>
        <v>1056</v>
      </c>
    </row>
    <row r="12" spans="2:32" ht="23.1" customHeight="1" x14ac:dyDescent="0.25">
      <c r="B12" s="23" t="s">
        <v>39</v>
      </c>
      <c r="C12" s="50">
        <v>18</v>
      </c>
      <c r="D12" s="50">
        <v>6</v>
      </c>
      <c r="E12" s="50">
        <v>1</v>
      </c>
      <c r="F12" s="50">
        <v>47</v>
      </c>
      <c r="G12" s="50">
        <v>0</v>
      </c>
      <c r="H12" s="50">
        <v>0</v>
      </c>
      <c r="I12" s="50">
        <v>4</v>
      </c>
      <c r="J12" s="50">
        <v>0</v>
      </c>
      <c r="K12" s="50">
        <v>0</v>
      </c>
      <c r="L12" s="50">
        <v>0</v>
      </c>
      <c r="M12" s="50">
        <v>150</v>
      </c>
      <c r="N12" s="50">
        <v>0</v>
      </c>
      <c r="O12" s="15">
        <f t="shared" si="0"/>
        <v>76</v>
      </c>
      <c r="P12" s="15">
        <f t="shared" si="1"/>
        <v>226</v>
      </c>
      <c r="R12" s="1" t="s">
        <v>8</v>
      </c>
      <c r="S12" s="17">
        <f t="shared" ref="S12:AF12" si="4">SUM(C18:C21)</f>
        <v>124</v>
      </c>
      <c r="T12" s="17">
        <f t="shared" si="4"/>
        <v>73</v>
      </c>
      <c r="U12" s="17">
        <f t="shared" si="4"/>
        <v>21</v>
      </c>
      <c r="V12" s="17">
        <f t="shared" si="4"/>
        <v>159</v>
      </c>
      <c r="W12" s="17">
        <f t="shared" si="4"/>
        <v>2</v>
      </c>
      <c r="X12" s="17">
        <f t="shared" si="4"/>
        <v>0</v>
      </c>
      <c r="Y12" s="17">
        <f t="shared" si="4"/>
        <v>12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760</v>
      </c>
      <c r="AD12" s="17">
        <f t="shared" si="4"/>
        <v>0</v>
      </c>
      <c r="AE12" s="31">
        <f t="shared" si="4"/>
        <v>391</v>
      </c>
      <c r="AF12" s="31">
        <f t="shared" si="4"/>
        <v>1151</v>
      </c>
    </row>
    <row r="13" spans="2:32" ht="23.1" customHeight="1" x14ac:dyDescent="0.25">
      <c r="B13" s="23" t="s">
        <v>40</v>
      </c>
      <c r="C13" s="50">
        <v>18</v>
      </c>
      <c r="D13" s="50">
        <v>5</v>
      </c>
      <c r="E13" s="50">
        <v>7</v>
      </c>
      <c r="F13" s="50">
        <v>41</v>
      </c>
      <c r="G13" s="50">
        <v>1</v>
      </c>
      <c r="H13" s="50">
        <v>0</v>
      </c>
      <c r="I13" s="50">
        <v>5</v>
      </c>
      <c r="J13" s="50">
        <v>0</v>
      </c>
      <c r="K13" s="50">
        <v>1</v>
      </c>
      <c r="L13" s="50">
        <v>0</v>
      </c>
      <c r="M13" s="50">
        <v>147</v>
      </c>
      <c r="N13" s="50">
        <v>0</v>
      </c>
      <c r="O13" s="15">
        <f t="shared" si="0"/>
        <v>78</v>
      </c>
      <c r="P13" s="15">
        <f t="shared" si="1"/>
        <v>225</v>
      </c>
      <c r="R13" s="1" t="s">
        <v>9</v>
      </c>
      <c r="S13" s="17">
        <f t="shared" ref="S13:AF13" si="5">SUM(C22:C25)</f>
        <v>150</v>
      </c>
      <c r="T13" s="17">
        <f t="shared" si="5"/>
        <v>57</v>
      </c>
      <c r="U13" s="17">
        <f t="shared" si="5"/>
        <v>21</v>
      </c>
      <c r="V13" s="17">
        <f t="shared" si="5"/>
        <v>153</v>
      </c>
      <c r="W13" s="17">
        <f t="shared" si="5"/>
        <v>0</v>
      </c>
      <c r="X13" s="17">
        <f t="shared" si="5"/>
        <v>0</v>
      </c>
      <c r="Y13" s="17">
        <f t="shared" si="5"/>
        <v>13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781</v>
      </c>
      <c r="AD13" s="17">
        <f t="shared" si="5"/>
        <v>0</v>
      </c>
      <c r="AE13" s="31">
        <f t="shared" si="5"/>
        <v>396</v>
      </c>
      <c r="AF13" s="31">
        <f t="shared" si="5"/>
        <v>1177</v>
      </c>
    </row>
    <row r="14" spans="2:32" ht="23.1" customHeight="1" x14ac:dyDescent="0.25">
      <c r="B14" s="23" t="s">
        <v>41</v>
      </c>
      <c r="C14" s="50">
        <v>12</v>
      </c>
      <c r="D14" s="50">
        <v>13</v>
      </c>
      <c r="E14" s="50">
        <v>2</v>
      </c>
      <c r="F14" s="50">
        <v>39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135</v>
      </c>
      <c r="N14" s="50">
        <v>0</v>
      </c>
      <c r="O14" s="15">
        <f t="shared" si="0"/>
        <v>69</v>
      </c>
      <c r="P14" s="15">
        <f t="shared" si="1"/>
        <v>204</v>
      </c>
      <c r="R14" s="1" t="s">
        <v>10</v>
      </c>
      <c r="S14" s="17">
        <f t="shared" ref="S14:AF14" si="6">SUM(C26:C29)</f>
        <v>106</v>
      </c>
      <c r="T14" s="17">
        <f t="shared" si="6"/>
        <v>58</v>
      </c>
      <c r="U14" s="17">
        <f t="shared" si="6"/>
        <v>18</v>
      </c>
      <c r="V14" s="17">
        <f t="shared" si="6"/>
        <v>118</v>
      </c>
      <c r="W14" s="17">
        <f t="shared" si="6"/>
        <v>0</v>
      </c>
      <c r="X14" s="17">
        <f t="shared" si="6"/>
        <v>0</v>
      </c>
      <c r="Y14" s="17">
        <f t="shared" si="6"/>
        <v>12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689</v>
      </c>
      <c r="AD14" s="17">
        <f t="shared" si="6"/>
        <v>0</v>
      </c>
      <c r="AE14" s="31">
        <f t="shared" si="6"/>
        <v>312</v>
      </c>
      <c r="AF14" s="31">
        <f t="shared" si="6"/>
        <v>1001</v>
      </c>
    </row>
    <row r="15" spans="2:32" ht="23.1" customHeight="1" x14ac:dyDescent="0.25">
      <c r="B15" s="23" t="s">
        <v>42</v>
      </c>
      <c r="C15" s="50">
        <v>22</v>
      </c>
      <c r="D15" s="50">
        <v>15</v>
      </c>
      <c r="E15" s="50">
        <v>2</v>
      </c>
      <c r="F15" s="50">
        <v>47</v>
      </c>
      <c r="G15" s="50">
        <v>0</v>
      </c>
      <c r="H15" s="50">
        <v>0</v>
      </c>
      <c r="I15" s="50">
        <v>4</v>
      </c>
      <c r="J15" s="50">
        <v>1</v>
      </c>
      <c r="K15" s="50">
        <v>0</v>
      </c>
      <c r="L15" s="50">
        <v>0</v>
      </c>
      <c r="M15" s="50">
        <v>165</v>
      </c>
      <c r="N15" s="50">
        <v>0</v>
      </c>
      <c r="O15" s="15">
        <f t="shared" si="0"/>
        <v>91</v>
      </c>
      <c r="P15" s="15">
        <f t="shared" si="1"/>
        <v>256</v>
      </c>
      <c r="R15" s="1" t="s">
        <v>11</v>
      </c>
      <c r="S15" s="17">
        <f t="shared" ref="S15:AF15" si="7">SUM(C30:C33)</f>
        <v>108</v>
      </c>
      <c r="T15" s="17">
        <f t="shared" si="7"/>
        <v>73</v>
      </c>
      <c r="U15" s="17">
        <f t="shared" si="7"/>
        <v>9</v>
      </c>
      <c r="V15" s="17">
        <f t="shared" si="7"/>
        <v>114</v>
      </c>
      <c r="W15" s="17">
        <f t="shared" si="7"/>
        <v>0</v>
      </c>
      <c r="X15" s="17">
        <f t="shared" si="7"/>
        <v>0</v>
      </c>
      <c r="Y15" s="17">
        <f t="shared" si="7"/>
        <v>12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635</v>
      </c>
      <c r="AD15" s="17">
        <f t="shared" si="7"/>
        <v>0</v>
      </c>
      <c r="AE15" s="31">
        <f t="shared" si="7"/>
        <v>317</v>
      </c>
      <c r="AF15" s="31">
        <f t="shared" si="7"/>
        <v>952</v>
      </c>
    </row>
    <row r="16" spans="2:32" ht="23.1" customHeight="1" x14ac:dyDescent="0.25">
      <c r="B16" s="23" t="s">
        <v>43</v>
      </c>
      <c r="C16" s="50">
        <v>35</v>
      </c>
      <c r="D16" s="50">
        <v>11</v>
      </c>
      <c r="E16" s="50">
        <v>5</v>
      </c>
      <c r="F16" s="50">
        <v>52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235</v>
      </c>
      <c r="N16" s="50">
        <v>0</v>
      </c>
      <c r="O16" s="15">
        <f t="shared" si="0"/>
        <v>105</v>
      </c>
      <c r="P16" s="15">
        <f t="shared" si="1"/>
        <v>340</v>
      </c>
      <c r="R16" s="1" t="s">
        <v>12</v>
      </c>
      <c r="S16" s="17">
        <f t="shared" ref="S16:AF16" si="8">SUM(C34:C37)</f>
        <v>120</v>
      </c>
      <c r="T16" s="17">
        <f t="shared" si="8"/>
        <v>69</v>
      </c>
      <c r="U16" s="17">
        <f t="shared" si="8"/>
        <v>13</v>
      </c>
      <c r="V16" s="17">
        <f t="shared" si="8"/>
        <v>105</v>
      </c>
      <c r="W16" s="17">
        <f t="shared" si="8"/>
        <v>2</v>
      </c>
      <c r="X16" s="17">
        <f t="shared" si="8"/>
        <v>0</v>
      </c>
      <c r="Y16" s="17">
        <f t="shared" si="8"/>
        <v>13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639</v>
      </c>
      <c r="AD16" s="17">
        <f t="shared" si="8"/>
        <v>0</v>
      </c>
      <c r="AE16" s="31">
        <f t="shared" si="8"/>
        <v>323</v>
      </c>
      <c r="AF16" s="31">
        <f t="shared" si="8"/>
        <v>962</v>
      </c>
    </row>
    <row r="17" spans="2:32" ht="23.1" customHeight="1" x14ac:dyDescent="0.25">
      <c r="B17" s="23" t="s">
        <v>44</v>
      </c>
      <c r="C17" s="50">
        <v>24</v>
      </c>
      <c r="D17" s="50">
        <v>7</v>
      </c>
      <c r="E17" s="50">
        <v>6</v>
      </c>
      <c r="F17" s="50">
        <v>48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170</v>
      </c>
      <c r="N17" s="50">
        <v>0</v>
      </c>
      <c r="O17" s="15">
        <f t="shared" si="0"/>
        <v>86</v>
      </c>
      <c r="P17" s="15">
        <f t="shared" si="1"/>
        <v>256</v>
      </c>
      <c r="R17" s="1" t="s">
        <v>13</v>
      </c>
      <c r="S17" s="17">
        <f t="shared" ref="S17:AF17" si="9">SUM(C38:C41)</f>
        <v>146</v>
      </c>
      <c r="T17" s="17">
        <f t="shared" si="9"/>
        <v>71</v>
      </c>
      <c r="U17" s="17">
        <f t="shared" si="9"/>
        <v>18</v>
      </c>
      <c r="V17" s="17">
        <f t="shared" si="9"/>
        <v>88</v>
      </c>
      <c r="W17" s="17">
        <f t="shared" si="9"/>
        <v>1</v>
      </c>
      <c r="X17" s="17">
        <f t="shared" si="9"/>
        <v>0</v>
      </c>
      <c r="Y17" s="17">
        <f t="shared" si="9"/>
        <v>13</v>
      </c>
      <c r="Z17" s="17">
        <f t="shared" si="9"/>
        <v>0</v>
      </c>
      <c r="AA17" s="17">
        <f t="shared" si="9"/>
        <v>1</v>
      </c>
      <c r="AB17" s="17">
        <f t="shared" si="9"/>
        <v>0</v>
      </c>
      <c r="AC17" s="17">
        <f t="shared" si="9"/>
        <v>726</v>
      </c>
      <c r="AD17" s="17">
        <f t="shared" si="9"/>
        <v>0</v>
      </c>
      <c r="AE17" s="31">
        <f t="shared" si="9"/>
        <v>338</v>
      </c>
      <c r="AF17" s="31">
        <f t="shared" si="9"/>
        <v>1064</v>
      </c>
    </row>
    <row r="18" spans="2:32" ht="23.1" customHeight="1" x14ac:dyDescent="0.25">
      <c r="B18" s="23" t="s">
        <v>45</v>
      </c>
      <c r="C18" s="50">
        <v>34</v>
      </c>
      <c r="D18" s="50">
        <v>14</v>
      </c>
      <c r="E18" s="50">
        <v>7</v>
      </c>
      <c r="F18" s="50">
        <v>45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205</v>
      </c>
      <c r="N18" s="50">
        <v>0</v>
      </c>
      <c r="O18" s="15">
        <f t="shared" si="0"/>
        <v>102</v>
      </c>
      <c r="P18" s="15">
        <f t="shared" si="1"/>
        <v>307</v>
      </c>
      <c r="R18" s="1" t="s">
        <v>14</v>
      </c>
      <c r="S18" s="17">
        <f t="shared" ref="S18:AF18" si="10">SUM(C42:C45)</f>
        <v>145</v>
      </c>
      <c r="T18" s="17">
        <f t="shared" si="10"/>
        <v>67</v>
      </c>
      <c r="U18" s="17">
        <f t="shared" si="10"/>
        <v>20</v>
      </c>
      <c r="V18" s="17">
        <f t="shared" si="10"/>
        <v>113</v>
      </c>
      <c r="W18" s="17">
        <f t="shared" si="10"/>
        <v>1</v>
      </c>
      <c r="X18" s="17">
        <f t="shared" si="10"/>
        <v>0</v>
      </c>
      <c r="Y18" s="17">
        <f t="shared" si="10"/>
        <v>13</v>
      </c>
      <c r="Z18" s="17">
        <f t="shared" si="10"/>
        <v>0</v>
      </c>
      <c r="AA18" s="17">
        <f t="shared" si="10"/>
        <v>0</v>
      </c>
      <c r="AB18" s="17">
        <f t="shared" si="10"/>
        <v>2</v>
      </c>
      <c r="AC18" s="17">
        <f t="shared" si="10"/>
        <v>731</v>
      </c>
      <c r="AD18" s="17">
        <f t="shared" si="10"/>
        <v>0</v>
      </c>
      <c r="AE18" s="31">
        <f t="shared" si="10"/>
        <v>361</v>
      </c>
      <c r="AF18" s="31">
        <f t="shared" si="10"/>
        <v>1092</v>
      </c>
    </row>
    <row r="19" spans="2:32" ht="23.1" customHeight="1" x14ac:dyDescent="0.25">
      <c r="B19" s="23" t="s">
        <v>46</v>
      </c>
      <c r="C19" s="50">
        <v>35</v>
      </c>
      <c r="D19" s="50">
        <v>27</v>
      </c>
      <c r="E19" s="50">
        <v>5</v>
      </c>
      <c r="F19" s="50">
        <v>45</v>
      </c>
      <c r="G19" s="50">
        <v>2</v>
      </c>
      <c r="H19" s="50">
        <v>0</v>
      </c>
      <c r="I19" s="50">
        <v>5</v>
      </c>
      <c r="J19" s="50">
        <v>0</v>
      </c>
      <c r="K19" s="50">
        <v>0</v>
      </c>
      <c r="L19" s="50">
        <v>0</v>
      </c>
      <c r="M19" s="50">
        <v>220</v>
      </c>
      <c r="N19" s="50">
        <v>0</v>
      </c>
      <c r="O19" s="15">
        <f t="shared" si="0"/>
        <v>119</v>
      </c>
      <c r="P19" s="15">
        <f t="shared" si="1"/>
        <v>339</v>
      </c>
      <c r="R19" s="1" t="s">
        <v>15</v>
      </c>
      <c r="S19" s="17">
        <f t="shared" ref="S19:AF19" si="11">SUM(C46:C49)</f>
        <v>137</v>
      </c>
      <c r="T19" s="17">
        <f t="shared" si="11"/>
        <v>84</v>
      </c>
      <c r="U19" s="17">
        <f t="shared" si="11"/>
        <v>12</v>
      </c>
      <c r="V19" s="17">
        <f t="shared" si="11"/>
        <v>98</v>
      </c>
      <c r="W19" s="17">
        <f t="shared" si="11"/>
        <v>1</v>
      </c>
      <c r="X19" s="17">
        <f t="shared" si="11"/>
        <v>0</v>
      </c>
      <c r="Y19" s="17">
        <f t="shared" si="11"/>
        <v>11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725</v>
      </c>
      <c r="AD19" s="17">
        <f t="shared" si="11"/>
        <v>0</v>
      </c>
      <c r="AE19" s="31">
        <f t="shared" si="11"/>
        <v>344</v>
      </c>
      <c r="AF19" s="31">
        <f t="shared" si="11"/>
        <v>1069</v>
      </c>
    </row>
    <row r="20" spans="2:32" ht="23.1" customHeight="1" x14ac:dyDescent="0.25">
      <c r="B20" s="23" t="s">
        <v>47</v>
      </c>
      <c r="C20" s="50">
        <v>36</v>
      </c>
      <c r="D20" s="50">
        <v>25</v>
      </c>
      <c r="E20" s="50">
        <v>4</v>
      </c>
      <c r="F20" s="50">
        <v>41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170</v>
      </c>
      <c r="N20" s="50">
        <v>0</v>
      </c>
      <c r="O20" s="15">
        <f t="shared" si="0"/>
        <v>108</v>
      </c>
      <c r="P20" s="15">
        <f t="shared" si="1"/>
        <v>278</v>
      </c>
      <c r="R20" s="1" t="s">
        <v>16</v>
      </c>
      <c r="S20" s="17">
        <f t="shared" ref="S20:AF20" si="12">SUM(C50:C53)</f>
        <v>121</v>
      </c>
      <c r="T20" s="17">
        <f t="shared" si="12"/>
        <v>71</v>
      </c>
      <c r="U20" s="17">
        <f t="shared" si="12"/>
        <v>20</v>
      </c>
      <c r="V20" s="17">
        <f t="shared" si="12"/>
        <v>90</v>
      </c>
      <c r="W20" s="17">
        <f t="shared" si="12"/>
        <v>2</v>
      </c>
      <c r="X20" s="17">
        <f t="shared" si="12"/>
        <v>0</v>
      </c>
      <c r="Y20" s="17">
        <f t="shared" si="12"/>
        <v>7</v>
      </c>
      <c r="Z20" s="17">
        <f t="shared" si="12"/>
        <v>0</v>
      </c>
      <c r="AA20" s="17">
        <f t="shared" si="12"/>
        <v>2</v>
      </c>
      <c r="AB20" s="17">
        <f t="shared" si="12"/>
        <v>0</v>
      </c>
      <c r="AC20" s="17">
        <f t="shared" si="12"/>
        <v>763</v>
      </c>
      <c r="AD20" s="17">
        <f t="shared" si="12"/>
        <v>0</v>
      </c>
      <c r="AE20" s="31">
        <f t="shared" si="12"/>
        <v>313</v>
      </c>
      <c r="AF20" s="31">
        <f t="shared" si="12"/>
        <v>1076</v>
      </c>
    </row>
    <row r="21" spans="2:32" ht="23.1" customHeight="1" x14ac:dyDescent="0.25">
      <c r="B21" s="23" t="s">
        <v>48</v>
      </c>
      <c r="C21" s="50">
        <v>19</v>
      </c>
      <c r="D21" s="50">
        <v>7</v>
      </c>
      <c r="E21" s="50">
        <v>5</v>
      </c>
      <c r="F21" s="50">
        <v>28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165</v>
      </c>
      <c r="N21" s="50">
        <v>0</v>
      </c>
      <c r="O21" s="15">
        <f t="shared" si="0"/>
        <v>62</v>
      </c>
      <c r="P21" s="15">
        <f t="shared" si="1"/>
        <v>227</v>
      </c>
      <c r="R21" s="36" t="s">
        <v>20</v>
      </c>
      <c r="S21" s="34">
        <f t="shared" ref="S21:AF21" si="13">SUM(C54:C57)</f>
        <v>115</v>
      </c>
      <c r="T21" s="17">
        <f t="shared" si="13"/>
        <v>59</v>
      </c>
      <c r="U21" s="17">
        <f t="shared" si="13"/>
        <v>12</v>
      </c>
      <c r="V21" s="17">
        <f t="shared" si="13"/>
        <v>91</v>
      </c>
      <c r="W21" s="17">
        <f t="shared" si="13"/>
        <v>3</v>
      </c>
      <c r="X21" s="17">
        <f t="shared" si="13"/>
        <v>0</v>
      </c>
      <c r="Y21" s="17">
        <f t="shared" si="13"/>
        <v>18</v>
      </c>
      <c r="Z21" s="17">
        <f t="shared" si="13"/>
        <v>0</v>
      </c>
      <c r="AA21" s="17">
        <f t="shared" si="13"/>
        <v>2</v>
      </c>
      <c r="AB21" s="17">
        <f t="shared" si="13"/>
        <v>0</v>
      </c>
      <c r="AC21" s="17">
        <f t="shared" si="13"/>
        <v>625</v>
      </c>
      <c r="AD21" s="17">
        <f t="shared" si="13"/>
        <v>0</v>
      </c>
      <c r="AE21" s="31">
        <f t="shared" si="13"/>
        <v>300</v>
      </c>
      <c r="AF21" s="31">
        <f t="shared" si="13"/>
        <v>925</v>
      </c>
    </row>
    <row r="22" spans="2:32" ht="23.1" customHeight="1" x14ac:dyDescent="0.25">
      <c r="B22" s="23" t="s">
        <v>49</v>
      </c>
      <c r="C22" s="50">
        <v>32</v>
      </c>
      <c r="D22" s="50">
        <v>18</v>
      </c>
      <c r="E22" s="50">
        <v>4</v>
      </c>
      <c r="F22" s="50">
        <v>37</v>
      </c>
      <c r="G22" s="50">
        <v>0</v>
      </c>
      <c r="H22" s="50">
        <v>0</v>
      </c>
      <c r="I22" s="50">
        <v>4</v>
      </c>
      <c r="J22" s="50">
        <v>0</v>
      </c>
      <c r="K22" s="50">
        <v>0</v>
      </c>
      <c r="L22" s="50">
        <v>0</v>
      </c>
      <c r="M22" s="50">
        <v>233</v>
      </c>
      <c r="N22" s="50">
        <v>0</v>
      </c>
      <c r="O22" s="15">
        <f t="shared" si="0"/>
        <v>95</v>
      </c>
      <c r="P22" s="15">
        <f t="shared" si="1"/>
        <v>328</v>
      </c>
      <c r="R22" s="38" t="s">
        <v>90</v>
      </c>
      <c r="S22" s="39">
        <f>MAX(S10:S12)</f>
        <v>124</v>
      </c>
      <c r="T22" s="39">
        <f t="shared" ref="T22:AF22" si="14">MAX(T10:T12)</f>
        <v>73</v>
      </c>
      <c r="U22" s="39">
        <f t="shared" si="14"/>
        <v>21</v>
      </c>
      <c r="V22" s="39">
        <f t="shared" si="14"/>
        <v>186</v>
      </c>
      <c r="W22" s="39">
        <f t="shared" si="14"/>
        <v>2</v>
      </c>
      <c r="X22" s="39">
        <f t="shared" si="14"/>
        <v>0</v>
      </c>
      <c r="Y22" s="39">
        <f t="shared" si="14"/>
        <v>15</v>
      </c>
      <c r="Z22" s="39">
        <f t="shared" si="14"/>
        <v>1</v>
      </c>
      <c r="AA22" s="39">
        <f t="shared" si="14"/>
        <v>1</v>
      </c>
      <c r="AB22" s="39">
        <f t="shared" si="14"/>
        <v>0</v>
      </c>
      <c r="AC22" s="39">
        <f t="shared" si="14"/>
        <v>760</v>
      </c>
      <c r="AD22" s="39">
        <f t="shared" si="14"/>
        <v>0</v>
      </c>
      <c r="AE22" s="40">
        <f t="shared" si="14"/>
        <v>391</v>
      </c>
      <c r="AF22" s="40">
        <f t="shared" si="14"/>
        <v>1151</v>
      </c>
    </row>
    <row r="23" spans="2:32" ht="23.1" customHeight="1" x14ac:dyDescent="0.25">
      <c r="B23" s="23" t="s">
        <v>50</v>
      </c>
      <c r="C23" s="50">
        <v>49</v>
      </c>
      <c r="D23" s="50">
        <v>14</v>
      </c>
      <c r="E23" s="50">
        <v>6</v>
      </c>
      <c r="F23" s="50">
        <v>44</v>
      </c>
      <c r="G23" s="50">
        <v>0</v>
      </c>
      <c r="H23" s="50">
        <v>0</v>
      </c>
      <c r="I23" s="50">
        <v>2</v>
      </c>
      <c r="J23" s="50">
        <v>2</v>
      </c>
      <c r="K23" s="50">
        <v>0</v>
      </c>
      <c r="L23" s="50">
        <v>0</v>
      </c>
      <c r="M23" s="50">
        <v>210</v>
      </c>
      <c r="N23" s="50">
        <v>0</v>
      </c>
      <c r="O23" s="15">
        <f t="shared" si="0"/>
        <v>117</v>
      </c>
      <c r="P23" s="15">
        <f t="shared" si="1"/>
        <v>327</v>
      </c>
      <c r="R23" s="38" t="s">
        <v>91</v>
      </c>
      <c r="S23" s="39">
        <f>MAX(S13:S18)</f>
        <v>150</v>
      </c>
      <c r="T23" s="39">
        <f t="shared" ref="T23:AF23" si="15">MAX(T13:T18)</f>
        <v>73</v>
      </c>
      <c r="U23" s="39">
        <f t="shared" si="15"/>
        <v>21</v>
      </c>
      <c r="V23" s="39">
        <f t="shared" si="15"/>
        <v>153</v>
      </c>
      <c r="W23" s="39">
        <f t="shared" si="15"/>
        <v>2</v>
      </c>
      <c r="X23" s="39">
        <f t="shared" si="15"/>
        <v>0</v>
      </c>
      <c r="Y23" s="39">
        <f t="shared" si="15"/>
        <v>13</v>
      </c>
      <c r="Z23" s="39">
        <f t="shared" si="15"/>
        <v>2</v>
      </c>
      <c r="AA23" s="39">
        <f t="shared" si="15"/>
        <v>1</v>
      </c>
      <c r="AB23" s="39">
        <f t="shared" si="15"/>
        <v>2</v>
      </c>
      <c r="AC23" s="39">
        <f t="shared" si="15"/>
        <v>781</v>
      </c>
      <c r="AD23" s="39">
        <f t="shared" si="15"/>
        <v>0</v>
      </c>
      <c r="AE23" s="40">
        <f t="shared" si="15"/>
        <v>396</v>
      </c>
      <c r="AF23" s="40">
        <f t="shared" si="15"/>
        <v>1177</v>
      </c>
    </row>
    <row r="24" spans="2:32" ht="23.1" customHeight="1" x14ac:dyDescent="0.25">
      <c r="B24" s="23" t="s">
        <v>51</v>
      </c>
      <c r="C24" s="50">
        <v>39</v>
      </c>
      <c r="D24" s="50">
        <v>12</v>
      </c>
      <c r="E24" s="50">
        <v>5</v>
      </c>
      <c r="F24" s="50">
        <v>32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175</v>
      </c>
      <c r="N24" s="50">
        <v>0</v>
      </c>
      <c r="O24" s="15">
        <f t="shared" si="0"/>
        <v>91</v>
      </c>
      <c r="P24" s="15">
        <f t="shared" si="1"/>
        <v>266</v>
      </c>
      <c r="R24" s="38" t="s">
        <v>92</v>
      </c>
      <c r="S24" s="39">
        <f>MAX(S19:S21)</f>
        <v>137</v>
      </c>
      <c r="T24" s="39">
        <f t="shared" ref="T24:AF24" si="16">MAX(T19:T21)</f>
        <v>84</v>
      </c>
      <c r="U24" s="39">
        <f t="shared" si="16"/>
        <v>20</v>
      </c>
      <c r="V24" s="39">
        <f t="shared" si="16"/>
        <v>98</v>
      </c>
      <c r="W24" s="39">
        <f t="shared" si="16"/>
        <v>3</v>
      </c>
      <c r="X24" s="39">
        <f t="shared" si="16"/>
        <v>0</v>
      </c>
      <c r="Y24" s="39">
        <f t="shared" si="16"/>
        <v>18</v>
      </c>
      <c r="Z24" s="39">
        <f t="shared" si="16"/>
        <v>1</v>
      </c>
      <c r="AA24" s="39">
        <f t="shared" si="16"/>
        <v>2</v>
      </c>
      <c r="AB24" s="39">
        <f t="shared" si="16"/>
        <v>0</v>
      </c>
      <c r="AC24" s="39">
        <f t="shared" si="16"/>
        <v>763</v>
      </c>
      <c r="AD24" s="39">
        <f t="shared" si="16"/>
        <v>0</v>
      </c>
      <c r="AE24" s="40">
        <f t="shared" si="16"/>
        <v>344</v>
      </c>
      <c r="AF24" s="40">
        <f t="shared" si="16"/>
        <v>1076</v>
      </c>
    </row>
    <row r="25" spans="2:32" ht="23.1" customHeight="1" x14ac:dyDescent="0.25">
      <c r="B25" s="23" t="s">
        <v>52</v>
      </c>
      <c r="C25" s="50">
        <v>30</v>
      </c>
      <c r="D25" s="50">
        <v>13</v>
      </c>
      <c r="E25" s="50">
        <v>6</v>
      </c>
      <c r="F25" s="50">
        <v>40</v>
      </c>
      <c r="G25" s="50">
        <v>0</v>
      </c>
      <c r="H25" s="50">
        <v>0</v>
      </c>
      <c r="I25" s="50">
        <v>4</v>
      </c>
      <c r="J25" s="50">
        <v>0</v>
      </c>
      <c r="K25" s="50">
        <v>0</v>
      </c>
      <c r="L25" s="50">
        <v>0</v>
      </c>
      <c r="M25" s="50">
        <v>163</v>
      </c>
      <c r="N25" s="50">
        <v>0</v>
      </c>
      <c r="O25" s="15">
        <f t="shared" si="0"/>
        <v>93</v>
      </c>
      <c r="P25" s="15">
        <f t="shared" si="1"/>
        <v>256</v>
      </c>
      <c r="R25" s="37" t="s">
        <v>85</v>
      </c>
      <c r="S25" s="35">
        <f t="shared" ref="S25:AF25" si="17">SUM(S10:S12)</f>
        <v>283</v>
      </c>
      <c r="T25" s="16">
        <f t="shared" si="17"/>
        <v>152</v>
      </c>
      <c r="U25" s="16">
        <f t="shared" si="17"/>
        <v>45</v>
      </c>
      <c r="V25" s="16">
        <f t="shared" si="17"/>
        <v>509</v>
      </c>
      <c r="W25" s="16">
        <f t="shared" si="17"/>
        <v>3</v>
      </c>
      <c r="X25" s="16">
        <f t="shared" si="17"/>
        <v>0</v>
      </c>
      <c r="Y25" s="16">
        <f t="shared" si="17"/>
        <v>37</v>
      </c>
      <c r="Z25" s="16">
        <f t="shared" si="17"/>
        <v>2</v>
      </c>
      <c r="AA25" s="16">
        <f t="shared" si="17"/>
        <v>1</v>
      </c>
      <c r="AB25" s="16">
        <f t="shared" si="17"/>
        <v>0</v>
      </c>
      <c r="AC25" s="16">
        <f t="shared" si="17"/>
        <v>2000</v>
      </c>
      <c r="AD25" s="16">
        <f t="shared" si="17"/>
        <v>0</v>
      </c>
      <c r="AE25" s="32">
        <f t="shared" si="17"/>
        <v>1032</v>
      </c>
      <c r="AF25" s="32">
        <f t="shared" si="17"/>
        <v>3032</v>
      </c>
    </row>
    <row r="26" spans="2:32" ht="23.1" customHeight="1" x14ac:dyDescent="0.25">
      <c r="B26" s="23" t="s">
        <v>53</v>
      </c>
      <c r="C26" s="50">
        <v>20</v>
      </c>
      <c r="D26" s="50">
        <v>13</v>
      </c>
      <c r="E26" s="50">
        <v>8</v>
      </c>
      <c r="F26" s="50">
        <v>36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181</v>
      </c>
      <c r="N26" s="50">
        <v>0</v>
      </c>
      <c r="O26" s="15">
        <f t="shared" si="0"/>
        <v>80</v>
      </c>
      <c r="P26" s="15">
        <f t="shared" si="1"/>
        <v>261</v>
      </c>
      <c r="R26" s="28" t="s">
        <v>86</v>
      </c>
      <c r="S26" s="16">
        <f t="shared" ref="S26:AF26" si="18">SUM(S13:S18)</f>
        <v>775</v>
      </c>
      <c r="T26" s="16">
        <f t="shared" si="18"/>
        <v>395</v>
      </c>
      <c r="U26" s="16">
        <f t="shared" si="18"/>
        <v>99</v>
      </c>
      <c r="V26" s="16">
        <f t="shared" si="18"/>
        <v>691</v>
      </c>
      <c r="W26" s="16">
        <f t="shared" si="18"/>
        <v>4</v>
      </c>
      <c r="X26" s="16">
        <f t="shared" si="18"/>
        <v>0</v>
      </c>
      <c r="Y26" s="16">
        <f t="shared" si="18"/>
        <v>76</v>
      </c>
      <c r="Z26" s="16">
        <f t="shared" si="18"/>
        <v>3</v>
      </c>
      <c r="AA26" s="16">
        <f t="shared" si="18"/>
        <v>2</v>
      </c>
      <c r="AB26" s="16">
        <f t="shared" si="18"/>
        <v>2</v>
      </c>
      <c r="AC26" s="16">
        <f t="shared" si="18"/>
        <v>4201</v>
      </c>
      <c r="AD26" s="16">
        <f t="shared" si="18"/>
        <v>0</v>
      </c>
      <c r="AE26" s="32">
        <f t="shared" si="18"/>
        <v>2047</v>
      </c>
      <c r="AF26" s="32">
        <f t="shared" si="18"/>
        <v>6248</v>
      </c>
    </row>
    <row r="27" spans="2:32" ht="23.1" customHeight="1" x14ac:dyDescent="0.25">
      <c r="B27" s="23" t="s">
        <v>54</v>
      </c>
      <c r="C27" s="50">
        <v>31</v>
      </c>
      <c r="D27" s="50">
        <v>11</v>
      </c>
      <c r="E27" s="50">
        <v>3</v>
      </c>
      <c r="F27" s="50">
        <v>29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155</v>
      </c>
      <c r="N27" s="50">
        <v>0</v>
      </c>
      <c r="O27" s="15">
        <f t="shared" si="0"/>
        <v>76</v>
      </c>
      <c r="P27" s="15">
        <f t="shared" si="1"/>
        <v>231</v>
      </c>
      <c r="R27" s="29" t="s">
        <v>87</v>
      </c>
      <c r="S27" s="16">
        <f t="shared" ref="S27:AF27" si="19">SUM(S19:S21)</f>
        <v>373</v>
      </c>
      <c r="T27" s="16">
        <f t="shared" si="19"/>
        <v>214</v>
      </c>
      <c r="U27" s="16">
        <f t="shared" si="19"/>
        <v>44</v>
      </c>
      <c r="V27" s="16">
        <f t="shared" si="19"/>
        <v>279</v>
      </c>
      <c r="W27" s="16">
        <f t="shared" si="19"/>
        <v>6</v>
      </c>
      <c r="X27" s="16">
        <f t="shared" si="19"/>
        <v>0</v>
      </c>
      <c r="Y27" s="16">
        <f t="shared" si="19"/>
        <v>36</v>
      </c>
      <c r="Z27" s="16">
        <f t="shared" si="19"/>
        <v>1</v>
      </c>
      <c r="AA27" s="16">
        <f t="shared" si="19"/>
        <v>4</v>
      </c>
      <c r="AB27" s="16">
        <f t="shared" si="19"/>
        <v>0</v>
      </c>
      <c r="AC27" s="16">
        <f t="shared" si="19"/>
        <v>2113</v>
      </c>
      <c r="AD27" s="16">
        <f t="shared" si="19"/>
        <v>0</v>
      </c>
      <c r="AE27" s="32">
        <f t="shared" si="19"/>
        <v>957</v>
      </c>
      <c r="AF27" s="32">
        <f t="shared" si="19"/>
        <v>3070</v>
      </c>
    </row>
    <row r="28" spans="2:32" ht="23.1" customHeight="1" x14ac:dyDescent="0.25">
      <c r="B28" s="23" t="s">
        <v>55</v>
      </c>
      <c r="C28" s="50">
        <v>35</v>
      </c>
      <c r="D28" s="50">
        <v>11</v>
      </c>
      <c r="E28" s="50">
        <v>4</v>
      </c>
      <c r="F28" s="50">
        <v>23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192</v>
      </c>
      <c r="N28" s="50">
        <v>0</v>
      </c>
      <c r="O28" s="15">
        <f t="shared" si="0"/>
        <v>73</v>
      </c>
      <c r="P28" s="15">
        <f t="shared" si="1"/>
        <v>265</v>
      </c>
      <c r="R28" s="5" t="s">
        <v>17</v>
      </c>
      <c r="S28" s="16">
        <f t="shared" ref="S28:AF28" si="20">SUM(S10:S21)</f>
        <v>1431</v>
      </c>
      <c r="T28" s="16">
        <f t="shared" si="20"/>
        <v>761</v>
      </c>
      <c r="U28" s="16">
        <f t="shared" si="20"/>
        <v>188</v>
      </c>
      <c r="V28" s="16">
        <f t="shared" si="20"/>
        <v>1479</v>
      </c>
      <c r="W28" s="16">
        <f t="shared" si="20"/>
        <v>13</v>
      </c>
      <c r="X28" s="16">
        <f t="shared" si="20"/>
        <v>0</v>
      </c>
      <c r="Y28" s="16">
        <f t="shared" si="20"/>
        <v>149</v>
      </c>
      <c r="Z28" s="16">
        <f t="shared" si="20"/>
        <v>6</v>
      </c>
      <c r="AA28" s="16">
        <f t="shared" si="20"/>
        <v>7</v>
      </c>
      <c r="AB28" s="16">
        <f t="shared" si="20"/>
        <v>2</v>
      </c>
      <c r="AC28" s="16">
        <f t="shared" si="20"/>
        <v>8314</v>
      </c>
      <c r="AD28" s="16">
        <f t="shared" si="20"/>
        <v>0</v>
      </c>
      <c r="AE28" s="32">
        <f t="shared" si="20"/>
        <v>4036</v>
      </c>
      <c r="AF28" s="32">
        <f t="shared" si="20"/>
        <v>12350</v>
      </c>
    </row>
    <row r="29" spans="2:32" ht="23.1" customHeight="1" x14ac:dyDescent="0.25">
      <c r="B29" s="23" t="s">
        <v>56</v>
      </c>
      <c r="C29" s="50">
        <v>20</v>
      </c>
      <c r="D29" s="50">
        <v>23</v>
      </c>
      <c r="E29" s="50">
        <v>3</v>
      </c>
      <c r="F29" s="50">
        <v>30</v>
      </c>
      <c r="G29" s="50">
        <v>0</v>
      </c>
      <c r="H29" s="50">
        <v>0</v>
      </c>
      <c r="I29" s="50">
        <v>7</v>
      </c>
      <c r="J29" s="50">
        <v>0</v>
      </c>
      <c r="K29" s="50">
        <v>0</v>
      </c>
      <c r="L29" s="50">
        <v>0</v>
      </c>
      <c r="M29" s="50">
        <v>161</v>
      </c>
      <c r="N29" s="50">
        <v>0</v>
      </c>
      <c r="O29" s="15">
        <f t="shared" si="0"/>
        <v>83</v>
      </c>
      <c r="P29" s="15">
        <f t="shared" si="1"/>
        <v>244</v>
      </c>
      <c r="R29"/>
      <c r="S29" s="20"/>
      <c r="T29" s="19"/>
    </row>
    <row r="30" spans="2:32" ht="23.1" customHeight="1" x14ac:dyDescent="0.25">
      <c r="B30" s="23" t="s">
        <v>57</v>
      </c>
      <c r="C30" s="50">
        <v>28</v>
      </c>
      <c r="D30" s="50">
        <v>22</v>
      </c>
      <c r="E30" s="50">
        <v>3</v>
      </c>
      <c r="F30" s="50">
        <v>28</v>
      </c>
      <c r="G30" s="50">
        <v>0</v>
      </c>
      <c r="H30" s="50">
        <v>0</v>
      </c>
      <c r="I30" s="50">
        <v>4</v>
      </c>
      <c r="J30" s="50">
        <v>0</v>
      </c>
      <c r="K30" s="50">
        <v>0</v>
      </c>
      <c r="L30" s="50">
        <v>0</v>
      </c>
      <c r="M30" s="50">
        <v>138</v>
      </c>
      <c r="N30" s="50">
        <v>0</v>
      </c>
      <c r="O30" s="15">
        <f t="shared" si="0"/>
        <v>85</v>
      </c>
      <c r="P30" s="15">
        <f t="shared" si="1"/>
        <v>223</v>
      </c>
    </row>
    <row r="31" spans="2:32" ht="23.1" customHeight="1" x14ac:dyDescent="0.25">
      <c r="B31" s="24" t="s">
        <v>58</v>
      </c>
      <c r="C31" s="50">
        <v>30</v>
      </c>
      <c r="D31" s="50">
        <v>21</v>
      </c>
      <c r="E31" s="50">
        <v>4</v>
      </c>
      <c r="F31" s="50">
        <v>29</v>
      </c>
      <c r="G31" s="50">
        <v>0</v>
      </c>
      <c r="H31" s="50">
        <v>0</v>
      </c>
      <c r="I31" s="50">
        <v>4</v>
      </c>
      <c r="J31" s="50">
        <v>0</v>
      </c>
      <c r="K31" s="50">
        <v>0</v>
      </c>
      <c r="L31" s="50">
        <v>0</v>
      </c>
      <c r="M31" s="50">
        <v>173</v>
      </c>
      <c r="N31" s="50">
        <v>0</v>
      </c>
      <c r="O31" s="15">
        <f t="shared" si="0"/>
        <v>88</v>
      </c>
      <c r="P31" s="15">
        <f t="shared" si="1"/>
        <v>261</v>
      </c>
    </row>
    <row r="32" spans="2:32" ht="23.1" customHeight="1" x14ac:dyDescent="0.25">
      <c r="B32" s="24" t="s">
        <v>59</v>
      </c>
      <c r="C32" s="50">
        <v>30</v>
      </c>
      <c r="D32" s="50">
        <v>20</v>
      </c>
      <c r="E32" s="50">
        <v>2</v>
      </c>
      <c r="F32" s="50">
        <v>31</v>
      </c>
      <c r="G32" s="50">
        <v>0</v>
      </c>
      <c r="H32" s="50">
        <v>0</v>
      </c>
      <c r="I32" s="50">
        <v>1</v>
      </c>
      <c r="J32" s="50">
        <v>0</v>
      </c>
      <c r="K32" s="50">
        <v>1</v>
      </c>
      <c r="L32" s="50">
        <v>0</v>
      </c>
      <c r="M32" s="50">
        <v>182</v>
      </c>
      <c r="N32" s="50">
        <v>0</v>
      </c>
      <c r="O32" s="15">
        <f t="shared" si="0"/>
        <v>85</v>
      </c>
      <c r="P32" s="15">
        <f t="shared" si="1"/>
        <v>267</v>
      </c>
    </row>
    <row r="33" spans="2:20" ht="23.1" customHeight="1" x14ac:dyDescent="0.25">
      <c r="B33" s="23" t="s">
        <v>60</v>
      </c>
      <c r="C33" s="50">
        <v>20</v>
      </c>
      <c r="D33" s="50">
        <v>10</v>
      </c>
      <c r="E33" s="50">
        <v>0</v>
      </c>
      <c r="F33" s="50">
        <v>26</v>
      </c>
      <c r="G33" s="50">
        <v>0</v>
      </c>
      <c r="H33" s="50">
        <v>0</v>
      </c>
      <c r="I33" s="50">
        <v>3</v>
      </c>
      <c r="J33" s="50">
        <v>0</v>
      </c>
      <c r="K33" s="50">
        <v>0</v>
      </c>
      <c r="L33" s="50">
        <v>0</v>
      </c>
      <c r="M33" s="50">
        <v>142</v>
      </c>
      <c r="N33" s="50">
        <v>0</v>
      </c>
      <c r="O33" s="15">
        <f t="shared" si="0"/>
        <v>59</v>
      </c>
      <c r="P33" s="15">
        <f t="shared" si="1"/>
        <v>201</v>
      </c>
    </row>
    <row r="34" spans="2:20" ht="23.1" customHeight="1" x14ac:dyDescent="0.25">
      <c r="B34" s="24" t="s">
        <v>61</v>
      </c>
      <c r="C34" s="50">
        <v>29</v>
      </c>
      <c r="D34" s="50">
        <v>27</v>
      </c>
      <c r="E34" s="50">
        <v>2</v>
      </c>
      <c r="F34" s="50">
        <v>28</v>
      </c>
      <c r="G34" s="50">
        <v>2</v>
      </c>
      <c r="H34" s="50">
        <v>0</v>
      </c>
      <c r="I34" s="50">
        <v>4</v>
      </c>
      <c r="J34" s="50">
        <v>0</v>
      </c>
      <c r="K34" s="50">
        <v>0</v>
      </c>
      <c r="L34" s="50">
        <v>0</v>
      </c>
      <c r="M34" s="50">
        <v>171</v>
      </c>
      <c r="N34" s="50">
        <v>0</v>
      </c>
      <c r="O34" s="15">
        <f t="shared" si="0"/>
        <v>92</v>
      </c>
      <c r="P34" s="15">
        <f t="shared" si="1"/>
        <v>263</v>
      </c>
    </row>
    <row r="35" spans="2:20" ht="23.1" customHeight="1" x14ac:dyDescent="0.25">
      <c r="B35" s="24" t="s">
        <v>62</v>
      </c>
      <c r="C35" s="50">
        <v>28</v>
      </c>
      <c r="D35" s="50">
        <v>14</v>
      </c>
      <c r="E35" s="50">
        <v>6</v>
      </c>
      <c r="F35" s="50">
        <v>21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158</v>
      </c>
      <c r="N35" s="50">
        <v>0</v>
      </c>
      <c r="O35" s="15">
        <f t="shared" si="0"/>
        <v>71</v>
      </c>
      <c r="P35" s="15">
        <f t="shared" si="1"/>
        <v>229</v>
      </c>
    </row>
    <row r="36" spans="2:20" ht="23.1" customHeight="1" x14ac:dyDescent="0.25">
      <c r="B36" s="24" t="s">
        <v>63</v>
      </c>
      <c r="C36" s="50">
        <v>31</v>
      </c>
      <c r="D36" s="50">
        <v>17</v>
      </c>
      <c r="E36" s="50">
        <v>4</v>
      </c>
      <c r="F36" s="50">
        <v>29</v>
      </c>
      <c r="G36" s="50">
        <v>0</v>
      </c>
      <c r="H36" s="50">
        <v>0</v>
      </c>
      <c r="I36" s="50">
        <v>5</v>
      </c>
      <c r="J36" s="50">
        <v>0</v>
      </c>
      <c r="K36" s="50">
        <v>0</v>
      </c>
      <c r="L36" s="50">
        <v>0</v>
      </c>
      <c r="M36" s="50">
        <v>170</v>
      </c>
      <c r="N36" s="50">
        <v>0</v>
      </c>
      <c r="O36" s="15">
        <f t="shared" si="0"/>
        <v>86</v>
      </c>
      <c r="P36" s="15">
        <f t="shared" si="1"/>
        <v>256</v>
      </c>
    </row>
    <row r="37" spans="2:20" ht="23.1" customHeight="1" x14ac:dyDescent="0.25">
      <c r="B37" s="23" t="s">
        <v>64</v>
      </c>
      <c r="C37" s="50">
        <v>32</v>
      </c>
      <c r="D37" s="50">
        <v>11</v>
      </c>
      <c r="E37" s="50">
        <v>1</v>
      </c>
      <c r="F37" s="50">
        <v>27</v>
      </c>
      <c r="G37" s="50">
        <v>0</v>
      </c>
      <c r="H37" s="50">
        <v>0</v>
      </c>
      <c r="I37" s="50">
        <v>2</v>
      </c>
      <c r="J37" s="50">
        <v>1</v>
      </c>
      <c r="K37" s="50">
        <v>0</v>
      </c>
      <c r="L37" s="50">
        <v>0</v>
      </c>
      <c r="M37" s="50">
        <v>140</v>
      </c>
      <c r="N37" s="50">
        <v>0</v>
      </c>
      <c r="O37" s="15">
        <f t="shared" si="0"/>
        <v>74</v>
      </c>
      <c r="P37" s="15">
        <f t="shared" si="1"/>
        <v>214</v>
      </c>
    </row>
    <row r="38" spans="2:20" ht="23.1" customHeight="1" x14ac:dyDescent="0.25">
      <c r="B38" s="24" t="s">
        <v>65</v>
      </c>
      <c r="C38" s="50">
        <v>30</v>
      </c>
      <c r="D38" s="50">
        <v>24</v>
      </c>
      <c r="E38" s="50">
        <v>5</v>
      </c>
      <c r="F38" s="50">
        <v>20</v>
      </c>
      <c r="G38" s="50">
        <v>0</v>
      </c>
      <c r="H38" s="50">
        <v>0</v>
      </c>
      <c r="I38" s="50">
        <v>5</v>
      </c>
      <c r="J38" s="50">
        <v>0</v>
      </c>
      <c r="K38" s="50">
        <v>0</v>
      </c>
      <c r="L38" s="50">
        <v>0</v>
      </c>
      <c r="M38" s="50">
        <v>159</v>
      </c>
      <c r="N38" s="50">
        <v>0</v>
      </c>
      <c r="O38" s="15">
        <f t="shared" si="0"/>
        <v>84</v>
      </c>
      <c r="P38" s="15">
        <f t="shared" si="1"/>
        <v>243</v>
      </c>
    </row>
    <row r="39" spans="2:20" ht="23.1" customHeight="1" x14ac:dyDescent="0.25">
      <c r="B39" s="24" t="s">
        <v>66</v>
      </c>
      <c r="C39" s="50">
        <v>45</v>
      </c>
      <c r="D39" s="50">
        <v>19</v>
      </c>
      <c r="E39" s="50">
        <v>3</v>
      </c>
      <c r="F39" s="50">
        <v>19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187</v>
      </c>
      <c r="N39" s="50">
        <v>0</v>
      </c>
      <c r="O39" s="15">
        <f t="shared" si="0"/>
        <v>87</v>
      </c>
      <c r="P39" s="15">
        <f t="shared" si="1"/>
        <v>274</v>
      </c>
    </row>
    <row r="40" spans="2:20" ht="23.1" customHeight="1" x14ac:dyDescent="0.25">
      <c r="B40" s="24" t="s">
        <v>67</v>
      </c>
      <c r="C40" s="50">
        <v>36</v>
      </c>
      <c r="D40" s="50">
        <v>15</v>
      </c>
      <c r="E40" s="50">
        <v>3</v>
      </c>
      <c r="F40" s="50">
        <v>25</v>
      </c>
      <c r="G40" s="50">
        <v>1</v>
      </c>
      <c r="H40" s="50">
        <v>0</v>
      </c>
      <c r="I40" s="50">
        <v>2</v>
      </c>
      <c r="J40" s="50">
        <v>0</v>
      </c>
      <c r="K40" s="50">
        <v>1</v>
      </c>
      <c r="L40" s="50">
        <v>0</v>
      </c>
      <c r="M40" s="50">
        <v>195</v>
      </c>
      <c r="N40" s="50">
        <v>0</v>
      </c>
      <c r="O40" s="15">
        <f t="shared" si="0"/>
        <v>83</v>
      </c>
      <c r="P40" s="15">
        <f t="shared" si="1"/>
        <v>278</v>
      </c>
    </row>
    <row r="41" spans="2:20" ht="23.1" customHeight="1" x14ac:dyDescent="0.25">
      <c r="B41" s="23" t="s">
        <v>68</v>
      </c>
      <c r="C41" s="50">
        <v>35</v>
      </c>
      <c r="D41" s="50">
        <v>13</v>
      </c>
      <c r="E41" s="50">
        <v>7</v>
      </c>
      <c r="F41" s="50">
        <v>24</v>
      </c>
      <c r="G41" s="50">
        <v>0</v>
      </c>
      <c r="H41" s="50">
        <v>0</v>
      </c>
      <c r="I41" s="50">
        <v>5</v>
      </c>
      <c r="J41" s="50">
        <v>0</v>
      </c>
      <c r="K41" s="50">
        <v>0</v>
      </c>
      <c r="L41" s="50">
        <v>0</v>
      </c>
      <c r="M41" s="50">
        <v>185</v>
      </c>
      <c r="N41" s="50">
        <v>0</v>
      </c>
      <c r="O41" s="15">
        <f t="shared" si="0"/>
        <v>84</v>
      </c>
      <c r="P41" s="15">
        <f t="shared" si="1"/>
        <v>269</v>
      </c>
    </row>
    <row r="42" spans="2:20" ht="23.1" customHeight="1" x14ac:dyDescent="0.25">
      <c r="B42" s="24" t="s">
        <v>69</v>
      </c>
      <c r="C42" s="50">
        <v>30</v>
      </c>
      <c r="D42" s="50">
        <v>13</v>
      </c>
      <c r="E42" s="50">
        <v>3</v>
      </c>
      <c r="F42" s="50">
        <v>27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198</v>
      </c>
      <c r="N42" s="50">
        <v>0</v>
      </c>
      <c r="O42" s="15">
        <f t="shared" si="0"/>
        <v>76</v>
      </c>
      <c r="P42" s="15">
        <f t="shared" si="1"/>
        <v>274</v>
      </c>
    </row>
    <row r="43" spans="2:20" ht="23.1" customHeight="1" x14ac:dyDescent="0.25">
      <c r="B43" s="23" t="s">
        <v>70</v>
      </c>
      <c r="C43" s="50">
        <v>31</v>
      </c>
      <c r="D43" s="50">
        <v>22</v>
      </c>
      <c r="E43" s="50">
        <v>7</v>
      </c>
      <c r="F43" s="50">
        <v>29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2</v>
      </c>
      <c r="M43" s="50">
        <v>177</v>
      </c>
      <c r="N43" s="50">
        <v>0</v>
      </c>
      <c r="O43" s="15">
        <f t="shared" si="0"/>
        <v>94</v>
      </c>
      <c r="P43" s="15">
        <f t="shared" si="1"/>
        <v>271</v>
      </c>
    </row>
    <row r="44" spans="2:20" ht="23.1" customHeight="1" x14ac:dyDescent="0.25">
      <c r="B44" s="25" t="s">
        <v>71</v>
      </c>
      <c r="C44" s="50">
        <v>35</v>
      </c>
      <c r="D44" s="50">
        <v>19</v>
      </c>
      <c r="E44" s="50">
        <v>5</v>
      </c>
      <c r="F44" s="50">
        <v>27</v>
      </c>
      <c r="G44" s="50">
        <v>1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50">
        <v>176</v>
      </c>
      <c r="N44" s="50">
        <v>0</v>
      </c>
      <c r="O44" s="15">
        <f t="shared" si="0"/>
        <v>91</v>
      </c>
      <c r="P44" s="15">
        <f t="shared" si="1"/>
        <v>267</v>
      </c>
    </row>
    <row r="45" spans="2:20" ht="23.1" customHeight="1" x14ac:dyDescent="0.25">
      <c r="B45" s="23" t="s">
        <v>72</v>
      </c>
      <c r="C45" s="50">
        <v>49</v>
      </c>
      <c r="D45" s="50">
        <v>13</v>
      </c>
      <c r="E45" s="50">
        <v>5</v>
      </c>
      <c r="F45" s="50">
        <v>30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180</v>
      </c>
      <c r="N45" s="50">
        <v>0</v>
      </c>
      <c r="O45" s="15">
        <f t="shared" si="0"/>
        <v>100</v>
      </c>
      <c r="P45" s="15">
        <f t="shared" si="1"/>
        <v>280</v>
      </c>
    </row>
    <row r="46" spans="2:20" ht="23.1" customHeight="1" x14ac:dyDescent="0.25">
      <c r="B46" s="24" t="s">
        <v>73</v>
      </c>
      <c r="C46" s="50">
        <v>44</v>
      </c>
      <c r="D46" s="50">
        <v>19</v>
      </c>
      <c r="E46" s="50">
        <v>2</v>
      </c>
      <c r="F46" s="50">
        <v>24</v>
      </c>
      <c r="G46" s="50">
        <v>0</v>
      </c>
      <c r="H46" s="50">
        <v>0</v>
      </c>
      <c r="I46" s="50">
        <v>3</v>
      </c>
      <c r="J46" s="50">
        <v>1</v>
      </c>
      <c r="K46" s="50">
        <v>0</v>
      </c>
      <c r="L46" s="50">
        <v>0</v>
      </c>
      <c r="M46" s="50">
        <v>172</v>
      </c>
      <c r="N46" s="50">
        <v>0</v>
      </c>
      <c r="O46" s="15">
        <f t="shared" si="0"/>
        <v>93</v>
      </c>
      <c r="P46" s="15">
        <f t="shared" si="1"/>
        <v>265</v>
      </c>
      <c r="R46" s="8"/>
      <c r="T46"/>
    </row>
    <row r="47" spans="2:20" ht="23.1" customHeight="1" x14ac:dyDescent="0.25">
      <c r="B47" s="24" t="s">
        <v>74</v>
      </c>
      <c r="C47" s="50">
        <v>39</v>
      </c>
      <c r="D47" s="50">
        <v>26</v>
      </c>
      <c r="E47" s="50">
        <v>4</v>
      </c>
      <c r="F47" s="50">
        <v>27</v>
      </c>
      <c r="G47" s="50">
        <v>0</v>
      </c>
      <c r="H47" s="50">
        <v>0</v>
      </c>
      <c r="I47" s="50">
        <v>4</v>
      </c>
      <c r="J47" s="50">
        <v>0</v>
      </c>
      <c r="K47" s="50">
        <v>0</v>
      </c>
      <c r="L47" s="50">
        <v>0</v>
      </c>
      <c r="M47" s="50">
        <v>205</v>
      </c>
      <c r="N47" s="50">
        <v>0</v>
      </c>
      <c r="O47" s="15">
        <f t="shared" si="0"/>
        <v>100</v>
      </c>
      <c r="P47" s="15">
        <f t="shared" si="1"/>
        <v>305</v>
      </c>
      <c r="R47" s="8"/>
      <c r="T47"/>
    </row>
    <row r="48" spans="2:20" ht="23.1" customHeight="1" x14ac:dyDescent="0.25">
      <c r="B48" s="24" t="s">
        <v>75</v>
      </c>
      <c r="C48" s="50">
        <v>21</v>
      </c>
      <c r="D48" s="50">
        <v>10</v>
      </c>
      <c r="E48" s="50">
        <v>0</v>
      </c>
      <c r="F48" s="50">
        <v>24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144</v>
      </c>
      <c r="N48" s="50">
        <v>0</v>
      </c>
      <c r="O48" s="15">
        <f t="shared" si="0"/>
        <v>58</v>
      </c>
      <c r="P48" s="15">
        <f t="shared" si="1"/>
        <v>202</v>
      </c>
      <c r="R48" s="8"/>
      <c r="T48"/>
    </row>
    <row r="49" spans="2:20" ht="23.1" customHeight="1" x14ac:dyDescent="0.25">
      <c r="B49" s="23" t="s">
        <v>76</v>
      </c>
      <c r="C49" s="50">
        <v>33</v>
      </c>
      <c r="D49" s="50">
        <v>29</v>
      </c>
      <c r="E49" s="50">
        <v>6</v>
      </c>
      <c r="F49" s="50">
        <v>23</v>
      </c>
      <c r="G49" s="50">
        <v>1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204</v>
      </c>
      <c r="N49" s="50">
        <v>0</v>
      </c>
      <c r="O49" s="15">
        <f t="shared" si="0"/>
        <v>93</v>
      </c>
      <c r="P49" s="15">
        <f t="shared" si="1"/>
        <v>297</v>
      </c>
      <c r="R49" s="8"/>
      <c r="T49"/>
    </row>
    <row r="50" spans="2:20" ht="23.1" customHeight="1" x14ac:dyDescent="0.25">
      <c r="B50" s="24" t="s">
        <v>77</v>
      </c>
      <c r="C50" s="50">
        <v>36</v>
      </c>
      <c r="D50" s="50">
        <v>22</v>
      </c>
      <c r="E50" s="50">
        <v>5</v>
      </c>
      <c r="F50" s="50">
        <v>21</v>
      </c>
      <c r="G50" s="50">
        <v>0</v>
      </c>
      <c r="H50" s="50">
        <v>0</v>
      </c>
      <c r="I50" s="50">
        <v>3</v>
      </c>
      <c r="J50" s="50">
        <v>0</v>
      </c>
      <c r="K50" s="50">
        <v>1</v>
      </c>
      <c r="L50" s="50">
        <v>0</v>
      </c>
      <c r="M50" s="50">
        <v>211</v>
      </c>
      <c r="N50" s="50">
        <v>0</v>
      </c>
      <c r="O50" s="15">
        <f t="shared" si="0"/>
        <v>88</v>
      </c>
      <c r="P50" s="15">
        <f t="shared" si="1"/>
        <v>299</v>
      </c>
      <c r="R50" s="8"/>
      <c r="T50"/>
    </row>
    <row r="51" spans="2:20" ht="23.1" customHeight="1" x14ac:dyDescent="0.25">
      <c r="B51" s="24" t="s">
        <v>78</v>
      </c>
      <c r="C51" s="50">
        <v>44</v>
      </c>
      <c r="D51" s="50">
        <v>21</v>
      </c>
      <c r="E51" s="50">
        <v>5</v>
      </c>
      <c r="F51" s="50">
        <v>27</v>
      </c>
      <c r="G51" s="50">
        <v>1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203</v>
      </c>
      <c r="N51" s="50">
        <v>0</v>
      </c>
      <c r="O51" s="15">
        <f t="shared" si="0"/>
        <v>99</v>
      </c>
      <c r="P51" s="15">
        <f t="shared" si="1"/>
        <v>302</v>
      </c>
      <c r="R51" s="8"/>
      <c r="T51"/>
    </row>
    <row r="52" spans="2:20" ht="23.1" customHeight="1" x14ac:dyDescent="0.25">
      <c r="B52" s="24" t="s">
        <v>79</v>
      </c>
      <c r="C52" s="50">
        <v>23</v>
      </c>
      <c r="D52" s="50">
        <v>15</v>
      </c>
      <c r="E52" s="50">
        <v>6</v>
      </c>
      <c r="F52" s="50">
        <v>19</v>
      </c>
      <c r="G52" s="50">
        <v>0</v>
      </c>
      <c r="H52" s="50">
        <v>0</v>
      </c>
      <c r="I52" s="50">
        <v>0</v>
      </c>
      <c r="J52" s="50">
        <v>0</v>
      </c>
      <c r="K52" s="50">
        <v>1</v>
      </c>
      <c r="L52" s="50">
        <v>0</v>
      </c>
      <c r="M52" s="50">
        <v>167</v>
      </c>
      <c r="N52" s="50">
        <v>0</v>
      </c>
      <c r="O52" s="15">
        <f t="shared" si="0"/>
        <v>64</v>
      </c>
      <c r="P52" s="15">
        <f t="shared" si="1"/>
        <v>231</v>
      </c>
      <c r="R52" s="8"/>
      <c r="T52"/>
    </row>
    <row r="53" spans="2:20" ht="23.1" customHeight="1" x14ac:dyDescent="0.25">
      <c r="B53" s="23" t="s">
        <v>80</v>
      </c>
      <c r="C53" s="50">
        <v>18</v>
      </c>
      <c r="D53" s="50">
        <v>13</v>
      </c>
      <c r="E53" s="50">
        <v>4</v>
      </c>
      <c r="F53" s="50">
        <v>23</v>
      </c>
      <c r="G53" s="50">
        <v>1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182</v>
      </c>
      <c r="N53" s="50">
        <v>0</v>
      </c>
      <c r="O53" s="15">
        <f t="shared" si="0"/>
        <v>62</v>
      </c>
      <c r="P53" s="15">
        <f t="shared" si="1"/>
        <v>244</v>
      </c>
      <c r="R53" s="8"/>
      <c r="T53"/>
    </row>
    <row r="54" spans="2:20" ht="23.1" customHeight="1" x14ac:dyDescent="0.25">
      <c r="B54" s="23" t="s">
        <v>81</v>
      </c>
      <c r="C54" s="50">
        <v>20</v>
      </c>
      <c r="D54" s="50">
        <v>9</v>
      </c>
      <c r="E54" s="50">
        <v>6</v>
      </c>
      <c r="F54" s="50">
        <v>16</v>
      </c>
      <c r="G54" s="50">
        <v>0</v>
      </c>
      <c r="H54" s="50">
        <v>0</v>
      </c>
      <c r="I54" s="50">
        <v>5</v>
      </c>
      <c r="J54" s="50">
        <v>0</v>
      </c>
      <c r="K54" s="50">
        <v>0</v>
      </c>
      <c r="L54" s="50">
        <v>0</v>
      </c>
      <c r="M54" s="50">
        <v>116</v>
      </c>
      <c r="N54" s="50">
        <v>0</v>
      </c>
      <c r="O54" s="15">
        <f t="shared" si="0"/>
        <v>56</v>
      </c>
      <c r="P54" s="15">
        <f t="shared" si="1"/>
        <v>172</v>
      </c>
      <c r="R54" s="8"/>
      <c r="T54"/>
    </row>
    <row r="55" spans="2:20" ht="23.1" customHeight="1" x14ac:dyDescent="0.25">
      <c r="B55" s="23" t="s">
        <v>82</v>
      </c>
      <c r="C55" s="50">
        <v>32</v>
      </c>
      <c r="D55" s="50">
        <v>25</v>
      </c>
      <c r="E55" s="50">
        <v>1</v>
      </c>
      <c r="F55" s="50">
        <v>26</v>
      </c>
      <c r="G55" s="50">
        <v>0</v>
      </c>
      <c r="H55" s="50">
        <v>0</v>
      </c>
      <c r="I55" s="50">
        <v>5</v>
      </c>
      <c r="J55" s="50">
        <v>0</v>
      </c>
      <c r="K55" s="50">
        <v>0</v>
      </c>
      <c r="L55" s="50">
        <v>0</v>
      </c>
      <c r="M55" s="50">
        <v>166</v>
      </c>
      <c r="N55" s="50">
        <v>0</v>
      </c>
      <c r="O55" s="15">
        <f t="shared" si="0"/>
        <v>89</v>
      </c>
      <c r="P55" s="15">
        <f t="shared" si="1"/>
        <v>255</v>
      </c>
      <c r="R55" s="8"/>
      <c r="T55"/>
    </row>
    <row r="56" spans="2:20" ht="23.1" customHeight="1" x14ac:dyDescent="0.25">
      <c r="B56" s="23" t="s">
        <v>83</v>
      </c>
      <c r="C56" s="50">
        <v>30</v>
      </c>
      <c r="D56" s="50">
        <v>11</v>
      </c>
      <c r="E56" s="50">
        <v>2</v>
      </c>
      <c r="F56" s="50">
        <v>28</v>
      </c>
      <c r="G56" s="50">
        <v>2</v>
      </c>
      <c r="H56" s="50">
        <v>0</v>
      </c>
      <c r="I56" s="50">
        <v>7</v>
      </c>
      <c r="J56" s="50">
        <v>0</v>
      </c>
      <c r="K56" s="50">
        <v>1</v>
      </c>
      <c r="L56" s="50">
        <v>0</v>
      </c>
      <c r="M56" s="50">
        <v>156</v>
      </c>
      <c r="N56" s="50">
        <v>0</v>
      </c>
      <c r="O56" s="15">
        <f t="shared" si="0"/>
        <v>81</v>
      </c>
      <c r="P56" s="15">
        <f t="shared" si="1"/>
        <v>237</v>
      </c>
      <c r="R56" s="8"/>
      <c r="T56"/>
    </row>
    <row r="57" spans="2:20" ht="23.1" customHeight="1" x14ac:dyDescent="0.25">
      <c r="B57" s="23" t="s">
        <v>84</v>
      </c>
      <c r="C57" s="50">
        <v>33</v>
      </c>
      <c r="D57" s="50">
        <v>14</v>
      </c>
      <c r="E57" s="50">
        <v>3</v>
      </c>
      <c r="F57" s="50">
        <v>21</v>
      </c>
      <c r="G57" s="50">
        <v>1</v>
      </c>
      <c r="H57" s="50">
        <v>0</v>
      </c>
      <c r="I57" s="50">
        <v>1</v>
      </c>
      <c r="J57" s="50">
        <v>0</v>
      </c>
      <c r="K57" s="50">
        <v>1</v>
      </c>
      <c r="L57" s="50">
        <v>0</v>
      </c>
      <c r="M57" s="50">
        <v>187</v>
      </c>
      <c r="N57" s="50">
        <v>0</v>
      </c>
      <c r="O57" s="15">
        <f t="shared" si="0"/>
        <v>74</v>
      </c>
      <c r="P57" s="15">
        <f t="shared" si="1"/>
        <v>261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1431</v>
      </c>
      <c r="D58" s="16">
        <f t="shared" si="21"/>
        <v>761</v>
      </c>
      <c r="E58" s="16">
        <f t="shared" si="21"/>
        <v>188</v>
      </c>
      <c r="F58" s="16">
        <f t="shared" si="21"/>
        <v>1479</v>
      </c>
      <c r="G58" s="16">
        <f t="shared" si="21"/>
        <v>13</v>
      </c>
      <c r="H58" s="16">
        <f t="shared" si="21"/>
        <v>0</v>
      </c>
      <c r="I58" s="16">
        <f t="shared" si="21"/>
        <v>149</v>
      </c>
      <c r="J58" s="16">
        <f t="shared" si="21"/>
        <v>6</v>
      </c>
      <c r="K58" s="16">
        <f t="shared" si="21"/>
        <v>7</v>
      </c>
      <c r="L58" s="16">
        <f t="shared" si="21"/>
        <v>2</v>
      </c>
      <c r="M58" s="16">
        <f t="shared" si="21"/>
        <v>8314</v>
      </c>
      <c r="N58" s="16">
        <f t="shared" si="21"/>
        <v>0</v>
      </c>
      <c r="O58" s="16">
        <f t="shared" si="21"/>
        <v>4036</v>
      </c>
      <c r="P58" s="16">
        <f t="shared" si="21"/>
        <v>12350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0.11587044534412956</v>
      </c>
      <c r="D59" s="43">
        <f t="shared" si="22"/>
        <v>6.161943319838057E-2</v>
      </c>
      <c r="E59" s="43">
        <f t="shared" si="22"/>
        <v>1.5222672064777327E-2</v>
      </c>
      <c r="F59" s="43">
        <f t="shared" si="22"/>
        <v>0.11975708502024292</v>
      </c>
      <c r="G59" s="43">
        <f t="shared" si="22"/>
        <v>1.0526315789473684E-3</v>
      </c>
      <c r="H59" s="43">
        <f t="shared" si="22"/>
        <v>0</v>
      </c>
      <c r="I59" s="43">
        <f t="shared" si="22"/>
        <v>1.2064777327935223E-2</v>
      </c>
      <c r="J59" s="43">
        <f t="shared" si="22"/>
        <v>4.8582995951417006E-4</v>
      </c>
      <c r="K59" s="43">
        <f t="shared" si="22"/>
        <v>5.6680161943319833E-4</v>
      </c>
      <c r="L59" s="43">
        <f t="shared" si="22"/>
        <v>1.6194331983805668E-4</v>
      </c>
      <c r="M59" s="43">
        <f t="shared" si="22"/>
        <v>0.67319838056680159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0.35455896927651137</v>
      </c>
      <c r="D60" s="44">
        <f t="shared" ref="D60:N60" si="23">D58/$O$58</f>
        <v>0.18855302279484637</v>
      </c>
      <c r="E60" s="44">
        <f t="shared" si="23"/>
        <v>4.6580773042616451E-2</v>
      </c>
      <c r="F60" s="44">
        <f t="shared" si="23"/>
        <v>0.36645193260654113</v>
      </c>
      <c r="G60" s="44">
        <f t="shared" si="23"/>
        <v>3.2210109018830525E-3</v>
      </c>
      <c r="H60" s="44">
        <f t="shared" si="23"/>
        <v>0</v>
      </c>
      <c r="I60" s="44">
        <f t="shared" si="23"/>
        <v>3.6917740336967292E-2</v>
      </c>
      <c r="J60" s="44">
        <f t="shared" si="23"/>
        <v>1.4866204162537165E-3</v>
      </c>
      <c r="K60" s="44">
        <f t="shared" si="23"/>
        <v>1.7343904856293359E-3</v>
      </c>
      <c r="L60" s="44">
        <f t="shared" si="23"/>
        <v>4.9554013875123884E-4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G52" zoomScale="60" workbookViewId="0">
      <selection activeCell="AA78" sqref="AA7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'28.07 Munyonyo-Kibuye'!C3:G3</f>
        <v>MCC - C1 - STN01A - SALAMA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170</v>
      </c>
      <c r="E5" s="67"/>
      <c r="F5" s="41" t="s">
        <v>1</v>
      </c>
      <c r="G5" s="64" t="str">
        <f>'28.07 Kibuye-Munyonyo'!G5:H5</f>
        <v>Salama road 1A</v>
      </c>
      <c r="H5" s="65"/>
      <c r="I5" s="14"/>
      <c r="J5" s="2" t="s">
        <v>5</v>
      </c>
      <c r="K5" s="64" t="str">
        <f>'28.07 Kibuye-Munyonyo'!K5:L5</f>
        <v>Gerald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'28.07 Kibuye-Munyonyo'!D6:E6</f>
        <v>Kibuye</v>
      </c>
      <c r="E6" s="65"/>
      <c r="F6" s="2" t="s">
        <v>2</v>
      </c>
      <c r="G6" s="64" t="str">
        <f>'28.07 Kibuye-Munyonyo'!G6:H6</f>
        <v>Munyonyo</v>
      </c>
      <c r="H6" s="65"/>
      <c r="J6" s="2" t="s">
        <v>21</v>
      </c>
      <c r="K6" s="64" t="str">
        <f>'28.07 Kibuye-Munyonyo'!K6:L6</f>
        <v>Emma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Kibuye-Munyonyo'!C10,'23.07 Kibuye-Munyonyo'!C10,'24.07 Kibuye-Munyonyo'!C10,'25.07 Kibuye-Munyonyo'!C10,'26.07 Kibuye-Munyonyo-24h'!C10,'27.07 Kibuye-Munyonyo-24h'!C10,'28.07 Kibuye-Munyonyo'!C10)</f>
        <v>11</v>
      </c>
      <c r="D10" s="49">
        <f>AVERAGE('22.07 Kibuye-Munyonyo'!D10,'23.07 Kibuye-Munyonyo'!D10,'24.07 Kibuye-Munyonyo'!D10,'25.07 Kibuye-Munyonyo'!D10,'26.07 Kibuye-Munyonyo-24h'!D10,'27.07 Kibuye-Munyonyo-24h'!D10,'28.07 Kibuye-Munyonyo'!D10)</f>
        <v>5.1428571428571432</v>
      </c>
      <c r="E10" s="49">
        <f>AVERAGE('22.07 Kibuye-Munyonyo'!E10,'23.07 Kibuye-Munyonyo'!E10,'24.07 Kibuye-Munyonyo'!E10,'25.07 Kibuye-Munyonyo'!E10,'26.07 Kibuye-Munyonyo-24h'!E10,'27.07 Kibuye-Munyonyo-24h'!E10,'28.07 Kibuye-Munyonyo'!E10)</f>
        <v>1.2857142857142858</v>
      </c>
      <c r="F10" s="49">
        <f>AVERAGE('22.07 Kibuye-Munyonyo'!F10,'23.07 Kibuye-Munyonyo'!F10,'24.07 Kibuye-Munyonyo'!F10,'25.07 Kibuye-Munyonyo'!F10,'26.07 Kibuye-Munyonyo-24h'!F10,'27.07 Kibuye-Munyonyo-24h'!F10,'28.07 Kibuye-Munyonyo'!F10)</f>
        <v>45.142857142857146</v>
      </c>
      <c r="G10" s="49">
        <f>AVERAGE('22.07 Kibuye-Munyonyo'!G10,'23.07 Kibuye-Munyonyo'!G10,'24.07 Kibuye-Munyonyo'!G10,'25.07 Kibuye-Munyonyo'!G10,'26.07 Kibuye-Munyonyo-24h'!G10,'27.07 Kibuye-Munyonyo-24h'!G10,'28.07 Kibuye-Munyonyo'!G10)</f>
        <v>0.2857142857142857</v>
      </c>
      <c r="H10" s="49">
        <f>AVERAGE('22.07 Kibuye-Munyonyo'!H10,'23.07 Kibuye-Munyonyo'!H10,'24.07 Kibuye-Munyonyo'!H10,'25.07 Kibuye-Munyonyo'!H10,'26.07 Kibuye-Munyonyo-24h'!H10,'27.07 Kibuye-Munyonyo-24h'!H10,'28.07 Kibuye-Munyonyo'!H10)</f>
        <v>0</v>
      </c>
      <c r="I10" s="49">
        <f>AVERAGE('22.07 Kibuye-Munyonyo'!I10,'23.07 Kibuye-Munyonyo'!I10,'24.07 Kibuye-Munyonyo'!I10,'25.07 Kibuye-Munyonyo'!I10,'26.07 Kibuye-Munyonyo-24h'!I10,'27.07 Kibuye-Munyonyo-24h'!I10,'28.07 Kibuye-Munyonyo'!I10)</f>
        <v>1.2857142857142858</v>
      </c>
      <c r="J10" s="49">
        <f>AVERAGE('22.07 Kibuye-Munyonyo'!J10,'23.07 Kibuye-Munyonyo'!J10,'24.07 Kibuye-Munyonyo'!J10,'25.07 Kibuye-Munyonyo'!J10,'26.07 Kibuye-Munyonyo-24h'!J10,'27.07 Kibuye-Munyonyo-24h'!J10,'28.07 Kibuye-Munyonyo'!J10)</f>
        <v>0</v>
      </c>
      <c r="K10" s="49">
        <f>AVERAGE('22.07 Kibuye-Munyonyo'!K10,'23.07 Kibuye-Munyonyo'!K10,'24.07 Kibuye-Munyonyo'!K10,'25.07 Kibuye-Munyonyo'!K10,'26.07 Kibuye-Munyonyo-24h'!K10,'27.07 Kibuye-Munyonyo-24h'!K10,'28.07 Kibuye-Munyonyo'!K10)</f>
        <v>0.42857142857142855</v>
      </c>
      <c r="L10" s="49">
        <f>AVERAGE('22.07 Kibuye-Munyonyo'!L10,'23.07 Kibuye-Munyonyo'!L10,'24.07 Kibuye-Munyonyo'!L10,'25.07 Kibuye-Munyonyo'!L10,'26.07 Kibuye-Munyonyo-24h'!L10,'27.07 Kibuye-Munyonyo-24h'!L10,'28.07 Kibuye-Munyonyo'!L10)</f>
        <v>0</v>
      </c>
      <c r="M10" s="49">
        <f>AVERAGE('22.07 Kibuye-Munyonyo'!M10,'23.07 Kibuye-Munyonyo'!M10,'24.07 Kibuye-Munyonyo'!M10,'25.07 Kibuye-Munyonyo'!M10,'26.07 Kibuye-Munyonyo-24h'!M10,'27.07 Kibuye-Munyonyo-24h'!M10,'28.07 Kibuye-Munyonyo'!M10)</f>
        <v>76.714285714285708</v>
      </c>
      <c r="N10" s="49">
        <f>AVERAGE('22.07 Kibuye-Munyonyo'!N10,'23.07 Kibuye-Munyonyo'!N10,'24.07 Kibuye-Munyonyo'!N10,'25.07 Kibuye-Munyonyo'!N10,'26.07 Kibuye-Munyonyo-24h'!N10,'27.07 Kibuye-Munyonyo-24h'!N10,'28.07 Kibuye-Munyonyo'!N10)</f>
        <v>0</v>
      </c>
      <c r="O10" s="15">
        <f t="shared" ref="O10:O57" si="0">SUM(C10:L10,N10)</f>
        <v>64.571428571428569</v>
      </c>
      <c r="P10" s="15">
        <f t="shared" ref="P10:P57" si="1">SUM(C10:N10)</f>
        <v>141.28571428571428</v>
      </c>
      <c r="R10" s="1" t="s">
        <v>6</v>
      </c>
      <c r="S10" s="17">
        <f t="shared" ref="S10:AF10" si="2">SUM(C10:C13)</f>
        <v>35.714285714285708</v>
      </c>
      <c r="T10" s="17">
        <f t="shared" si="2"/>
        <v>18.428571428571431</v>
      </c>
      <c r="U10" s="17">
        <f t="shared" si="2"/>
        <v>4.4285714285714288</v>
      </c>
      <c r="V10" s="17">
        <f t="shared" si="2"/>
        <v>194.14285714285714</v>
      </c>
      <c r="W10" s="17">
        <f t="shared" si="2"/>
        <v>2</v>
      </c>
      <c r="X10" s="17">
        <f t="shared" si="2"/>
        <v>0.71428571428571419</v>
      </c>
      <c r="Y10" s="17">
        <f t="shared" si="2"/>
        <v>7</v>
      </c>
      <c r="Z10" s="17">
        <f t="shared" si="2"/>
        <v>1.4285714285714286</v>
      </c>
      <c r="AA10" s="17">
        <f t="shared" si="2"/>
        <v>0.99999999999999989</v>
      </c>
      <c r="AB10" s="17">
        <f t="shared" si="2"/>
        <v>0</v>
      </c>
      <c r="AC10" s="17">
        <f t="shared" si="2"/>
        <v>389.42857142857144</v>
      </c>
      <c r="AD10" s="17">
        <f t="shared" si="2"/>
        <v>0</v>
      </c>
      <c r="AE10" s="31">
        <f t="shared" si="2"/>
        <v>264.85714285714289</v>
      </c>
      <c r="AF10" s="31">
        <f t="shared" si="2"/>
        <v>654.28571428571433</v>
      </c>
    </row>
    <row r="11" spans="2:32" s="6" customFormat="1" ht="23.1" customHeight="1" x14ac:dyDescent="0.25">
      <c r="B11" s="23" t="s">
        <v>38</v>
      </c>
      <c r="C11" s="49">
        <f>AVERAGE('22.07 Kibuye-Munyonyo'!C11,'23.07 Kibuye-Munyonyo'!C11,'24.07 Kibuye-Munyonyo'!C11,'25.07 Kibuye-Munyonyo'!C11,'26.07 Kibuye-Munyonyo-24h'!C11,'27.07 Kibuye-Munyonyo-24h'!C11,'28.07 Kibuye-Munyonyo'!C11)</f>
        <v>7.2857142857142856</v>
      </c>
      <c r="D11" s="49">
        <f>AVERAGE('22.07 Kibuye-Munyonyo'!D11,'23.07 Kibuye-Munyonyo'!D11,'24.07 Kibuye-Munyonyo'!D11,'25.07 Kibuye-Munyonyo'!D11,'26.07 Kibuye-Munyonyo-24h'!D11,'27.07 Kibuye-Munyonyo-24h'!D11,'28.07 Kibuye-Munyonyo'!D11)</f>
        <v>5.4285714285714288</v>
      </c>
      <c r="E11" s="49">
        <f>AVERAGE('22.07 Kibuye-Munyonyo'!E11,'23.07 Kibuye-Munyonyo'!E11,'24.07 Kibuye-Munyonyo'!E11,'25.07 Kibuye-Munyonyo'!E11,'26.07 Kibuye-Munyonyo-24h'!E11,'27.07 Kibuye-Munyonyo-24h'!E11,'28.07 Kibuye-Munyonyo'!E11)</f>
        <v>0.5714285714285714</v>
      </c>
      <c r="F11" s="49">
        <f>AVERAGE('22.07 Kibuye-Munyonyo'!F11,'23.07 Kibuye-Munyonyo'!F11,'24.07 Kibuye-Munyonyo'!F11,'25.07 Kibuye-Munyonyo'!F11,'26.07 Kibuye-Munyonyo-24h'!F11,'27.07 Kibuye-Munyonyo-24h'!F11,'28.07 Kibuye-Munyonyo'!F11)</f>
        <v>43</v>
      </c>
      <c r="G11" s="49">
        <f>AVERAGE('22.07 Kibuye-Munyonyo'!G11,'23.07 Kibuye-Munyonyo'!G11,'24.07 Kibuye-Munyonyo'!G11,'25.07 Kibuye-Munyonyo'!G11,'26.07 Kibuye-Munyonyo-24h'!G11,'27.07 Kibuye-Munyonyo-24h'!G11,'28.07 Kibuye-Munyonyo'!G11)</f>
        <v>0.2857142857142857</v>
      </c>
      <c r="H11" s="49">
        <f>AVERAGE('22.07 Kibuye-Munyonyo'!H11,'23.07 Kibuye-Munyonyo'!H11,'24.07 Kibuye-Munyonyo'!H11,'25.07 Kibuye-Munyonyo'!H11,'26.07 Kibuye-Munyonyo-24h'!H11,'27.07 Kibuye-Munyonyo-24h'!H11,'28.07 Kibuye-Munyonyo'!H11)</f>
        <v>0.2857142857142857</v>
      </c>
      <c r="I11" s="49">
        <f>AVERAGE('22.07 Kibuye-Munyonyo'!I11,'23.07 Kibuye-Munyonyo'!I11,'24.07 Kibuye-Munyonyo'!I11,'25.07 Kibuye-Munyonyo'!I11,'26.07 Kibuye-Munyonyo-24h'!I11,'27.07 Kibuye-Munyonyo-24h'!I11,'28.07 Kibuye-Munyonyo'!I11)</f>
        <v>2.5714285714285716</v>
      </c>
      <c r="J11" s="49">
        <f>AVERAGE('22.07 Kibuye-Munyonyo'!J11,'23.07 Kibuye-Munyonyo'!J11,'24.07 Kibuye-Munyonyo'!J11,'25.07 Kibuye-Munyonyo'!J11,'26.07 Kibuye-Munyonyo-24h'!J11,'27.07 Kibuye-Munyonyo-24h'!J11,'28.07 Kibuye-Munyonyo'!J11)</f>
        <v>0.7142857142857143</v>
      </c>
      <c r="K11" s="49">
        <f>AVERAGE('22.07 Kibuye-Munyonyo'!K11,'23.07 Kibuye-Munyonyo'!K11,'24.07 Kibuye-Munyonyo'!K11,'25.07 Kibuye-Munyonyo'!K11,'26.07 Kibuye-Munyonyo-24h'!K11,'27.07 Kibuye-Munyonyo-24h'!K11,'28.07 Kibuye-Munyonyo'!K11)</f>
        <v>0.2857142857142857</v>
      </c>
      <c r="L11" s="49">
        <f>AVERAGE('22.07 Kibuye-Munyonyo'!L11,'23.07 Kibuye-Munyonyo'!L11,'24.07 Kibuye-Munyonyo'!L11,'25.07 Kibuye-Munyonyo'!L11,'26.07 Kibuye-Munyonyo-24h'!L11,'27.07 Kibuye-Munyonyo-24h'!L11,'28.07 Kibuye-Munyonyo'!L11)</f>
        <v>0</v>
      </c>
      <c r="M11" s="49">
        <f>AVERAGE('22.07 Kibuye-Munyonyo'!M11,'23.07 Kibuye-Munyonyo'!M11,'24.07 Kibuye-Munyonyo'!M11,'25.07 Kibuye-Munyonyo'!M11,'26.07 Kibuye-Munyonyo-24h'!M11,'27.07 Kibuye-Munyonyo-24h'!M11,'28.07 Kibuye-Munyonyo'!M11)</f>
        <v>87.285714285714292</v>
      </c>
      <c r="N11" s="49">
        <f>AVERAGE('22.07 Kibuye-Munyonyo'!N11,'23.07 Kibuye-Munyonyo'!N11,'24.07 Kibuye-Munyonyo'!N11,'25.07 Kibuye-Munyonyo'!N11,'26.07 Kibuye-Munyonyo-24h'!N11,'27.07 Kibuye-Munyonyo-24h'!N11,'28.07 Kibuye-Munyonyo'!N11)</f>
        <v>0</v>
      </c>
      <c r="O11" s="15">
        <f t="shared" si="0"/>
        <v>60.428571428571423</v>
      </c>
      <c r="P11" s="15">
        <f t="shared" si="1"/>
        <v>147.71428571428572</v>
      </c>
      <c r="R11" s="1" t="s">
        <v>7</v>
      </c>
      <c r="S11" s="17">
        <f t="shared" ref="S11:AF11" si="3">SUM(C14:C17)</f>
        <v>42.285714285714285</v>
      </c>
      <c r="T11" s="17">
        <f t="shared" si="3"/>
        <v>17.571428571428569</v>
      </c>
      <c r="U11" s="17">
        <f t="shared" si="3"/>
        <v>6.8571428571428568</v>
      </c>
      <c r="V11" s="17">
        <f t="shared" si="3"/>
        <v>248.57142857142856</v>
      </c>
      <c r="W11" s="17">
        <f t="shared" si="3"/>
        <v>2.4285714285714284</v>
      </c>
      <c r="X11" s="17">
        <f t="shared" si="3"/>
        <v>0</v>
      </c>
      <c r="Y11" s="17">
        <f t="shared" si="3"/>
        <v>7.5714285714285712</v>
      </c>
      <c r="Z11" s="17">
        <f t="shared" si="3"/>
        <v>3.2857142857142856</v>
      </c>
      <c r="AA11" s="17">
        <f t="shared" si="3"/>
        <v>0.71428571428571419</v>
      </c>
      <c r="AB11" s="17">
        <f t="shared" si="3"/>
        <v>0</v>
      </c>
      <c r="AC11" s="17">
        <f t="shared" si="3"/>
        <v>603.42857142857144</v>
      </c>
      <c r="AD11" s="17">
        <f t="shared" si="3"/>
        <v>0.14285714285714285</v>
      </c>
      <c r="AE11" s="31">
        <f t="shared" si="3"/>
        <v>329.42857142857144</v>
      </c>
      <c r="AF11" s="31">
        <f t="shared" si="3"/>
        <v>932.85714285714289</v>
      </c>
    </row>
    <row r="12" spans="2:32" ht="23.1" customHeight="1" x14ac:dyDescent="0.25">
      <c r="B12" s="23" t="s">
        <v>39</v>
      </c>
      <c r="C12" s="49">
        <f>AVERAGE('22.07 Kibuye-Munyonyo'!C12,'23.07 Kibuye-Munyonyo'!C12,'24.07 Kibuye-Munyonyo'!C12,'25.07 Kibuye-Munyonyo'!C12,'26.07 Kibuye-Munyonyo-24h'!C12,'27.07 Kibuye-Munyonyo-24h'!C12,'28.07 Kibuye-Munyonyo'!C12)</f>
        <v>9.5714285714285712</v>
      </c>
      <c r="D12" s="49">
        <f>AVERAGE('22.07 Kibuye-Munyonyo'!D12,'23.07 Kibuye-Munyonyo'!D12,'24.07 Kibuye-Munyonyo'!D12,'25.07 Kibuye-Munyonyo'!D12,'26.07 Kibuye-Munyonyo-24h'!D12,'27.07 Kibuye-Munyonyo-24h'!D12,'28.07 Kibuye-Munyonyo'!D12)</f>
        <v>3</v>
      </c>
      <c r="E12" s="49">
        <f>AVERAGE('22.07 Kibuye-Munyonyo'!E12,'23.07 Kibuye-Munyonyo'!E12,'24.07 Kibuye-Munyonyo'!E12,'25.07 Kibuye-Munyonyo'!E12,'26.07 Kibuye-Munyonyo-24h'!E12,'27.07 Kibuye-Munyonyo-24h'!E12,'28.07 Kibuye-Munyonyo'!E12)</f>
        <v>0.7142857142857143</v>
      </c>
      <c r="F12" s="49">
        <f>AVERAGE('22.07 Kibuye-Munyonyo'!F12,'23.07 Kibuye-Munyonyo'!F12,'24.07 Kibuye-Munyonyo'!F12,'25.07 Kibuye-Munyonyo'!F12,'26.07 Kibuye-Munyonyo-24h'!F12,'27.07 Kibuye-Munyonyo-24h'!F12,'28.07 Kibuye-Munyonyo'!F12)</f>
        <v>44.285714285714285</v>
      </c>
      <c r="G12" s="49">
        <f>AVERAGE('22.07 Kibuye-Munyonyo'!G12,'23.07 Kibuye-Munyonyo'!G12,'24.07 Kibuye-Munyonyo'!G12,'25.07 Kibuye-Munyonyo'!G12,'26.07 Kibuye-Munyonyo-24h'!G12,'27.07 Kibuye-Munyonyo-24h'!G12,'28.07 Kibuye-Munyonyo'!G12)</f>
        <v>1</v>
      </c>
      <c r="H12" s="49">
        <f>AVERAGE('22.07 Kibuye-Munyonyo'!H12,'23.07 Kibuye-Munyonyo'!H12,'24.07 Kibuye-Munyonyo'!H12,'25.07 Kibuye-Munyonyo'!H12,'26.07 Kibuye-Munyonyo-24h'!H12,'27.07 Kibuye-Munyonyo-24h'!H12,'28.07 Kibuye-Munyonyo'!H12)</f>
        <v>0.2857142857142857</v>
      </c>
      <c r="I12" s="49">
        <f>AVERAGE('22.07 Kibuye-Munyonyo'!I12,'23.07 Kibuye-Munyonyo'!I12,'24.07 Kibuye-Munyonyo'!I12,'25.07 Kibuye-Munyonyo'!I12,'26.07 Kibuye-Munyonyo-24h'!I12,'27.07 Kibuye-Munyonyo-24h'!I12,'28.07 Kibuye-Munyonyo'!I12)</f>
        <v>1.5714285714285714</v>
      </c>
      <c r="J12" s="49">
        <f>AVERAGE('22.07 Kibuye-Munyonyo'!J12,'23.07 Kibuye-Munyonyo'!J12,'24.07 Kibuye-Munyonyo'!J12,'25.07 Kibuye-Munyonyo'!J12,'26.07 Kibuye-Munyonyo-24h'!J12,'27.07 Kibuye-Munyonyo-24h'!J12,'28.07 Kibuye-Munyonyo'!J12)</f>
        <v>0.2857142857142857</v>
      </c>
      <c r="K12" s="49">
        <f>AVERAGE('22.07 Kibuye-Munyonyo'!K12,'23.07 Kibuye-Munyonyo'!K12,'24.07 Kibuye-Munyonyo'!K12,'25.07 Kibuye-Munyonyo'!K12,'26.07 Kibuye-Munyonyo-24h'!K12,'27.07 Kibuye-Munyonyo-24h'!K12,'28.07 Kibuye-Munyonyo'!K12)</f>
        <v>0</v>
      </c>
      <c r="L12" s="49">
        <f>AVERAGE('22.07 Kibuye-Munyonyo'!L12,'23.07 Kibuye-Munyonyo'!L12,'24.07 Kibuye-Munyonyo'!L12,'25.07 Kibuye-Munyonyo'!L12,'26.07 Kibuye-Munyonyo-24h'!L12,'27.07 Kibuye-Munyonyo-24h'!L12,'28.07 Kibuye-Munyonyo'!L12)</f>
        <v>0</v>
      </c>
      <c r="M12" s="49">
        <f>AVERAGE('22.07 Kibuye-Munyonyo'!M12,'23.07 Kibuye-Munyonyo'!M12,'24.07 Kibuye-Munyonyo'!M12,'25.07 Kibuye-Munyonyo'!M12,'26.07 Kibuye-Munyonyo-24h'!M12,'27.07 Kibuye-Munyonyo-24h'!M12,'28.07 Kibuye-Munyonyo'!M12)</f>
        <v>100.71428571428571</v>
      </c>
      <c r="N12" s="49">
        <f>AVERAGE('22.07 Kibuye-Munyonyo'!N12,'23.07 Kibuye-Munyonyo'!N12,'24.07 Kibuye-Munyonyo'!N12,'25.07 Kibuye-Munyonyo'!N12,'26.07 Kibuye-Munyonyo-24h'!N12,'27.07 Kibuye-Munyonyo-24h'!N12,'28.07 Kibuye-Munyonyo'!N12)</f>
        <v>0</v>
      </c>
      <c r="O12" s="15">
        <f t="shared" si="0"/>
        <v>60.714285714285708</v>
      </c>
      <c r="P12" s="15">
        <f t="shared" si="1"/>
        <v>161.42857142857142</v>
      </c>
      <c r="R12" s="1" t="s">
        <v>8</v>
      </c>
      <c r="S12" s="17">
        <f t="shared" ref="S12:AF12" si="4">SUM(C18:C21)</f>
        <v>52.428571428571431</v>
      </c>
      <c r="T12" s="17">
        <f t="shared" si="4"/>
        <v>24.285714285714285</v>
      </c>
      <c r="U12" s="17">
        <f t="shared" si="4"/>
        <v>7.5714285714285712</v>
      </c>
      <c r="V12" s="17">
        <f t="shared" si="4"/>
        <v>197.57142857142856</v>
      </c>
      <c r="W12" s="17">
        <f t="shared" si="4"/>
        <v>1</v>
      </c>
      <c r="X12" s="17">
        <f t="shared" si="4"/>
        <v>0.71428571428571419</v>
      </c>
      <c r="Y12" s="17">
        <f t="shared" si="4"/>
        <v>10</v>
      </c>
      <c r="Z12" s="17">
        <f t="shared" si="4"/>
        <v>2.8571428571428568</v>
      </c>
      <c r="AA12" s="17">
        <f t="shared" si="4"/>
        <v>0.5714285714285714</v>
      </c>
      <c r="AB12" s="17">
        <f t="shared" si="4"/>
        <v>0</v>
      </c>
      <c r="AC12" s="17">
        <f t="shared" si="4"/>
        <v>590.28571428571422</v>
      </c>
      <c r="AD12" s="17">
        <f t="shared" si="4"/>
        <v>0</v>
      </c>
      <c r="AE12" s="31">
        <f t="shared" si="4"/>
        <v>297</v>
      </c>
      <c r="AF12" s="31">
        <f t="shared" si="4"/>
        <v>887.28571428571433</v>
      </c>
    </row>
    <row r="13" spans="2:32" ht="23.1" customHeight="1" x14ac:dyDescent="0.25">
      <c r="B13" s="23" t="s">
        <v>40</v>
      </c>
      <c r="C13" s="49">
        <f>AVERAGE('22.07 Kibuye-Munyonyo'!C13,'23.07 Kibuye-Munyonyo'!C13,'24.07 Kibuye-Munyonyo'!C13,'25.07 Kibuye-Munyonyo'!C13,'26.07 Kibuye-Munyonyo-24h'!C13,'27.07 Kibuye-Munyonyo-24h'!C13,'28.07 Kibuye-Munyonyo'!C13)</f>
        <v>7.8571428571428568</v>
      </c>
      <c r="D13" s="49">
        <f>AVERAGE('22.07 Kibuye-Munyonyo'!D13,'23.07 Kibuye-Munyonyo'!D13,'24.07 Kibuye-Munyonyo'!D13,'25.07 Kibuye-Munyonyo'!D13,'26.07 Kibuye-Munyonyo-24h'!D13,'27.07 Kibuye-Munyonyo-24h'!D13,'28.07 Kibuye-Munyonyo'!D13)</f>
        <v>4.8571428571428568</v>
      </c>
      <c r="E13" s="49">
        <f>AVERAGE('22.07 Kibuye-Munyonyo'!E13,'23.07 Kibuye-Munyonyo'!E13,'24.07 Kibuye-Munyonyo'!E13,'25.07 Kibuye-Munyonyo'!E13,'26.07 Kibuye-Munyonyo-24h'!E13,'27.07 Kibuye-Munyonyo-24h'!E13,'28.07 Kibuye-Munyonyo'!E13)</f>
        <v>1.8571428571428572</v>
      </c>
      <c r="F13" s="49">
        <f>AVERAGE('22.07 Kibuye-Munyonyo'!F13,'23.07 Kibuye-Munyonyo'!F13,'24.07 Kibuye-Munyonyo'!F13,'25.07 Kibuye-Munyonyo'!F13,'26.07 Kibuye-Munyonyo-24h'!F13,'27.07 Kibuye-Munyonyo-24h'!F13,'28.07 Kibuye-Munyonyo'!F13)</f>
        <v>61.714285714285715</v>
      </c>
      <c r="G13" s="49">
        <f>AVERAGE('22.07 Kibuye-Munyonyo'!G13,'23.07 Kibuye-Munyonyo'!G13,'24.07 Kibuye-Munyonyo'!G13,'25.07 Kibuye-Munyonyo'!G13,'26.07 Kibuye-Munyonyo-24h'!G13,'27.07 Kibuye-Munyonyo-24h'!G13,'28.07 Kibuye-Munyonyo'!G13)</f>
        <v>0.42857142857142855</v>
      </c>
      <c r="H13" s="49">
        <f>AVERAGE('22.07 Kibuye-Munyonyo'!H13,'23.07 Kibuye-Munyonyo'!H13,'24.07 Kibuye-Munyonyo'!H13,'25.07 Kibuye-Munyonyo'!H13,'26.07 Kibuye-Munyonyo-24h'!H13,'27.07 Kibuye-Munyonyo-24h'!H13,'28.07 Kibuye-Munyonyo'!H13)</f>
        <v>0.14285714285714285</v>
      </c>
      <c r="I13" s="49">
        <f>AVERAGE('22.07 Kibuye-Munyonyo'!I13,'23.07 Kibuye-Munyonyo'!I13,'24.07 Kibuye-Munyonyo'!I13,'25.07 Kibuye-Munyonyo'!I13,'26.07 Kibuye-Munyonyo-24h'!I13,'27.07 Kibuye-Munyonyo-24h'!I13,'28.07 Kibuye-Munyonyo'!I13)</f>
        <v>1.5714285714285714</v>
      </c>
      <c r="J13" s="49">
        <f>AVERAGE('22.07 Kibuye-Munyonyo'!J13,'23.07 Kibuye-Munyonyo'!J13,'24.07 Kibuye-Munyonyo'!J13,'25.07 Kibuye-Munyonyo'!J13,'26.07 Kibuye-Munyonyo-24h'!J13,'27.07 Kibuye-Munyonyo-24h'!J13,'28.07 Kibuye-Munyonyo'!J13)</f>
        <v>0.42857142857142855</v>
      </c>
      <c r="K13" s="49">
        <f>AVERAGE('22.07 Kibuye-Munyonyo'!K13,'23.07 Kibuye-Munyonyo'!K13,'24.07 Kibuye-Munyonyo'!K13,'25.07 Kibuye-Munyonyo'!K13,'26.07 Kibuye-Munyonyo-24h'!K13,'27.07 Kibuye-Munyonyo-24h'!K13,'28.07 Kibuye-Munyonyo'!K13)</f>
        <v>0.2857142857142857</v>
      </c>
      <c r="L13" s="49">
        <f>AVERAGE('22.07 Kibuye-Munyonyo'!L13,'23.07 Kibuye-Munyonyo'!L13,'24.07 Kibuye-Munyonyo'!L13,'25.07 Kibuye-Munyonyo'!L13,'26.07 Kibuye-Munyonyo-24h'!L13,'27.07 Kibuye-Munyonyo-24h'!L13,'28.07 Kibuye-Munyonyo'!L13)</f>
        <v>0</v>
      </c>
      <c r="M13" s="49">
        <f>AVERAGE('22.07 Kibuye-Munyonyo'!M13,'23.07 Kibuye-Munyonyo'!M13,'24.07 Kibuye-Munyonyo'!M13,'25.07 Kibuye-Munyonyo'!M13,'26.07 Kibuye-Munyonyo-24h'!M13,'27.07 Kibuye-Munyonyo-24h'!M13,'28.07 Kibuye-Munyonyo'!M13)</f>
        <v>124.71428571428571</v>
      </c>
      <c r="N13" s="49">
        <f>AVERAGE('22.07 Kibuye-Munyonyo'!N13,'23.07 Kibuye-Munyonyo'!N13,'24.07 Kibuye-Munyonyo'!N13,'25.07 Kibuye-Munyonyo'!N13,'26.07 Kibuye-Munyonyo-24h'!N13,'27.07 Kibuye-Munyonyo-24h'!N13,'28.07 Kibuye-Munyonyo'!N13)</f>
        <v>0</v>
      </c>
      <c r="O13" s="15">
        <f t="shared" si="0"/>
        <v>79.142857142857153</v>
      </c>
      <c r="P13" s="15">
        <f t="shared" si="1"/>
        <v>203.85714285714286</v>
      </c>
      <c r="R13" s="1" t="s">
        <v>9</v>
      </c>
      <c r="S13" s="17">
        <f t="shared" ref="S13:AF13" si="5">SUM(C22:C25)</f>
        <v>51.857142857142854</v>
      </c>
      <c r="T13" s="17">
        <f t="shared" si="5"/>
        <v>23.285714285714285</v>
      </c>
      <c r="U13" s="17">
        <f t="shared" si="5"/>
        <v>7.8571428571428568</v>
      </c>
      <c r="V13" s="17">
        <f t="shared" si="5"/>
        <v>145.71428571428569</v>
      </c>
      <c r="W13" s="17">
        <f t="shared" si="5"/>
        <v>0.42857142857142855</v>
      </c>
      <c r="X13" s="17">
        <f t="shared" si="5"/>
        <v>0.2857142857142857</v>
      </c>
      <c r="Y13" s="17">
        <f t="shared" si="5"/>
        <v>11.285714285714285</v>
      </c>
      <c r="Z13" s="17">
        <f t="shared" si="5"/>
        <v>2.8571428571428572</v>
      </c>
      <c r="AA13" s="17">
        <f t="shared" si="5"/>
        <v>1.7142857142857142</v>
      </c>
      <c r="AB13" s="17">
        <f t="shared" si="5"/>
        <v>0</v>
      </c>
      <c r="AC13" s="17">
        <f t="shared" si="5"/>
        <v>560.28571428571422</v>
      </c>
      <c r="AD13" s="17">
        <f t="shared" si="5"/>
        <v>0</v>
      </c>
      <c r="AE13" s="31">
        <f t="shared" si="5"/>
        <v>245.28571428571428</v>
      </c>
      <c r="AF13" s="31">
        <f t="shared" si="5"/>
        <v>805.57142857142856</v>
      </c>
    </row>
    <row r="14" spans="2:32" ht="23.1" customHeight="1" x14ac:dyDescent="0.25">
      <c r="B14" s="23" t="s">
        <v>41</v>
      </c>
      <c r="C14" s="49">
        <f>AVERAGE('22.07 Kibuye-Munyonyo'!C14,'23.07 Kibuye-Munyonyo'!C14,'24.07 Kibuye-Munyonyo'!C14,'25.07 Kibuye-Munyonyo'!C14,'26.07 Kibuye-Munyonyo-24h'!C14,'27.07 Kibuye-Munyonyo-24h'!C14,'28.07 Kibuye-Munyonyo'!C14)</f>
        <v>12.571428571428571</v>
      </c>
      <c r="D14" s="49">
        <f>AVERAGE('22.07 Kibuye-Munyonyo'!D14,'23.07 Kibuye-Munyonyo'!D14,'24.07 Kibuye-Munyonyo'!D14,'25.07 Kibuye-Munyonyo'!D14,'26.07 Kibuye-Munyonyo-24h'!D14,'27.07 Kibuye-Munyonyo-24h'!D14,'28.07 Kibuye-Munyonyo'!D14)</f>
        <v>5.2857142857142856</v>
      </c>
      <c r="E14" s="49">
        <f>AVERAGE('22.07 Kibuye-Munyonyo'!E14,'23.07 Kibuye-Munyonyo'!E14,'24.07 Kibuye-Munyonyo'!E14,'25.07 Kibuye-Munyonyo'!E14,'26.07 Kibuye-Munyonyo-24h'!E14,'27.07 Kibuye-Munyonyo-24h'!E14,'28.07 Kibuye-Munyonyo'!E14)</f>
        <v>1.5714285714285714</v>
      </c>
      <c r="F14" s="49">
        <f>AVERAGE('22.07 Kibuye-Munyonyo'!F14,'23.07 Kibuye-Munyonyo'!F14,'24.07 Kibuye-Munyonyo'!F14,'25.07 Kibuye-Munyonyo'!F14,'26.07 Kibuye-Munyonyo-24h'!F14,'27.07 Kibuye-Munyonyo-24h'!F14,'28.07 Kibuye-Munyonyo'!F14)</f>
        <v>68</v>
      </c>
      <c r="G14" s="49">
        <f>AVERAGE('22.07 Kibuye-Munyonyo'!G14,'23.07 Kibuye-Munyonyo'!G14,'24.07 Kibuye-Munyonyo'!G14,'25.07 Kibuye-Munyonyo'!G14,'26.07 Kibuye-Munyonyo-24h'!G14,'27.07 Kibuye-Munyonyo-24h'!G14,'28.07 Kibuye-Munyonyo'!G14)</f>
        <v>0.5714285714285714</v>
      </c>
      <c r="H14" s="49">
        <f>AVERAGE('22.07 Kibuye-Munyonyo'!H14,'23.07 Kibuye-Munyonyo'!H14,'24.07 Kibuye-Munyonyo'!H14,'25.07 Kibuye-Munyonyo'!H14,'26.07 Kibuye-Munyonyo-24h'!H14,'27.07 Kibuye-Munyonyo-24h'!H14,'28.07 Kibuye-Munyonyo'!H14)</f>
        <v>0</v>
      </c>
      <c r="I14" s="49">
        <f>AVERAGE('22.07 Kibuye-Munyonyo'!I14,'23.07 Kibuye-Munyonyo'!I14,'24.07 Kibuye-Munyonyo'!I14,'25.07 Kibuye-Munyonyo'!I14,'26.07 Kibuye-Munyonyo-24h'!I14,'27.07 Kibuye-Munyonyo-24h'!I14,'28.07 Kibuye-Munyonyo'!I14)</f>
        <v>2.2857142857142856</v>
      </c>
      <c r="J14" s="49">
        <f>AVERAGE('22.07 Kibuye-Munyonyo'!J14,'23.07 Kibuye-Munyonyo'!J14,'24.07 Kibuye-Munyonyo'!J14,'25.07 Kibuye-Munyonyo'!J14,'26.07 Kibuye-Munyonyo-24h'!J14,'27.07 Kibuye-Munyonyo-24h'!J14,'28.07 Kibuye-Munyonyo'!J14)</f>
        <v>1.1428571428571428</v>
      </c>
      <c r="K14" s="49">
        <f>AVERAGE('22.07 Kibuye-Munyonyo'!K14,'23.07 Kibuye-Munyonyo'!K14,'24.07 Kibuye-Munyonyo'!K14,'25.07 Kibuye-Munyonyo'!K14,'26.07 Kibuye-Munyonyo-24h'!K14,'27.07 Kibuye-Munyonyo-24h'!K14,'28.07 Kibuye-Munyonyo'!K14)</f>
        <v>0.14285714285714285</v>
      </c>
      <c r="L14" s="49">
        <f>AVERAGE('22.07 Kibuye-Munyonyo'!L14,'23.07 Kibuye-Munyonyo'!L14,'24.07 Kibuye-Munyonyo'!L14,'25.07 Kibuye-Munyonyo'!L14,'26.07 Kibuye-Munyonyo-24h'!L14,'27.07 Kibuye-Munyonyo-24h'!L14,'28.07 Kibuye-Munyonyo'!L14)</f>
        <v>0</v>
      </c>
      <c r="M14" s="49">
        <f>AVERAGE('22.07 Kibuye-Munyonyo'!M14,'23.07 Kibuye-Munyonyo'!M14,'24.07 Kibuye-Munyonyo'!M14,'25.07 Kibuye-Munyonyo'!M14,'26.07 Kibuye-Munyonyo-24h'!M14,'27.07 Kibuye-Munyonyo-24h'!M14,'28.07 Kibuye-Munyonyo'!M14)</f>
        <v>139.57142857142858</v>
      </c>
      <c r="N14" s="49">
        <f>AVERAGE('22.07 Kibuye-Munyonyo'!N14,'23.07 Kibuye-Munyonyo'!N14,'24.07 Kibuye-Munyonyo'!N14,'25.07 Kibuye-Munyonyo'!N14,'26.07 Kibuye-Munyonyo-24h'!N14,'27.07 Kibuye-Munyonyo-24h'!N14,'28.07 Kibuye-Munyonyo'!N14)</f>
        <v>0.14285714285714285</v>
      </c>
      <c r="O14" s="15">
        <f t="shared" si="0"/>
        <v>91.714285714285708</v>
      </c>
      <c r="P14" s="15">
        <f t="shared" si="1"/>
        <v>231.28571428571431</v>
      </c>
      <c r="R14" s="1" t="s">
        <v>10</v>
      </c>
      <c r="S14" s="17">
        <f t="shared" ref="S14:AF14" si="6">SUM(C26:C29)</f>
        <v>67.571428571428569</v>
      </c>
      <c r="T14" s="17">
        <f t="shared" si="6"/>
        <v>27.714285714285712</v>
      </c>
      <c r="U14" s="17">
        <f t="shared" si="6"/>
        <v>9</v>
      </c>
      <c r="V14" s="17">
        <f t="shared" si="6"/>
        <v>121.42857142857142</v>
      </c>
      <c r="W14" s="17">
        <f t="shared" si="6"/>
        <v>0</v>
      </c>
      <c r="X14" s="17">
        <f t="shared" si="6"/>
        <v>0</v>
      </c>
      <c r="Y14" s="17">
        <f t="shared" si="6"/>
        <v>14.285714285714285</v>
      </c>
      <c r="Z14" s="17">
        <f t="shared" si="6"/>
        <v>1.857142857142857</v>
      </c>
      <c r="AA14" s="17">
        <f t="shared" si="6"/>
        <v>1.5714285714285712</v>
      </c>
      <c r="AB14" s="17">
        <f t="shared" si="6"/>
        <v>0</v>
      </c>
      <c r="AC14" s="17">
        <f t="shared" si="6"/>
        <v>534.57142857142856</v>
      </c>
      <c r="AD14" s="17">
        <f t="shared" si="6"/>
        <v>0</v>
      </c>
      <c r="AE14" s="31">
        <f t="shared" si="6"/>
        <v>243.42857142857144</v>
      </c>
      <c r="AF14" s="31">
        <f t="shared" si="6"/>
        <v>778</v>
      </c>
    </row>
    <row r="15" spans="2:32" ht="23.1" customHeight="1" x14ac:dyDescent="0.25">
      <c r="B15" s="23" t="s">
        <v>42</v>
      </c>
      <c r="C15" s="49">
        <f>AVERAGE('22.07 Kibuye-Munyonyo'!C15,'23.07 Kibuye-Munyonyo'!C15,'24.07 Kibuye-Munyonyo'!C15,'25.07 Kibuye-Munyonyo'!C15,'26.07 Kibuye-Munyonyo-24h'!C15,'27.07 Kibuye-Munyonyo-24h'!C15,'28.07 Kibuye-Munyonyo'!C15)</f>
        <v>9.5714285714285712</v>
      </c>
      <c r="D15" s="49">
        <f>AVERAGE('22.07 Kibuye-Munyonyo'!D15,'23.07 Kibuye-Munyonyo'!D15,'24.07 Kibuye-Munyonyo'!D15,'25.07 Kibuye-Munyonyo'!D15,'26.07 Kibuye-Munyonyo-24h'!D15,'27.07 Kibuye-Munyonyo-24h'!D15,'28.07 Kibuye-Munyonyo'!D15)</f>
        <v>4</v>
      </c>
      <c r="E15" s="49">
        <f>AVERAGE('22.07 Kibuye-Munyonyo'!E15,'23.07 Kibuye-Munyonyo'!E15,'24.07 Kibuye-Munyonyo'!E15,'25.07 Kibuye-Munyonyo'!E15,'26.07 Kibuye-Munyonyo-24h'!E15,'27.07 Kibuye-Munyonyo-24h'!E15,'28.07 Kibuye-Munyonyo'!E15)</f>
        <v>1.8571428571428572</v>
      </c>
      <c r="F15" s="49">
        <f>AVERAGE('22.07 Kibuye-Munyonyo'!F15,'23.07 Kibuye-Munyonyo'!F15,'24.07 Kibuye-Munyonyo'!F15,'25.07 Kibuye-Munyonyo'!F15,'26.07 Kibuye-Munyonyo-24h'!F15,'27.07 Kibuye-Munyonyo-24h'!F15,'28.07 Kibuye-Munyonyo'!F15)</f>
        <v>59.571428571428569</v>
      </c>
      <c r="G15" s="49">
        <f>AVERAGE('22.07 Kibuye-Munyonyo'!G15,'23.07 Kibuye-Munyonyo'!G15,'24.07 Kibuye-Munyonyo'!G15,'25.07 Kibuye-Munyonyo'!G15,'26.07 Kibuye-Munyonyo-24h'!G15,'27.07 Kibuye-Munyonyo-24h'!G15,'28.07 Kibuye-Munyonyo'!G15)</f>
        <v>0.8571428571428571</v>
      </c>
      <c r="H15" s="49">
        <f>AVERAGE('22.07 Kibuye-Munyonyo'!H15,'23.07 Kibuye-Munyonyo'!H15,'24.07 Kibuye-Munyonyo'!H15,'25.07 Kibuye-Munyonyo'!H15,'26.07 Kibuye-Munyonyo-24h'!H15,'27.07 Kibuye-Munyonyo-24h'!H15,'28.07 Kibuye-Munyonyo'!H15)</f>
        <v>0</v>
      </c>
      <c r="I15" s="49">
        <f>AVERAGE('22.07 Kibuye-Munyonyo'!I15,'23.07 Kibuye-Munyonyo'!I15,'24.07 Kibuye-Munyonyo'!I15,'25.07 Kibuye-Munyonyo'!I15,'26.07 Kibuye-Munyonyo-24h'!I15,'27.07 Kibuye-Munyonyo-24h'!I15,'28.07 Kibuye-Munyonyo'!I15)</f>
        <v>2</v>
      </c>
      <c r="J15" s="49">
        <f>AVERAGE('22.07 Kibuye-Munyonyo'!J15,'23.07 Kibuye-Munyonyo'!J15,'24.07 Kibuye-Munyonyo'!J15,'25.07 Kibuye-Munyonyo'!J15,'26.07 Kibuye-Munyonyo-24h'!J15,'27.07 Kibuye-Munyonyo-24h'!J15,'28.07 Kibuye-Munyonyo'!J15)</f>
        <v>1.1428571428571428</v>
      </c>
      <c r="K15" s="49">
        <f>AVERAGE('22.07 Kibuye-Munyonyo'!K15,'23.07 Kibuye-Munyonyo'!K15,'24.07 Kibuye-Munyonyo'!K15,'25.07 Kibuye-Munyonyo'!K15,'26.07 Kibuye-Munyonyo-24h'!K15,'27.07 Kibuye-Munyonyo-24h'!K15,'28.07 Kibuye-Munyonyo'!K15)</f>
        <v>0.14285714285714285</v>
      </c>
      <c r="L15" s="49">
        <f>AVERAGE('22.07 Kibuye-Munyonyo'!L15,'23.07 Kibuye-Munyonyo'!L15,'24.07 Kibuye-Munyonyo'!L15,'25.07 Kibuye-Munyonyo'!L15,'26.07 Kibuye-Munyonyo-24h'!L15,'27.07 Kibuye-Munyonyo-24h'!L15,'28.07 Kibuye-Munyonyo'!L15)</f>
        <v>0</v>
      </c>
      <c r="M15" s="49">
        <f>AVERAGE('22.07 Kibuye-Munyonyo'!M15,'23.07 Kibuye-Munyonyo'!M15,'24.07 Kibuye-Munyonyo'!M15,'25.07 Kibuye-Munyonyo'!M15,'26.07 Kibuye-Munyonyo-24h'!M15,'27.07 Kibuye-Munyonyo-24h'!M15,'28.07 Kibuye-Munyonyo'!M15)</f>
        <v>155.71428571428572</v>
      </c>
      <c r="N15" s="49">
        <f>AVERAGE('22.07 Kibuye-Munyonyo'!N15,'23.07 Kibuye-Munyonyo'!N15,'24.07 Kibuye-Munyonyo'!N15,'25.07 Kibuye-Munyonyo'!N15,'26.07 Kibuye-Munyonyo-24h'!N15,'27.07 Kibuye-Munyonyo-24h'!N15,'28.07 Kibuye-Munyonyo'!N15)</f>
        <v>0</v>
      </c>
      <c r="O15" s="15">
        <f t="shared" si="0"/>
        <v>79.142857142857139</v>
      </c>
      <c r="P15" s="15">
        <f t="shared" si="1"/>
        <v>234.85714285714286</v>
      </c>
      <c r="R15" s="1" t="s">
        <v>11</v>
      </c>
      <c r="S15" s="17">
        <f t="shared" ref="S15:AF15" si="7">SUM(C30:C33)</f>
        <v>63.428571428571431</v>
      </c>
      <c r="T15" s="17">
        <f t="shared" si="7"/>
        <v>28.857142857142858</v>
      </c>
      <c r="U15" s="17">
        <f t="shared" si="7"/>
        <v>12.857142857142856</v>
      </c>
      <c r="V15" s="17">
        <f t="shared" si="7"/>
        <v>96.285714285714278</v>
      </c>
      <c r="W15" s="17">
        <f t="shared" si="7"/>
        <v>0.2857142857142857</v>
      </c>
      <c r="X15" s="17">
        <f t="shared" si="7"/>
        <v>0</v>
      </c>
      <c r="Y15" s="17">
        <f t="shared" si="7"/>
        <v>11.571428571428571</v>
      </c>
      <c r="Z15" s="17">
        <f t="shared" si="7"/>
        <v>1.714285714285714</v>
      </c>
      <c r="AA15" s="17">
        <f t="shared" si="7"/>
        <v>1.714285714285714</v>
      </c>
      <c r="AB15" s="17">
        <f t="shared" si="7"/>
        <v>0</v>
      </c>
      <c r="AC15" s="17">
        <f t="shared" si="7"/>
        <v>477.28571428571433</v>
      </c>
      <c r="AD15" s="17">
        <f t="shared" si="7"/>
        <v>0.14285714285714285</v>
      </c>
      <c r="AE15" s="31">
        <f t="shared" si="7"/>
        <v>216.85714285714286</v>
      </c>
      <c r="AF15" s="31">
        <f t="shared" si="7"/>
        <v>694.14285714285711</v>
      </c>
    </row>
    <row r="16" spans="2:32" ht="23.1" customHeight="1" x14ac:dyDescent="0.25">
      <c r="B16" s="23" t="s">
        <v>43</v>
      </c>
      <c r="C16" s="49">
        <f>AVERAGE('22.07 Kibuye-Munyonyo'!C16,'23.07 Kibuye-Munyonyo'!C16,'24.07 Kibuye-Munyonyo'!C16,'25.07 Kibuye-Munyonyo'!C16,'26.07 Kibuye-Munyonyo-24h'!C16,'27.07 Kibuye-Munyonyo-24h'!C16,'28.07 Kibuye-Munyonyo'!C16)</f>
        <v>10.142857142857142</v>
      </c>
      <c r="D16" s="49">
        <f>AVERAGE('22.07 Kibuye-Munyonyo'!D16,'23.07 Kibuye-Munyonyo'!D16,'24.07 Kibuye-Munyonyo'!D16,'25.07 Kibuye-Munyonyo'!D16,'26.07 Kibuye-Munyonyo-24h'!D16,'27.07 Kibuye-Munyonyo-24h'!D16,'28.07 Kibuye-Munyonyo'!D16)</f>
        <v>4.8571428571428568</v>
      </c>
      <c r="E16" s="49">
        <f>AVERAGE('22.07 Kibuye-Munyonyo'!E16,'23.07 Kibuye-Munyonyo'!E16,'24.07 Kibuye-Munyonyo'!E16,'25.07 Kibuye-Munyonyo'!E16,'26.07 Kibuye-Munyonyo-24h'!E16,'27.07 Kibuye-Munyonyo-24h'!E16,'28.07 Kibuye-Munyonyo'!E16)</f>
        <v>2.1428571428571428</v>
      </c>
      <c r="F16" s="49">
        <f>AVERAGE('22.07 Kibuye-Munyonyo'!F16,'23.07 Kibuye-Munyonyo'!F16,'24.07 Kibuye-Munyonyo'!F16,'25.07 Kibuye-Munyonyo'!F16,'26.07 Kibuye-Munyonyo-24h'!F16,'27.07 Kibuye-Munyonyo-24h'!F16,'28.07 Kibuye-Munyonyo'!F16)</f>
        <v>62.571428571428569</v>
      </c>
      <c r="G16" s="49">
        <f>AVERAGE('22.07 Kibuye-Munyonyo'!G16,'23.07 Kibuye-Munyonyo'!G16,'24.07 Kibuye-Munyonyo'!G16,'25.07 Kibuye-Munyonyo'!G16,'26.07 Kibuye-Munyonyo-24h'!G16,'27.07 Kibuye-Munyonyo-24h'!G16,'28.07 Kibuye-Munyonyo'!G16)</f>
        <v>0.42857142857142855</v>
      </c>
      <c r="H16" s="49">
        <f>AVERAGE('22.07 Kibuye-Munyonyo'!H16,'23.07 Kibuye-Munyonyo'!H16,'24.07 Kibuye-Munyonyo'!H16,'25.07 Kibuye-Munyonyo'!H16,'26.07 Kibuye-Munyonyo-24h'!H16,'27.07 Kibuye-Munyonyo-24h'!H16,'28.07 Kibuye-Munyonyo'!H16)</f>
        <v>0</v>
      </c>
      <c r="I16" s="49">
        <f>AVERAGE('22.07 Kibuye-Munyonyo'!I16,'23.07 Kibuye-Munyonyo'!I16,'24.07 Kibuye-Munyonyo'!I16,'25.07 Kibuye-Munyonyo'!I16,'26.07 Kibuye-Munyonyo-24h'!I16,'27.07 Kibuye-Munyonyo-24h'!I16,'28.07 Kibuye-Munyonyo'!I16)</f>
        <v>1.2857142857142858</v>
      </c>
      <c r="J16" s="49">
        <f>AVERAGE('22.07 Kibuye-Munyonyo'!J16,'23.07 Kibuye-Munyonyo'!J16,'24.07 Kibuye-Munyonyo'!J16,'25.07 Kibuye-Munyonyo'!J16,'26.07 Kibuye-Munyonyo-24h'!J16,'27.07 Kibuye-Munyonyo-24h'!J16,'28.07 Kibuye-Munyonyo'!J16)</f>
        <v>0.2857142857142857</v>
      </c>
      <c r="K16" s="49">
        <f>AVERAGE('22.07 Kibuye-Munyonyo'!K16,'23.07 Kibuye-Munyonyo'!K16,'24.07 Kibuye-Munyonyo'!K16,'25.07 Kibuye-Munyonyo'!K16,'26.07 Kibuye-Munyonyo-24h'!K16,'27.07 Kibuye-Munyonyo-24h'!K16,'28.07 Kibuye-Munyonyo'!K16)</f>
        <v>0.42857142857142855</v>
      </c>
      <c r="L16" s="49">
        <f>AVERAGE('22.07 Kibuye-Munyonyo'!L16,'23.07 Kibuye-Munyonyo'!L16,'24.07 Kibuye-Munyonyo'!L16,'25.07 Kibuye-Munyonyo'!L16,'26.07 Kibuye-Munyonyo-24h'!L16,'27.07 Kibuye-Munyonyo-24h'!L16,'28.07 Kibuye-Munyonyo'!L16)</f>
        <v>0</v>
      </c>
      <c r="M16" s="49">
        <f>AVERAGE('22.07 Kibuye-Munyonyo'!M16,'23.07 Kibuye-Munyonyo'!M16,'24.07 Kibuye-Munyonyo'!M16,'25.07 Kibuye-Munyonyo'!M16,'26.07 Kibuye-Munyonyo-24h'!M16,'27.07 Kibuye-Munyonyo-24h'!M16,'28.07 Kibuye-Munyonyo'!M16)</f>
        <v>157.57142857142858</v>
      </c>
      <c r="N16" s="49">
        <f>AVERAGE('22.07 Kibuye-Munyonyo'!N16,'23.07 Kibuye-Munyonyo'!N16,'24.07 Kibuye-Munyonyo'!N16,'25.07 Kibuye-Munyonyo'!N16,'26.07 Kibuye-Munyonyo-24h'!N16,'27.07 Kibuye-Munyonyo-24h'!N16,'28.07 Kibuye-Munyonyo'!N16)</f>
        <v>0</v>
      </c>
      <c r="O16" s="15">
        <f t="shared" si="0"/>
        <v>82.142857142857153</v>
      </c>
      <c r="P16" s="15">
        <f t="shared" si="1"/>
        <v>239.71428571428572</v>
      </c>
      <c r="R16" s="1" t="s">
        <v>12</v>
      </c>
      <c r="S16" s="17">
        <f t="shared" ref="S16:AF16" si="8">SUM(C34:C37)</f>
        <v>78.428571428571445</v>
      </c>
      <c r="T16" s="17">
        <f t="shared" si="8"/>
        <v>31.571428571428569</v>
      </c>
      <c r="U16" s="17">
        <f t="shared" si="8"/>
        <v>11.428571428571427</v>
      </c>
      <c r="V16" s="17">
        <f t="shared" si="8"/>
        <v>93.142857142857139</v>
      </c>
      <c r="W16" s="17">
        <f t="shared" si="8"/>
        <v>1.2857142857142856</v>
      </c>
      <c r="X16" s="17">
        <f t="shared" si="8"/>
        <v>0</v>
      </c>
      <c r="Y16" s="17">
        <f t="shared" si="8"/>
        <v>14.857142857142858</v>
      </c>
      <c r="Z16" s="17">
        <f t="shared" si="8"/>
        <v>1.5714285714285714</v>
      </c>
      <c r="AA16" s="17">
        <f t="shared" si="8"/>
        <v>1.5714285714285714</v>
      </c>
      <c r="AB16" s="17">
        <f t="shared" si="8"/>
        <v>0.2857142857142857</v>
      </c>
      <c r="AC16" s="17">
        <f t="shared" si="8"/>
        <v>417.71428571428572</v>
      </c>
      <c r="AD16" s="17">
        <f t="shared" si="8"/>
        <v>0</v>
      </c>
      <c r="AE16" s="31">
        <f t="shared" si="8"/>
        <v>234.14285714285714</v>
      </c>
      <c r="AF16" s="31">
        <f t="shared" si="8"/>
        <v>651.85714285714289</v>
      </c>
    </row>
    <row r="17" spans="2:32" ht="23.1" customHeight="1" x14ac:dyDescent="0.25">
      <c r="B17" s="23" t="s">
        <v>44</v>
      </c>
      <c r="C17" s="49">
        <f>AVERAGE('22.07 Kibuye-Munyonyo'!C17,'23.07 Kibuye-Munyonyo'!C17,'24.07 Kibuye-Munyonyo'!C17,'25.07 Kibuye-Munyonyo'!C17,'26.07 Kibuye-Munyonyo-24h'!C17,'27.07 Kibuye-Munyonyo-24h'!C17,'28.07 Kibuye-Munyonyo'!C17)</f>
        <v>10</v>
      </c>
      <c r="D17" s="49">
        <f>AVERAGE('22.07 Kibuye-Munyonyo'!D17,'23.07 Kibuye-Munyonyo'!D17,'24.07 Kibuye-Munyonyo'!D17,'25.07 Kibuye-Munyonyo'!D17,'26.07 Kibuye-Munyonyo-24h'!D17,'27.07 Kibuye-Munyonyo-24h'!D17,'28.07 Kibuye-Munyonyo'!D17)</f>
        <v>3.4285714285714284</v>
      </c>
      <c r="E17" s="49">
        <f>AVERAGE('22.07 Kibuye-Munyonyo'!E17,'23.07 Kibuye-Munyonyo'!E17,'24.07 Kibuye-Munyonyo'!E17,'25.07 Kibuye-Munyonyo'!E17,'26.07 Kibuye-Munyonyo-24h'!E17,'27.07 Kibuye-Munyonyo-24h'!E17,'28.07 Kibuye-Munyonyo'!E17)</f>
        <v>1.2857142857142858</v>
      </c>
      <c r="F17" s="49">
        <f>AVERAGE('22.07 Kibuye-Munyonyo'!F17,'23.07 Kibuye-Munyonyo'!F17,'24.07 Kibuye-Munyonyo'!F17,'25.07 Kibuye-Munyonyo'!F17,'26.07 Kibuye-Munyonyo-24h'!F17,'27.07 Kibuye-Munyonyo-24h'!F17,'28.07 Kibuye-Munyonyo'!F17)</f>
        <v>58.428571428571431</v>
      </c>
      <c r="G17" s="49">
        <f>AVERAGE('22.07 Kibuye-Munyonyo'!G17,'23.07 Kibuye-Munyonyo'!G17,'24.07 Kibuye-Munyonyo'!G17,'25.07 Kibuye-Munyonyo'!G17,'26.07 Kibuye-Munyonyo-24h'!G17,'27.07 Kibuye-Munyonyo-24h'!G17,'28.07 Kibuye-Munyonyo'!G17)</f>
        <v>0.5714285714285714</v>
      </c>
      <c r="H17" s="49">
        <f>AVERAGE('22.07 Kibuye-Munyonyo'!H17,'23.07 Kibuye-Munyonyo'!H17,'24.07 Kibuye-Munyonyo'!H17,'25.07 Kibuye-Munyonyo'!H17,'26.07 Kibuye-Munyonyo-24h'!H17,'27.07 Kibuye-Munyonyo-24h'!H17,'28.07 Kibuye-Munyonyo'!H17)</f>
        <v>0</v>
      </c>
      <c r="I17" s="49">
        <f>AVERAGE('22.07 Kibuye-Munyonyo'!I17,'23.07 Kibuye-Munyonyo'!I17,'24.07 Kibuye-Munyonyo'!I17,'25.07 Kibuye-Munyonyo'!I17,'26.07 Kibuye-Munyonyo-24h'!I17,'27.07 Kibuye-Munyonyo-24h'!I17,'28.07 Kibuye-Munyonyo'!I17)</f>
        <v>2</v>
      </c>
      <c r="J17" s="49">
        <f>AVERAGE('22.07 Kibuye-Munyonyo'!J17,'23.07 Kibuye-Munyonyo'!J17,'24.07 Kibuye-Munyonyo'!J17,'25.07 Kibuye-Munyonyo'!J17,'26.07 Kibuye-Munyonyo-24h'!J17,'27.07 Kibuye-Munyonyo-24h'!J17,'28.07 Kibuye-Munyonyo'!J17)</f>
        <v>0.7142857142857143</v>
      </c>
      <c r="K17" s="49">
        <f>AVERAGE('22.07 Kibuye-Munyonyo'!K17,'23.07 Kibuye-Munyonyo'!K17,'24.07 Kibuye-Munyonyo'!K17,'25.07 Kibuye-Munyonyo'!K17,'26.07 Kibuye-Munyonyo-24h'!K17,'27.07 Kibuye-Munyonyo-24h'!K17,'28.07 Kibuye-Munyonyo'!K17)</f>
        <v>0</v>
      </c>
      <c r="L17" s="49">
        <f>AVERAGE('22.07 Kibuye-Munyonyo'!L17,'23.07 Kibuye-Munyonyo'!L17,'24.07 Kibuye-Munyonyo'!L17,'25.07 Kibuye-Munyonyo'!L17,'26.07 Kibuye-Munyonyo-24h'!L17,'27.07 Kibuye-Munyonyo-24h'!L17,'28.07 Kibuye-Munyonyo'!L17)</f>
        <v>0</v>
      </c>
      <c r="M17" s="49">
        <f>AVERAGE('22.07 Kibuye-Munyonyo'!M17,'23.07 Kibuye-Munyonyo'!M17,'24.07 Kibuye-Munyonyo'!M17,'25.07 Kibuye-Munyonyo'!M17,'26.07 Kibuye-Munyonyo-24h'!M17,'27.07 Kibuye-Munyonyo-24h'!M17,'28.07 Kibuye-Munyonyo'!M17)</f>
        <v>150.57142857142858</v>
      </c>
      <c r="N17" s="49">
        <f>AVERAGE('22.07 Kibuye-Munyonyo'!N17,'23.07 Kibuye-Munyonyo'!N17,'24.07 Kibuye-Munyonyo'!N17,'25.07 Kibuye-Munyonyo'!N17,'26.07 Kibuye-Munyonyo-24h'!N17,'27.07 Kibuye-Munyonyo-24h'!N17,'28.07 Kibuye-Munyonyo'!N17)</f>
        <v>0</v>
      </c>
      <c r="O17" s="15">
        <f t="shared" si="0"/>
        <v>76.428571428571416</v>
      </c>
      <c r="P17" s="15">
        <f t="shared" si="1"/>
        <v>227</v>
      </c>
      <c r="R17" s="1" t="s">
        <v>13</v>
      </c>
      <c r="S17" s="17">
        <f t="shared" ref="S17:AF17" si="9">SUM(C38:C41)</f>
        <v>94.857142857142861</v>
      </c>
      <c r="T17" s="17">
        <f t="shared" si="9"/>
        <v>36.428571428571431</v>
      </c>
      <c r="U17" s="17">
        <f t="shared" si="9"/>
        <v>10.857142857142858</v>
      </c>
      <c r="V17" s="17">
        <f t="shared" si="9"/>
        <v>80.714285714285722</v>
      </c>
      <c r="W17" s="17">
        <f t="shared" si="9"/>
        <v>3.7142857142857144</v>
      </c>
      <c r="X17" s="17">
        <f t="shared" si="9"/>
        <v>0</v>
      </c>
      <c r="Y17" s="17">
        <f t="shared" si="9"/>
        <v>19</v>
      </c>
      <c r="Z17" s="17">
        <f t="shared" si="9"/>
        <v>0.85714285714285698</v>
      </c>
      <c r="AA17" s="17">
        <f t="shared" si="9"/>
        <v>1.2857142857142856</v>
      </c>
      <c r="AB17" s="17">
        <f t="shared" si="9"/>
        <v>0</v>
      </c>
      <c r="AC17" s="17">
        <f t="shared" si="9"/>
        <v>482.28571428571428</v>
      </c>
      <c r="AD17" s="17">
        <f t="shared" si="9"/>
        <v>0</v>
      </c>
      <c r="AE17" s="31">
        <f t="shared" si="9"/>
        <v>247.71428571428572</v>
      </c>
      <c r="AF17" s="31">
        <f t="shared" si="9"/>
        <v>730</v>
      </c>
    </row>
    <row r="18" spans="2:32" ht="23.1" customHeight="1" x14ac:dyDescent="0.25">
      <c r="B18" s="23" t="s">
        <v>45</v>
      </c>
      <c r="C18" s="49">
        <f>AVERAGE('22.07 Kibuye-Munyonyo'!C18,'23.07 Kibuye-Munyonyo'!C18,'24.07 Kibuye-Munyonyo'!C18,'25.07 Kibuye-Munyonyo'!C18,'26.07 Kibuye-Munyonyo-24h'!C18,'27.07 Kibuye-Munyonyo-24h'!C18,'28.07 Kibuye-Munyonyo'!C18)</f>
        <v>12.285714285714286</v>
      </c>
      <c r="D18" s="49">
        <f>AVERAGE('22.07 Kibuye-Munyonyo'!D18,'23.07 Kibuye-Munyonyo'!D18,'24.07 Kibuye-Munyonyo'!D18,'25.07 Kibuye-Munyonyo'!D18,'26.07 Kibuye-Munyonyo-24h'!D18,'27.07 Kibuye-Munyonyo-24h'!D18,'28.07 Kibuye-Munyonyo'!D18)</f>
        <v>5.8571428571428568</v>
      </c>
      <c r="E18" s="49">
        <f>AVERAGE('22.07 Kibuye-Munyonyo'!E18,'23.07 Kibuye-Munyonyo'!E18,'24.07 Kibuye-Munyonyo'!E18,'25.07 Kibuye-Munyonyo'!E18,'26.07 Kibuye-Munyonyo-24h'!E18,'27.07 Kibuye-Munyonyo-24h'!E18,'28.07 Kibuye-Munyonyo'!E18)</f>
        <v>1.5714285714285714</v>
      </c>
      <c r="F18" s="49">
        <f>AVERAGE('22.07 Kibuye-Munyonyo'!F18,'23.07 Kibuye-Munyonyo'!F18,'24.07 Kibuye-Munyonyo'!F18,'25.07 Kibuye-Munyonyo'!F18,'26.07 Kibuye-Munyonyo-24h'!F18,'27.07 Kibuye-Munyonyo-24h'!F18,'28.07 Kibuye-Munyonyo'!F18)</f>
        <v>48.571428571428569</v>
      </c>
      <c r="G18" s="49">
        <f>AVERAGE('22.07 Kibuye-Munyonyo'!G18,'23.07 Kibuye-Munyonyo'!G18,'24.07 Kibuye-Munyonyo'!G18,'25.07 Kibuye-Munyonyo'!G18,'26.07 Kibuye-Munyonyo-24h'!G18,'27.07 Kibuye-Munyonyo-24h'!G18,'28.07 Kibuye-Munyonyo'!G18)</f>
        <v>0</v>
      </c>
      <c r="H18" s="49">
        <f>AVERAGE('22.07 Kibuye-Munyonyo'!H18,'23.07 Kibuye-Munyonyo'!H18,'24.07 Kibuye-Munyonyo'!H18,'25.07 Kibuye-Munyonyo'!H18,'26.07 Kibuye-Munyonyo-24h'!H18,'27.07 Kibuye-Munyonyo-24h'!H18,'28.07 Kibuye-Munyonyo'!H18)</f>
        <v>0</v>
      </c>
      <c r="I18" s="49">
        <f>AVERAGE('22.07 Kibuye-Munyonyo'!I18,'23.07 Kibuye-Munyonyo'!I18,'24.07 Kibuye-Munyonyo'!I18,'25.07 Kibuye-Munyonyo'!I18,'26.07 Kibuye-Munyonyo-24h'!I18,'27.07 Kibuye-Munyonyo-24h'!I18,'28.07 Kibuye-Munyonyo'!I18)</f>
        <v>2.2857142857142856</v>
      </c>
      <c r="J18" s="49">
        <f>AVERAGE('22.07 Kibuye-Munyonyo'!J18,'23.07 Kibuye-Munyonyo'!J18,'24.07 Kibuye-Munyonyo'!J18,'25.07 Kibuye-Munyonyo'!J18,'26.07 Kibuye-Munyonyo-24h'!J18,'27.07 Kibuye-Munyonyo-24h'!J18,'28.07 Kibuye-Munyonyo'!J18)</f>
        <v>0.8571428571428571</v>
      </c>
      <c r="K18" s="49">
        <f>AVERAGE('22.07 Kibuye-Munyonyo'!K18,'23.07 Kibuye-Munyonyo'!K18,'24.07 Kibuye-Munyonyo'!K18,'25.07 Kibuye-Munyonyo'!K18,'26.07 Kibuye-Munyonyo-24h'!K18,'27.07 Kibuye-Munyonyo-24h'!K18,'28.07 Kibuye-Munyonyo'!K18)</f>
        <v>0</v>
      </c>
      <c r="L18" s="49">
        <f>AVERAGE('22.07 Kibuye-Munyonyo'!L18,'23.07 Kibuye-Munyonyo'!L18,'24.07 Kibuye-Munyonyo'!L18,'25.07 Kibuye-Munyonyo'!L18,'26.07 Kibuye-Munyonyo-24h'!L18,'27.07 Kibuye-Munyonyo-24h'!L18,'28.07 Kibuye-Munyonyo'!L18)</f>
        <v>0</v>
      </c>
      <c r="M18" s="49">
        <f>AVERAGE('22.07 Kibuye-Munyonyo'!M18,'23.07 Kibuye-Munyonyo'!M18,'24.07 Kibuye-Munyonyo'!M18,'25.07 Kibuye-Munyonyo'!M18,'26.07 Kibuye-Munyonyo-24h'!M18,'27.07 Kibuye-Munyonyo-24h'!M18,'28.07 Kibuye-Munyonyo'!M18)</f>
        <v>150.71428571428572</v>
      </c>
      <c r="N18" s="49">
        <f>AVERAGE('22.07 Kibuye-Munyonyo'!N18,'23.07 Kibuye-Munyonyo'!N18,'24.07 Kibuye-Munyonyo'!N18,'25.07 Kibuye-Munyonyo'!N18,'26.07 Kibuye-Munyonyo-24h'!N18,'27.07 Kibuye-Munyonyo-24h'!N18,'28.07 Kibuye-Munyonyo'!N18)</f>
        <v>0</v>
      </c>
      <c r="O18" s="15">
        <f t="shared" si="0"/>
        <v>71.428571428571431</v>
      </c>
      <c r="P18" s="15">
        <f t="shared" si="1"/>
        <v>222.14285714285717</v>
      </c>
      <c r="R18" s="1" t="s">
        <v>14</v>
      </c>
      <c r="S18" s="17">
        <f t="shared" ref="S18:AF18" si="10">SUM(C42:C45)</f>
        <v>105.57142857142857</v>
      </c>
      <c r="T18" s="17">
        <f t="shared" si="10"/>
        <v>45.428571428571431</v>
      </c>
      <c r="U18" s="17">
        <f t="shared" si="10"/>
        <v>11.285714285714285</v>
      </c>
      <c r="V18" s="17">
        <f t="shared" si="10"/>
        <v>80.571428571428584</v>
      </c>
      <c r="W18" s="17">
        <f t="shared" si="10"/>
        <v>0.5714285714285714</v>
      </c>
      <c r="X18" s="17">
        <f t="shared" si="10"/>
        <v>0</v>
      </c>
      <c r="Y18" s="17">
        <f t="shared" si="10"/>
        <v>16.571428571428573</v>
      </c>
      <c r="Z18" s="17">
        <f t="shared" si="10"/>
        <v>3.8571428571428568</v>
      </c>
      <c r="AA18" s="17">
        <f t="shared" si="10"/>
        <v>1</v>
      </c>
      <c r="AB18" s="17">
        <f t="shared" si="10"/>
        <v>0.14285714285714285</v>
      </c>
      <c r="AC18" s="17">
        <f t="shared" si="10"/>
        <v>432</v>
      </c>
      <c r="AD18" s="17">
        <f t="shared" si="10"/>
        <v>0</v>
      </c>
      <c r="AE18" s="31">
        <f t="shared" si="10"/>
        <v>265</v>
      </c>
      <c r="AF18" s="31">
        <f t="shared" si="10"/>
        <v>697</v>
      </c>
    </row>
    <row r="19" spans="2:32" ht="23.1" customHeight="1" x14ac:dyDescent="0.25">
      <c r="B19" s="23" t="s">
        <v>46</v>
      </c>
      <c r="C19" s="49">
        <f>AVERAGE('22.07 Kibuye-Munyonyo'!C19,'23.07 Kibuye-Munyonyo'!C19,'24.07 Kibuye-Munyonyo'!C19,'25.07 Kibuye-Munyonyo'!C19,'26.07 Kibuye-Munyonyo-24h'!C19,'27.07 Kibuye-Munyonyo-24h'!C19,'28.07 Kibuye-Munyonyo'!C19)</f>
        <v>14</v>
      </c>
      <c r="D19" s="49">
        <f>AVERAGE('22.07 Kibuye-Munyonyo'!D19,'23.07 Kibuye-Munyonyo'!D19,'24.07 Kibuye-Munyonyo'!D19,'25.07 Kibuye-Munyonyo'!D19,'26.07 Kibuye-Munyonyo-24h'!D19,'27.07 Kibuye-Munyonyo-24h'!D19,'28.07 Kibuye-Munyonyo'!D19)</f>
        <v>5.7142857142857144</v>
      </c>
      <c r="E19" s="49">
        <f>AVERAGE('22.07 Kibuye-Munyonyo'!E19,'23.07 Kibuye-Munyonyo'!E19,'24.07 Kibuye-Munyonyo'!E19,'25.07 Kibuye-Munyonyo'!E19,'26.07 Kibuye-Munyonyo-24h'!E19,'27.07 Kibuye-Munyonyo-24h'!E19,'28.07 Kibuye-Munyonyo'!E19)</f>
        <v>2.1428571428571428</v>
      </c>
      <c r="F19" s="49">
        <f>AVERAGE('22.07 Kibuye-Munyonyo'!F19,'23.07 Kibuye-Munyonyo'!F19,'24.07 Kibuye-Munyonyo'!F19,'25.07 Kibuye-Munyonyo'!F19,'26.07 Kibuye-Munyonyo-24h'!F19,'27.07 Kibuye-Munyonyo-24h'!F19,'28.07 Kibuye-Munyonyo'!F19)</f>
        <v>62.571428571428569</v>
      </c>
      <c r="G19" s="49">
        <f>AVERAGE('22.07 Kibuye-Munyonyo'!G19,'23.07 Kibuye-Munyonyo'!G19,'24.07 Kibuye-Munyonyo'!G19,'25.07 Kibuye-Munyonyo'!G19,'26.07 Kibuye-Munyonyo-24h'!G19,'27.07 Kibuye-Munyonyo-24h'!G19,'28.07 Kibuye-Munyonyo'!G19)</f>
        <v>0.42857142857142855</v>
      </c>
      <c r="H19" s="49">
        <f>AVERAGE('22.07 Kibuye-Munyonyo'!H19,'23.07 Kibuye-Munyonyo'!H19,'24.07 Kibuye-Munyonyo'!H19,'25.07 Kibuye-Munyonyo'!H19,'26.07 Kibuye-Munyonyo-24h'!H19,'27.07 Kibuye-Munyonyo-24h'!H19,'28.07 Kibuye-Munyonyo'!H19)</f>
        <v>0</v>
      </c>
      <c r="I19" s="49">
        <f>AVERAGE('22.07 Kibuye-Munyonyo'!I19,'23.07 Kibuye-Munyonyo'!I19,'24.07 Kibuye-Munyonyo'!I19,'25.07 Kibuye-Munyonyo'!I19,'26.07 Kibuye-Munyonyo-24h'!I19,'27.07 Kibuye-Munyonyo-24h'!I19,'28.07 Kibuye-Munyonyo'!I19)</f>
        <v>2.2857142857142856</v>
      </c>
      <c r="J19" s="49">
        <f>AVERAGE('22.07 Kibuye-Munyonyo'!J19,'23.07 Kibuye-Munyonyo'!J19,'24.07 Kibuye-Munyonyo'!J19,'25.07 Kibuye-Munyonyo'!J19,'26.07 Kibuye-Munyonyo-24h'!J19,'27.07 Kibuye-Munyonyo-24h'!J19,'28.07 Kibuye-Munyonyo'!J19)</f>
        <v>0.5714285714285714</v>
      </c>
      <c r="K19" s="49">
        <f>AVERAGE('22.07 Kibuye-Munyonyo'!K19,'23.07 Kibuye-Munyonyo'!K19,'24.07 Kibuye-Munyonyo'!K19,'25.07 Kibuye-Munyonyo'!K19,'26.07 Kibuye-Munyonyo-24h'!K19,'27.07 Kibuye-Munyonyo-24h'!K19,'28.07 Kibuye-Munyonyo'!K19)</f>
        <v>0</v>
      </c>
      <c r="L19" s="49">
        <f>AVERAGE('22.07 Kibuye-Munyonyo'!L19,'23.07 Kibuye-Munyonyo'!L19,'24.07 Kibuye-Munyonyo'!L19,'25.07 Kibuye-Munyonyo'!L19,'26.07 Kibuye-Munyonyo-24h'!L19,'27.07 Kibuye-Munyonyo-24h'!L19,'28.07 Kibuye-Munyonyo'!L19)</f>
        <v>0</v>
      </c>
      <c r="M19" s="49">
        <f>AVERAGE('22.07 Kibuye-Munyonyo'!M19,'23.07 Kibuye-Munyonyo'!M19,'24.07 Kibuye-Munyonyo'!M19,'25.07 Kibuye-Munyonyo'!M19,'26.07 Kibuye-Munyonyo-24h'!M19,'27.07 Kibuye-Munyonyo-24h'!M19,'28.07 Kibuye-Munyonyo'!M19)</f>
        <v>156.42857142857142</v>
      </c>
      <c r="N19" s="49">
        <f>AVERAGE('22.07 Kibuye-Munyonyo'!N19,'23.07 Kibuye-Munyonyo'!N19,'24.07 Kibuye-Munyonyo'!N19,'25.07 Kibuye-Munyonyo'!N19,'26.07 Kibuye-Munyonyo-24h'!N19,'27.07 Kibuye-Munyonyo-24h'!N19,'28.07 Kibuye-Munyonyo'!N19)</f>
        <v>0</v>
      </c>
      <c r="O19" s="15">
        <f t="shared" si="0"/>
        <v>87.714285714285722</v>
      </c>
      <c r="P19" s="15">
        <f t="shared" si="1"/>
        <v>244.14285714285714</v>
      </c>
      <c r="R19" s="1" t="s">
        <v>15</v>
      </c>
      <c r="S19" s="17">
        <f t="shared" ref="S19:AF19" si="11">SUM(C46:C49)</f>
        <v>123.14285714285714</v>
      </c>
      <c r="T19" s="17">
        <f t="shared" si="11"/>
        <v>62.285714285714292</v>
      </c>
      <c r="U19" s="17">
        <f t="shared" si="11"/>
        <v>15.571428571428571</v>
      </c>
      <c r="V19" s="17">
        <f t="shared" si="11"/>
        <v>103.14285714285714</v>
      </c>
      <c r="W19" s="17">
        <f t="shared" si="11"/>
        <v>1.5714285714285714</v>
      </c>
      <c r="X19" s="17">
        <f t="shared" si="11"/>
        <v>0.14285714285714285</v>
      </c>
      <c r="Y19" s="17">
        <f t="shared" si="11"/>
        <v>18.857142857142854</v>
      </c>
      <c r="Z19" s="17">
        <f t="shared" si="11"/>
        <v>2.2857142857142856</v>
      </c>
      <c r="AA19" s="17">
        <f t="shared" si="11"/>
        <v>0.71428571428571419</v>
      </c>
      <c r="AB19" s="17">
        <f t="shared" si="11"/>
        <v>0</v>
      </c>
      <c r="AC19" s="17">
        <f t="shared" si="11"/>
        <v>478.42857142857144</v>
      </c>
      <c r="AD19" s="17">
        <f t="shared" si="11"/>
        <v>0</v>
      </c>
      <c r="AE19" s="31">
        <f t="shared" si="11"/>
        <v>327.71428571428572</v>
      </c>
      <c r="AF19" s="31">
        <f t="shared" si="11"/>
        <v>806.14285714285711</v>
      </c>
    </row>
    <row r="20" spans="2:32" ht="23.1" customHeight="1" x14ac:dyDescent="0.25">
      <c r="B20" s="23" t="s">
        <v>47</v>
      </c>
      <c r="C20" s="49">
        <f>AVERAGE('22.07 Kibuye-Munyonyo'!C20,'23.07 Kibuye-Munyonyo'!C20,'24.07 Kibuye-Munyonyo'!C20,'25.07 Kibuye-Munyonyo'!C20,'26.07 Kibuye-Munyonyo-24h'!C20,'27.07 Kibuye-Munyonyo-24h'!C20,'28.07 Kibuye-Munyonyo'!C20)</f>
        <v>14.142857142857142</v>
      </c>
      <c r="D20" s="49">
        <f>AVERAGE('22.07 Kibuye-Munyonyo'!D20,'23.07 Kibuye-Munyonyo'!D20,'24.07 Kibuye-Munyonyo'!D20,'25.07 Kibuye-Munyonyo'!D20,'26.07 Kibuye-Munyonyo-24h'!D20,'27.07 Kibuye-Munyonyo-24h'!D20,'28.07 Kibuye-Munyonyo'!D20)</f>
        <v>6.4285714285714288</v>
      </c>
      <c r="E20" s="49">
        <f>AVERAGE('22.07 Kibuye-Munyonyo'!E20,'23.07 Kibuye-Munyonyo'!E20,'24.07 Kibuye-Munyonyo'!E20,'25.07 Kibuye-Munyonyo'!E20,'26.07 Kibuye-Munyonyo-24h'!E20,'27.07 Kibuye-Munyonyo-24h'!E20,'28.07 Kibuye-Munyonyo'!E20)</f>
        <v>1.2857142857142858</v>
      </c>
      <c r="F20" s="49">
        <f>AVERAGE('22.07 Kibuye-Munyonyo'!F20,'23.07 Kibuye-Munyonyo'!F20,'24.07 Kibuye-Munyonyo'!F20,'25.07 Kibuye-Munyonyo'!F20,'26.07 Kibuye-Munyonyo-24h'!F20,'27.07 Kibuye-Munyonyo-24h'!F20,'28.07 Kibuye-Munyonyo'!F20)</f>
        <v>42.142857142857146</v>
      </c>
      <c r="G20" s="49">
        <f>AVERAGE('22.07 Kibuye-Munyonyo'!G20,'23.07 Kibuye-Munyonyo'!G20,'24.07 Kibuye-Munyonyo'!G20,'25.07 Kibuye-Munyonyo'!G20,'26.07 Kibuye-Munyonyo-24h'!G20,'27.07 Kibuye-Munyonyo-24h'!G20,'28.07 Kibuye-Munyonyo'!G20)</f>
        <v>0.14285714285714285</v>
      </c>
      <c r="H20" s="49">
        <f>AVERAGE('22.07 Kibuye-Munyonyo'!H20,'23.07 Kibuye-Munyonyo'!H20,'24.07 Kibuye-Munyonyo'!H20,'25.07 Kibuye-Munyonyo'!H20,'26.07 Kibuye-Munyonyo-24h'!H20,'27.07 Kibuye-Munyonyo-24h'!H20,'28.07 Kibuye-Munyonyo'!H20)</f>
        <v>0.5714285714285714</v>
      </c>
      <c r="I20" s="49">
        <f>AVERAGE('22.07 Kibuye-Munyonyo'!I20,'23.07 Kibuye-Munyonyo'!I20,'24.07 Kibuye-Munyonyo'!I20,'25.07 Kibuye-Munyonyo'!I20,'26.07 Kibuye-Munyonyo-24h'!I20,'27.07 Kibuye-Munyonyo-24h'!I20,'28.07 Kibuye-Munyonyo'!I20)</f>
        <v>2</v>
      </c>
      <c r="J20" s="49">
        <f>AVERAGE('22.07 Kibuye-Munyonyo'!J20,'23.07 Kibuye-Munyonyo'!J20,'24.07 Kibuye-Munyonyo'!J20,'25.07 Kibuye-Munyonyo'!J20,'26.07 Kibuye-Munyonyo-24h'!J20,'27.07 Kibuye-Munyonyo-24h'!J20,'28.07 Kibuye-Munyonyo'!J20)</f>
        <v>0.42857142857142855</v>
      </c>
      <c r="K20" s="49">
        <f>AVERAGE('22.07 Kibuye-Munyonyo'!K20,'23.07 Kibuye-Munyonyo'!K20,'24.07 Kibuye-Munyonyo'!K20,'25.07 Kibuye-Munyonyo'!K20,'26.07 Kibuye-Munyonyo-24h'!K20,'27.07 Kibuye-Munyonyo-24h'!K20,'28.07 Kibuye-Munyonyo'!K20)</f>
        <v>0.42857142857142855</v>
      </c>
      <c r="L20" s="49">
        <f>AVERAGE('22.07 Kibuye-Munyonyo'!L20,'23.07 Kibuye-Munyonyo'!L20,'24.07 Kibuye-Munyonyo'!L20,'25.07 Kibuye-Munyonyo'!L20,'26.07 Kibuye-Munyonyo-24h'!L20,'27.07 Kibuye-Munyonyo-24h'!L20,'28.07 Kibuye-Munyonyo'!L20)</f>
        <v>0</v>
      </c>
      <c r="M20" s="49">
        <f>AVERAGE('22.07 Kibuye-Munyonyo'!M20,'23.07 Kibuye-Munyonyo'!M20,'24.07 Kibuye-Munyonyo'!M20,'25.07 Kibuye-Munyonyo'!M20,'26.07 Kibuye-Munyonyo-24h'!M20,'27.07 Kibuye-Munyonyo-24h'!M20,'28.07 Kibuye-Munyonyo'!M20)</f>
        <v>151.42857142857142</v>
      </c>
      <c r="N20" s="49">
        <f>AVERAGE('22.07 Kibuye-Munyonyo'!N20,'23.07 Kibuye-Munyonyo'!N20,'24.07 Kibuye-Munyonyo'!N20,'25.07 Kibuye-Munyonyo'!N20,'26.07 Kibuye-Munyonyo-24h'!N20,'27.07 Kibuye-Munyonyo-24h'!N20,'28.07 Kibuye-Munyonyo'!N20)</f>
        <v>0</v>
      </c>
      <c r="O20" s="15">
        <f t="shared" si="0"/>
        <v>67.571428571428569</v>
      </c>
      <c r="P20" s="15">
        <f t="shared" si="1"/>
        <v>219</v>
      </c>
      <c r="R20" s="1" t="s">
        <v>16</v>
      </c>
      <c r="S20" s="17">
        <f t="shared" ref="S20:AF20" si="12">SUM(C50:C53)</f>
        <v>149.85714285714286</v>
      </c>
      <c r="T20" s="17">
        <f t="shared" si="12"/>
        <v>72.285714285714292</v>
      </c>
      <c r="U20" s="17">
        <f t="shared" si="12"/>
        <v>16.142857142857142</v>
      </c>
      <c r="V20" s="17">
        <f t="shared" si="12"/>
        <v>117.14285714285714</v>
      </c>
      <c r="W20" s="17">
        <f t="shared" si="12"/>
        <v>1.5714285714285712</v>
      </c>
      <c r="X20" s="17">
        <f t="shared" si="12"/>
        <v>0.71428571428571419</v>
      </c>
      <c r="Y20" s="17">
        <f t="shared" si="12"/>
        <v>17.571428571428569</v>
      </c>
      <c r="Z20" s="17">
        <f t="shared" si="12"/>
        <v>1.714285714285714</v>
      </c>
      <c r="AA20" s="17">
        <f t="shared" si="12"/>
        <v>0.2857142857142857</v>
      </c>
      <c r="AB20" s="17">
        <f t="shared" si="12"/>
        <v>0</v>
      </c>
      <c r="AC20" s="17">
        <f t="shared" si="12"/>
        <v>457.71428571428567</v>
      </c>
      <c r="AD20" s="17">
        <f t="shared" si="12"/>
        <v>0</v>
      </c>
      <c r="AE20" s="31">
        <f t="shared" si="12"/>
        <v>377.28571428571428</v>
      </c>
      <c r="AF20" s="31">
        <f t="shared" si="12"/>
        <v>835</v>
      </c>
    </row>
    <row r="21" spans="2:32" ht="23.1" customHeight="1" x14ac:dyDescent="0.25">
      <c r="B21" s="23" t="s">
        <v>48</v>
      </c>
      <c r="C21" s="49">
        <f>AVERAGE('22.07 Kibuye-Munyonyo'!C21,'23.07 Kibuye-Munyonyo'!C21,'24.07 Kibuye-Munyonyo'!C21,'25.07 Kibuye-Munyonyo'!C21,'26.07 Kibuye-Munyonyo-24h'!C21,'27.07 Kibuye-Munyonyo-24h'!C21,'28.07 Kibuye-Munyonyo'!C21)</f>
        <v>12</v>
      </c>
      <c r="D21" s="49">
        <f>AVERAGE('22.07 Kibuye-Munyonyo'!D21,'23.07 Kibuye-Munyonyo'!D21,'24.07 Kibuye-Munyonyo'!D21,'25.07 Kibuye-Munyonyo'!D21,'26.07 Kibuye-Munyonyo-24h'!D21,'27.07 Kibuye-Munyonyo-24h'!D21,'28.07 Kibuye-Munyonyo'!D21)</f>
        <v>6.2857142857142856</v>
      </c>
      <c r="E21" s="49">
        <f>AVERAGE('22.07 Kibuye-Munyonyo'!E21,'23.07 Kibuye-Munyonyo'!E21,'24.07 Kibuye-Munyonyo'!E21,'25.07 Kibuye-Munyonyo'!E21,'26.07 Kibuye-Munyonyo-24h'!E21,'27.07 Kibuye-Munyonyo-24h'!E21,'28.07 Kibuye-Munyonyo'!E21)</f>
        <v>2.5714285714285716</v>
      </c>
      <c r="F21" s="49">
        <f>AVERAGE('22.07 Kibuye-Munyonyo'!F21,'23.07 Kibuye-Munyonyo'!F21,'24.07 Kibuye-Munyonyo'!F21,'25.07 Kibuye-Munyonyo'!F21,'26.07 Kibuye-Munyonyo-24h'!F21,'27.07 Kibuye-Munyonyo-24h'!F21,'28.07 Kibuye-Munyonyo'!F21)</f>
        <v>44.285714285714285</v>
      </c>
      <c r="G21" s="49">
        <f>AVERAGE('22.07 Kibuye-Munyonyo'!G21,'23.07 Kibuye-Munyonyo'!G21,'24.07 Kibuye-Munyonyo'!G21,'25.07 Kibuye-Munyonyo'!G21,'26.07 Kibuye-Munyonyo-24h'!G21,'27.07 Kibuye-Munyonyo-24h'!G21,'28.07 Kibuye-Munyonyo'!G21)</f>
        <v>0.42857142857142855</v>
      </c>
      <c r="H21" s="49">
        <f>AVERAGE('22.07 Kibuye-Munyonyo'!H21,'23.07 Kibuye-Munyonyo'!H21,'24.07 Kibuye-Munyonyo'!H21,'25.07 Kibuye-Munyonyo'!H21,'26.07 Kibuye-Munyonyo-24h'!H21,'27.07 Kibuye-Munyonyo-24h'!H21,'28.07 Kibuye-Munyonyo'!H21)</f>
        <v>0.14285714285714285</v>
      </c>
      <c r="I21" s="49">
        <f>AVERAGE('22.07 Kibuye-Munyonyo'!I21,'23.07 Kibuye-Munyonyo'!I21,'24.07 Kibuye-Munyonyo'!I21,'25.07 Kibuye-Munyonyo'!I21,'26.07 Kibuye-Munyonyo-24h'!I21,'27.07 Kibuye-Munyonyo-24h'!I21,'28.07 Kibuye-Munyonyo'!I21)</f>
        <v>3.4285714285714284</v>
      </c>
      <c r="J21" s="49">
        <f>AVERAGE('22.07 Kibuye-Munyonyo'!J21,'23.07 Kibuye-Munyonyo'!J21,'24.07 Kibuye-Munyonyo'!J21,'25.07 Kibuye-Munyonyo'!J21,'26.07 Kibuye-Munyonyo-24h'!J21,'27.07 Kibuye-Munyonyo-24h'!J21,'28.07 Kibuye-Munyonyo'!J21)</f>
        <v>1</v>
      </c>
      <c r="K21" s="49">
        <f>AVERAGE('22.07 Kibuye-Munyonyo'!K21,'23.07 Kibuye-Munyonyo'!K21,'24.07 Kibuye-Munyonyo'!K21,'25.07 Kibuye-Munyonyo'!K21,'26.07 Kibuye-Munyonyo-24h'!K21,'27.07 Kibuye-Munyonyo-24h'!K21,'28.07 Kibuye-Munyonyo'!K21)</f>
        <v>0.14285714285714285</v>
      </c>
      <c r="L21" s="49">
        <f>AVERAGE('22.07 Kibuye-Munyonyo'!L21,'23.07 Kibuye-Munyonyo'!L21,'24.07 Kibuye-Munyonyo'!L21,'25.07 Kibuye-Munyonyo'!L21,'26.07 Kibuye-Munyonyo-24h'!L21,'27.07 Kibuye-Munyonyo-24h'!L21,'28.07 Kibuye-Munyonyo'!L21)</f>
        <v>0</v>
      </c>
      <c r="M21" s="49">
        <f>AVERAGE('22.07 Kibuye-Munyonyo'!M21,'23.07 Kibuye-Munyonyo'!M21,'24.07 Kibuye-Munyonyo'!M21,'25.07 Kibuye-Munyonyo'!M21,'26.07 Kibuye-Munyonyo-24h'!M21,'27.07 Kibuye-Munyonyo-24h'!M21,'28.07 Kibuye-Munyonyo'!M21)</f>
        <v>131.71428571428572</v>
      </c>
      <c r="N21" s="49">
        <f>AVERAGE('22.07 Kibuye-Munyonyo'!N21,'23.07 Kibuye-Munyonyo'!N21,'24.07 Kibuye-Munyonyo'!N21,'25.07 Kibuye-Munyonyo'!N21,'26.07 Kibuye-Munyonyo-24h'!N21,'27.07 Kibuye-Munyonyo-24h'!N21,'28.07 Kibuye-Munyonyo'!N21)</f>
        <v>0</v>
      </c>
      <c r="O21" s="15">
        <f t="shared" si="0"/>
        <v>70.285714285714278</v>
      </c>
      <c r="P21" s="15">
        <f t="shared" si="1"/>
        <v>202</v>
      </c>
      <c r="R21" s="1" t="s">
        <v>20</v>
      </c>
      <c r="S21" s="34">
        <f t="shared" ref="S21:AF21" si="13">SUM(C54:C57)</f>
        <v>134.71428571428572</v>
      </c>
      <c r="T21" s="17">
        <f t="shared" si="13"/>
        <v>61</v>
      </c>
      <c r="U21" s="17">
        <f t="shared" si="13"/>
        <v>9.5714285714285712</v>
      </c>
      <c r="V21" s="17">
        <f t="shared" si="13"/>
        <v>132.42857142857142</v>
      </c>
      <c r="W21" s="17">
        <f t="shared" si="13"/>
        <v>2.4285714285714284</v>
      </c>
      <c r="X21" s="17">
        <f t="shared" si="13"/>
        <v>0.14285714285714285</v>
      </c>
      <c r="Y21" s="17">
        <f t="shared" si="13"/>
        <v>18.285714285714288</v>
      </c>
      <c r="Z21" s="17">
        <f t="shared" si="13"/>
        <v>1.1428571428571428</v>
      </c>
      <c r="AA21" s="17">
        <f t="shared" si="13"/>
        <v>0.8571428571428571</v>
      </c>
      <c r="AB21" s="17">
        <f t="shared" si="13"/>
        <v>0</v>
      </c>
      <c r="AC21" s="17">
        <f t="shared" si="13"/>
        <v>497.71428571428578</v>
      </c>
      <c r="AD21" s="17">
        <f t="shared" si="13"/>
        <v>0</v>
      </c>
      <c r="AE21" s="31">
        <f t="shared" si="13"/>
        <v>360.57142857142856</v>
      </c>
      <c r="AF21" s="31">
        <f t="shared" si="13"/>
        <v>858.28571428571422</v>
      </c>
    </row>
    <row r="22" spans="2:32" ht="23.1" customHeight="1" x14ac:dyDescent="0.25">
      <c r="B22" s="23" t="s">
        <v>49</v>
      </c>
      <c r="C22" s="49">
        <f>AVERAGE('22.07 Kibuye-Munyonyo'!C22,'23.07 Kibuye-Munyonyo'!C22,'24.07 Kibuye-Munyonyo'!C22,'25.07 Kibuye-Munyonyo'!C22,'26.07 Kibuye-Munyonyo-24h'!C22,'27.07 Kibuye-Munyonyo-24h'!C22,'28.07 Kibuye-Munyonyo'!C22)</f>
        <v>12.428571428571429</v>
      </c>
      <c r="D22" s="49">
        <f>AVERAGE('22.07 Kibuye-Munyonyo'!D22,'23.07 Kibuye-Munyonyo'!D22,'24.07 Kibuye-Munyonyo'!D22,'25.07 Kibuye-Munyonyo'!D22,'26.07 Kibuye-Munyonyo-24h'!D22,'27.07 Kibuye-Munyonyo-24h'!D22,'28.07 Kibuye-Munyonyo'!D22)</f>
        <v>4.5714285714285712</v>
      </c>
      <c r="E22" s="49">
        <f>AVERAGE('22.07 Kibuye-Munyonyo'!E22,'23.07 Kibuye-Munyonyo'!E22,'24.07 Kibuye-Munyonyo'!E22,'25.07 Kibuye-Munyonyo'!E22,'26.07 Kibuye-Munyonyo-24h'!E22,'27.07 Kibuye-Munyonyo-24h'!E22,'28.07 Kibuye-Munyonyo'!E22)</f>
        <v>1.7142857142857142</v>
      </c>
      <c r="F22" s="49">
        <f>AVERAGE('22.07 Kibuye-Munyonyo'!F22,'23.07 Kibuye-Munyonyo'!F22,'24.07 Kibuye-Munyonyo'!F22,'25.07 Kibuye-Munyonyo'!F22,'26.07 Kibuye-Munyonyo-24h'!F22,'27.07 Kibuye-Munyonyo-24h'!F22,'28.07 Kibuye-Munyonyo'!F22)</f>
        <v>33.714285714285715</v>
      </c>
      <c r="G22" s="49">
        <f>AVERAGE('22.07 Kibuye-Munyonyo'!G22,'23.07 Kibuye-Munyonyo'!G22,'24.07 Kibuye-Munyonyo'!G22,'25.07 Kibuye-Munyonyo'!G22,'26.07 Kibuye-Munyonyo-24h'!G22,'27.07 Kibuye-Munyonyo-24h'!G22,'28.07 Kibuye-Munyonyo'!G22)</f>
        <v>0.14285714285714285</v>
      </c>
      <c r="H22" s="49">
        <f>AVERAGE('22.07 Kibuye-Munyonyo'!H22,'23.07 Kibuye-Munyonyo'!H22,'24.07 Kibuye-Munyonyo'!H22,'25.07 Kibuye-Munyonyo'!H22,'26.07 Kibuye-Munyonyo-24h'!H22,'27.07 Kibuye-Munyonyo-24h'!H22,'28.07 Kibuye-Munyonyo'!H22)</f>
        <v>0.14285714285714285</v>
      </c>
      <c r="I22" s="49">
        <f>AVERAGE('22.07 Kibuye-Munyonyo'!I22,'23.07 Kibuye-Munyonyo'!I22,'24.07 Kibuye-Munyonyo'!I22,'25.07 Kibuye-Munyonyo'!I22,'26.07 Kibuye-Munyonyo-24h'!I22,'27.07 Kibuye-Munyonyo-24h'!I22,'28.07 Kibuye-Munyonyo'!I22)</f>
        <v>3</v>
      </c>
      <c r="J22" s="49">
        <f>AVERAGE('22.07 Kibuye-Munyonyo'!J22,'23.07 Kibuye-Munyonyo'!J22,'24.07 Kibuye-Munyonyo'!J22,'25.07 Kibuye-Munyonyo'!J22,'26.07 Kibuye-Munyonyo-24h'!J22,'27.07 Kibuye-Munyonyo-24h'!J22,'28.07 Kibuye-Munyonyo'!J22)</f>
        <v>1</v>
      </c>
      <c r="K22" s="49">
        <f>AVERAGE('22.07 Kibuye-Munyonyo'!K22,'23.07 Kibuye-Munyonyo'!K22,'24.07 Kibuye-Munyonyo'!K22,'25.07 Kibuye-Munyonyo'!K22,'26.07 Kibuye-Munyonyo-24h'!K22,'27.07 Kibuye-Munyonyo-24h'!K22,'28.07 Kibuye-Munyonyo'!K22)</f>
        <v>0.2857142857142857</v>
      </c>
      <c r="L22" s="49">
        <f>AVERAGE('22.07 Kibuye-Munyonyo'!L22,'23.07 Kibuye-Munyonyo'!L22,'24.07 Kibuye-Munyonyo'!L22,'25.07 Kibuye-Munyonyo'!L22,'26.07 Kibuye-Munyonyo-24h'!L22,'27.07 Kibuye-Munyonyo-24h'!L22,'28.07 Kibuye-Munyonyo'!L22)</f>
        <v>0</v>
      </c>
      <c r="M22" s="49">
        <f>AVERAGE('22.07 Kibuye-Munyonyo'!M22,'23.07 Kibuye-Munyonyo'!M22,'24.07 Kibuye-Munyonyo'!M22,'25.07 Kibuye-Munyonyo'!M22,'26.07 Kibuye-Munyonyo-24h'!M22,'27.07 Kibuye-Munyonyo-24h'!M22,'28.07 Kibuye-Munyonyo'!M22)</f>
        <v>147.14285714285714</v>
      </c>
      <c r="N22" s="49">
        <f>AVERAGE('22.07 Kibuye-Munyonyo'!N22,'23.07 Kibuye-Munyonyo'!N22,'24.07 Kibuye-Munyonyo'!N22,'25.07 Kibuye-Munyonyo'!N22,'26.07 Kibuye-Munyonyo-24h'!N22,'27.07 Kibuye-Munyonyo-24h'!N22,'28.07 Kibuye-Munyonyo'!N22)</f>
        <v>0</v>
      </c>
      <c r="O22" s="15">
        <f t="shared" si="0"/>
        <v>57.000000000000007</v>
      </c>
      <c r="P22" s="15">
        <f t="shared" si="1"/>
        <v>204.14285714285714</v>
      </c>
      <c r="R22" s="1" t="s">
        <v>146</v>
      </c>
      <c r="S22" s="34">
        <f>SUM(C58:C61)</f>
        <v>96</v>
      </c>
      <c r="T22" s="34">
        <f t="shared" ref="T22:AD22" si="14">SUM(D58:D61)</f>
        <v>35</v>
      </c>
      <c r="U22" s="34">
        <f t="shared" si="14"/>
        <v>20</v>
      </c>
      <c r="V22" s="34">
        <f t="shared" si="14"/>
        <v>156</v>
      </c>
      <c r="W22" s="34">
        <f t="shared" si="14"/>
        <v>1</v>
      </c>
      <c r="X22" s="34">
        <f t="shared" si="14"/>
        <v>0.5</v>
      </c>
      <c r="Y22" s="34">
        <f t="shared" si="14"/>
        <v>0</v>
      </c>
      <c r="Z22" s="34">
        <f t="shared" si="14"/>
        <v>4</v>
      </c>
      <c r="AA22" s="34">
        <f t="shared" si="14"/>
        <v>6.5</v>
      </c>
      <c r="AB22" s="34">
        <f t="shared" si="14"/>
        <v>0</v>
      </c>
      <c r="AC22" s="34">
        <f t="shared" si="14"/>
        <v>307.5</v>
      </c>
      <c r="AD22" s="34">
        <f t="shared" si="14"/>
        <v>0</v>
      </c>
      <c r="AE22" s="31">
        <f t="shared" ref="AE22" si="15">SUM(O58:O61)</f>
        <v>319</v>
      </c>
      <c r="AF22" s="31">
        <f t="shared" ref="AF22" si="16">SUM(P58:P61)</f>
        <v>626.5</v>
      </c>
    </row>
    <row r="23" spans="2:32" ht="23.1" customHeight="1" x14ac:dyDescent="0.25">
      <c r="B23" s="23" t="s">
        <v>50</v>
      </c>
      <c r="C23" s="49">
        <f>AVERAGE('22.07 Kibuye-Munyonyo'!C23,'23.07 Kibuye-Munyonyo'!C23,'24.07 Kibuye-Munyonyo'!C23,'25.07 Kibuye-Munyonyo'!C23,'26.07 Kibuye-Munyonyo-24h'!C23,'27.07 Kibuye-Munyonyo-24h'!C23,'28.07 Kibuye-Munyonyo'!C23)</f>
        <v>11.571428571428571</v>
      </c>
      <c r="D23" s="49">
        <f>AVERAGE('22.07 Kibuye-Munyonyo'!D23,'23.07 Kibuye-Munyonyo'!D23,'24.07 Kibuye-Munyonyo'!D23,'25.07 Kibuye-Munyonyo'!D23,'26.07 Kibuye-Munyonyo-24h'!D23,'27.07 Kibuye-Munyonyo-24h'!D23,'28.07 Kibuye-Munyonyo'!D23)</f>
        <v>5.7142857142857144</v>
      </c>
      <c r="E23" s="49">
        <f>AVERAGE('22.07 Kibuye-Munyonyo'!E23,'23.07 Kibuye-Munyonyo'!E23,'24.07 Kibuye-Munyonyo'!E23,'25.07 Kibuye-Munyonyo'!E23,'26.07 Kibuye-Munyonyo-24h'!E23,'27.07 Kibuye-Munyonyo-24h'!E23,'28.07 Kibuye-Munyonyo'!E23)</f>
        <v>2.4285714285714284</v>
      </c>
      <c r="F23" s="49">
        <f>AVERAGE('22.07 Kibuye-Munyonyo'!F23,'23.07 Kibuye-Munyonyo'!F23,'24.07 Kibuye-Munyonyo'!F23,'25.07 Kibuye-Munyonyo'!F23,'26.07 Kibuye-Munyonyo-24h'!F23,'27.07 Kibuye-Munyonyo-24h'!F23,'28.07 Kibuye-Munyonyo'!F23)</f>
        <v>37.571428571428569</v>
      </c>
      <c r="G23" s="49">
        <f>AVERAGE('22.07 Kibuye-Munyonyo'!G23,'23.07 Kibuye-Munyonyo'!G23,'24.07 Kibuye-Munyonyo'!G23,'25.07 Kibuye-Munyonyo'!G23,'26.07 Kibuye-Munyonyo-24h'!G23,'27.07 Kibuye-Munyonyo-24h'!G23,'28.07 Kibuye-Munyonyo'!G23)</f>
        <v>0.2857142857142857</v>
      </c>
      <c r="H23" s="49">
        <f>AVERAGE('22.07 Kibuye-Munyonyo'!H23,'23.07 Kibuye-Munyonyo'!H23,'24.07 Kibuye-Munyonyo'!H23,'25.07 Kibuye-Munyonyo'!H23,'26.07 Kibuye-Munyonyo-24h'!H23,'27.07 Kibuye-Munyonyo-24h'!H23,'28.07 Kibuye-Munyonyo'!H23)</f>
        <v>0</v>
      </c>
      <c r="I23" s="49">
        <f>AVERAGE('22.07 Kibuye-Munyonyo'!I23,'23.07 Kibuye-Munyonyo'!I23,'24.07 Kibuye-Munyonyo'!I23,'25.07 Kibuye-Munyonyo'!I23,'26.07 Kibuye-Munyonyo-24h'!I23,'27.07 Kibuye-Munyonyo-24h'!I23,'28.07 Kibuye-Munyonyo'!I23)</f>
        <v>2.7142857142857144</v>
      </c>
      <c r="J23" s="49">
        <f>AVERAGE('22.07 Kibuye-Munyonyo'!J23,'23.07 Kibuye-Munyonyo'!J23,'24.07 Kibuye-Munyonyo'!J23,'25.07 Kibuye-Munyonyo'!J23,'26.07 Kibuye-Munyonyo-24h'!J23,'27.07 Kibuye-Munyonyo-24h'!J23,'28.07 Kibuye-Munyonyo'!J23)</f>
        <v>0.5714285714285714</v>
      </c>
      <c r="K23" s="49">
        <f>AVERAGE('22.07 Kibuye-Munyonyo'!K23,'23.07 Kibuye-Munyonyo'!K23,'24.07 Kibuye-Munyonyo'!K23,'25.07 Kibuye-Munyonyo'!K23,'26.07 Kibuye-Munyonyo-24h'!K23,'27.07 Kibuye-Munyonyo-24h'!K23,'28.07 Kibuye-Munyonyo'!K23)</f>
        <v>0.7142857142857143</v>
      </c>
      <c r="L23" s="49">
        <f>AVERAGE('22.07 Kibuye-Munyonyo'!L23,'23.07 Kibuye-Munyonyo'!L23,'24.07 Kibuye-Munyonyo'!L23,'25.07 Kibuye-Munyonyo'!L23,'26.07 Kibuye-Munyonyo-24h'!L23,'27.07 Kibuye-Munyonyo-24h'!L23,'28.07 Kibuye-Munyonyo'!L23)</f>
        <v>0</v>
      </c>
      <c r="M23" s="49">
        <f>AVERAGE('22.07 Kibuye-Munyonyo'!M23,'23.07 Kibuye-Munyonyo'!M23,'24.07 Kibuye-Munyonyo'!M23,'25.07 Kibuye-Munyonyo'!M23,'26.07 Kibuye-Munyonyo-24h'!M23,'27.07 Kibuye-Munyonyo-24h'!M23,'28.07 Kibuye-Munyonyo'!M23)</f>
        <v>140.14285714285714</v>
      </c>
      <c r="N23" s="49">
        <f>AVERAGE('22.07 Kibuye-Munyonyo'!N23,'23.07 Kibuye-Munyonyo'!N23,'24.07 Kibuye-Munyonyo'!N23,'25.07 Kibuye-Munyonyo'!N23,'26.07 Kibuye-Munyonyo-24h'!N23,'27.07 Kibuye-Munyonyo-24h'!N23,'28.07 Kibuye-Munyonyo'!N23)</f>
        <v>0</v>
      </c>
      <c r="O23" s="15">
        <f t="shared" si="0"/>
        <v>61.571428571428562</v>
      </c>
      <c r="P23" s="15">
        <f t="shared" si="1"/>
        <v>201.71428571428569</v>
      </c>
      <c r="R23" s="1" t="s">
        <v>147</v>
      </c>
      <c r="S23" s="34">
        <f>SUM(C62:C65)</f>
        <v>182</v>
      </c>
      <c r="T23" s="34">
        <f t="shared" ref="T23:AD23" si="17">SUM(D62:D65)</f>
        <v>45</v>
      </c>
      <c r="U23" s="34">
        <f t="shared" si="17"/>
        <v>19</v>
      </c>
      <c r="V23" s="34">
        <f t="shared" si="17"/>
        <v>151</v>
      </c>
      <c r="W23" s="34">
        <f t="shared" si="17"/>
        <v>2</v>
      </c>
      <c r="X23" s="34">
        <f t="shared" si="17"/>
        <v>0</v>
      </c>
      <c r="Y23" s="34">
        <f t="shared" si="17"/>
        <v>11.5</v>
      </c>
      <c r="Z23" s="34">
        <f t="shared" si="17"/>
        <v>2</v>
      </c>
      <c r="AA23" s="34">
        <f t="shared" si="17"/>
        <v>2</v>
      </c>
      <c r="AB23" s="34">
        <f t="shared" si="17"/>
        <v>0</v>
      </c>
      <c r="AC23" s="34">
        <f t="shared" si="17"/>
        <v>477.5</v>
      </c>
      <c r="AD23" s="34">
        <f t="shared" si="17"/>
        <v>0</v>
      </c>
      <c r="AE23" s="31">
        <f t="shared" ref="AE23" si="18">SUM(O62:O65)</f>
        <v>414.5</v>
      </c>
      <c r="AF23" s="31">
        <f t="shared" ref="AF23" si="19">SUM(P62:P65)</f>
        <v>892</v>
      </c>
    </row>
    <row r="24" spans="2:32" ht="23.1" customHeight="1" x14ac:dyDescent="0.25">
      <c r="B24" s="23" t="s">
        <v>51</v>
      </c>
      <c r="C24" s="49">
        <f>AVERAGE('22.07 Kibuye-Munyonyo'!C24,'23.07 Kibuye-Munyonyo'!C24,'24.07 Kibuye-Munyonyo'!C24,'25.07 Kibuye-Munyonyo'!C24,'26.07 Kibuye-Munyonyo-24h'!C24,'27.07 Kibuye-Munyonyo-24h'!C24,'28.07 Kibuye-Munyonyo'!C24)</f>
        <v>13.142857142857142</v>
      </c>
      <c r="D24" s="49">
        <f>AVERAGE('22.07 Kibuye-Munyonyo'!D24,'23.07 Kibuye-Munyonyo'!D24,'24.07 Kibuye-Munyonyo'!D24,'25.07 Kibuye-Munyonyo'!D24,'26.07 Kibuye-Munyonyo-24h'!D24,'27.07 Kibuye-Munyonyo-24h'!D24,'28.07 Kibuye-Munyonyo'!D24)</f>
        <v>5.4285714285714288</v>
      </c>
      <c r="E24" s="49">
        <f>AVERAGE('22.07 Kibuye-Munyonyo'!E24,'23.07 Kibuye-Munyonyo'!E24,'24.07 Kibuye-Munyonyo'!E24,'25.07 Kibuye-Munyonyo'!E24,'26.07 Kibuye-Munyonyo-24h'!E24,'27.07 Kibuye-Munyonyo-24h'!E24,'28.07 Kibuye-Munyonyo'!E24)</f>
        <v>2.2857142857142856</v>
      </c>
      <c r="F24" s="49">
        <f>AVERAGE('22.07 Kibuye-Munyonyo'!F24,'23.07 Kibuye-Munyonyo'!F24,'24.07 Kibuye-Munyonyo'!F24,'25.07 Kibuye-Munyonyo'!F24,'26.07 Kibuye-Munyonyo-24h'!F24,'27.07 Kibuye-Munyonyo-24h'!F24,'28.07 Kibuye-Munyonyo'!F24)</f>
        <v>36.571428571428569</v>
      </c>
      <c r="G24" s="49">
        <f>AVERAGE('22.07 Kibuye-Munyonyo'!G24,'23.07 Kibuye-Munyonyo'!G24,'24.07 Kibuye-Munyonyo'!G24,'25.07 Kibuye-Munyonyo'!G24,'26.07 Kibuye-Munyonyo-24h'!G24,'27.07 Kibuye-Munyonyo-24h'!G24,'28.07 Kibuye-Munyonyo'!G24)</f>
        <v>0</v>
      </c>
      <c r="H24" s="49">
        <f>AVERAGE('22.07 Kibuye-Munyonyo'!H24,'23.07 Kibuye-Munyonyo'!H24,'24.07 Kibuye-Munyonyo'!H24,'25.07 Kibuye-Munyonyo'!H24,'26.07 Kibuye-Munyonyo-24h'!H24,'27.07 Kibuye-Munyonyo-24h'!H24,'28.07 Kibuye-Munyonyo'!H24)</f>
        <v>0</v>
      </c>
      <c r="I24" s="49">
        <f>AVERAGE('22.07 Kibuye-Munyonyo'!I24,'23.07 Kibuye-Munyonyo'!I24,'24.07 Kibuye-Munyonyo'!I24,'25.07 Kibuye-Munyonyo'!I24,'26.07 Kibuye-Munyonyo-24h'!I24,'27.07 Kibuye-Munyonyo-24h'!I24,'28.07 Kibuye-Munyonyo'!I24)</f>
        <v>2.4285714285714284</v>
      </c>
      <c r="J24" s="49">
        <f>AVERAGE('22.07 Kibuye-Munyonyo'!J24,'23.07 Kibuye-Munyonyo'!J24,'24.07 Kibuye-Munyonyo'!J24,'25.07 Kibuye-Munyonyo'!J24,'26.07 Kibuye-Munyonyo-24h'!J24,'27.07 Kibuye-Munyonyo-24h'!J24,'28.07 Kibuye-Munyonyo'!J24)</f>
        <v>0.5714285714285714</v>
      </c>
      <c r="K24" s="49">
        <f>AVERAGE('22.07 Kibuye-Munyonyo'!K24,'23.07 Kibuye-Munyonyo'!K24,'24.07 Kibuye-Munyonyo'!K24,'25.07 Kibuye-Munyonyo'!K24,'26.07 Kibuye-Munyonyo-24h'!K24,'27.07 Kibuye-Munyonyo-24h'!K24,'28.07 Kibuye-Munyonyo'!K24)</f>
        <v>0.2857142857142857</v>
      </c>
      <c r="L24" s="49">
        <f>AVERAGE('22.07 Kibuye-Munyonyo'!L24,'23.07 Kibuye-Munyonyo'!L24,'24.07 Kibuye-Munyonyo'!L24,'25.07 Kibuye-Munyonyo'!L24,'26.07 Kibuye-Munyonyo-24h'!L24,'27.07 Kibuye-Munyonyo-24h'!L24,'28.07 Kibuye-Munyonyo'!L24)</f>
        <v>0</v>
      </c>
      <c r="M24" s="49">
        <f>AVERAGE('22.07 Kibuye-Munyonyo'!M24,'23.07 Kibuye-Munyonyo'!M24,'24.07 Kibuye-Munyonyo'!M24,'25.07 Kibuye-Munyonyo'!M24,'26.07 Kibuye-Munyonyo-24h'!M24,'27.07 Kibuye-Munyonyo-24h'!M24,'28.07 Kibuye-Munyonyo'!M24)</f>
        <v>133.42857142857142</v>
      </c>
      <c r="N24" s="49">
        <f>AVERAGE('22.07 Kibuye-Munyonyo'!N24,'23.07 Kibuye-Munyonyo'!N24,'24.07 Kibuye-Munyonyo'!N24,'25.07 Kibuye-Munyonyo'!N24,'26.07 Kibuye-Munyonyo-24h'!N24,'27.07 Kibuye-Munyonyo-24h'!N24,'28.07 Kibuye-Munyonyo'!N24)</f>
        <v>0</v>
      </c>
      <c r="O24" s="15">
        <f t="shared" si="0"/>
        <v>60.714285714285708</v>
      </c>
      <c r="P24" s="15">
        <f t="shared" si="1"/>
        <v>194.14285714285711</v>
      </c>
      <c r="R24" s="1" t="s">
        <v>148</v>
      </c>
      <c r="S24" s="34">
        <f>SUM(C66:C69)</f>
        <v>122</v>
      </c>
      <c r="T24" s="34">
        <f t="shared" ref="T24:AD24" si="20">SUM(D66:D69)</f>
        <v>33.5</v>
      </c>
      <c r="U24" s="34">
        <f t="shared" si="20"/>
        <v>10.5</v>
      </c>
      <c r="V24" s="34">
        <f t="shared" si="20"/>
        <v>142</v>
      </c>
      <c r="W24" s="34">
        <f t="shared" si="20"/>
        <v>0</v>
      </c>
      <c r="X24" s="34">
        <f t="shared" si="20"/>
        <v>0</v>
      </c>
      <c r="Y24" s="34">
        <f t="shared" si="20"/>
        <v>3.5</v>
      </c>
      <c r="Z24" s="34">
        <f t="shared" si="20"/>
        <v>4.5</v>
      </c>
      <c r="AA24" s="34">
        <f t="shared" si="20"/>
        <v>4.5</v>
      </c>
      <c r="AB24" s="34">
        <f t="shared" si="20"/>
        <v>0</v>
      </c>
      <c r="AC24" s="34">
        <f t="shared" si="20"/>
        <v>356</v>
      </c>
      <c r="AD24" s="34">
        <f t="shared" si="20"/>
        <v>0.5</v>
      </c>
      <c r="AE24" s="31">
        <f t="shared" ref="AE24" si="21">SUM(O66:O69)</f>
        <v>321</v>
      </c>
      <c r="AF24" s="31">
        <f t="shared" ref="AF24" si="22">SUM(P66:P69)</f>
        <v>677</v>
      </c>
    </row>
    <row r="25" spans="2:32" ht="23.1" customHeight="1" x14ac:dyDescent="0.25">
      <c r="B25" s="23" t="s">
        <v>52</v>
      </c>
      <c r="C25" s="49">
        <f>AVERAGE('22.07 Kibuye-Munyonyo'!C25,'23.07 Kibuye-Munyonyo'!C25,'24.07 Kibuye-Munyonyo'!C25,'25.07 Kibuye-Munyonyo'!C25,'26.07 Kibuye-Munyonyo-24h'!C25,'27.07 Kibuye-Munyonyo-24h'!C25,'28.07 Kibuye-Munyonyo'!C25)</f>
        <v>14.714285714285714</v>
      </c>
      <c r="D25" s="49">
        <f>AVERAGE('22.07 Kibuye-Munyonyo'!D25,'23.07 Kibuye-Munyonyo'!D25,'24.07 Kibuye-Munyonyo'!D25,'25.07 Kibuye-Munyonyo'!D25,'26.07 Kibuye-Munyonyo-24h'!D25,'27.07 Kibuye-Munyonyo-24h'!D25,'28.07 Kibuye-Munyonyo'!D25)</f>
        <v>7.5714285714285712</v>
      </c>
      <c r="E25" s="49">
        <f>AVERAGE('22.07 Kibuye-Munyonyo'!E25,'23.07 Kibuye-Munyonyo'!E25,'24.07 Kibuye-Munyonyo'!E25,'25.07 Kibuye-Munyonyo'!E25,'26.07 Kibuye-Munyonyo-24h'!E25,'27.07 Kibuye-Munyonyo-24h'!E25,'28.07 Kibuye-Munyonyo'!E25)</f>
        <v>1.4285714285714286</v>
      </c>
      <c r="F25" s="49">
        <f>AVERAGE('22.07 Kibuye-Munyonyo'!F25,'23.07 Kibuye-Munyonyo'!F25,'24.07 Kibuye-Munyonyo'!F25,'25.07 Kibuye-Munyonyo'!F25,'26.07 Kibuye-Munyonyo-24h'!F25,'27.07 Kibuye-Munyonyo-24h'!F25,'28.07 Kibuye-Munyonyo'!F25)</f>
        <v>37.857142857142854</v>
      </c>
      <c r="G25" s="49">
        <f>AVERAGE('22.07 Kibuye-Munyonyo'!G25,'23.07 Kibuye-Munyonyo'!G25,'24.07 Kibuye-Munyonyo'!G25,'25.07 Kibuye-Munyonyo'!G25,'26.07 Kibuye-Munyonyo-24h'!G25,'27.07 Kibuye-Munyonyo-24h'!G25,'28.07 Kibuye-Munyonyo'!G25)</f>
        <v>0</v>
      </c>
      <c r="H25" s="49">
        <f>AVERAGE('22.07 Kibuye-Munyonyo'!H25,'23.07 Kibuye-Munyonyo'!H25,'24.07 Kibuye-Munyonyo'!H25,'25.07 Kibuye-Munyonyo'!H25,'26.07 Kibuye-Munyonyo-24h'!H25,'27.07 Kibuye-Munyonyo-24h'!H25,'28.07 Kibuye-Munyonyo'!H25)</f>
        <v>0.14285714285714285</v>
      </c>
      <c r="I25" s="49">
        <f>AVERAGE('22.07 Kibuye-Munyonyo'!I25,'23.07 Kibuye-Munyonyo'!I25,'24.07 Kibuye-Munyonyo'!I25,'25.07 Kibuye-Munyonyo'!I25,'26.07 Kibuye-Munyonyo-24h'!I25,'27.07 Kibuye-Munyonyo-24h'!I25,'28.07 Kibuye-Munyonyo'!I25)</f>
        <v>3.1428571428571428</v>
      </c>
      <c r="J25" s="49">
        <f>AVERAGE('22.07 Kibuye-Munyonyo'!J25,'23.07 Kibuye-Munyonyo'!J25,'24.07 Kibuye-Munyonyo'!J25,'25.07 Kibuye-Munyonyo'!J25,'26.07 Kibuye-Munyonyo-24h'!J25,'27.07 Kibuye-Munyonyo-24h'!J25,'28.07 Kibuye-Munyonyo'!J25)</f>
        <v>0.7142857142857143</v>
      </c>
      <c r="K25" s="49">
        <f>AVERAGE('22.07 Kibuye-Munyonyo'!K25,'23.07 Kibuye-Munyonyo'!K25,'24.07 Kibuye-Munyonyo'!K25,'25.07 Kibuye-Munyonyo'!K25,'26.07 Kibuye-Munyonyo-24h'!K25,'27.07 Kibuye-Munyonyo-24h'!K25,'28.07 Kibuye-Munyonyo'!K25)</f>
        <v>0.42857142857142855</v>
      </c>
      <c r="L25" s="49">
        <f>AVERAGE('22.07 Kibuye-Munyonyo'!L25,'23.07 Kibuye-Munyonyo'!L25,'24.07 Kibuye-Munyonyo'!L25,'25.07 Kibuye-Munyonyo'!L25,'26.07 Kibuye-Munyonyo-24h'!L25,'27.07 Kibuye-Munyonyo-24h'!L25,'28.07 Kibuye-Munyonyo'!L25)</f>
        <v>0</v>
      </c>
      <c r="M25" s="49">
        <f>AVERAGE('22.07 Kibuye-Munyonyo'!M25,'23.07 Kibuye-Munyonyo'!M25,'24.07 Kibuye-Munyonyo'!M25,'25.07 Kibuye-Munyonyo'!M25,'26.07 Kibuye-Munyonyo-24h'!M25,'27.07 Kibuye-Munyonyo-24h'!M25,'28.07 Kibuye-Munyonyo'!M25)</f>
        <v>139.57142857142858</v>
      </c>
      <c r="N25" s="49">
        <f>AVERAGE('22.07 Kibuye-Munyonyo'!N25,'23.07 Kibuye-Munyonyo'!N25,'24.07 Kibuye-Munyonyo'!N25,'25.07 Kibuye-Munyonyo'!N25,'26.07 Kibuye-Munyonyo-24h'!N25,'27.07 Kibuye-Munyonyo-24h'!N25,'28.07 Kibuye-Munyonyo'!N25)</f>
        <v>0</v>
      </c>
      <c r="O25" s="15">
        <f t="shared" si="0"/>
        <v>66</v>
      </c>
      <c r="P25" s="15">
        <f t="shared" si="1"/>
        <v>205.57142857142858</v>
      </c>
      <c r="R25" s="1" t="s">
        <v>149</v>
      </c>
      <c r="S25" s="34">
        <f>SUM(C70:C73)</f>
        <v>149</v>
      </c>
      <c r="T25" s="34">
        <f t="shared" ref="T25:AD25" si="23">SUM(D70:D73)</f>
        <v>28.5</v>
      </c>
      <c r="U25" s="34">
        <f t="shared" si="23"/>
        <v>6</v>
      </c>
      <c r="V25" s="34">
        <f t="shared" si="23"/>
        <v>124</v>
      </c>
      <c r="W25" s="34">
        <f t="shared" si="23"/>
        <v>0.5</v>
      </c>
      <c r="X25" s="34">
        <f t="shared" si="23"/>
        <v>0</v>
      </c>
      <c r="Y25" s="34">
        <f t="shared" si="23"/>
        <v>4.5</v>
      </c>
      <c r="Z25" s="34">
        <f t="shared" si="23"/>
        <v>2</v>
      </c>
      <c r="AA25" s="34">
        <f t="shared" si="23"/>
        <v>1.5</v>
      </c>
      <c r="AB25" s="34">
        <f t="shared" si="23"/>
        <v>0</v>
      </c>
      <c r="AC25" s="34">
        <f t="shared" si="23"/>
        <v>252.5</v>
      </c>
      <c r="AD25" s="34">
        <f t="shared" si="23"/>
        <v>0</v>
      </c>
      <c r="AE25" s="31">
        <f t="shared" ref="AE25" si="24">SUM(O70:O73)</f>
        <v>316</v>
      </c>
      <c r="AF25" s="31">
        <f t="shared" ref="AF25" si="25">SUM(P70:P73)</f>
        <v>568.5</v>
      </c>
    </row>
    <row r="26" spans="2:32" ht="23.1" customHeight="1" x14ac:dyDescent="0.25">
      <c r="B26" s="23" t="s">
        <v>53</v>
      </c>
      <c r="C26" s="49">
        <f>AVERAGE('22.07 Kibuye-Munyonyo'!C26,'23.07 Kibuye-Munyonyo'!C26,'24.07 Kibuye-Munyonyo'!C26,'25.07 Kibuye-Munyonyo'!C26,'26.07 Kibuye-Munyonyo-24h'!C26,'27.07 Kibuye-Munyonyo-24h'!C26,'28.07 Kibuye-Munyonyo'!C26)</f>
        <v>19.142857142857142</v>
      </c>
      <c r="D26" s="49">
        <f>AVERAGE('22.07 Kibuye-Munyonyo'!D26,'23.07 Kibuye-Munyonyo'!D26,'24.07 Kibuye-Munyonyo'!D26,'25.07 Kibuye-Munyonyo'!D26,'26.07 Kibuye-Munyonyo-24h'!D26,'27.07 Kibuye-Munyonyo-24h'!D26,'28.07 Kibuye-Munyonyo'!D26)</f>
        <v>8.1428571428571423</v>
      </c>
      <c r="E26" s="49">
        <f>AVERAGE('22.07 Kibuye-Munyonyo'!E26,'23.07 Kibuye-Munyonyo'!E26,'24.07 Kibuye-Munyonyo'!E26,'25.07 Kibuye-Munyonyo'!E26,'26.07 Kibuye-Munyonyo-24h'!E26,'27.07 Kibuye-Munyonyo-24h'!E26,'28.07 Kibuye-Munyonyo'!E26)</f>
        <v>2.1428571428571428</v>
      </c>
      <c r="F26" s="49">
        <f>AVERAGE('22.07 Kibuye-Munyonyo'!F26,'23.07 Kibuye-Munyonyo'!F26,'24.07 Kibuye-Munyonyo'!F26,'25.07 Kibuye-Munyonyo'!F26,'26.07 Kibuye-Munyonyo-24h'!F26,'27.07 Kibuye-Munyonyo-24h'!F26,'28.07 Kibuye-Munyonyo'!F26)</f>
        <v>34.142857142857146</v>
      </c>
      <c r="G26" s="49">
        <f>AVERAGE('22.07 Kibuye-Munyonyo'!G26,'23.07 Kibuye-Munyonyo'!G26,'24.07 Kibuye-Munyonyo'!G26,'25.07 Kibuye-Munyonyo'!G26,'26.07 Kibuye-Munyonyo-24h'!G26,'27.07 Kibuye-Munyonyo-24h'!G26,'28.07 Kibuye-Munyonyo'!G26)</f>
        <v>0</v>
      </c>
      <c r="H26" s="49">
        <f>AVERAGE('22.07 Kibuye-Munyonyo'!H26,'23.07 Kibuye-Munyonyo'!H26,'24.07 Kibuye-Munyonyo'!H26,'25.07 Kibuye-Munyonyo'!H26,'26.07 Kibuye-Munyonyo-24h'!H26,'27.07 Kibuye-Munyonyo-24h'!H26,'28.07 Kibuye-Munyonyo'!H26)</f>
        <v>0</v>
      </c>
      <c r="I26" s="49">
        <f>AVERAGE('22.07 Kibuye-Munyonyo'!I26,'23.07 Kibuye-Munyonyo'!I26,'24.07 Kibuye-Munyonyo'!I26,'25.07 Kibuye-Munyonyo'!I26,'26.07 Kibuye-Munyonyo-24h'!I26,'27.07 Kibuye-Munyonyo-24h'!I26,'28.07 Kibuye-Munyonyo'!I26)</f>
        <v>2.2857142857142856</v>
      </c>
      <c r="J26" s="49">
        <f>AVERAGE('22.07 Kibuye-Munyonyo'!J26,'23.07 Kibuye-Munyonyo'!J26,'24.07 Kibuye-Munyonyo'!J26,'25.07 Kibuye-Munyonyo'!J26,'26.07 Kibuye-Munyonyo-24h'!J26,'27.07 Kibuye-Munyonyo-24h'!J26,'28.07 Kibuye-Munyonyo'!J26)</f>
        <v>0.42857142857142855</v>
      </c>
      <c r="K26" s="49">
        <f>AVERAGE('22.07 Kibuye-Munyonyo'!K26,'23.07 Kibuye-Munyonyo'!K26,'24.07 Kibuye-Munyonyo'!K26,'25.07 Kibuye-Munyonyo'!K26,'26.07 Kibuye-Munyonyo-24h'!K26,'27.07 Kibuye-Munyonyo-24h'!K26,'28.07 Kibuye-Munyonyo'!K26)</f>
        <v>0.5714285714285714</v>
      </c>
      <c r="L26" s="49">
        <f>AVERAGE('22.07 Kibuye-Munyonyo'!L26,'23.07 Kibuye-Munyonyo'!L26,'24.07 Kibuye-Munyonyo'!L26,'25.07 Kibuye-Munyonyo'!L26,'26.07 Kibuye-Munyonyo-24h'!L26,'27.07 Kibuye-Munyonyo-24h'!L26,'28.07 Kibuye-Munyonyo'!L26)</f>
        <v>0</v>
      </c>
      <c r="M26" s="49">
        <f>AVERAGE('22.07 Kibuye-Munyonyo'!M26,'23.07 Kibuye-Munyonyo'!M26,'24.07 Kibuye-Munyonyo'!M26,'25.07 Kibuye-Munyonyo'!M26,'26.07 Kibuye-Munyonyo-24h'!M26,'27.07 Kibuye-Munyonyo-24h'!M26,'28.07 Kibuye-Munyonyo'!M26)</f>
        <v>147</v>
      </c>
      <c r="N26" s="49">
        <f>AVERAGE('22.07 Kibuye-Munyonyo'!N26,'23.07 Kibuye-Munyonyo'!N26,'24.07 Kibuye-Munyonyo'!N26,'25.07 Kibuye-Munyonyo'!N26,'26.07 Kibuye-Munyonyo-24h'!N26,'27.07 Kibuye-Munyonyo-24h'!N26,'28.07 Kibuye-Munyonyo'!N26)</f>
        <v>0</v>
      </c>
      <c r="O26" s="15">
        <f t="shared" si="0"/>
        <v>66.857142857142861</v>
      </c>
      <c r="P26" s="15">
        <f t="shared" si="1"/>
        <v>213.85714285714286</v>
      </c>
      <c r="R26" s="1" t="s">
        <v>150</v>
      </c>
      <c r="S26" s="34">
        <f>SUM(C74:C77)</f>
        <v>111</v>
      </c>
      <c r="T26" s="34">
        <f t="shared" ref="T26:AD26" si="26">SUM(D74:D77)</f>
        <v>12.5</v>
      </c>
      <c r="U26" s="34">
        <f t="shared" si="26"/>
        <v>4</v>
      </c>
      <c r="V26" s="34">
        <f t="shared" si="26"/>
        <v>80</v>
      </c>
      <c r="W26" s="34">
        <f t="shared" si="26"/>
        <v>0.5</v>
      </c>
      <c r="X26" s="34">
        <f t="shared" si="26"/>
        <v>0</v>
      </c>
      <c r="Y26" s="34">
        <f t="shared" si="26"/>
        <v>2.5</v>
      </c>
      <c r="Z26" s="34">
        <f t="shared" si="26"/>
        <v>3.5</v>
      </c>
      <c r="AA26" s="34">
        <f t="shared" si="26"/>
        <v>1</v>
      </c>
      <c r="AB26" s="34">
        <f t="shared" si="26"/>
        <v>0</v>
      </c>
      <c r="AC26" s="34">
        <f t="shared" si="26"/>
        <v>177.5</v>
      </c>
      <c r="AD26" s="34">
        <f t="shared" si="26"/>
        <v>0</v>
      </c>
      <c r="AE26" s="31">
        <f t="shared" ref="AE26" si="27">SUM(O74:O77)</f>
        <v>215</v>
      </c>
      <c r="AF26" s="31">
        <f t="shared" ref="AF26" si="28">SUM(P74:P77)</f>
        <v>392.5</v>
      </c>
    </row>
    <row r="27" spans="2:32" ht="23.1" customHeight="1" x14ac:dyDescent="0.25">
      <c r="B27" s="23" t="s">
        <v>54</v>
      </c>
      <c r="C27" s="49">
        <f>AVERAGE('22.07 Kibuye-Munyonyo'!C27,'23.07 Kibuye-Munyonyo'!C27,'24.07 Kibuye-Munyonyo'!C27,'25.07 Kibuye-Munyonyo'!C27,'26.07 Kibuye-Munyonyo-24h'!C27,'27.07 Kibuye-Munyonyo-24h'!C27,'28.07 Kibuye-Munyonyo'!C27)</f>
        <v>15.142857142857142</v>
      </c>
      <c r="D27" s="49">
        <f>AVERAGE('22.07 Kibuye-Munyonyo'!D27,'23.07 Kibuye-Munyonyo'!D27,'24.07 Kibuye-Munyonyo'!D27,'25.07 Kibuye-Munyonyo'!D27,'26.07 Kibuye-Munyonyo-24h'!D27,'27.07 Kibuye-Munyonyo-24h'!D27,'28.07 Kibuye-Munyonyo'!D27)</f>
        <v>7</v>
      </c>
      <c r="E27" s="49">
        <f>AVERAGE('22.07 Kibuye-Munyonyo'!E27,'23.07 Kibuye-Munyonyo'!E27,'24.07 Kibuye-Munyonyo'!E27,'25.07 Kibuye-Munyonyo'!E27,'26.07 Kibuye-Munyonyo-24h'!E27,'27.07 Kibuye-Munyonyo-24h'!E27,'28.07 Kibuye-Munyonyo'!E27)</f>
        <v>2.7142857142857144</v>
      </c>
      <c r="F27" s="49">
        <f>AVERAGE('22.07 Kibuye-Munyonyo'!F27,'23.07 Kibuye-Munyonyo'!F27,'24.07 Kibuye-Munyonyo'!F27,'25.07 Kibuye-Munyonyo'!F27,'26.07 Kibuye-Munyonyo-24h'!F27,'27.07 Kibuye-Munyonyo-24h'!F27,'28.07 Kibuye-Munyonyo'!F27)</f>
        <v>35</v>
      </c>
      <c r="G27" s="49">
        <f>AVERAGE('22.07 Kibuye-Munyonyo'!G27,'23.07 Kibuye-Munyonyo'!G27,'24.07 Kibuye-Munyonyo'!G27,'25.07 Kibuye-Munyonyo'!G27,'26.07 Kibuye-Munyonyo-24h'!G27,'27.07 Kibuye-Munyonyo-24h'!G27,'28.07 Kibuye-Munyonyo'!G27)</f>
        <v>0</v>
      </c>
      <c r="H27" s="49">
        <f>AVERAGE('22.07 Kibuye-Munyonyo'!H27,'23.07 Kibuye-Munyonyo'!H27,'24.07 Kibuye-Munyonyo'!H27,'25.07 Kibuye-Munyonyo'!H27,'26.07 Kibuye-Munyonyo-24h'!H27,'27.07 Kibuye-Munyonyo-24h'!H27,'28.07 Kibuye-Munyonyo'!H27)</f>
        <v>0</v>
      </c>
      <c r="I27" s="49">
        <f>AVERAGE('22.07 Kibuye-Munyonyo'!I27,'23.07 Kibuye-Munyonyo'!I27,'24.07 Kibuye-Munyonyo'!I27,'25.07 Kibuye-Munyonyo'!I27,'26.07 Kibuye-Munyonyo-24h'!I27,'27.07 Kibuye-Munyonyo-24h'!I27,'28.07 Kibuye-Munyonyo'!I27)</f>
        <v>5.2857142857142856</v>
      </c>
      <c r="J27" s="49">
        <f>AVERAGE('22.07 Kibuye-Munyonyo'!J27,'23.07 Kibuye-Munyonyo'!J27,'24.07 Kibuye-Munyonyo'!J27,'25.07 Kibuye-Munyonyo'!J27,'26.07 Kibuye-Munyonyo-24h'!J27,'27.07 Kibuye-Munyonyo-24h'!J27,'28.07 Kibuye-Munyonyo'!J27)</f>
        <v>0.42857142857142855</v>
      </c>
      <c r="K27" s="49">
        <f>AVERAGE('22.07 Kibuye-Munyonyo'!K27,'23.07 Kibuye-Munyonyo'!K27,'24.07 Kibuye-Munyonyo'!K27,'25.07 Kibuye-Munyonyo'!K27,'26.07 Kibuye-Munyonyo-24h'!K27,'27.07 Kibuye-Munyonyo-24h'!K27,'28.07 Kibuye-Munyonyo'!K27)</f>
        <v>0.2857142857142857</v>
      </c>
      <c r="L27" s="49">
        <f>AVERAGE('22.07 Kibuye-Munyonyo'!L27,'23.07 Kibuye-Munyonyo'!L27,'24.07 Kibuye-Munyonyo'!L27,'25.07 Kibuye-Munyonyo'!L27,'26.07 Kibuye-Munyonyo-24h'!L27,'27.07 Kibuye-Munyonyo-24h'!L27,'28.07 Kibuye-Munyonyo'!L27)</f>
        <v>0</v>
      </c>
      <c r="M27" s="49">
        <f>AVERAGE('22.07 Kibuye-Munyonyo'!M27,'23.07 Kibuye-Munyonyo'!M27,'24.07 Kibuye-Munyonyo'!M27,'25.07 Kibuye-Munyonyo'!M27,'26.07 Kibuye-Munyonyo-24h'!M27,'27.07 Kibuye-Munyonyo-24h'!M27,'28.07 Kibuye-Munyonyo'!M27)</f>
        <v>128.14285714285714</v>
      </c>
      <c r="N27" s="49">
        <f>AVERAGE('22.07 Kibuye-Munyonyo'!N27,'23.07 Kibuye-Munyonyo'!N27,'24.07 Kibuye-Munyonyo'!N27,'25.07 Kibuye-Munyonyo'!N27,'26.07 Kibuye-Munyonyo-24h'!N27,'27.07 Kibuye-Munyonyo-24h'!N27,'28.07 Kibuye-Munyonyo'!N27)</f>
        <v>0</v>
      </c>
      <c r="O27" s="15">
        <f t="shared" si="0"/>
        <v>65.857142857142875</v>
      </c>
      <c r="P27" s="15">
        <f t="shared" si="1"/>
        <v>194</v>
      </c>
      <c r="R27" s="1" t="s">
        <v>151</v>
      </c>
      <c r="S27" s="34">
        <f>SUM(C78:C81)</f>
        <v>109.5</v>
      </c>
      <c r="T27" s="34">
        <f t="shared" ref="T27:AD27" si="29">SUM(D78:D81)</f>
        <v>21.5</v>
      </c>
      <c r="U27" s="34">
        <f t="shared" si="29"/>
        <v>6.5</v>
      </c>
      <c r="V27" s="34">
        <f t="shared" si="29"/>
        <v>104</v>
      </c>
      <c r="W27" s="34">
        <f t="shared" si="29"/>
        <v>0</v>
      </c>
      <c r="X27" s="34">
        <f t="shared" si="29"/>
        <v>0</v>
      </c>
      <c r="Y27" s="34">
        <f t="shared" si="29"/>
        <v>2</v>
      </c>
      <c r="Z27" s="34">
        <f t="shared" si="29"/>
        <v>3.5</v>
      </c>
      <c r="AA27" s="34">
        <f t="shared" si="29"/>
        <v>0</v>
      </c>
      <c r="AB27" s="34">
        <f t="shared" si="29"/>
        <v>0</v>
      </c>
      <c r="AC27" s="34">
        <f t="shared" si="29"/>
        <v>159</v>
      </c>
      <c r="AD27" s="34">
        <f t="shared" si="29"/>
        <v>0</v>
      </c>
      <c r="AE27" s="31">
        <f t="shared" ref="AE27" si="30">SUM(O78:O81)</f>
        <v>247</v>
      </c>
      <c r="AF27" s="31">
        <f t="shared" ref="AF27" si="31">SUM(P78:P81)</f>
        <v>406</v>
      </c>
    </row>
    <row r="28" spans="2:32" ht="23.1" customHeight="1" x14ac:dyDescent="0.25">
      <c r="B28" s="23" t="s">
        <v>55</v>
      </c>
      <c r="C28" s="49">
        <f>AVERAGE('22.07 Kibuye-Munyonyo'!C28,'23.07 Kibuye-Munyonyo'!C28,'24.07 Kibuye-Munyonyo'!C28,'25.07 Kibuye-Munyonyo'!C28,'26.07 Kibuye-Munyonyo-24h'!C28,'27.07 Kibuye-Munyonyo-24h'!C28,'28.07 Kibuye-Munyonyo'!C28)</f>
        <v>14.714285714285714</v>
      </c>
      <c r="D28" s="49">
        <f>AVERAGE('22.07 Kibuye-Munyonyo'!D28,'23.07 Kibuye-Munyonyo'!D28,'24.07 Kibuye-Munyonyo'!D28,'25.07 Kibuye-Munyonyo'!D28,'26.07 Kibuye-Munyonyo-24h'!D28,'27.07 Kibuye-Munyonyo-24h'!D28,'28.07 Kibuye-Munyonyo'!D28)</f>
        <v>6.4285714285714288</v>
      </c>
      <c r="E28" s="49">
        <f>AVERAGE('22.07 Kibuye-Munyonyo'!E28,'23.07 Kibuye-Munyonyo'!E28,'24.07 Kibuye-Munyonyo'!E28,'25.07 Kibuye-Munyonyo'!E28,'26.07 Kibuye-Munyonyo-24h'!E28,'27.07 Kibuye-Munyonyo-24h'!E28,'28.07 Kibuye-Munyonyo'!E28)</f>
        <v>1.1428571428571428</v>
      </c>
      <c r="F28" s="49">
        <f>AVERAGE('22.07 Kibuye-Munyonyo'!F28,'23.07 Kibuye-Munyonyo'!F28,'24.07 Kibuye-Munyonyo'!F28,'25.07 Kibuye-Munyonyo'!F28,'26.07 Kibuye-Munyonyo-24h'!F28,'27.07 Kibuye-Munyonyo-24h'!F28,'28.07 Kibuye-Munyonyo'!F28)</f>
        <v>23.571428571428573</v>
      </c>
      <c r="G28" s="49">
        <f>AVERAGE('22.07 Kibuye-Munyonyo'!G28,'23.07 Kibuye-Munyonyo'!G28,'24.07 Kibuye-Munyonyo'!G28,'25.07 Kibuye-Munyonyo'!G28,'26.07 Kibuye-Munyonyo-24h'!G28,'27.07 Kibuye-Munyonyo-24h'!G28,'28.07 Kibuye-Munyonyo'!G28)</f>
        <v>0</v>
      </c>
      <c r="H28" s="49">
        <f>AVERAGE('22.07 Kibuye-Munyonyo'!H28,'23.07 Kibuye-Munyonyo'!H28,'24.07 Kibuye-Munyonyo'!H28,'25.07 Kibuye-Munyonyo'!H28,'26.07 Kibuye-Munyonyo-24h'!H28,'27.07 Kibuye-Munyonyo-24h'!H28,'28.07 Kibuye-Munyonyo'!H28)</f>
        <v>0</v>
      </c>
      <c r="I28" s="49">
        <f>AVERAGE('22.07 Kibuye-Munyonyo'!I28,'23.07 Kibuye-Munyonyo'!I28,'24.07 Kibuye-Munyonyo'!I28,'25.07 Kibuye-Munyonyo'!I28,'26.07 Kibuye-Munyonyo-24h'!I28,'27.07 Kibuye-Munyonyo-24h'!I28,'28.07 Kibuye-Munyonyo'!I28)</f>
        <v>3</v>
      </c>
      <c r="J28" s="49">
        <f>AVERAGE('22.07 Kibuye-Munyonyo'!J28,'23.07 Kibuye-Munyonyo'!J28,'24.07 Kibuye-Munyonyo'!J28,'25.07 Kibuye-Munyonyo'!J28,'26.07 Kibuye-Munyonyo-24h'!J28,'27.07 Kibuye-Munyonyo-24h'!J28,'28.07 Kibuye-Munyonyo'!J28)</f>
        <v>0.5714285714285714</v>
      </c>
      <c r="K28" s="49">
        <f>AVERAGE('22.07 Kibuye-Munyonyo'!K28,'23.07 Kibuye-Munyonyo'!K28,'24.07 Kibuye-Munyonyo'!K28,'25.07 Kibuye-Munyonyo'!K28,'26.07 Kibuye-Munyonyo-24h'!K28,'27.07 Kibuye-Munyonyo-24h'!K28,'28.07 Kibuye-Munyonyo'!K28)</f>
        <v>0.5714285714285714</v>
      </c>
      <c r="L28" s="49">
        <f>AVERAGE('22.07 Kibuye-Munyonyo'!L28,'23.07 Kibuye-Munyonyo'!L28,'24.07 Kibuye-Munyonyo'!L28,'25.07 Kibuye-Munyonyo'!L28,'26.07 Kibuye-Munyonyo-24h'!L28,'27.07 Kibuye-Munyonyo-24h'!L28,'28.07 Kibuye-Munyonyo'!L28)</f>
        <v>0</v>
      </c>
      <c r="M28" s="49">
        <f>AVERAGE('22.07 Kibuye-Munyonyo'!M28,'23.07 Kibuye-Munyonyo'!M28,'24.07 Kibuye-Munyonyo'!M28,'25.07 Kibuye-Munyonyo'!M28,'26.07 Kibuye-Munyonyo-24h'!M28,'27.07 Kibuye-Munyonyo-24h'!M28,'28.07 Kibuye-Munyonyo'!M28)</f>
        <v>135.85714285714286</v>
      </c>
      <c r="N28" s="49">
        <f>AVERAGE('22.07 Kibuye-Munyonyo'!N28,'23.07 Kibuye-Munyonyo'!N28,'24.07 Kibuye-Munyonyo'!N28,'25.07 Kibuye-Munyonyo'!N28,'26.07 Kibuye-Munyonyo-24h'!N28,'27.07 Kibuye-Munyonyo-24h'!N28,'28.07 Kibuye-Munyonyo'!N28)</f>
        <v>0</v>
      </c>
      <c r="O28" s="15">
        <f t="shared" si="0"/>
        <v>50</v>
      </c>
      <c r="P28" s="15">
        <f t="shared" si="1"/>
        <v>185.85714285714286</v>
      </c>
      <c r="R28" s="1" t="s">
        <v>152</v>
      </c>
      <c r="S28" s="34">
        <f>SUM(C82:C85)</f>
        <v>104.5</v>
      </c>
      <c r="T28" s="34">
        <f t="shared" ref="T28:AD28" si="32">SUM(D82:D85)</f>
        <v>18.5</v>
      </c>
      <c r="U28" s="34">
        <f t="shared" si="32"/>
        <v>2.5</v>
      </c>
      <c r="V28" s="34">
        <f t="shared" si="32"/>
        <v>41.5</v>
      </c>
      <c r="W28" s="34">
        <f t="shared" si="32"/>
        <v>0</v>
      </c>
      <c r="X28" s="34">
        <f t="shared" si="32"/>
        <v>0.5</v>
      </c>
      <c r="Y28" s="34">
        <f t="shared" si="32"/>
        <v>1</v>
      </c>
      <c r="Z28" s="34">
        <f t="shared" si="32"/>
        <v>3</v>
      </c>
      <c r="AA28" s="34">
        <f t="shared" si="32"/>
        <v>0</v>
      </c>
      <c r="AB28" s="34">
        <f t="shared" si="32"/>
        <v>0</v>
      </c>
      <c r="AC28" s="34">
        <f t="shared" si="32"/>
        <v>137.5</v>
      </c>
      <c r="AD28" s="34">
        <f t="shared" si="32"/>
        <v>0</v>
      </c>
      <c r="AE28" s="31">
        <f t="shared" ref="AE28" si="33">SUM(O82:O85)</f>
        <v>171.5</v>
      </c>
      <c r="AF28" s="31">
        <f t="shared" ref="AF28" si="34">SUM(P82:P85)</f>
        <v>309</v>
      </c>
    </row>
    <row r="29" spans="2:32" ht="23.1" customHeight="1" x14ac:dyDescent="0.25">
      <c r="B29" s="23" t="s">
        <v>56</v>
      </c>
      <c r="C29" s="49">
        <f>AVERAGE('22.07 Kibuye-Munyonyo'!C29,'23.07 Kibuye-Munyonyo'!C29,'24.07 Kibuye-Munyonyo'!C29,'25.07 Kibuye-Munyonyo'!C29,'26.07 Kibuye-Munyonyo-24h'!C29,'27.07 Kibuye-Munyonyo-24h'!C29,'28.07 Kibuye-Munyonyo'!C29)</f>
        <v>18.571428571428573</v>
      </c>
      <c r="D29" s="49">
        <f>AVERAGE('22.07 Kibuye-Munyonyo'!D29,'23.07 Kibuye-Munyonyo'!D29,'24.07 Kibuye-Munyonyo'!D29,'25.07 Kibuye-Munyonyo'!D29,'26.07 Kibuye-Munyonyo-24h'!D29,'27.07 Kibuye-Munyonyo-24h'!D29,'28.07 Kibuye-Munyonyo'!D29)</f>
        <v>6.1428571428571432</v>
      </c>
      <c r="E29" s="49">
        <f>AVERAGE('22.07 Kibuye-Munyonyo'!E29,'23.07 Kibuye-Munyonyo'!E29,'24.07 Kibuye-Munyonyo'!E29,'25.07 Kibuye-Munyonyo'!E29,'26.07 Kibuye-Munyonyo-24h'!E29,'27.07 Kibuye-Munyonyo-24h'!E29,'28.07 Kibuye-Munyonyo'!E29)</f>
        <v>3</v>
      </c>
      <c r="F29" s="49">
        <f>AVERAGE('22.07 Kibuye-Munyonyo'!F29,'23.07 Kibuye-Munyonyo'!F29,'24.07 Kibuye-Munyonyo'!F29,'25.07 Kibuye-Munyonyo'!F29,'26.07 Kibuye-Munyonyo-24h'!F29,'27.07 Kibuye-Munyonyo-24h'!F29,'28.07 Kibuye-Munyonyo'!F29)</f>
        <v>28.714285714285715</v>
      </c>
      <c r="G29" s="49">
        <f>AVERAGE('22.07 Kibuye-Munyonyo'!G29,'23.07 Kibuye-Munyonyo'!G29,'24.07 Kibuye-Munyonyo'!G29,'25.07 Kibuye-Munyonyo'!G29,'26.07 Kibuye-Munyonyo-24h'!G29,'27.07 Kibuye-Munyonyo-24h'!G29,'28.07 Kibuye-Munyonyo'!G29)</f>
        <v>0</v>
      </c>
      <c r="H29" s="49">
        <f>AVERAGE('22.07 Kibuye-Munyonyo'!H29,'23.07 Kibuye-Munyonyo'!H29,'24.07 Kibuye-Munyonyo'!H29,'25.07 Kibuye-Munyonyo'!H29,'26.07 Kibuye-Munyonyo-24h'!H29,'27.07 Kibuye-Munyonyo-24h'!H29,'28.07 Kibuye-Munyonyo'!H29)</f>
        <v>0</v>
      </c>
      <c r="I29" s="49">
        <f>AVERAGE('22.07 Kibuye-Munyonyo'!I29,'23.07 Kibuye-Munyonyo'!I29,'24.07 Kibuye-Munyonyo'!I29,'25.07 Kibuye-Munyonyo'!I29,'26.07 Kibuye-Munyonyo-24h'!I29,'27.07 Kibuye-Munyonyo-24h'!I29,'28.07 Kibuye-Munyonyo'!I29)</f>
        <v>3.7142857142857144</v>
      </c>
      <c r="J29" s="49">
        <f>AVERAGE('22.07 Kibuye-Munyonyo'!J29,'23.07 Kibuye-Munyonyo'!J29,'24.07 Kibuye-Munyonyo'!J29,'25.07 Kibuye-Munyonyo'!J29,'26.07 Kibuye-Munyonyo-24h'!J29,'27.07 Kibuye-Munyonyo-24h'!J29,'28.07 Kibuye-Munyonyo'!J29)</f>
        <v>0.42857142857142855</v>
      </c>
      <c r="K29" s="49">
        <f>AVERAGE('22.07 Kibuye-Munyonyo'!K29,'23.07 Kibuye-Munyonyo'!K29,'24.07 Kibuye-Munyonyo'!K29,'25.07 Kibuye-Munyonyo'!K29,'26.07 Kibuye-Munyonyo-24h'!K29,'27.07 Kibuye-Munyonyo-24h'!K29,'28.07 Kibuye-Munyonyo'!K29)</f>
        <v>0.14285714285714285</v>
      </c>
      <c r="L29" s="49">
        <f>AVERAGE('22.07 Kibuye-Munyonyo'!L29,'23.07 Kibuye-Munyonyo'!L29,'24.07 Kibuye-Munyonyo'!L29,'25.07 Kibuye-Munyonyo'!L29,'26.07 Kibuye-Munyonyo-24h'!L29,'27.07 Kibuye-Munyonyo-24h'!L29,'28.07 Kibuye-Munyonyo'!L29)</f>
        <v>0</v>
      </c>
      <c r="M29" s="49">
        <f>AVERAGE('22.07 Kibuye-Munyonyo'!M29,'23.07 Kibuye-Munyonyo'!M29,'24.07 Kibuye-Munyonyo'!M29,'25.07 Kibuye-Munyonyo'!M29,'26.07 Kibuye-Munyonyo-24h'!M29,'27.07 Kibuye-Munyonyo-24h'!M29,'28.07 Kibuye-Munyonyo'!M29)</f>
        <v>123.57142857142857</v>
      </c>
      <c r="N29" s="49">
        <f>AVERAGE('22.07 Kibuye-Munyonyo'!N29,'23.07 Kibuye-Munyonyo'!N29,'24.07 Kibuye-Munyonyo'!N29,'25.07 Kibuye-Munyonyo'!N29,'26.07 Kibuye-Munyonyo-24h'!N29,'27.07 Kibuye-Munyonyo-24h'!N29,'28.07 Kibuye-Munyonyo'!N29)</f>
        <v>0</v>
      </c>
      <c r="O29" s="15">
        <f t="shared" si="0"/>
        <v>60.714285714285722</v>
      </c>
      <c r="P29" s="15">
        <f t="shared" si="1"/>
        <v>184.28571428571428</v>
      </c>
      <c r="R29" s="1" t="s">
        <v>153</v>
      </c>
      <c r="S29" s="34">
        <f>SUM(C86:C89)</f>
        <v>50</v>
      </c>
      <c r="T29" s="34">
        <f t="shared" ref="T29:AD29" si="35">SUM(D86:D89)</f>
        <v>6</v>
      </c>
      <c r="U29" s="34">
        <f t="shared" si="35"/>
        <v>3</v>
      </c>
      <c r="V29" s="34">
        <f t="shared" si="35"/>
        <v>23.5</v>
      </c>
      <c r="W29" s="34">
        <f t="shared" si="35"/>
        <v>0</v>
      </c>
      <c r="X29" s="34">
        <f t="shared" si="35"/>
        <v>0</v>
      </c>
      <c r="Y29" s="34">
        <f t="shared" si="35"/>
        <v>1.5</v>
      </c>
      <c r="Z29" s="34">
        <f t="shared" si="35"/>
        <v>0</v>
      </c>
      <c r="AA29" s="34">
        <f t="shared" si="35"/>
        <v>3</v>
      </c>
      <c r="AB29" s="34">
        <f t="shared" si="35"/>
        <v>0</v>
      </c>
      <c r="AC29" s="34">
        <f t="shared" si="35"/>
        <v>95</v>
      </c>
      <c r="AD29" s="34">
        <f t="shared" si="35"/>
        <v>0</v>
      </c>
      <c r="AE29" s="31">
        <f t="shared" ref="AE29" si="36">SUM(O86:O89)</f>
        <v>87</v>
      </c>
      <c r="AF29" s="31">
        <f t="shared" ref="AF29" si="37">SUM(P86:P89)</f>
        <v>182</v>
      </c>
    </row>
    <row r="30" spans="2:32" ht="23.1" customHeight="1" x14ac:dyDescent="0.25">
      <c r="B30" s="23" t="s">
        <v>57</v>
      </c>
      <c r="C30" s="49">
        <f>AVERAGE('22.07 Kibuye-Munyonyo'!C30,'23.07 Kibuye-Munyonyo'!C30,'24.07 Kibuye-Munyonyo'!C30,'25.07 Kibuye-Munyonyo'!C30,'26.07 Kibuye-Munyonyo-24h'!C30,'27.07 Kibuye-Munyonyo-24h'!C30,'28.07 Kibuye-Munyonyo'!C30)</f>
        <v>14.714285714285714</v>
      </c>
      <c r="D30" s="49">
        <f>AVERAGE('22.07 Kibuye-Munyonyo'!D30,'23.07 Kibuye-Munyonyo'!D30,'24.07 Kibuye-Munyonyo'!D30,'25.07 Kibuye-Munyonyo'!D30,'26.07 Kibuye-Munyonyo-24h'!D30,'27.07 Kibuye-Munyonyo-24h'!D30,'28.07 Kibuye-Munyonyo'!D30)</f>
        <v>8.1428571428571423</v>
      </c>
      <c r="E30" s="49">
        <f>AVERAGE('22.07 Kibuye-Munyonyo'!E30,'23.07 Kibuye-Munyonyo'!E30,'24.07 Kibuye-Munyonyo'!E30,'25.07 Kibuye-Munyonyo'!E30,'26.07 Kibuye-Munyonyo-24h'!E30,'27.07 Kibuye-Munyonyo-24h'!E30,'28.07 Kibuye-Munyonyo'!E30)</f>
        <v>2.7142857142857144</v>
      </c>
      <c r="F30" s="49">
        <f>AVERAGE('22.07 Kibuye-Munyonyo'!F30,'23.07 Kibuye-Munyonyo'!F30,'24.07 Kibuye-Munyonyo'!F30,'25.07 Kibuye-Munyonyo'!F30,'26.07 Kibuye-Munyonyo-24h'!F30,'27.07 Kibuye-Munyonyo-24h'!F30,'28.07 Kibuye-Munyonyo'!F30)</f>
        <v>24.571428571428573</v>
      </c>
      <c r="G30" s="49">
        <f>AVERAGE('22.07 Kibuye-Munyonyo'!G30,'23.07 Kibuye-Munyonyo'!G30,'24.07 Kibuye-Munyonyo'!G30,'25.07 Kibuye-Munyonyo'!G30,'26.07 Kibuye-Munyonyo-24h'!G30,'27.07 Kibuye-Munyonyo-24h'!G30,'28.07 Kibuye-Munyonyo'!G30)</f>
        <v>0</v>
      </c>
      <c r="H30" s="49">
        <f>AVERAGE('22.07 Kibuye-Munyonyo'!H30,'23.07 Kibuye-Munyonyo'!H30,'24.07 Kibuye-Munyonyo'!H30,'25.07 Kibuye-Munyonyo'!H30,'26.07 Kibuye-Munyonyo-24h'!H30,'27.07 Kibuye-Munyonyo-24h'!H30,'28.07 Kibuye-Munyonyo'!H30)</f>
        <v>0</v>
      </c>
      <c r="I30" s="49">
        <f>AVERAGE('22.07 Kibuye-Munyonyo'!I30,'23.07 Kibuye-Munyonyo'!I30,'24.07 Kibuye-Munyonyo'!I30,'25.07 Kibuye-Munyonyo'!I30,'26.07 Kibuye-Munyonyo-24h'!I30,'27.07 Kibuye-Munyonyo-24h'!I30,'28.07 Kibuye-Munyonyo'!I30)</f>
        <v>2.8571428571428572</v>
      </c>
      <c r="J30" s="49">
        <f>AVERAGE('22.07 Kibuye-Munyonyo'!J30,'23.07 Kibuye-Munyonyo'!J30,'24.07 Kibuye-Munyonyo'!J30,'25.07 Kibuye-Munyonyo'!J30,'26.07 Kibuye-Munyonyo-24h'!J30,'27.07 Kibuye-Munyonyo-24h'!J30,'28.07 Kibuye-Munyonyo'!J30)</f>
        <v>0.42857142857142855</v>
      </c>
      <c r="K30" s="49">
        <f>AVERAGE('22.07 Kibuye-Munyonyo'!K30,'23.07 Kibuye-Munyonyo'!K30,'24.07 Kibuye-Munyonyo'!K30,'25.07 Kibuye-Munyonyo'!K30,'26.07 Kibuye-Munyonyo-24h'!K30,'27.07 Kibuye-Munyonyo-24h'!K30,'28.07 Kibuye-Munyonyo'!K30)</f>
        <v>0.5714285714285714</v>
      </c>
      <c r="L30" s="49">
        <f>AVERAGE('22.07 Kibuye-Munyonyo'!L30,'23.07 Kibuye-Munyonyo'!L30,'24.07 Kibuye-Munyonyo'!L30,'25.07 Kibuye-Munyonyo'!L30,'26.07 Kibuye-Munyonyo-24h'!L30,'27.07 Kibuye-Munyonyo-24h'!L30,'28.07 Kibuye-Munyonyo'!L30)</f>
        <v>0</v>
      </c>
      <c r="M30" s="49">
        <f>AVERAGE('22.07 Kibuye-Munyonyo'!M30,'23.07 Kibuye-Munyonyo'!M30,'24.07 Kibuye-Munyonyo'!M30,'25.07 Kibuye-Munyonyo'!M30,'26.07 Kibuye-Munyonyo-24h'!M30,'27.07 Kibuye-Munyonyo-24h'!M30,'28.07 Kibuye-Munyonyo'!M30)</f>
        <v>128.14285714285714</v>
      </c>
      <c r="N30" s="49">
        <f>AVERAGE('22.07 Kibuye-Munyonyo'!N30,'23.07 Kibuye-Munyonyo'!N30,'24.07 Kibuye-Munyonyo'!N30,'25.07 Kibuye-Munyonyo'!N30,'26.07 Kibuye-Munyonyo-24h'!N30,'27.07 Kibuye-Munyonyo-24h'!N30,'28.07 Kibuye-Munyonyo'!N30)</f>
        <v>0</v>
      </c>
      <c r="O30" s="15">
        <f t="shared" si="0"/>
        <v>53.999999999999993</v>
      </c>
      <c r="P30" s="15">
        <f t="shared" si="1"/>
        <v>182.14285714285714</v>
      </c>
      <c r="R30" s="1" t="s">
        <v>154</v>
      </c>
      <c r="S30" s="34">
        <f>SUM(C90:C93)</f>
        <v>45.5</v>
      </c>
      <c r="T30" s="34">
        <f t="shared" ref="T30:AD30" si="38">SUM(D90:D93)</f>
        <v>5.5</v>
      </c>
      <c r="U30" s="34">
        <f t="shared" si="38"/>
        <v>4.5</v>
      </c>
      <c r="V30" s="34">
        <f t="shared" si="38"/>
        <v>29</v>
      </c>
      <c r="W30" s="34">
        <f t="shared" si="38"/>
        <v>3.5</v>
      </c>
      <c r="X30" s="34">
        <f t="shared" si="38"/>
        <v>0</v>
      </c>
      <c r="Y30" s="34">
        <f t="shared" si="38"/>
        <v>2</v>
      </c>
      <c r="Z30" s="34">
        <f t="shared" si="38"/>
        <v>0</v>
      </c>
      <c r="AA30" s="34">
        <f t="shared" si="38"/>
        <v>1</v>
      </c>
      <c r="AB30" s="34">
        <f t="shared" si="38"/>
        <v>0</v>
      </c>
      <c r="AC30" s="34">
        <f t="shared" si="38"/>
        <v>131.5</v>
      </c>
      <c r="AD30" s="34">
        <f t="shared" si="38"/>
        <v>0</v>
      </c>
      <c r="AE30" s="31">
        <f t="shared" ref="AE30" si="39">SUM(O90:O93)</f>
        <v>91</v>
      </c>
      <c r="AF30" s="31">
        <f t="shared" ref="AF30" si="40">SUM(P90:P93)</f>
        <v>222.5</v>
      </c>
    </row>
    <row r="31" spans="2:32" ht="23.1" customHeight="1" x14ac:dyDescent="0.25">
      <c r="B31" s="24" t="s">
        <v>58</v>
      </c>
      <c r="C31" s="49">
        <f>AVERAGE('22.07 Kibuye-Munyonyo'!C31,'23.07 Kibuye-Munyonyo'!C31,'24.07 Kibuye-Munyonyo'!C31,'25.07 Kibuye-Munyonyo'!C31,'26.07 Kibuye-Munyonyo-24h'!C31,'27.07 Kibuye-Munyonyo-24h'!C31,'28.07 Kibuye-Munyonyo'!C31)</f>
        <v>11.857142857142858</v>
      </c>
      <c r="D31" s="49">
        <f>AVERAGE('22.07 Kibuye-Munyonyo'!D31,'23.07 Kibuye-Munyonyo'!D31,'24.07 Kibuye-Munyonyo'!D31,'25.07 Kibuye-Munyonyo'!D31,'26.07 Kibuye-Munyonyo-24h'!D31,'27.07 Kibuye-Munyonyo-24h'!D31,'28.07 Kibuye-Munyonyo'!D31)</f>
        <v>7.4285714285714288</v>
      </c>
      <c r="E31" s="49">
        <f>AVERAGE('22.07 Kibuye-Munyonyo'!E31,'23.07 Kibuye-Munyonyo'!E31,'24.07 Kibuye-Munyonyo'!E31,'25.07 Kibuye-Munyonyo'!E31,'26.07 Kibuye-Munyonyo-24h'!E31,'27.07 Kibuye-Munyonyo-24h'!E31,'28.07 Kibuye-Munyonyo'!E31)</f>
        <v>6.8571428571428568</v>
      </c>
      <c r="F31" s="49">
        <f>AVERAGE('22.07 Kibuye-Munyonyo'!F31,'23.07 Kibuye-Munyonyo'!F31,'24.07 Kibuye-Munyonyo'!F31,'25.07 Kibuye-Munyonyo'!F31,'26.07 Kibuye-Munyonyo-24h'!F31,'27.07 Kibuye-Munyonyo-24h'!F31,'28.07 Kibuye-Munyonyo'!F31)</f>
        <v>19.857142857142858</v>
      </c>
      <c r="G31" s="49">
        <f>AVERAGE('22.07 Kibuye-Munyonyo'!G31,'23.07 Kibuye-Munyonyo'!G31,'24.07 Kibuye-Munyonyo'!G31,'25.07 Kibuye-Munyonyo'!G31,'26.07 Kibuye-Munyonyo-24h'!G31,'27.07 Kibuye-Munyonyo-24h'!G31,'28.07 Kibuye-Munyonyo'!G31)</f>
        <v>0.2857142857142857</v>
      </c>
      <c r="H31" s="49">
        <f>AVERAGE('22.07 Kibuye-Munyonyo'!H31,'23.07 Kibuye-Munyonyo'!H31,'24.07 Kibuye-Munyonyo'!H31,'25.07 Kibuye-Munyonyo'!H31,'26.07 Kibuye-Munyonyo-24h'!H31,'27.07 Kibuye-Munyonyo-24h'!H31,'28.07 Kibuye-Munyonyo'!H31)</f>
        <v>0</v>
      </c>
      <c r="I31" s="49">
        <f>AVERAGE('22.07 Kibuye-Munyonyo'!I31,'23.07 Kibuye-Munyonyo'!I31,'24.07 Kibuye-Munyonyo'!I31,'25.07 Kibuye-Munyonyo'!I31,'26.07 Kibuye-Munyonyo-24h'!I31,'27.07 Kibuye-Munyonyo-24h'!I31,'28.07 Kibuye-Munyonyo'!I31)</f>
        <v>2.8571428571428572</v>
      </c>
      <c r="J31" s="49">
        <f>AVERAGE('22.07 Kibuye-Munyonyo'!J31,'23.07 Kibuye-Munyonyo'!J31,'24.07 Kibuye-Munyonyo'!J31,'25.07 Kibuye-Munyonyo'!J31,'26.07 Kibuye-Munyonyo-24h'!J31,'27.07 Kibuye-Munyonyo-24h'!J31,'28.07 Kibuye-Munyonyo'!J31)</f>
        <v>0.42857142857142855</v>
      </c>
      <c r="K31" s="49">
        <f>AVERAGE('22.07 Kibuye-Munyonyo'!K31,'23.07 Kibuye-Munyonyo'!K31,'24.07 Kibuye-Munyonyo'!K31,'25.07 Kibuye-Munyonyo'!K31,'26.07 Kibuye-Munyonyo-24h'!K31,'27.07 Kibuye-Munyonyo-24h'!K31,'28.07 Kibuye-Munyonyo'!K31)</f>
        <v>0.5714285714285714</v>
      </c>
      <c r="L31" s="49">
        <f>AVERAGE('22.07 Kibuye-Munyonyo'!L31,'23.07 Kibuye-Munyonyo'!L31,'24.07 Kibuye-Munyonyo'!L31,'25.07 Kibuye-Munyonyo'!L31,'26.07 Kibuye-Munyonyo-24h'!L31,'27.07 Kibuye-Munyonyo-24h'!L31,'28.07 Kibuye-Munyonyo'!L31)</f>
        <v>0</v>
      </c>
      <c r="M31" s="49">
        <f>AVERAGE('22.07 Kibuye-Munyonyo'!M31,'23.07 Kibuye-Munyonyo'!M31,'24.07 Kibuye-Munyonyo'!M31,'25.07 Kibuye-Munyonyo'!M31,'26.07 Kibuye-Munyonyo-24h'!M31,'27.07 Kibuye-Munyonyo-24h'!M31,'28.07 Kibuye-Munyonyo'!M31)</f>
        <v>119.57142857142857</v>
      </c>
      <c r="N31" s="49">
        <f>AVERAGE('22.07 Kibuye-Munyonyo'!N31,'23.07 Kibuye-Munyonyo'!N31,'24.07 Kibuye-Munyonyo'!N31,'25.07 Kibuye-Munyonyo'!N31,'26.07 Kibuye-Munyonyo-24h'!N31,'27.07 Kibuye-Munyonyo-24h'!N31,'28.07 Kibuye-Munyonyo'!N31)</f>
        <v>0</v>
      </c>
      <c r="O31" s="15">
        <f t="shared" si="0"/>
        <v>50.142857142857139</v>
      </c>
      <c r="P31" s="15">
        <f t="shared" si="1"/>
        <v>169.71428571428572</v>
      </c>
      <c r="R31" s="1" t="s">
        <v>155</v>
      </c>
      <c r="S31" s="34">
        <f>SUM(C94:C97)</f>
        <v>57</v>
      </c>
      <c r="T31" s="34">
        <f t="shared" ref="T31:AD31" si="41">SUM(D94:D97)</f>
        <v>5.5</v>
      </c>
      <c r="U31" s="34">
        <f t="shared" si="41"/>
        <v>1.5</v>
      </c>
      <c r="V31" s="34">
        <f t="shared" si="41"/>
        <v>6</v>
      </c>
      <c r="W31" s="34">
        <f t="shared" si="41"/>
        <v>0</v>
      </c>
      <c r="X31" s="34">
        <f t="shared" si="41"/>
        <v>0.5</v>
      </c>
      <c r="Y31" s="34">
        <f t="shared" si="41"/>
        <v>0</v>
      </c>
      <c r="Z31" s="34">
        <f t="shared" si="41"/>
        <v>0.5</v>
      </c>
      <c r="AA31" s="34">
        <f t="shared" si="41"/>
        <v>4.5</v>
      </c>
      <c r="AB31" s="34">
        <f t="shared" si="41"/>
        <v>0</v>
      </c>
      <c r="AC31" s="34">
        <f t="shared" si="41"/>
        <v>144</v>
      </c>
      <c r="AD31" s="34">
        <f t="shared" si="41"/>
        <v>0</v>
      </c>
      <c r="AE31" s="31">
        <f t="shared" ref="AE31" si="42">SUM(O94:O97)</f>
        <v>75.5</v>
      </c>
      <c r="AF31" s="31">
        <f t="shared" ref="AF31" si="43">SUM(P94:P97)</f>
        <v>219.5</v>
      </c>
    </row>
    <row r="32" spans="2:32" ht="23.1" customHeight="1" x14ac:dyDescent="0.25">
      <c r="B32" s="24" t="s">
        <v>59</v>
      </c>
      <c r="C32" s="49">
        <f>AVERAGE('22.07 Kibuye-Munyonyo'!C32,'23.07 Kibuye-Munyonyo'!C32,'24.07 Kibuye-Munyonyo'!C32,'25.07 Kibuye-Munyonyo'!C32,'26.07 Kibuye-Munyonyo-24h'!C32,'27.07 Kibuye-Munyonyo-24h'!C32,'28.07 Kibuye-Munyonyo'!C32)</f>
        <v>18.285714285714285</v>
      </c>
      <c r="D32" s="49">
        <f>AVERAGE('22.07 Kibuye-Munyonyo'!D32,'23.07 Kibuye-Munyonyo'!D32,'24.07 Kibuye-Munyonyo'!D32,'25.07 Kibuye-Munyonyo'!D32,'26.07 Kibuye-Munyonyo-24h'!D32,'27.07 Kibuye-Munyonyo-24h'!D32,'28.07 Kibuye-Munyonyo'!D32)</f>
        <v>7.1428571428571432</v>
      </c>
      <c r="E32" s="49">
        <f>AVERAGE('22.07 Kibuye-Munyonyo'!E32,'23.07 Kibuye-Munyonyo'!E32,'24.07 Kibuye-Munyonyo'!E32,'25.07 Kibuye-Munyonyo'!E32,'26.07 Kibuye-Munyonyo-24h'!E32,'27.07 Kibuye-Munyonyo-24h'!E32,'28.07 Kibuye-Munyonyo'!E32)</f>
        <v>1.5714285714285714</v>
      </c>
      <c r="F32" s="49">
        <f>AVERAGE('22.07 Kibuye-Munyonyo'!F32,'23.07 Kibuye-Munyonyo'!F32,'24.07 Kibuye-Munyonyo'!F32,'25.07 Kibuye-Munyonyo'!F32,'26.07 Kibuye-Munyonyo-24h'!F32,'27.07 Kibuye-Munyonyo-24h'!F32,'28.07 Kibuye-Munyonyo'!F32)</f>
        <v>26.142857142857142</v>
      </c>
      <c r="G32" s="49">
        <f>AVERAGE('22.07 Kibuye-Munyonyo'!G32,'23.07 Kibuye-Munyonyo'!G32,'24.07 Kibuye-Munyonyo'!G32,'25.07 Kibuye-Munyonyo'!G32,'26.07 Kibuye-Munyonyo-24h'!G32,'27.07 Kibuye-Munyonyo-24h'!G32,'28.07 Kibuye-Munyonyo'!G32)</f>
        <v>0</v>
      </c>
      <c r="H32" s="49">
        <f>AVERAGE('22.07 Kibuye-Munyonyo'!H32,'23.07 Kibuye-Munyonyo'!H32,'24.07 Kibuye-Munyonyo'!H32,'25.07 Kibuye-Munyonyo'!H32,'26.07 Kibuye-Munyonyo-24h'!H32,'27.07 Kibuye-Munyonyo-24h'!H32,'28.07 Kibuye-Munyonyo'!H32)</f>
        <v>0</v>
      </c>
      <c r="I32" s="49">
        <f>AVERAGE('22.07 Kibuye-Munyonyo'!I32,'23.07 Kibuye-Munyonyo'!I32,'24.07 Kibuye-Munyonyo'!I32,'25.07 Kibuye-Munyonyo'!I32,'26.07 Kibuye-Munyonyo-24h'!I32,'27.07 Kibuye-Munyonyo-24h'!I32,'28.07 Kibuye-Munyonyo'!I32)</f>
        <v>2.8571428571428572</v>
      </c>
      <c r="J32" s="49">
        <f>AVERAGE('22.07 Kibuye-Munyonyo'!J32,'23.07 Kibuye-Munyonyo'!J32,'24.07 Kibuye-Munyonyo'!J32,'25.07 Kibuye-Munyonyo'!J32,'26.07 Kibuye-Munyonyo-24h'!J32,'27.07 Kibuye-Munyonyo-24h'!J32,'28.07 Kibuye-Munyonyo'!J32)</f>
        <v>0.5714285714285714</v>
      </c>
      <c r="K32" s="49">
        <f>AVERAGE('22.07 Kibuye-Munyonyo'!K32,'23.07 Kibuye-Munyonyo'!K32,'24.07 Kibuye-Munyonyo'!K32,'25.07 Kibuye-Munyonyo'!K32,'26.07 Kibuye-Munyonyo-24h'!K32,'27.07 Kibuye-Munyonyo-24h'!K32,'28.07 Kibuye-Munyonyo'!K32)</f>
        <v>0.2857142857142857</v>
      </c>
      <c r="L32" s="49">
        <f>AVERAGE('22.07 Kibuye-Munyonyo'!L32,'23.07 Kibuye-Munyonyo'!L32,'24.07 Kibuye-Munyonyo'!L32,'25.07 Kibuye-Munyonyo'!L32,'26.07 Kibuye-Munyonyo-24h'!L32,'27.07 Kibuye-Munyonyo-24h'!L32,'28.07 Kibuye-Munyonyo'!L32)</f>
        <v>0</v>
      </c>
      <c r="M32" s="49">
        <f>AVERAGE('22.07 Kibuye-Munyonyo'!M32,'23.07 Kibuye-Munyonyo'!M32,'24.07 Kibuye-Munyonyo'!M32,'25.07 Kibuye-Munyonyo'!M32,'26.07 Kibuye-Munyonyo-24h'!M32,'27.07 Kibuye-Munyonyo-24h'!M32,'28.07 Kibuye-Munyonyo'!M32)</f>
        <v>115.14285714285714</v>
      </c>
      <c r="N32" s="49">
        <f>AVERAGE('22.07 Kibuye-Munyonyo'!N32,'23.07 Kibuye-Munyonyo'!N32,'24.07 Kibuye-Munyonyo'!N32,'25.07 Kibuye-Munyonyo'!N32,'26.07 Kibuye-Munyonyo-24h'!N32,'27.07 Kibuye-Munyonyo-24h'!N32,'28.07 Kibuye-Munyonyo'!N32)</f>
        <v>0.14285714285714285</v>
      </c>
      <c r="O32" s="15">
        <f t="shared" si="0"/>
        <v>56.999999999999993</v>
      </c>
      <c r="P32" s="15">
        <f t="shared" si="1"/>
        <v>172.14285714285714</v>
      </c>
      <c r="R32" s="1" t="s">
        <v>156</v>
      </c>
      <c r="S32" s="34">
        <f>SUM(C98:C101)</f>
        <v>39.5</v>
      </c>
      <c r="T32" s="34">
        <f t="shared" ref="T32:AD32" si="44">SUM(D98:D101)</f>
        <v>4</v>
      </c>
      <c r="U32" s="34">
        <f t="shared" si="44"/>
        <v>1.5</v>
      </c>
      <c r="V32" s="34">
        <f t="shared" si="44"/>
        <v>4</v>
      </c>
      <c r="W32" s="34">
        <f t="shared" si="44"/>
        <v>0</v>
      </c>
      <c r="X32" s="34">
        <f t="shared" si="44"/>
        <v>0</v>
      </c>
      <c r="Y32" s="34">
        <f t="shared" si="44"/>
        <v>0.5</v>
      </c>
      <c r="Z32" s="34">
        <f t="shared" si="44"/>
        <v>0</v>
      </c>
      <c r="AA32" s="34">
        <f t="shared" si="44"/>
        <v>5.5</v>
      </c>
      <c r="AB32" s="34">
        <f t="shared" si="44"/>
        <v>0</v>
      </c>
      <c r="AC32" s="34">
        <f t="shared" si="44"/>
        <v>133</v>
      </c>
      <c r="AD32" s="34">
        <f t="shared" si="44"/>
        <v>0</v>
      </c>
      <c r="AE32" s="31">
        <f t="shared" ref="AE32" si="45">SUM(O98:O101)</f>
        <v>55</v>
      </c>
      <c r="AF32" s="31">
        <f t="shared" ref="AF32" si="46">SUM(P98:P101)</f>
        <v>188</v>
      </c>
    </row>
    <row r="33" spans="2:32" ht="23.1" customHeight="1" x14ac:dyDescent="0.25">
      <c r="B33" s="23" t="s">
        <v>60</v>
      </c>
      <c r="C33" s="49">
        <f>AVERAGE('22.07 Kibuye-Munyonyo'!C33,'23.07 Kibuye-Munyonyo'!C33,'24.07 Kibuye-Munyonyo'!C33,'25.07 Kibuye-Munyonyo'!C33,'26.07 Kibuye-Munyonyo-24h'!C33,'27.07 Kibuye-Munyonyo-24h'!C33,'28.07 Kibuye-Munyonyo'!C33)</f>
        <v>18.571428571428573</v>
      </c>
      <c r="D33" s="49">
        <f>AVERAGE('22.07 Kibuye-Munyonyo'!D33,'23.07 Kibuye-Munyonyo'!D33,'24.07 Kibuye-Munyonyo'!D33,'25.07 Kibuye-Munyonyo'!D33,'26.07 Kibuye-Munyonyo-24h'!D33,'27.07 Kibuye-Munyonyo-24h'!D33,'28.07 Kibuye-Munyonyo'!D33)</f>
        <v>6.1428571428571432</v>
      </c>
      <c r="E33" s="49">
        <f>AVERAGE('22.07 Kibuye-Munyonyo'!E33,'23.07 Kibuye-Munyonyo'!E33,'24.07 Kibuye-Munyonyo'!E33,'25.07 Kibuye-Munyonyo'!E33,'26.07 Kibuye-Munyonyo-24h'!E33,'27.07 Kibuye-Munyonyo-24h'!E33,'28.07 Kibuye-Munyonyo'!E33)</f>
        <v>1.7142857142857142</v>
      </c>
      <c r="F33" s="49">
        <f>AVERAGE('22.07 Kibuye-Munyonyo'!F33,'23.07 Kibuye-Munyonyo'!F33,'24.07 Kibuye-Munyonyo'!F33,'25.07 Kibuye-Munyonyo'!F33,'26.07 Kibuye-Munyonyo-24h'!F33,'27.07 Kibuye-Munyonyo-24h'!F33,'28.07 Kibuye-Munyonyo'!F33)</f>
        <v>25.714285714285715</v>
      </c>
      <c r="G33" s="49">
        <f>AVERAGE('22.07 Kibuye-Munyonyo'!G33,'23.07 Kibuye-Munyonyo'!G33,'24.07 Kibuye-Munyonyo'!G33,'25.07 Kibuye-Munyonyo'!G33,'26.07 Kibuye-Munyonyo-24h'!G33,'27.07 Kibuye-Munyonyo-24h'!G33,'28.07 Kibuye-Munyonyo'!G33)</f>
        <v>0</v>
      </c>
      <c r="H33" s="49">
        <f>AVERAGE('22.07 Kibuye-Munyonyo'!H33,'23.07 Kibuye-Munyonyo'!H33,'24.07 Kibuye-Munyonyo'!H33,'25.07 Kibuye-Munyonyo'!H33,'26.07 Kibuye-Munyonyo-24h'!H33,'27.07 Kibuye-Munyonyo-24h'!H33,'28.07 Kibuye-Munyonyo'!H33)</f>
        <v>0</v>
      </c>
      <c r="I33" s="49">
        <f>AVERAGE('22.07 Kibuye-Munyonyo'!I33,'23.07 Kibuye-Munyonyo'!I33,'24.07 Kibuye-Munyonyo'!I33,'25.07 Kibuye-Munyonyo'!I33,'26.07 Kibuye-Munyonyo-24h'!I33,'27.07 Kibuye-Munyonyo-24h'!I33,'28.07 Kibuye-Munyonyo'!I33)</f>
        <v>3</v>
      </c>
      <c r="J33" s="49">
        <f>AVERAGE('22.07 Kibuye-Munyonyo'!J33,'23.07 Kibuye-Munyonyo'!J33,'24.07 Kibuye-Munyonyo'!J33,'25.07 Kibuye-Munyonyo'!J33,'26.07 Kibuye-Munyonyo-24h'!J33,'27.07 Kibuye-Munyonyo-24h'!J33,'28.07 Kibuye-Munyonyo'!J33)</f>
        <v>0.2857142857142857</v>
      </c>
      <c r="K33" s="49">
        <f>AVERAGE('22.07 Kibuye-Munyonyo'!K33,'23.07 Kibuye-Munyonyo'!K33,'24.07 Kibuye-Munyonyo'!K33,'25.07 Kibuye-Munyonyo'!K33,'26.07 Kibuye-Munyonyo-24h'!K33,'27.07 Kibuye-Munyonyo-24h'!K33,'28.07 Kibuye-Munyonyo'!K33)</f>
        <v>0.2857142857142857</v>
      </c>
      <c r="L33" s="49">
        <f>AVERAGE('22.07 Kibuye-Munyonyo'!L33,'23.07 Kibuye-Munyonyo'!L33,'24.07 Kibuye-Munyonyo'!L33,'25.07 Kibuye-Munyonyo'!L33,'26.07 Kibuye-Munyonyo-24h'!L33,'27.07 Kibuye-Munyonyo-24h'!L33,'28.07 Kibuye-Munyonyo'!L33)</f>
        <v>0</v>
      </c>
      <c r="M33" s="49">
        <f>AVERAGE('22.07 Kibuye-Munyonyo'!M33,'23.07 Kibuye-Munyonyo'!M33,'24.07 Kibuye-Munyonyo'!M33,'25.07 Kibuye-Munyonyo'!M33,'26.07 Kibuye-Munyonyo-24h'!M33,'27.07 Kibuye-Munyonyo-24h'!M33,'28.07 Kibuye-Munyonyo'!M33)</f>
        <v>114.42857142857143</v>
      </c>
      <c r="N33" s="49">
        <f>AVERAGE('22.07 Kibuye-Munyonyo'!N33,'23.07 Kibuye-Munyonyo'!N33,'24.07 Kibuye-Munyonyo'!N33,'25.07 Kibuye-Munyonyo'!N33,'26.07 Kibuye-Munyonyo-24h'!N33,'27.07 Kibuye-Munyonyo-24h'!N33,'28.07 Kibuye-Munyonyo'!N33)</f>
        <v>0</v>
      </c>
      <c r="O33" s="15">
        <f t="shared" si="0"/>
        <v>55.714285714285715</v>
      </c>
      <c r="P33" s="15">
        <f t="shared" si="1"/>
        <v>170.14285714285714</v>
      </c>
      <c r="R33" s="1" t="s">
        <v>157</v>
      </c>
      <c r="S33" s="34">
        <f>SUM(C102:C105)</f>
        <v>27</v>
      </c>
      <c r="T33" s="34">
        <f t="shared" ref="T33:AD33" si="47">SUM(D102:D105)</f>
        <v>6.5</v>
      </c>
      <c r="U33" s="34">
        <f t="shared" si="47"/>
        <v>2</v>
      </c>
      <c r="V33" s="34">
        <f t="shared" si="47"/>
        <v>7</v>
      </c>
      <c r="W33" s="34">
        <f t="shared" si="47"/>
        <v>0</v>
      </c>
      <c r="X33" s="34">
        <f t="shared" si="47"/>
        <v>0</v>
      </c>
      <c r="Y33" s="34">
        <f t="shared" si="47"/>
        <v>0</v>
      </c>
      <c r="Z33" s="34">
        <f t="shared" si="47"/>
        <v>0.5</v>
      </c>
      <c r="AA33" s="34">
        <f t="shared" si="47"/>
        <v>4</v>
      </c>
      <c r="AB33" s="34">
        <f t="shared" si="47"/>
        <v>0</v>
      </c>
      <c r="AC33" s="34">
        <f t="shared" si="47"/>
        <v>89</v>
      </c>
      <c r="AD33" s="34">
        <f t="shared" si="47"/>
        <v>0</v>
      </c>
      <c r="AE33" s="31">
        <f t="shared" ref="AE33" si="48">SUM(O102:O105)</f>
        <v>47</v>
      </c>
      <c r="AF33" s="31">
        <f t="shared" ref="AF33" si="49">SUM(P102:P105)</f>
        <v>136</v>
      </c>
    </row>
    <row r="34" spans="2:32" ht="23.1" customHeight="1" x14ac:dyDescent="0.25">
      <c r="B34" s="24" t="s">
        <v>61</v>
      </c>
      <c r="C34" s="49">
        <f>AVERAGE('22.07 Kibuye-Munyonyo'!C34,'23.07 Kibuye-Munyonyo'!C34,'24.07 Kibuye-Munyonyo'!C34,'25.07 Kibuye-Munyonyo'!C34,'26.07 Kibuye-Munyonyo-24h'!C34,'27.07 Kibuye-Munyonyo-24h'!C34,'28.07 Kibuye-Munyonyo'!C34)</f>
        <v>18</v>
      </c>
      <c r="D34" s="49">
        <f>AVERAGE('22.07 Kibuye-Munyonyo'!D34,'23.07 Kibuye-Munyonyo'!D34,'24.07 Kibuye-Munyonyo'!D34,'25.07 Kibuye-Munyonyo'!D34,'26.07 Kibuye-Munyonyo-24h'!D34,'27.07 Kibuye-Munyonyo-24h'!D34,'28.07 Kibuye-Munyonyo'!D34)</f>
        <v>8.8571428571428577</v>
      </c>
      <c r="E34" s="49">
        <f>AVERAGE('22.07 Kibuye-Munyonyo'!E34,'23.07 Kibuye-Munyonyo'!E34,'24.07 Kibuye-Munyonyo'!E34,'25.07 Kibuye-Munyonyo'!E34,'26.07 Kibuye-Munyonyo-24h'!E34,'27.07 Kibuye-Munyonyo-24h'!E34,'28.07 Kibuye-Munyonyo'!E34)</f>
        <v>2.4285714285714284</v>
      </c>
      <c r="F34" s="49">
        <f>AVERAGE('22.07 Kibuye-Munyonyo'!F34,'23.07 Kibuye-Munyonyo'!F34,'24.07 Kibuye-Munyonyo'!F34,'25.07 Kibuye-Munyonyo'!F34,'26.07 Kibuye-Munyonyo-24h'!F34,'27.07 Kibuye-Munyonyo-24h'!F34,'28.07 Kibuye-Munyonyo'!F34)</f>
        <v>26</v>
      </c>
      <c r="G34" s="49">
        <f>AVERAGE('22.07 Kibuye-Munyonyo'!G34,'23.07 Kibuye-Munyonyo'!G34,'24.07 Kibuye-Munyonyo'!G34,'25.07 Kibuye-Munyonyo'!G34,'26.07 Kibuye-Munyonyo-24h'!G34,'27.07 Kibuye-Munyonyo-24h'!G34,'28.07 Kibuye-Munyonyo'!G34)</f>
        <v>1.1428571428571428</v>
      </c>
      <c r="H34" s="49">
        <f>AVERAGE('22.07 Kibuye-Munyonyo'!H34,'23.07 Kibuye-Munyonyo'!H34,'24.07 Kibuye-Munyonyo'!H34,'25.07 Kibuye-Munyonyo'!H34,'26.07 Kibuye-Munyonyo-24h'!H34,'27.07 Kibuye-Munyonyo-24h'!H34,'28.07 Kibuye-Munyonyo'!H34)</f>
        <v>0</v>
      </c>
      <c r="I34" s="49">
        <f>AVERAGE('22.07 Kibuye-Munyonyo'!I34,'23.07 Kibuye-Munyonyo'!I34,'24.07 Kibuye-Munyonyo'!I34,'25.07 Kibuye-Munyonyo'!I34,'26.07 Kibuye-Munyonyo-24h'!I34,'27.07 Kibuye-Munyonyo-24h'!I34,'28.07 Kibuye-Munyonyo'!I34)</f>
        <v>4.5714285714285712</v>
      </c>
      <c r="J34" s="49">
        <f>AVERAGE('22.07 Kibuye-Munyonyo'!J34,'23.07 Kibuye-Munyonyo'!J34,'24.07 Kibuye-Munyonyo'!J34,'25.07 Kibuye-Munyonyo'!J34,'26.07 Kibuye-Munyonyo-24h'!J34,'27.07 Kibuye-Munyonyo-24h'!J34,'28.07 Kibuye-Munyonyo'!J34)</f>
        <v>0.5714285714285714</v>
      </c>
      <c r="K34" s="49">
        <f>AVERAGE('22.07 Kibuye-Munyonyo'!K34,'23.07 Kibuye-Munyonyo'!K34,'24.07 Kibuye-Munyonyo'!K34,'25.07 Kibuye-Munyonyo'!K34,'26.07 Kibuye-Munyonyo-24h'!K34,'27.07 Kibuye-Munyonyo-24h'!K34,'28.07 Kibuye-Munyonyo'!K34)</f>
        <v>0.14285714285714285</v>
      </c>
      <c r="L34" s="49">
        <f>AVERAGE('22.07 Kibuye-Munyonyo'!L34,'23.07 Kibuye-Munyonyo'!L34,'24.07 Kibuye-Munyonyo'!L34,'25.07 Kibuye-Munyonyo'!L34,'26.07 Kibuye-Munyonyo-24h'!L34,'27.07 Kibuye-Munyonyo-24h'!L34,'28.07 Kibuye-Munyonyo'!L34)</f>
        <v>0</v>
      </c>
      <c r="M34" s="49">
        <f>AVERAGE('22.07 Kibuye-Munyonyo'!M34,'23.07 Kibuye-Munyonyo'!M34,'24.07 Kibuye-Munyonyo'!M34,'25.07 Kibuye-Munyonyo'!M34,'26.07 Kibuye-Munyonyo-24h'!M34,'27.07 Kibuye-Munyonyo-24h'!M34,'28.07 Kibuye-Munyonyo'!M34)</f>
        <v>105.28571428571429</v>
      </c>
      <c r="N34" s="49">
        <f>AVERAGE('22.07 Kibuye-Munyonyo'!N34,'23.07 Kibuye-Munyonyo'!N34,'24.07 Kibuye-Munyonyo'!N34,'25.07 Kibuye-Munyonyo'!N34,'26.07 Kibuye-Munyonyo-24h'!N34,'27.07 Kibuye-Munyonyo-24h'!N34,'28.07 Kibuye-Munyonyo'!N34)</f>
        <v>0</v>
      </c>
      <c r="O34" s="15">
        <f t="shared" si="0"/>
        <v>61.714285714285715</v>
      </c>
      <c r="P34" s="15">
        <f t="shared" si="1"/>
        <v>167</v>
      </c>
      <c r="R34" s="38" t="s">
        <v>90</v>
      </c>
      <c r="S34" s="39">
        <f t="shared" ref="S34:AF34" si="50">MAX(S10:S12)</f>
        <v>52.428571428571431</v>
      </c>
      <c r="T34" s="39">
        <f t="shared" si="50"/>
        <v>24.285714285714285</v>
      </c>
      <c r="U34" s="39">
        <f t="shared" si="50"/>
        <v>7.5714285714285712</v>
      </c>
      <c r="V34" s="39">
        <f t="shared" si="50"/>
        <v>248.57142857142856</v>
      </c>
      <c r="W34" s="39">
        <f t="shared" si="50"/>
        <v>2.4285714285714284</v>
      </c>
      <c r="X34" s="39">
        <f t="shared" si="50"/>
        <v>0.71428571428571419</v>
      </c>
      <c r="Y34" s="39">
        <f t="shared" si="50"/>
        <v>10</v>
      </c>
      <c r="Z34" s="39">
        <f t="shared" si="50"/>
        <v>3.2857142857142856</v>
      </c>
      <c r="AA34" s="39">
        <f t="shared" si="50"/>
        <v>0.99999999999999989</v>
      </c>
      <c r="AB34" s="39">
        <f t="shared" si="50"/>
        <v>0</v>
      </c>
      <c r="AC34" s="39">
        <f t="shared" si="50"/>
        <v>603.42857142857144</v>
      </c>
      <c r="AD34" s="39">
        <f t="shared" si="50"/>
        <v>0.14285714285714285</v>
      </c>
      <c r="AE34" s="40">
        <f t="shared" si="50"/>
        <v>329.42857142857144</v>
      </c>
      <c r="AF34" s="40">
        <f t="shared" si="50"/>
        <v>932.85714285714289</v>
      </c>
    </row>
    <row r="35" spans="2:32" ht="23.1" customHeight="1" x14ac:dyDescent="0.25">
      <c r="B35" s="24" t="s">
        <v>62</v>
      </c>
      <c r="C35" s="49">
        <f>AVERAGE('22.07 Kibuye-Munyonyo'!C35,'23.07 Kibuye-Munyonyo'!C35,'24.07 Kibuye-Munyonyo'!C35,'25.07 Kibuye-Munyonyo'!C35,'26.07 Kibuye-Munyonyo-24h'!C35,'27.07 Kibuye-Munyonyo-24h'!C35,'28.07 Kibuye-Munyonyo'!C35)</f>
        <v>21.857142857142858</v>
      </c>
      <c r="D35" s="49">
        <f>AVERAGE('22.07 Kibuye-Munyonyo'!D35,'23.07 Kibuye-Munyonyo'!D35,'24.07 Kibuye-Munyonyo'!D35,'25.07 Kibuye-Munyonyo'!D35,'26.07 Kibuye-Munyonyo-24h'!D35,'27.07 Kibuye-Munyonyo-24h'!D35,'28.07 Kibuye-Munyonyo'!D35)</f>
        <v>7.4285714285714288</v>
      </c>
      <c r="E35" s="49">
        <f>AVERAGE('22.07 Kibuye-Munyonyo'!E35,'23.07 Kibuye-Munyonyo'!E35,'24.07 Kibuye-Munyonyo'!E35,'25.07 Kibuye-Munyonyo'!E35,'26.07 Kibuye-Munyonyo-24h'!E35,'27.07 Kibuye-Munyonyo-24h'!E35,'28.07 Kibuye-Munyonyo'!E35)</f>
        <v>3.8571428571428572</v>
      </c>
      <c r="F35" s="49">
        <f>AVERAGE('22.07 Kibuye-Munyonyo'!F35,'23.07 Kibuye-Munyonyo'!F35,'24.07 Kibuye-Munyonyo'!F35,'25.07 Kibuye-Munyonyo'!F35,'26.07 Kibuye-Munyonyo-24h'!F35,'27.07 Kibuye-Munyonyo-24h'!F35,'28.07 Kibuye-Munyonyo'!F35)</f>
        <v>21.428571428571427</v>
      </c>
      <c r="G35" s="49">
        <f>AVERAGE('22.07 Kibuye-Munyonyo'!G35,'23.07 Kibuye-Munyonyo'!G35,'24.07 Kibuye-Munyonyo'!G35,'25.07 Kibuye-Munyonyo'!G35,'26.07 Kibuye-Munyonyo-24h'!G35,'27.07 Kibuye-Munyonyo-24h'!G35,'28.07 Kibuye-Munyonyo'!G35)</f>
        <v>0</v>
      </c>
      <c r="H35" s="49">
        <f>AVERAGE('22.07 Kibuye-Munyonyo'!H35,'23.07 Kibuye-Munyonyo'!H35,'24.07 Kibuye-Munyonyo'!H35,'25.07 Kibuye-Munyonyo'!H35,'26.07 Kibuye-Munyonyo-24h'!H35,'27.07 Kibuye-Munyonyo-24h'!H35,'28.07 Kibuye-Munyonyo'!H35)</f>
        <v>0</v>
      </c>
      <c r="I35" s="49">
        <f>AVERAGE('22.07 Kibuye-Munyonyo'!I35,'23.07 Kibuye-Munyonyo'!I35,'24.07 Kibuye-Munyonyo'!I35,'25.07 Kibuye-Munyonyo'!I35,'26.07 Kibuye-Munyonyo-24h'!I35,'27.07 Kibuye-Munyonyo-24h'!I35,'28.07 Kibuye-Munyonyo'!I35)</f>
        <v>3.2857142857142856</v>
      </c>
      <c r="J35" s="49">
        <f>AVERAGE('22.07 Kibuye-Munyonyo'!J35,'23.07 Kibuye-Munyonyo'!J35,'24.07 Kibuye-Munyonyo'!J35,'25.07 Kibuye-Munyonyo'!J35,'26.07 Kibuye-Munyonyo-24h'!J35,'27.07 Kibuye-Munyonyo-24h'!J35,'28.07 Kibuye-Munyonyo'!J35)</f>
        <v>0.5714285714285714</v>
      </c>
      <c r="K35" s="49">
        <f>AVERAGE('22.07 Kibuye-Munyonyo'!K35,'23.07 Kibuye-Munyonyo'!K35,'24.07 Kibuye-Munyonyo'!K35,'25.07 Kibuye-Munyonyo'!K35,'26.07 Kibuye-Munyonyo-24h'!K35,'27.07 Kibuye-Munyonyo-24h'!K35,'28.07 Kibuye-Munyonyo'!K35)</f>
        <v>0.42857142857142855</v>
      </c>
      <c r="L35" s="49">
        <f>AVERAGE('22.07 Kibuye-Munyonyo'!L35,'23.07 Kibuye-Munyonyo'!L35,'24.07 Kibuye-Munyonyo'!L35,'25.07 Kibuye-Munyonyo'!L35,'26.07 Kibuye-Munyonyo-24h'!L35,'27.07 Kibuye-Munyonyo-24h'!L35,'28.07 Kibuye-Munyonyo'!L35)</f>
        <v>0.2857142857142857</v>
      </c>
      <c r="M35" s="49">
        <f>AVERAGE('22.07 Kibuye-Munyonyo'!M35,'23.07 Kibuye-Munyonyo'!M35,'24.07 Kibuye-Munyonyo'!M35,'25.07 Kibuye-Munyonyo'!M35,'26.07 Kibuye-Munyonyo-24h'!M35,'27.07 Kibuye-Munyonyo-24h'!M35,'28.07 Kibuye-Munyonyo'!M35)</f>
        <v>104.71428571428571</v>
      </c>
      <c r="N35" s="49">
        <f>AVERAGE('22.07 Kibuye-Munyonyo'!N35,'23.07 Kibuye-Munyonyo'!N35,'24.07 Kibuye-Munyonyo'!N35,'25.07 Kibuye-Munyonyo'!N35,'26.07 Kibuye-Munyonyo-24h'!N35,'27.07 Kibuye-Munyonyo-24h'!N35,'28.07 Kibuye-Munyonyo'!N35)</f>
        <v>0</v>
      </c>
      <c r="O35" s="15">
        <f t="shared" si="0"/>
        <v>59.142857142857139</v>
      </c>
      <c r="P35" s="15">
        <f t="shared" si="1"/>
        <v>163.85714285714283</v>
      </c>
      <c r="R35" s="38" t="s">
        <v>91</v>
      </c>
      <c r="S35" s="39">
        <f t="shared" ref="S35:AF35" si="51">MAX(S13:S18)</f>
        <v>105.57142857142857</v>
      </c>
      <c r="T35" s="39">
        <f t="shared" si="51"/>
        <v>45.428571428571431</v>
      </c>
      <c r="U35" s="39">
        <f t="shared" si="51"/>
        <v>12.857142857142856</v>
      </c>
      <c r="V35" s="39">
        <f t="shared" si="51"/>
        <v>145.71428571428569</v>
      </c>
      <c r="W35" s="39">
        <f t="shared" si="51"/>
        <v>3.7142857142857144</v>
      </c>
      <c r="X35" s="39">
        <f t="shared" si="51"/>
        <v>0.2857142857142857</v>
      </c>
      <c r="Y35" s="39">
        <f t="shared" si="51"/>
        <v>19</v>
      </c>
      <c r="Z35" s="39">
        <f t="shared" si="51"/>
        <v>3.8571428571428568</v>
      </c>
      <c r="AA35" s="39">
        <f t="shared" si="51"/>
        <v>1.7142857142857142</v>
      </c>
      <c r="AB35" s="39">
        <f t="shared" si="51"/>
        <v>0.2857142857142857</v>
      </c>
      <c r="AC35" s="39">
        <f t="shared" si="51"/>
        <v>560.28571428571422</v>
      </c>
      <c r="AD35" s="39">
        <f t="shared" si="51"/>
        <v>0.14285714285714285</v>
      </c>
      <c r="AE35" s="40">
        <f t="shared" si="51"/>
        <v>265</v>
      </c>
      <c r="AF35" s="40">
        <f t="shared" si="51"/>
        <v>805.57142857142856</v>
      </c>
    </row>
    <row r="36" spans="2:32" ht="23.1" customHeight="1" x14ac:dyDescent="0.25">
      <c r="B36" s="24" t="s">
        <v>63</v>
      </c>
      <c r="C36" s="49">
        <f>AVERAGE('22.07 Kibuye-Munyonyo'!C36,'23.07 Kibuye-Munyonyo'!C36,'24.07 Kibuye-Munyonyo'!C36,'25.07 Kibuye-Munyonyo'!C36,'26.07 Kibuye-Munyonyo-24h'!C36,'27.07 Kibuye-Munyonyo-24h'!C36,'28.07 Kibuye-Munyonyo'!C36)</f>
        <v>18.857142857142858</v>
      </c>
      <c r="D36" s="49">
        <f>AVERAGE('22.07 Kibuye-Munyonyo'!D36,'23.07 Kibuye-Munyonyo'!D36,'24.07 Kibuye-Munyonyo'!D36,'25.07 Kibuye-Munyonyo'!D36,'26.07 Kibuye-Munyonyo-24h'!D36,'27.07 Kibuye-Munyonyo-24h'!D36,'28.07 Kibuye-Munyonyo'!D36)</f>
        <v>6.2857142857142856</v>
      </c>
      <c r="E36" s="49">
        <f>AVERAGE('22.07 Kibuye-Munyonyo'!E36,'23.07 Kibuye-Munyonyo'!E36,'24.07 Kibuye-Munyonyo'!E36,'25.07 Kibuye-Munyonyo'!E36,'26.07 Kibuye-Munyonyo-24h'!E36,'27.07 Kibuye-Munyonyo-24h'!E36,'28.07 Kibuye-Munyonyo'!E36)</f>
        <v>3</v>
      </c>
      <c r="F36" s="49">
        <f>AVERAGE('22.07 Kibuye-Munyonyo'!F36,'23.07 Kibuye-Munyonyo'!F36,'24.07 Kibuye-Munyonyo'!F36,'25.07 Kibuye-Munyonyo'!F36,'26.07 Kibuye-Munyonyo-24h'!F36,'27.07 Kibuye-Munyonyo-24h'!F36,'28.07 Kibuye-Munyonyo'!F36)</f>
        <v>28</v>
      </c>
      <c r="G36" s="49">
        <f>AVERAGE('22.07 Kibuye-Munyonyo'!G36,'23.07 Kibuye-Munyonyo'!G36,'24.07 Kibuye-Munyonyo'!G36,'25.07 Kibuye-Munyonyo'!G36,'26.07 Kibuye-Munyonyo-24h'!G36,'27.07 Kibuye-Munyonyo-24h'!G36,'28.07 Kibuye-Munyonyo'!G36)</f>
        <v>0.14285714285714285</v>
      </c>
      <c r="H36" s="49">
        <f>AVERAGE('22.07 Kibuye-Munyonyo'!H36,'23.07 Kibuye-Munyonyo'!H36,'24.07 Kibuye-Munyonyo'!H36,'25.07 Kibuye-Munyonyo'!H36,'26.07 Kibuye-Munyonyo-24h'!H36,'27.07 Kibuye-Munyonyo-24h'!H36,'28.07 Kibuye-Munyonyo'!H36)</f>
        <v>0</v>
      </c>
      <c r="I36" s="49">
        <f>AVERAGE('22.07 Kibuye-Munyonyo'!I36,'23.07 Kibuye-Munyonyo'!I36,'24.07 Kibuye-Munyonyo'!I36,'25.07 Kibuye-Munyonyo'!I36,'26.07 Kibuye-Munyonyo-24h'!I36,'27.07 Kibuye-Munyonyo-24h'!I36,'28.07 Kibuye-Munyonyo'!I36)</f>
        <v>3.7142857142857144</v>
      </c>
      <c r="J36" s="49">
        <f>AVERAGE('22.07 Kibuye-Munyonyo'!J36,'23.07 Kibuye-Munyonyo'!J36,'24.07 Kibuye-Munyonyo'!J36,'25.07 Kibuye-Munyonyo'!J36,'26.07 Kibuye-Munyonyo-24h'!J36,'27.07 Kibuye-Munyonyo-24h'!J36,'28.07 Kibuye-Munyonyo'!J36)</f>
        <v>0.42857142857142855</v>
      </c>
      <c r="K36" s="49">
        <f>AVERAGE('22.07 Kibuye-Munyonyo'!K36,'23.07 Kibuye-Munyonyo'!K36,'24.07 Kibuye-Munyonyo'!K36,'25.07 Kibuye-Munyonyo'!K36,'26.07 Kibuye-Munyonyo-24h'!K36,'27.07 Kibuye-Munyonyo-24h'!K36,'28.07 Kibuye-Munyonyo'!K36)</f>
        <v>0.5714285714285714</v>
      </c>
      <c r="L36" s="49">
        <f>AVERAGE('22.07 Kibuye-Munyonyo'!L36,'23.07 Kibuye-Munyonyo'!L36,'24.07 Kibuye-Munyonyo'!L36,'25.07 Kibuye-Munyonyo'!L36,'26.07 Kibuye-Munyonyo-24h'!L36,'27.07 Kibuye-Munyonyo-24h'!L36,'28.07 Kibuye-Munyonyo'!L36)</f>
        <v>0</v>
      </c>
      <c r="M36" s="49">
        <f>AVERAGE('22.07 Kibuye-Munyonyo'!M36,'23.07 Kibuye-Munyonyo'!M36,'24.07 Kibuye-Munyonyo'!M36,'25.07 Kibuye-Munyonyo'!M36,'26.07 Kibuye-Munyonyo-24h'!M36,'27.07 Kibuye-Munyonyo-24h'!M36,'28.07 Kibuye-Munyonyo'!M36)</f>
        <v>107.28571428571429</v>
      </c>
      <c r="N36" s="49">
        <f>AVERAGE('22.07 Kibuye-Munyonyo'!N36,'23.07 Kibuye-Munyonyo'!N36,'24.07 Kibuye-Munyonyo'!N36,'25.07 Kibuye-Munyonyo'!N36,'26.07 Kibuye-Munyonyo-24h'!N36,'27.07 Kibuye-Munyonyo-24h'!N36,'28.07 Kibuye-Munyonyo'!N36)</f>
        <v>0</v>
      </c>
      <c r="O36" s="15">
        <f t="shared" si="0"/>
        <v>61</v>
      </c>
      <c r="P36" s="15">
        <f t="shared" si="1"/>
        <v>168.28571428571428</v>
      </c>
      <c r="R36" s="38" t="s">
        <v>92</v>
      </c>
      <c r="S36" s="39">
        <f t="shared" ref="S36:AF36" si="52">MAX(S19:S21)</f>
        <v>149.85714285714286</v>
      </c>
      <c r="T36" s="39">
        <f t="shared" si="52"/>
        <v>72.285714285714292</v>
      </c>
      <c r="U36" s="39">
        <f t="shared" si="52"/>
        <v>16.142857142857142</v>
      </c>
      <c r="V36" s="39">
        <f t="shared" si="52"/>
        <v>132.42857142857142</v>
      </c>
      <c r="W36" s="39">
        <f t="shared" si="52"/>
        <v>2.4285714285714284</v>
      </c>
      <c r="X36" s="39">
        <f t="shared" si="52"/>
        <v>0.71428571428571419</v>
      </c>
      <c r="Y36" s="39">
        <f t="shared" si="52"/>
        <v>18.857142857142854</v>
      </c>
      <c r="Z36" s="39">
        <f t="shared" si="52"/>
        <v>2.2857142857142856</v>
      </c>
      <c r="AA36" s="39">
        <f t="shared" si="52"/>
        <v>0.8571428571428571</v>
      </c>
      <c r="AB36" s="39">
        <f t="shared" si="52"/>
        <v>0</v>
      </c>
      <c r="AC36" s="39">
        <f t="shared" si="52"/>
        <v>497.71428571428578</v>
      </c>
      <c r="AD36" s="39">
        <f t="shared" si="52"/>
        <v>0</v>
      </c>
      <c r="AE36" s="40">
        <f t="shared" si="52"/>
        <v>377.28571428571428</v>
      </c>
      <c r="AF36" s="40">
        <f t="shared" si="52"/>
        <v>858.28571428571422</v>
      </c>
    </row>
    <row r="37" spans="2:32" ht="23.1" customHeight="1" x14ac:dyDescent="0.25">
      <c r="B37" s="23" t="s">
        <v>64</v>
      </c>
      <c r="C37" s="49">
        <f>AVERAGE('22.07 Kibuye-Munyonyo'!C37,'23.07 Kibuye-Munyonyo'!C37,'24.07 Kibuye-Munyonyo'!C37,'25.07 Kibuye-Munyonyo'!C37,'26.07 Kibuye-Munyonyo-24h'!C37,'27.07 Kibuye-Munyonyo-24h'!C37,'28.07 Kibuye-Munyonyo'!C37)</f>
        <v>19.714285714285715</v>
      </c>
      <c r="D37" s="49">
        <f>AVERAGE('22.07 Kibuye-Munyonyo'!D37,'23.07 Kibuye-Munyonyo'!D37,'24.07 Kibuye-Munyonyo'!D37,'25.07 Kibuye-Munyonyo'!D37,'26.07 Kibuye-Munyonyo-24h'!D37,'27.07 Kibuye-Munyonyo-24h'!D37,'28.07 Kibuye-Munyonyo'!D37)</f>
        <v>9</v>
      </c>
      <c r="E37" s="49">
        <f>AVERAGE('22.07 Kibuye-Munyonyo'!E37,'23.07 Kibuye-Munyonyo'!E37,'24.07 Kibuye-Munyonyo'!E37,'25.07 Kibuye-Munyonyo'!E37,'26.07 Kibuye-Munyonyo-24h'!E37,'27.07 Kibuye-Munyonyo-24h'!E37,'28.07 Kibuye-Munyonyo'!E37)</f>
        <v>2.1428571428571428</v>
      </c>
      <c r="F37" s="49">
        <f>AVERAGE('22.07 Kibuye-Munyonyo'!F37,'23.07 Kibuye-Munyonyo'!F37,'24.07 Kibuye-Munyonyo'!F37,'25.07 Kibuye-Munyonyo'!F37,'26.07 Kibuye-Munyonyo-24h'!F37,'27.07 Kibuye-Munyonyo-24h'!F37,'28.07 Kibuye-Munyonyo'!F37)</f>
        <v>17.714285714285715</v>
      </c>
      <c r="G37" s="49">
        <f>AVERAGE('22.07 Kibuye-Munyonyo'!G37,'23.07 Kibuye-Munyonyo'!G37,'24.07 Kibuye-Munyonyo'!G37,'25.07 Kibuye-Munyonyo'!G37,'26.07 Kibuye-Munyonyo-24h'!G37,'27.07 Kibuye-Munyonyo-24h'!G37,'28.07 Kibuye-Munyonyo'!G37)</f>
        <v>0</v>
      </c>
      <c r="H37" s="49">
        <f>AVERAGE('22.07 Kibuye-Munyonyo'!H37,'23.07 Kibuye-Munyonyo'!H37,'24.07 Kibuye-Munyonyo'!H37,'25.07 Kibuye-Munyonyo'!H37,'26.07 Kibuye-Munyonyo-24h'!H37,'27.07 Kibuye-Munyonyo-24h'!H37,'28.07 Kibuye-Munyonyo'!H37)</f>
        <v>0</v>
      </c>
      <c r="I37" s="49">
        <f>AVERAGE('22.07 Kibuye-Munyonyo'!I37,'23.07 Kibuye-Munyonyo'!I37,'24.07 Kibuye-Munyonyo'!I37,'25.07 Kibuye-Munyonyo'!I37,'26.07 Kibuye-Munyonyo-24h'!I37,'27.07 Kibuye-Munyonyo-24h'!I37,'28.07 Kibuye-Munyonyo'!I37)</f>
        <v>3.2857142857142856</v>
      </c>
      <c r="J37" s="49">
        <f>AVERAGE('22.07 Kibuye-Munyonyo'!J37,'23.07 Kibuye-Munyonyo'!J37,'24.07 Kibuye-Munyonyo'!J37,'25.07 Kibuye-Munyonyo'!J37,'26.07 Kibuye-Munyonyo-24h'!J37,'27.07 Kibuye-Munyonyo-24h'!J37,'28.07 Kibuye-Munyonyo'!J37)</f>
        <v>0</v>
      </c>
      <c r="K37" s="49">
        <f>AVERAGE('22.07 Kibuye-Munyonyo'!K37,'23.07 Kibuye-Munyonyo'!K37,'24.07 Kibuye-Munyonyo'!K37,'25.07 Kibuye-Munyonyo'!K37,'26.07 Kibuye-Munyonyo-24h'!K37,'27.07 Kibuye-Munyonyo-24h'!K37,'28.07 Kibuye-Munyonyo'!K37)</f>
        <v>0.42857142857142855</v>
      </c>
      <c r="L37" s="49">
        <f>AVERAGE('22.07 Kibuye-Munyonyo'!L37,'23.07 Kibuye-Munyonyo'!L37,'24.07 Kibuye-Munyonyo'!L37,'25.07 Kibuye-Munyonyo'!L37,'26.07 Kibuye-Munyonyo-24h'!L37,'27.07 Kibuye-Munyonyo-24h'!L37,'28.07 Kibuye-Munyonyo'!L37)</f>
        <v>0</v>
      </c>
      <c r="M37" s="49">
        <f>AVERAGE('22.07 Kibuye-Munyonyo'!M37,'23.07 Kibuye-Munyonyo'!M37,'24.07 Kibuye-Munyonyo'!M37,'25.07 Kibuye-Munyonyo'!M37,'26.07 Kibuye-Munyonyo-24h'!M37,'27.07 Kibuye-Munyonyo-24h'!M37,'28.07 Kibuye-Munyonyo'!M37)</f>
        <v>100.42857142857143</v>
      </c>
      <c r="N37" s="49">
        <f>AVERAGE('22.07 Kibuye-Munyonyo'!N37,'23.07 Kibuye-Munyonyo'!N37,'24.07 Kibuye-Munyonyo'!N37,'25.07 Kibuye-Munyonyo'!N37,'26.07 Kibuye-Munyonyo-24h'!N37,'27.07 Kibuye-Munyonyo-24h'!N37,'28.07 Kibuye-Munyonyo'!N37)</f>
        <v>0</v>
      </c>
      <c r="O37" s="15">
        <f t="shared" si="0"/>
        <v>52.285714285714285</v>
      </c>
      <c r="P37" s="15">
        <f t="shared" si="1"/>
        <v>152.71428571428572</v>
      </c>
      <c r="R37" s="37" t="s">
        <v>85</v>
      </c>
      <c r="S37" s="35">
        <f t="shared" ref="S37:AF37" si="53">SUM(S10:S12)</f>
        <v>130.42857142857144</v>
      </c>
      <c r="T37" s="16">
        <f t="shared" si="53"/>
        <v>60.285714285714285</v>
      </c>
      <c r="U37" s="16">
        <f t="shared" si="53"/>
        <v>18.857142857142854</v>
      </c>
      <c r="V37" s="16">
        <f t="shared" si="53"/>
        <v>640.28571428571422</v>
      </c>
      <c r="W37" s="16">
        <f t="shared" si="53"/>
        <v>5.4285714285714288</v>
      </c>
      <c r="X37" s="16">
        <f t="shared" si="53"/>
        <v>1.4285714285714284</v>
      </c>
      <c r="Y37" s="16">
        <f t="shared" si="53"/>
        <v>24.571428571428569</v>
      </c>
      <c r="Z37" s="16">
        <f t="shared" si="53"/>
        <v>7.5714285714285712</v>
      </c>
      <c r="AA37" s="16">
        <f t="shared" si="53"/>
        <v>2.2857142857142856</v>
      </c>
      <c r="AB37" s="16">
        <f t="shared" si="53"/>
        <v>0</v>
      </c>
      <c r="AC37" s="16">
        <f t="shared" si="53"/>
        <v>1583.1428571428571</v>
      </c>
      <c r="AD37" s="16">
        <f t="shared" si="53"/>
        <v>0.14285714285714285</v>
      </c>
      <c r="AE37" s="32">
        <f t="shared" si="53"/>
        <v>891.28571428571433</v>
      </c>
      <c r="AF37" s="32">
        <f t="shared" si="53"/>
        <v>2474.4285714285716</v>
      </c>
    </row>
    <row r="38" spans="2:32" ht="23.1" customHeight="1" x14ac:dyDescent="0.25">
      <c r="B38" s="24" t="s">
        <v>65</v>
      </c>
      <c r="C38" s="49">
        <f>AVERAGE('22.07 Kibuye-Munyonyo'!C38,'23.07 Kibuye-Munyonyo'!C38,'24.07 Kibuye-Munyonyo'!C38,'25.07 Kibuye-Munyonyo'!C38,'26.07 Kibuye-Munyonyo-24h'!C38,'27.07 Kibuye-Munyonyo-24h'!C38,'28.07 Kibuye-Munyonyo'!C38)</f>
        <v>28.857142857142858</v>
      </c>
      <c r="D38" s="49">
        <f>AVERAGE('22.07 Kibuye-Munyonyo'!D38,'23.07 Kibuye-Munyonyo'!D38,'24.07 Kibuye-Munyonyo'!D38,'25.07 Kibuye-Munyonyo'!D38,'26.07 Kibuye-Munyonyo-24h'!D38,'27.07 Kibuye-Munyonyo-24h'!D38,'28.07 Kibuye-Munyonyo'!D38)</f>
        <v>9.8571428571428577</v>
      </c>
      <c r="E38" s="49">
        <f>AVERAGE('22.07 Kibuye-Munyonyo'!E38,'23.07 Kibuye-Munyonyo'!E38,'24.07 Kibuye-Munyonyo'!E38,'25.07 Kibuye-Munyonyo'!E38,'26.07 Kibuye-Munyonyo-24h'!E38,'27.07 Kibuye-Munyonyo-24h'!E38,'28.07 Kibuye-Munyonyo'!E38)</f>
        <v>2.2857142857142856</v>
      </c>
      <c r="F38" s="49">
        <f>AVERAGE('22.07 Kibuye-Munyonyo'!F38,'23.07 Kibuye-Munyonyo'!F38,'24.07 Kibuye-Munyonyo'!F38,'25.07 Kibuye-Munyonyo'!F38,'26.07 Kibuye-Munyonyo-24h'!F38,'27.07 Kibuye-Munyonyo-24h'!F38,'28.07 Kibuye-Munyonyo'!F38)</f>
        <v>20.857142857142858</v>
      </c>
      <c r="G38" s="49">
        <f>AVERAGE('22.07 Kibuye-Munyonyo'!G38,'23.07 Kibuye-Munyonyo'!G38,'24.07 Kibuye-Munyonyo'!G38,'25.07 Kibuye-Munyonyo'!G38,'26.07 Kibuye-Munyonyo-24h'!G38,'27.07 Kibuye-Munyonyo-24h'!G38,'28.07 Kibuye-Munyonyo'!G38)</f>
        <v>0</v>
      </c>
      <c r="H38" s="49">
        <f>AVERAGE('22.07 Kibuye-Munyonyo'!H38,'23.07 Kibuye-Munyonyo'!H38,'24.07 Kibuye-Munyonyo'!H38,'25.07 Kibuye-Munyonyo'!H38,'26.07 Kibuye-Munyonyo-24h'!H38,'27.07 Kibuye-Munyonyo-24h'!H38,'28.07 Kibuye-Munyonyo'!H38)</f>
        <v>0</v>
      </c>
      <c r="I38" s="49">
        <f>AVERAGE('22.07 Kibuye-Munyonyo'!I38,'23.07 Kibuye-Munyonyo'!I38,'24.07 Kibuye-Munyonyo'!I38,'25.07 Kibuye-Munyonyo'!I38,'26.07 Kibuye-Munyonyo-24h'!I38,'27.07 Kibuye-Munyonyo-24h'!I38,'28.07 Kibuye-Munyonyo'!I38)</f>
        <v>5.8571428571428568</v>
      </c>
      <c r="J38" s="49">
        <f>AVERAGE('22.07 Kibuye-Munyonyo'!J38,'23.07 Kibuye-Munyonyo'!J38,'24.07 Kibuye-Munyonyo'!J38,'25.07 Kibuye-Munyonyo'!J38,'26.07 Kibuye-Munyonyo-24h'!J38,'27.07 Kibuye-Munyonyo-24h'!J38,'28.07 Kibuye-Munyonyo'!J38)</f>
        <v>0.14285714285714285</v>
      </c>
      <c r="K38" s="49">
        <f>AVERAGE('22.07 Kibuye-Munyonyo'!K38,'23.07 Kibuye-Munyonyo'!K38,'24.07 Kibuye-Munyonyo'!K38,'25.07 Kibuye-Munyonyo'!K38,'26.07 Kibuye-Munyonyo-24h'!K38,'27.07 Kibuye-Munyonyo-24h'!K38,'28.07 Kibuye-Munyonyo'!K38)</f>
        <v>0.42857142857142855</v>
      </c>
      <c r="L38" s="49">
        <f>AVERAGE('22.07 Kibuye-Munyonyo'!L38,'23.07 Kibuye-Munyonyo'!L38,'24.07 Kibuye-Munyonyo'!L38,'25.07 Kibuye-Munyonyo'!L38,'26.07 Kibuye-Munyonyo-24h'!L38,'27.07 Kibuye-Munyonyo-24h'!L38,'28.07 Kibuye-Munyonyo'!L38)</f>
        <v>0</v>
      </c>
      <c r="M38" s="49">
        <f>AVERAGE('22.07 Kibuye-Munyonyo'!M38,'23.07 Kibuye-Munyonyo'!M38,'24.07 Kibuye-Munyonyo'!M38,'25.07 Kibuye-Munyonyo'!M38,'26.07 Kibuye-Munyonyo-24h'!M38,'27.07 Kibuye-Munyonyo-24h'!M38,'28.07 Kibuye-Munyonyo'!M38)</f>
        <v>139.71428571428572</v>
      </c>
      <c r="N38" s="49">
        <f>AVERAGE('22.07 Kibuye-Munyonyo'!N38,'23.07 Kibuye-Munyonyo'!N38,'24.07 Kibuye-Munyonyo'!N38,'25.07 Kibuye-Munyonyo'!N38,'26.07 Kibuye-Munyonyo-24h'!N38,'27.07 Kibuye-Munyonyo-24h'!N38,'28.07 Kibuye-Munyonyo'!N38)</f>
        <v>0</v>
      </c>
      <c r="O38" s="15">
        <f t="shared" si="0"/>
        <v>68.285714285714292</v>
      </c>
      <c r="P38" s="15">
        <f t="shared" si="1"/>
        <v>208</v>
      </c>
      <c r="R38" s="28" t="s">
        <v>86</v>
      </c>
      <c r="S38" s="16">
        <f t="shared" ref="S38:AF38" si="54">SUM(S13:S18)</f>
        <v>461.71428571428567</v>
      </c>
      <c r="T38" s="16">
        <f t="shared" si="54"/>
        <v>193.28571428571428</v>
      </c>
      <c r="U38" s="16">
        <f t="shared" si="54"/>
        <v>63.285714285714285</v>
      </c>
      <c r="V38" s="16">
        <f t="shared" si="54"/>
        <v>617.85714285714278</v>
      </c>
      <c r="W38" s="16">
        <f t="shared" si="54"/>
        <v>6.2857142857142856</v>
      </c>
      <c r="X38" s="16">
        <f t="shared" si="54"/>
        <v>0.2857142857142857</v>
      </c>
      <c r="Y38" s="16">
        <f t="shared" si="54"/>
        <v>87.571428571428569</v>
      </c>
      <c r="Z38" s="16">
        <f t="shared" si="54"/>
        <v>12.714285714285715</v>
      </c>
      <c r="AA38" s="16">
        <f t="shared" si="54"/>
        <v>8.8571428571428577</v>
      </c>
      <c r="AB38" s="16">
        <f t="shared" si="54"/>
        <v>0.42857142857142855</v>
      </c>
      <c r="AC38" s="16">
        <f t="shared" si="54"/>
        <v>2904.1428571428569</v>
      </c>
      <c r="AD38" s="16">
        <f t="shared" si="54"/>
        <v>0.14285714285714285</v>
      </c>
      <c r="AE38" s="32">
        <f t="shared" si="54"/>
        <v>1452.4285714285713</v>
      </c>
      <c r="AF38" s="32">
        <f t="shared" si="54"/>
        <v>4356.5714285714284</v>
      </c>
    </row>
    <row r="39" spans="2:32" ht="23.1" customHeight="1" x14ac:dyDescent="0.25">
      <c r="B39" s="24" t="s">
        <v>66</v>
      </c>
      <c r="C39" s="49">
        <f>AVERAGE('22.07 Kibuye-Munyonyo'!C39,'23.07 Kibuye-Munyonyo'!C39,'24.07 Kibuye-Munyonyo'!C39,'25.07 Kibuye-Munyonyo'!C39,'26.07 Kibuye-Munyonyo-24h'!C39,'27.07 Kibuye-Munyonyo-24h'!C39,'28.07 Kibuye-Munyonyo'!C39)</f>
        <v>18.428571428571427</v>
      </c>
      <c r="D39" s="49">
        <f>AVERAGE('22.07 Kibuye-Munyonyo'!D39,'23.07 Kibuye-Munyonyo'!D39,'24.07 Kibuye-Munyonyo'!D39,'25.07 Kibuye-Munyonyo'!D39,'26.07 Kibuye-Munyonyo-24h'!D39,'27.07 Kibuye-Munyonyo-24h'!D39,'28.07 Kibuye-Munyonyo'!D39)</f>
        <v>8.7142857142857135</v>
      </c>
      <c r="E39" s="49">
        <f>AVERAGE('22.07 Kibuye-Munyonyo'!E39,'23.07 Kibuye-Munyonyo'!E39,'24.07 Kibuye-Munyonyo'!E39,'25.07 Kibuye-Munyonyo'!E39,'26.07 Kibuye-Munyonyo-24h'!E39,'27.07 Kibuye-Munyonyo-24h'!E39,'28.07 Kibuye-Munyonyo'!E39)</f>
        <v>2.5714285714285716</v>
      </c>
      <c r="F39" s="49">
        <f>AVERAGE('22.07 Kibuye-Munyonyo'!F39,'23.07 Kibuye-Munyonyo'!F39,'24.07 Kibuye-Munyonyo'!F39,'25.07 Kibuye-Munyonyo'!F39,'26.07 Kibuye-Munyonyo-24h'!F39,'27.07 Kibuye-Munyonyo-24h'!F39,'28.07 Kibuye-Munyonyo'!F39)</f>
        <v>20.857142857142858</v>
      </c>
      <c r="G39" s="49">
        <f>AVERAGE('22.07 Kibuye-Munyonyo'!G39,'23.07 Kibuye-Munyonyo'!G39,'24.07 Kibuye-Munyonyo'!G39,'25.07 Kibuye-Munyonyo'!G39,'26.07 Kibuye-Munyonyo-24h'!G39,'27.07 Kibuye-Munyonyo-24h'!G39,'28.07 Kibuye-Munyonyo'!G39)</f>
        <v>3.7142857142857144</v>
      </c>
      <c r="H39" s="49">
        <f>AVERAGE('22.07 Kibuye-Munyonyo'!H39,'23.07 Kibuye-Munyonyo'!H39,'24.07 Kibuye-Munyonyo'!H39,'25.07 Kibuye-Munyonyo'!H39,'26.07 Kibuye-Munyonyo-24h'!H39,'27.07 Kibuye-Munyonyo-24h'!H39,'28.07 Kibuye-Munyonyo'!H39)</f>
        <v>0</v>
      </c>
      <c r="I39" s="49">
        <f>AVERAGE('22.07 Kibuye-Munyonyo'!I39,'23.07 Kibuye-Munyonyo'!I39,'24.07 Kibuye-Munyonyo'!I39,'25.07 Kibuye-Munyonyo'!I39,'26.07 Kibuye-Munyonyo-24h'!I39,'27.07 Kibuye-Munyonyo-24h'!I39,'28.07 Kibuye-Munyonyo'!I39)</f>
        <v>3.7142857142857144</v>
      </c>
      <c r="J39" s="49">
        <f>AVERAGE('22.07 Kibuye-Munyonyo'!J39,'23.07 Kibuye-Munyonyo'!J39,'24.07 Kibuye-Munyonyo'!J39,'25.07 Kibuye-Munyonyo'!J39,'26.07 Kibuye-Munyonyo-24h'!J39,'27.07 Kibuye-Munyonyo-24h'!J39,'28.07 Kibuye-Munyonyo'!J39)</f>
        <v>0.2857142857142857</v>
      </c>
      <c r="K39" s="49">
        <f>AVERAGE('22.07 Kibuye-Munyonyo'!K39,'23.07 Kibuye-Munyonyo'!K39,'24.07 Kibuye-Munyonyo'!K39,'25.07 Kibuye-Munyonyo'!K39,'26.07 Kibuye-Munyonyo-24h'!K39,'27.07 Kibuye-Munyonyo-24h'!K39,'28.07 Kibuye-Munyonyo'!K39)</f>
        <v>0.2857142857142857</v>
      </c>
      <c r="L39" s="49">
        <f>AVERAGE('22.07 Kibuye-Munyonyo'!L39,'23.07 Kibuye-Munyonyo'!L39,'24.07 Kibuye-Munyonyo'!L39,'25.07 Kibuye-Munyonyo'!L39,'26.07 Kibuye-Munyonyo-24h'!L39,'27.07 Kibuye-Munyonyo-24h'!L39,'28.07 Kibuye-Munyonyo'!L39)</f>
        <v>0</v>
      </c>
      <c r="M39" s="49">
        <f>AVERAGE('22.07 Kibuye-Munyonyo'!M39,'23.07 Kibuye-Munyonyo'!M39,'24.07 Kibuye-Munyonyo'!M39,'25.07 Kibuye-Munyonyo'!M39,'26.07 Kibuye-Munyonyo-24h'!M39,'27.07 Kibuye-Munyonyo-24h'!M39,'28.07 Kibuye-Munyonyo'!M39)</f>
        <v>117.57142857142857</v>
      </c>
      <c r="N39" s="49">
        <f>AVERAGE('22.07 Kibuye-Munyonyo'!N39,'23.07 Kibuye-Munyonyo'!N39,'24.07 Kibuye-Munyonyo'!N39,'25.07 Kibuye-Munyonyo'!N39,'26.07 Kibuye-Munyonyo-24h'!N39,'27.07 Kibuye-Munyonyo-24h'!N39,'28.07 Kibuye-Munyonyo'!N39)</f>
        <v>0</v>
      </c>
      <c r="O39" s="15">
        <f t="shared" si="0"/>
        <v>58.571428571428569</v>
      </c>
      <c r="P39" s="15">
        <f t="shared" si="1"/>
        <v>176.14285714285714</v>
      </c>
      <c r="R39" s="29" t="s">
        <v>87</v>
      </c>
      <c r="S39" s="16">
        <f t="shared" ref="S39:AF39" si="55">SUM(S19:S21)</f>
        <v>407.71428571428572</v>
      </c>
      <c r="T39" s="16">
        <f t="shared" si="55"/>
        <v>195.57142857142858</v>
      </c>
      <c r="U39" s="16">
        <f t="shared" si="55"/>
        <v>41.285714285714285</v>
      </c>
      <c r="V39" s="16">
        <f t="shared" si="55"/>
        <v>352.71428571428567</v>
      </c>
      <c r="W39" s="16">
        <f t="shared" si="55"/>
        <v>5.5714285714285712</v>
      </c>
      <c r="X39" s="16">
        <f t="shared" si="55"/>
        <v>0.99999999999999978</v>
      </c>
      <c r="Y39" s="16">
        <f t="shared" si="55"/>
        <v>54.714285714285708</v>
      </c>
      <c r="Z39" s="16">
        <f t="shared" si="55"/>
        <v>5.1428571428571423</v>
      </c>
      <c r="AA39" s="16">
        <f t="shared" si="55"/>
        <v>1.857142857142857</v>
      </c>
      <c r="AB39" s="16">
        <f t="shared" si="55"/>
        <v>0</v>
      </c>
      <c r="AC39" s="16">
        <f t="shared" si="55"/>
        <v>1433.8571428571429</v>
      </c>
      <c r="AD39" s="16">
        <f t="shared" si="55"/>
        <v>0</v>
      </c>
      <c r="AE39" s="32">
        <f t="shared" si="55"/>
        <v>1065.5714285714284</v>
      </c>
      <c r="AF39" s="32">
        <f t="shared" si="55"/>
        <v>2499.4285714285716</v>
      </c>
    </row>
    <row r="40" spans="2:32" ht="23.1" customHeight="1" x14ac:dyDescent="0.25">
      <c r="B40" s="24" t="s">
        <v>67</v>
      </c>
      <c r="C40" s="49">
        <f>AVERAGE('22.07 Kibuye-Munyonyo'!C40,'23.07 Kibuye-Munyonyo'!C40,'24.07 Kibuye-Munyonyo'!C40,'25.07 Kibuye-Munyonyo'!C40,'26.07 Kibuye-Munyonyo-24h'!C40,'27.07 Kibuye-Munyonyo-24h'!C40,'28.07 Kibuye-Munyonyo'!C40)</f>
        <v>26.714285714285715</v>
      </c>
      <c r="D40" s="49">
        <f>AVERAGE('22.07 Kibuye-Munyonyo'!D40,'23.07 Kibuye-Munyonyo'!D40,'24.07 Kibuye-Munyonyo'!D40,'25.07 Kibuye-Munyonyo'!D40,'26.07 Kibuye-Munyonyo-24h'!D40,'27.07 Kibuye-Munyonyo-24h'!D40,'28.07 Kibuye-Munyonyo'!D40)</f>
        <v>8.4285714285714288</v>
      </c>
      <c r="E40" s="49">
        <f>AVERAGE('22.07 Kibuye-Munyonyo'!E40,'23.07 Kibuye-Munyonyo'!E40,'24.07 Kibuye-Munyonyo'!E40,'25.07 Kibuye-Munyonyo'!E40,'26.07 Kibuye-Munyonyo-24h'!E40,'27.07 Kibuye-Munyonyo-24h'!E40,'28.07 Kibuye-Munyonyo'!E40)</f>
        <v>2.2857142857142856</v>
      </c>
      <c r="F40" s="49">
        <f>AVERAGE('22.07 Kibuye-Munyonyo'!F40,'23.07 Kibuye-Munyonyo'!F40,'24.07 Kibuye-Munyonyo'!F40,'25.07 Kibuye-Munyonyo'!F40,'26.07 Kibuye-Munyonyo-24h'!F40,'27.07 Kibuye-Munyonyo-24h'!F40,'28.07 Kibuye-Munyonyo'!F40)</f>
        <v>21</v>
      </c>
      <c r="G40" s="49">
        <f>AVERAGE('22.07 Kibuye-Munyonyo'!G40,'23.07 Kibuye-Munyonyo'!G40,'24.07 Kibuye-Munyonyo'!G40,'25.07 Kibuye-Munyonyo'!G40,'26.07 Kibuye-Munyonyo-24h'!G40,'27.07 Kibuye-Munyonyo-24h'!G40,'28.07 Kibuye-Munyonyo'!G40)</f>
        <v>0</v>
      </c>
      <c r="H40" s="49">
        <f>AVERAGE('22.07 Kibuye-Munyonyo'!H40,'23.07 Kibuye-Munyonyo'!H40,'24.07 Kibuye-Munyonyo'!H40,'25.07 Kibuye-Munyonyo'!H40,'26.07 Kibuye-Munyonyo-24h'!H40,'27.07 Kibuye-Munyonyo-24h'!H40,'28.07 Kibuye-Munyonyo'!H40)</f>
        <v>0</v>
      </c>
      <c r="I40" s="49">
        <f>AVERAGE('22.07 Kibuye-Munyonyo'!I40,'23.07 Kibuye-Munyonyo'!I40,'24.07 Kibuye-Munyonyo'!I40,'25.07 Kibuye-Munyonyo'!I40,'26.07 Kibuye-Munyonyo-24h'!I40,'27.07 Kibuye-Munyonyo-24h'!I40,'28.07 Kibuye-Munyonyo'!I40)</f>
        <v>4.1428571428571432</v>
      </c>
      <c r="J40" s="49">
        <f>AVERAGE('22.07 Kibuye-Munyonyo'!J40,'23.07 Kibuye-Munyonyo'!J40,'24.07 Kibuye-Munyonyo'!J40,'25.07 Kibuye-Munyonyo'!J40,'26.07 Kibuye-Munyonyo-24h'!J40,'27.07 Kibuye-Munyonyo-24h'!J40,'28.07 Kibuye-Munyonyo'!J40)</f>
        <v>0.2857142857142857</v>
      </c>
      <c r="K40" s="49">
        <f>AVERAGE('22.07 Kibuye-Munyonyo'!K40,'23.07 Kibuye-Munyonyo'!K40,'24.07 Kibuye-Munyonyo'!K40,'25.07 Kibuye-Munyonyo'!K40,'26.07 Kibuye-Munyonyo-24h'!K40,'27.07 Kibuye-Munyonyo-24h'!K40,'28.07 Kibuye-Munyonyo'!K40)</f>
        <v>0.14285714285714285</v>
      </c>
      <c r="L40" s="49">
        <f>AVERAGE('22.07 Kibuye-Munyonyo'!L40,'23.07 Kibuye-Munyonyo'!L40,'24.07 Kibuye-Munyonyo'!L40,'25.07 Kibuye-Munyonyo'!L40,'26.07 Kibuye-Munyonyo-24h'!L40,'27.07 Kibuye-Munyonyo-24h'!L40,'28.07 Kibuye-Munyonyo'!L40)</f>
        <v>0</v>
      </c>
      <c r="M40" s="49">
        <f>AVERAGE('22.07 Kibuye-Munyonyo'!M40,'23.07 Kibuye-Munyonyo'!M40,'24.07 Kibuye-Munyonyo'!M40,'25.07 Kibuye-Munyonyo'!M40,'26.07 Kibuye-Munyonyo-24h'!M40,'27.07 Kibuye-Munyonyo-24h'!M40,'28.07 Kibuye-Munyonyo'!M40)</f>
        <v>121.57142857142857</v>
      </c>
      <c r="N40" s="49">
        <f>AVERAGE('22.07 Kibuye-Munyonyo'!N40,'23.07 Kibuye-Munyonyo'!N40,'24.07 Kibuye-Munyonyo'!N40,'25.07 Kibuye-Munyonyo'!N40,'26.07 Kibuye-Munyonyo-24h'!N40,'27.07 Kibuye-Munyonyo-24h'!N40,'28.07 Kibuye-Munyonyo'!N40)</f>
        <v>0</v>
      </c>
      <c r="O40" s="15">
        <f t="shared" si="0"/>
        <v>63.000000000000007</v>
      </c>
      <c r="P40" s="15">
        <f t="shared" si="1"/>
        <v>184.57142857142858</v>
      </c>
      <c r="R40" s="5" t="s">
        <v>17</v>
      </c>
      <c r="S40" s="16">
        <f t="shared" ref="S40:AF40" si="56">SUM(S10:S21)</f>
        <v>999.85714285714289</v>
      </c>
      <c r="T40" s="16">
        <f t="shared" si="56"/>
        <v>449.14285714285717</v>
      </c>
      <c r="U40" s="16">
        <f t="shared" si="56"/>
        <v>123.42857142857142</v>
      </c>
      <c r="V40" s="16">
        <f t="shared" si="56"/>
        <v>1610.8571428571427</v>
      </c>
      <c r="W40" s="16">
        <f t="shared" si="56"/>
        <v>17.285714285714285</v>
      </c>
      <c r="X40" s="16">
        <f t="shared" si="56"/>
        <v>2.714285714285714</v>
      </c>
      <c r="Y40" s="16">
        <f t="shared" si="56"/>
        <v>166.85714285714283</v>
      </c>
      <c r="Z40" s="16">
        <f t="shared" si="56"/>
        <v>25.428571428571427</v>
      </c>
      <c r="AA40" s="16">
        <f t="shared" si="56"/>
        <v>13</v>
      </c>
      <c r="AB40" s="16">
        <f t="shared" si="56"/>
        <v>0.42857142857142855</v>
      </c>
      <c r="AC40" s="16">
        <f t="shared" si="56"/>
        <v>5921.1428571428569</v>
      </c>
      <c r="AD40" s="16">
        <f t="shared" si="56"/>
        <v>0.2857142857142857</v>
      </c>
      <c r="AE40" s="32">
        <f t="shared" si="56"/>
        <v>3409.2857142857142</v>
      </c>
      <c r="AF40" s="32">
        <f t="shared" si="56"/>
        <v>9330.4285714285706</v>
      </c>
    </row>
    <row r="41" spans="2:32" ht="23.1" customHeight="1" x14ac:dyDescent="0.25">
      <c r="B41" s="23" t="s">
        <v>68</v>
      </c>
      <c r="C41" s="49">
        <f>AVERAGE('22.07 Kibuye-Munyonyo'!C41,'23.07 Kibuye-Munyonyo'!C41,'24.07 Kibuye-Munyonyo'!C41,'25.07 Kibuye-Munyonyo'!C41,'26.07 Kibuye-Munyonyo-24h'!C41,'27.07 Kibuye-Munyonyo-24h'!C41,'28.07 Kibuye-Munyonyo'!C41)</f>
        <v>20.857142857142858</v>
      </c>
      <c r="D41" s="49">
        <f>AVERAGE('22.07 Kibuye-Munyonyo'!D41,'23.07 Kibuye-Munyonyo'!D41,'24.07 Kibuye-Munyonyo'!D41,'25.07 Kibuye-Munyonyo'!D41,'26.07 Kibuye-Munyonyo-24h'!D41,'27.07 Kibuye-Munyonyo-24h'!D41,'28.07 Kibuye-Munyonyo'!D41)</f>
        <v>9.4285714285714288</v>
      </c>
      <c r="E41" s="49">
        <f>AVERAGE('22.07 Kibuye-Munyonyo'!E41,'23.07 Kibuye-Munyonyo'!E41,'24.07 Kibuye-Munyonyo'!E41,'25.07 Kibuye-Munyonyo'!E41,'26.07 Kibuye-Munyonyo-24h'!E41,'27.07 Kibuye-Munyonyo-24h'!E41,'28.07 Kibuye-Munyonyo'!E41)</f>
        <v>3.7142857142857144</v>
      </c>
      <c r="F41" s="49">
        <f>AVERAGE('22.07 Kibuye-Munyonyo'!F41,'23.07 Kibuye-Munyonyo'!F41,'24.07 Kibuye-Munyonyo'!F41,'25.07 Kibuye-Munyonyo'!F41,'26.07 Kibuye-Munyonyo-24h'!F41,'27.07 Kibuye-Munyonyo-24h'!F41,'28.07 Kibuye-Munyonyo'!F41)</f>
        <v>18</v>
      </c>
      <c r="G41" s="49">
        <f>AVERAGE('22.07 Kibuye-Munyonyo'!G41,'23.07 Kibuye-Munyonyo'!G41,'24.07 Kibuye-Munyonyo'!G41,'25.07 Kibuye-Munyonyo'!G41,'26.07 Kibuye-Munyonyo-24h'!G41,'27.07 Kibuye-Munyonyo-24h'!G41,'28.07 Kibuye-Munyonyo'!G41)</f>
        <v>0</v>
      </c>
      <c r="H41" s="49">
        <f>AVERAGE('22.07 Kibuye-Munyonyo'!H41,'23.07 Kibuye-Munyonyo'!H41,'24.07 Kibuye-Munyonyo'!H41,'25.07 Kibuye-Munyonyo'!H41,'26.07 Kibuye-Munyonyo-24h'!H41,'27.07 Kibuye-Munyonyo-24h'!H41,'28.07 Kibuye-Munyonyo'!H41)</f>
        <v>0</v>
      </c>
      <c r="I41" s="49">
        <f>AVERAGE('22.07 Kibuye-Munyonyo'!I41,'23.07 Kibuye-Munyonyo'!I41,'24.07 Kibuye-Munyonyo'!I41,'25.07 Kibuye-Munyonyo'!I41,'26.07 Kibuye-Munyonyo-24h'!I41,'27.07 Kibuye-Munyonyo-24h'!I41,'28.07 Kibuye-Munyonyo'!I41)</f>
        <v>5.2857142857142856</v>
      </c>
      <c r="J41" s="49">
        <f>AVERAGE('22.07 Kibuye-Munyonyo'!J41,'23.07 Kibuye-Munyonyo'!J41,'24.07 Kibuye-Munyonyo'!J41,'25.07 Kibuye-Munyonyo'!J41,'26.07 Kibuye-Munyonyo-24h'!J41,'27.07 Kibuye-Munyonyo-24h'!J41,'28.07 Kibuye-Munyonyo'!J41)</f>
        <v>0.14285714285714285</v>
      </c>
      <c r="K41" s="49">
        <f>AVERAGE('22.07 Kibuye-Munyonyo'!K41,'23.07 Kibuye-Munyonyo'!K41,'24.07 Kibuye-Munyonyo'!K41,'25.07 Kibuye-Munyonyo'!K41,'26.07 Kibuye-Munyonyo-24h'!K41,'27.07 Kibuye-Munyonyo-24h'!K41,'28.07 Kibuye-Munyonyo'!K41)</f>
        <v>0.42857142857142855</v>
      </c>
      <c r="L41" s="49">
        <f>AVERAGE('22.07 Kibuye-Munyonyo'!L41,'23.07 Kibuye-Munyonyo'!L41,'24.07 Kibuye-Munyonyo'!L41,'25.07 Kibuye-Munyonyo'!L41,'26.07 Kibuye-Munyonyo-24h'!L41,'27.07 Kibuye-Munyonyo-24h'!L41,'28.07 Kibuye-Munyonyo'!L41)</f>
        <v>0</v>
      </c>
      <c r="M41" s="49">
        <f>AVERAGE('22.07 Kibuye-Munyonyo'!M41,'23.07 Kibuye-Munyonyo'!M41,'24.07 Kibuye-Munyonyo'!M41,'25.07 Kibuye-Munyonyo'!M41,'26.07 Kibuye-Munyonyo-24h'!M41,'27.07 Kibuye-Munyonyo-24h'!M41,'28.07 Kibuye-Munyonyo'!M41)</f>
        <v>103.42857142857143</v>
      </c>
      <c r="N41" s="49">
        <f>AVERAGE('22.07 Kibuye-Munyonyo'!N41,'23.07 Kibuye-Munyonyo'!N41,'24.07 Kibuye-Munyonyo'!N41,'25.07 Kibuye-Munyonyo'!N41,'26.07 Kibuye-Munyonyo-24h'!N41,'27.07 Kibuye-Munyonyo-24h'!N41,'28.07 Kibuye-Munyonyo'!N41)</f>
        <v>0</v>
      </c>
      <c r="O41" s="15">
        <f t="shared" si="0"/>
        <v>57.857142857142861</v>
      </c>
      <c r="P41" s="15">
        <f t="shared" si="1"/>
        <v>161.28571428571428</v>
      </c>
      <c r="R41" s="5" t="s">
        <v>178</v>
      </c>
      <c r="S41" s="16">
        <f>SUM(S10:S33)</f>
        <v>2092.8571428571431</v>
      </c>
      <c r="T41" s="16">
        <f t="shared" ref="T41:AD41" si="57">SUM(T10:T33)</f>
        <v>671.14285714285711</v>
      </c>
      <c r="U41" s="16">
        <f t="shared" si="57"/>
        <v>204.42857142857142</v>
      </c>
      <c r="V41" s="16">
        <f t="shared" si="57"/>
        <v>2478.8571428571427</v>
      </c>
      <c r="W41" s="16">
        <f t="shared" si="57"/>
        <v>24.785714285714285</v>
      </c>
      <c r="X41" s="16">
        <f t="shared" si="57"/>
        <v>4.2142857142857135</v>
      </c>
      <c r="Y41" s="16">
        <f t="shared" si="57"/>
        <v>195.85714285714283</v>
      </c>
      <c r="Z41" s="16">
        <f t="shared" si="57"/>
        <v>48.928571428571431</v>
      </c>
      <c r="AA41" s="16">
        <f t="shared" si="57"/>
        <v>46.5</v>
      </c>
      <c r="AB41" s="16">
        <f t="shared" si="57"/>
        <v>0.42857142857142855</v>
      </c>
      <c r="AC41" s="16">
        <f t="shared" si="57"/>
        <v>8381.1428571428569</v>
      </c>
      <c r="AD41" s="16">
        <f t="shared" si="57"/>
        <v>0.7857142857142857</v>
      </c>
      <c r="AE41" s="32">
        <f>SUM(AE10:AE33)</f>
        <v>5768.7857142857138</v>
      </c>
      <c r="AF41" s="32">
        <f>SUM(AF10:AF33)</f>
        <v>14149.928571428571</v>
      </c>
    </row>
    <row r="42" spans="2:32" ht="23.1" customHeight="1" x14ac:dyDescent="0.25">
      <c r="B42" s="24" t="s">
        <v>69</v>
      </c>
      <c r="C42" s="49">
        <f>AVERAGE('22.07 Kibuye-Munyonyo'!C42,'23.07 Kibuye-Munyonyo'!C42,'24.07 Kibuye-Munyonyo'!C42,'25.07 Kibuye-Munyonyo'!C42,'26.07 Kibuye-Munyonyo-24h'!C42,'27.07 Kibuye-Munyonyo-24h'!C42,'28.07 Kibuye-Munyonyo'!C42)</f>
        <v>32</v>
      </c>
      <c r="D42" s="49">
        <f>AVERAGE('22.07 Kibuye-Munyonyo'!D42,'23.07 Kibuye-Munyonyo'!D42,'24.07 Kibuye-Munyonyo'!D42,'25.07 Kibuye-Munyonyo'!D42,'26.07 Kibuye-Munyonyo-24h'!D42,'27.07 Kibuye-Munyonyo-24h'!D42,'28.07 Kibuye-Munyonyo'!D42)</f>
        <v>12.428571428571429</v>
      </c>
      <c r="E42" s="49">
        <f>AVERAGE('22.07 Kibuye-Munyonyo'!E42,'23.07 Kibuye-Munyonyo'!E42,'24.07 Kibuye-Munyonyo'!E42,'25.07 Kibuye-Munyonyo'!E42,'26.07 Kibuye-Munyonyo-24h'!E42,'27.07 Kibuye-Munyonyo-24h'!E42,'28.07 Kibuye-Munyonyo'!E42)</f>
        <v>3.4285714285714284</v>
      </c>
      <c r="F42" s="49">
        <f>AVERAGE('22.07 Kibuye-Munyonyo'!F42,'23.07 Kibuye-Munyonyo'!F42,'24.07 Kibuye-Munyonyo'!F42,'25.07 Kibuye-Munyonyo'!F42,'26.07 Kibuye-Munyonyo-24h'!F42,'27.07 Kibuye-Munyonyo-24h'!F42,'28.07 Kibuye-Munyonyo'!F42)</f>
        <v>22.571428571428573</v>
      </c>
      <c r="G42" s="49">
        <f>AVERAGE('22.07 Kibuye-Munyonyo'!G42,'23.07 Kibuye-Munyonyo'!G42,'24.07 Kibuye-Munyonyo'!G42,'25.07 Kibuye-Munyonyo'!G42,'26.07 Kibuye-Munyonyo-24h'!G42,'27.07 Kibuye-Munyonyo-24h'!G42,'28.07 Kibuye-Munyonyo'!G42)</f>
        <v>0.14285714285714285</v>
      </c>
      <c r="H42" s="49">
        <f>AVERAGE('22.07 Kibuye-Munyonyo'!H42,'23.07 Kibuye-Munyonyo'!H42,'24.07 Kibuye-Munyonyo'!H42,'25.07 Kibuye-Munyonyo'!H42,'26.07 Kibuye-Munyonyo-24h'!H42,'27.07 Kibuye-Munyonyo-24h'!H42,'28.07 Kibuye-Munyonyo'!H42)</f>
        <v>0</v>
      </c>
      <c r="I42" s="49">
        <f>AVERAGE('22.07 Kibuye-Munyonyo'!I42,'23.07 Kibuye-Munyonyo'!I42,'24.07 Kibuye-Munyonyo'!I42,'25.07 Kibuye-Munyonyo'!I42,'26.07 Kibuye-Munyonyo-24h'!I42,'27.07 Kibuye-Munyonyo-24h'!I42,'28.07 Kibuye-Munyonyo'!I42)</f>
        <v>4.7142857142857144</v>
      </c>
      <c r="J42" s="49">
        <f>AVERAGE('22.07 Kibuye-Munyonyo'!J42,'23.07 Kibuye-Munyonyo'!J42,'24.07 Kibuye-Munyonyo'!J42,'25.07 Kibuye-Munyonyo'!J42,'26.07 Kibuye-Munyonyo-24h'!J42,'27.07 Kibuye-Munyonyo-24h'!J42,'28.07 Kibuye-Munyonyo'!J42)</f>
        <v>0.8571428571428571</v>
      </c>
      <c r="K42" s="49">
        <f>AVERAGE('22.07 Kibuye-Munyonyo'!K42,'23.07 Kibuye-Munyonyo'!K42,'24.07 Kibuye-Munyonyo'!K42,'25.07 Kibuye-Munyonyo'!K42,'26.07 Kibuye-Munyonyo-24h'!K42,'27.07 Kibuye-Munyonyo-24h'!K42,'28.07 Kibuye-Munyonyo'!K42)</f>
        <v>0.42857142857142855</v>
      </c>
      <c r="L42" s="49">
        <f>AVERAGE('22.07 Kibuye-Munyonyo'!L42,'23.07 Kibuye-Munyonyo'!L42,'24.07 Kibuye-Munyonyo'!L42,'25.07 Kibuye-Munyonyo'!L42,'26.07 Kibuye-Munyonyo-24h'!L42,'27.07 Kibuye-Munyonyo-24h'!L42,'28.07 Kibuye-Munyonyo'!L42)</f>
        <v>0</v>
      </c>
      <c r="M42" s="49">
        <f>AVERAGE('22.07 Kibuye-Munyonyo'!M42,'23.07 Kibuye-Munyonyo'!M42,'24.07 Kibuye-Munyonyo'!M42,'25.07 Kibuye-Munyonyo'!M42,'26.07 Kibuye-Munyonyo-24h'!M42,'27.07 Kibuye-Munyonyo-24h'!M42,'28.07 Kibuye-Munyonyo'!M42)</f>
        <v>107.71428571428571</v>
      </c>
      <c r="N42" s="49">
        <f>AVERAGE('22.07 Kibuye-Munyonyo'!N42,'23.07 Kibuye-Munyonyo'!N42,'24.07 Kibuye-Munyonyo'!N42,'25.07 Kibuye-Munyonyo'!N42,'26.07 Kibuye-Munyonyo-24h'!N42,'27.07 Kibuye-Munyonyo-24h'!N42,'28.07 Kibuye-Munyonyo'!N42)</f>
        <v>0</v>
      </c>
      <c r="O42" s="15">
        <f t="shared" si="0"/>
        <v>76.571428571428569</v>
      </c>
      <c r="P42" s="15">
        <f t="shared" si="1"/>
        <v>184.28571428571428</v>
      </c>
      <c r="R42" s="5" t="s">
        <v>160</v>
      </c>
      <c r="S42" s="48">
        <f>S41/S40</f>
        <v>2.0931561651664525</v>
      </c>
      <c r="T42" s="48">
        <f t="shared" ref="T42:AF42" si="58">T41/T40</f>
        <v>1.4942748091603051</v>
      </c>
      <c r="U42" s="48">
        <f t="shared" si="58"/>
        <v>1.65625</v>
      </c>
      <c r="V42" s="48">
        <f t="shared" si="58"/>
        <v>1.5388435615466478</v>
      </c>
      <c r="W42" s="48">
        <f t="shared" si="58"/>
        <v>1.4338842975206612</v>
      </c>
      <c r="X42" s="48">
        <f t="shared" si="58"/>
        <v>1.5526315789473684</v>
      </c>
      <c r="Y42" s="48">
        <f t="shared" si="58"/>
        <v>1.1738013698630136</v>
      </c>
      <c r="Z42" s="48">
        <f t="shared" si="58"/>
        <v>1.9241573033707866</v>
      </c>
      <c r="AA42" s="48">
        <f t="shared" si="58"/>
        <v>3.5769230769230771</v>
      </c>
      <c r="AB42" s="48">
        <f t="shared" si="58"/>
        <v>1</v>
      </c>
      <c r="AC42" s="48">
        <f t="shared" si="58"/>
        <v>1.4154603358425015</v>
      </c>
      <c r="AD42" s="48">
        <f t="shared" si="58"/>
        <v>2.75</v>
      </c>
      <c r="AE42" s="51">
        <f t="shared" si="58"/>
        <v>1.6920804525455686</v>
      </c>
      <c r="AF42" s="51">
        <f t="shared" si="58"/>
        <v>1.5165357585779249</v>
      </c>
    </row>
    <row r="43" spans="2:32" ht="23.1" customHeight="1" x14ac:dyDescent="0.25">
      <c r="B43" s="23" t="s">
        <v>70</v>
      </c>
      <c r="C43" s="49">
        <f>AVERAGE('22.07 Kibuye-Munyonyo'!C43,'23.07 Kibuye-Munyonyo'!C43,'24.07 Kibuye-Munyonyo'!C43,'25.07 Kibuye-Munyonyo'!C43,'26.07 Kibuye-Munyonyo-24h'!C43,'27.07 Kibuye-Munyonyo-24h'!C43,'28.07 Kibuye-Munyonyo'!C43)</f>
        <v>25.142857142857142</v>
      </c>
      <c r="D43" s="49">
        <f>AVERAGE('22.07 Kibuye-Munyonyo'!D43,'23.07 Kibuye-Munyonyo'!D43,'24.07 Kibuye-Munyonyo'!D43,'25.07 Kibuye-Munyonyo'!D43,'26.07 Kibuye-Munyonyo-24h'!D43,'27.07 Kibuye-Munyonyo-24h'!D43,'28.07 Kibuye-Munyonyo'!D43)</f>
        <v>12.428571428571429</v>
      </c>
      <c r="E43" s="49">
        <f>AVERAGE('22.07 Kibuye-Munyonyo'!E43,'23.07 Kibuye-Munyonyo'!E43,'24.07 Kibuye-Munyonyo'!E43,'25.07 Kibuye-Munyonyo'!E43,'26.07 Kibuye-Munyonyo-24h'!E43,'27.07 Kibuye-Munyonyo-24h'!E43,'28.07 Kibuye-Munyonyo'!E43)</f>
        <v>3.2857142857142856</v>
      </c>
      <c r="F43" s="49">
        <f>AVERAGE('22.07 Kibuye-Munyonyo'!F43,'23.07 Kibuye-Munyonyo'!F43,'24.07 Kibuye-Munyonyo'!F43,'25.07 Kibuye-Munyonyo'!F43,'26.07 Kibuye-Munyonyo-24h'!F43,'27.07 Kibuye-Munyonyo-24h'!F43,'28.07 Kibuye-Munyonyo'!F43)</f>
        <v>18.571428571428573</v>
      </c>
      <c r="G43" s="49">
        <f>AVERAGE('22.07 Kibuye-Munyonyo'!G43,'23.07 Kibuye-Munyonyo'!G43,'24.07 Kibuye-Munyonyo'!G43,'25.07 Kibuye-Munyonyo'!G43,'26.07 Kibuye-Munyonyo-24h'!G43,'27.07 Kibuye-Munyonyo-24h'!G43,'28.07 Kibuye-Munyonyo'!G43)</f>
        <v>0.14285714285714285</v>
      </c>
      <c r="H43" s="49">
        <f>AVERAGE('22.07 Kibuye-Munyonyo'!H43,'23.07 Kibuye-Munyonyo'!H43,'24.07 Kibuye-Munyonyo'!H43,'25.07 Kibuye-Munyonyo'!H43,'26.07 Kibuye-Munyonyo-24h'!H43,'27.07 Kibuye-Munyonyo-24h'!H43,'28.07 Kibuye-Munyonyo'!H43)</f>
        <v>0</v>
      </c>
      <c r="I43" s="49">
        <f>AVERAGE('22.07 Kibuye-Munyonyo'!I43,'23.07 Kibuye-Munyonyo'!I43,'24.07 Kibuye-Munyonyo'!I43,'25.07 Kibuye-Munyonyo'!I43,'26.07 Kibuye-Munyonyo-24h'!I43,'27.07 Kibuye-Munyonyo-24h'!I43,'28.07 Kibuye-Munyonyo'!I43)</f>
        <v>4.1428571428571432</v>
      </c>
      <c r="J43" s="49">
        <f>AVERAGE('22.07 Kibuye-Munyonyo'!J43,'23.07 Kibuye-Munyonyo'!J43,'24.07 Kibuye-Munyonyo'!J43,'25.07 Kibuye-Munyonyo'!J43,'26.07 Kibuye-Munyonyo-24h'!J43,'27.07 Kibuye-Munyonyo-24h'!J43,'28.07 Kibuye-Munyonyo'!J43)</f>
        <v>1.4285714285714286</v>
      </c>
      <c r="K43" s="49">
        <f>AVERAGE('22.07 Kibuye-Munyonyo'!K43,'23.07 Kibuye-Munyonyo'!K43,'24.07 Kibuye-Munyonyo'!K43,'25.07 Kibuye-Munyonyo'!K43,'26.07 Kibuye-Munyonyo-24h'!K43,'27.07 Kibuye-Munyonyo-24h'!K43,'28.07 Kibuye-Munyonyo'!K43)</f>
        <v>0</v>
      </c>
      <c r="L43" s="49">
        <f>AVERAGE('22.07 Kibuye-Munyonyo'!L43,'23.07 Kibuye-Munyonyo'!L43,'24.07 Kibuye-Munyonyo'!L43,'25.07 Kibuye-Munyonyo'!L43,'26.07 Kibuye-Munyonyo-24h'!L43,'27.07 Kibuye-Munyonyo-24h'!L43,'28.07 Kibuye-Munyonyo'!L43)</f>
        <v>0.14285714285714285</v>
      </c>
      <c r="M43" s="49">
        <f>AVERAGE('22.07 Kibuye-Munyonyo'!M43,'23.07 Kibuye-Munyonyo'!M43,'24.07 Kibuye-Munyonyo'!M43,'25.07 Kibuye-Munyonyo'!M43,'26.07 Kibuye-Munyonyo-24h'!M43,'27.07 Kibuye-Munyonyo-24h'!M43,'28.07 Kibuye-Munyonyo'!M43)</f>
        <v>120.14285714285714</v>
      </c>
      <c r="N43" s="49">
        <f>AVERAGE('22.07 Kibuye-Munyonyo'!N43,'23.07 Kibuye-Munyonyo'!N43,'24.07 Kibuye-Munyonyo'!N43,'25.07 Kibuye-Munyonyo'!N43,'26.07 Kibuye-Munyonyo-24h'!N43,'27.07 Kibuye-Munyonyo-24h'!N43,'28.07 Kibuye-Munyonyo'!N43)</f>
        <v>0</v>
      </c>
      <c r="O43" s="15">
        <f t="shared" si="0"/>
        <v>65.285714285714292</v>
      </c>
      <c r="P43" s="15">
        <f t="shared" si="1"/>
        <v>185.42857142857144</v>
      </c>
    </row>
    <row r="44" spans="2:32" ht="23.1" customHeight="1" x14ac:dyDescent="0.25">
      <c r="B44" s="25" t="s">
        <v>71</v>
      </c>
      <c r="C44" s="49">
        <f>AVERAGE('22.07 Kibuye-Munyonyo'!C44,'23.07 Kibuye-Munyonyo'!C44,'24.07 Kibuye-Munyonyo'!C44,'25.07 Kibuye-Munyonyo'!C44,'26.07 Kibuye-Munyonyo-24h'!C44,'27.07 Kibuye-Munyonyo-24h'!C44,'28.07 Kibuye-Munyonyo'!C44)</f>
        <v>22.571428571428573</v>
      </c>
      <c r="D44" s="49">
        <f>AVERAGE('22.07 Kibuye-Munyonyo'!D44,'23.07 Kibuye-Munyonyo'!D44,'24.07 Kibuye-Munyonyo'!D44,'25.07 Kibuye-Munyonyo'!D44,'26.07 Kibuye-Munyonyo-24h'!D44,'27.07 Kibuye-Munyonyo-24h'!D44,'28.07 Kibuye-Munyonyo'!D44)</f>
        <v>9.2857142857142865</v>
      </c>
      <c r="E44" s="49">
        <f>AVERAGE('22.07 Kibuye-Munyonyo'!E44,'23.07 Kibuye-Munyonyo'!E44,'24.07 Kibuye-Munyonyo'!E44,'25.07 Kibuye-Munyonyo'!E44,'26.07 Kibuye-Munyonyo-24h'!E44,'27.07 Kibuye-Munyonyo-24h'!E44,'28.07 Kibuye-Munyonyo'!E44)</f>
        <v>1.8571428571428572</v>
      </c>
      <c r="F44" s="49">
        <f>AVERAGE('22.07 Kibuye-Munyonyo'!F44,'23.07 Kibuye-Munyonyo'!F44,'24.07 Kibuye-Munyonyo'!F44,'25.07 Kibuye-Munyonyo'!F44,'26.07 Kibuye-Munyonyo-24h'!F44,'27.07 Kibuye-Munyonyo-24h'!F44,'28.07 Kibuye-Munyonyo'!F44)</f>
        <v>22.571428571428573</v>
      </c>
      <c r="G44" s="49">
        <f>AVERAGE('22.07 Kibuye-Munyonyo'!G44,'23.07 Kibuye-Munyonyo'!G44,'24.07 Kibuye-Munyonyo'!G44,'25.07 Kibuye-Munyonyo'!G44,'26.07 Kibuye-Munyonyo-24h'!G44,'27.07 Kibuye-Munyonyo-24h'!G44,'28.07 Kibuye-Munyonyo'!G44)</f>
        <v>0.14285714285714285</v>
      </c>
      <c r="H44" s="49">
        <f>AVERAGE('22.07 Kibuye-Munyonyo'!H44,'23.07 Kibuye-Munyonyo'!H44,'24.07 Kibuye-Munyonyo'!H44,'25.07 Kibuye-Munyonyo'!H44,'26.07 Kibuye-Munyonyo-24h'!H44,'27.07 Kibuye-Munyonyo-24h'!H44,'28.07 Kibuye-Munyonyo'!H44)</f>
        <v>0</v>
      </c>
      <c r="I44" s="49">
        <f>AVERAGE('22.07 Kibuye-Munyonyo'!I44,'23.07 Kibuye-Munyonyo'!I44,'24.07 Kibuye-Munyonyo'!I44,'25.07 Kibuye-Munyonyo'!I44,'26.07 Kibuye-Munyonyo-24h'!I44,'27.07 Kibuye-Munyonyo-24h'!I44,'28.07 Kibuye-Munyonyo'!I44)</f>
        <v>4</v>
      </c>
      <c r="J44" s="49">
        <f>AVERAGE('22.07 Kibuye-Munyonyo'!J44,'23.07 Kibuye-Munyonyo'!J44,'24.07 Kibuye-Munyonyo'!J44,'25.07 Kibuye-Munyonyo'!J44,'26.07 Kibuye-Munyonyo-24h'!J44,'27.07 Kibuye-Munyonyo-24h'!J44,'28.07 Kibuye-Munyonyo'!J44)</f>
        <v>1</v>
      </c>
      <c r="K44" s="49">
        <f>AVERAGE('22.07 Kibuye-Munyonyo'!K44,'23.07 Kibuye-Munyonyo'!K44,'24.07 Kibuye-Munyonyo'!K44,'25.07 Kibuye-Munyonyo'!K44,'26.07 Kibuye-Munyonyo-24h'!K44,'27.07 Kibuye-Munyonyo-24h'!K44,'28.07 Kibuye-Munyonyo'!K44)</f>
        <v>0.14285714285714285</v>
      </c>
      <c r="L44" s="49">
        <f>AVERAGE('22.07 Kibuye-Munyonyo'!L44,'23.07 Kibuye-Munyonyo'!L44,'24.07 Kibuye-Munyonyo'!L44,'25.07 Kibuye-Munyonyo'!L44,'26.07 Kibuye-Munyonyo-24h'!L44,'27.07 Kibuye-Munyonyo-24h'!L44,'28.07 Kibuye-Munyonyo'!L44)</f>
        <v>0</v>
      </c>
      <c r="M44" s="49">
        <f>AVERAGE('22.07 Kibuye-Munyonyo'!M44,'23.07 Kibuye-Munyonyo'!M44,'24.07 Kibuye-Munyonyo'!M44,'25.07 Kibuye-Munyonyo'!M44,'26.07 Kibuye-Munyonyo-24h'!M44,'27.07 Kibuye-Munyonyo-24h'!M44,'28.07 Kibuye-Munyonyo'!M44)</f>
        <v>97.428571428571431</v>
      </c>
      <c r="N44" s="49">
        <f>AVERAGE('22.07 Kibuye-Munyonyo'!N44,'23.07 Kibuye-Munyonyo'!N44,'24.07 Kibuye-Munyonyo'!N44,'25.07 Kibuye-Munyonyo'!N44,'26.07 Kibuye-Munyonyo-24h'!N44,'27.07 Kibuye-Munyonyo-24h'!N44,'28.07 Kibuye-Munyonyo'!N44)</f>
        <v>0</v>
      </c>
      <c r="O44" s="15">
        <f t="shared" si="0"/>
        <v>61.571428571428584</v>
      </c>
      <c r="P44" s="15">
        <f t="shared" si="1"/>
        <v>159</v>
      </c>
    </row>
    <row r="45" spans="2:32" ht="23.1" customHeight="1" x14ac:dyDescent="0.25">
      <c r="B45" s="23" t="s">
        <v>72</v>
      </c>
      <c r="C45" s="49">
        <f>AVERAGE('22.07 Kibuye-Munyonyo'!C45,'23.07 Kibuye-Munyonyo'!C45,'24.07 Kibuye-Munyonyo'!C45,'25.07 Kibuye-Munyonyo'!C45,'26.07 Kibuye-Munyonyo-24h'!C45,'27.07 Kibuye-Munyonyo-24h'!C45,'28.07 Kibuye-Munyonyo'!C45)</f>
        <v>25.857142857142858</v>
      </c>
      <c r="D45" s="49">
        <f>AVERAGE('22.07 Kibuye-Munyonyo'!D45,'23.07 Kibuye-Munyonyo'!D45,'24.07 Kibuye-Munyonyo'!D45,'25.07 Kibuye-Munyonyo'!D45,'26.07 Kibuye-Munyonyo-24h'!D45,'27.07 Kibuye-Munyonyo-24h'!D45,'28.07 Kibuye-Munyonyo'!D45)</f>
        <v>11.285714285714286</v>
      </c>
      <c r="E45" s="49">
        <f>AVERAGE('22.07 Kibuye-Munyonyo'!E45,'23.07 Kibuye-Munyonyo'!E45,'24.07 Kibuye-Munyonyo'!E45,'25.07 Kibuye-Munyonyo'!E45,'26.07 Kibuye-Munyonyo-24h'!E45,'27.07 Kibuye-Munyonyo-24h'!E45,'28.07 Kibuye-Munyonyo'!E45)</f>
        <v>2.7142857142857144</v>
      </c>
      <c r="F45" s="49">
        <f>AVERAGE('22.07 Kibuye-Munyonyo'!F45,'23.07 Kibuye-Munyonyo'!F45,'24.07 Kibuye-Munyonyo'!F45,'25.07 Kibuye-Munyonyo'!F45,'26.07 Kibuye-Munyonyo-24h'!F45,'27.07 Kibuye-Munyonyo-24h'!F45,'28.07 Kibuye-Munyonyo'!F45)</f>
        <v>16.857142857142858</v>
      </c>
      <c r="G45" s="49">
        <f>AVERAGE('22.07 Kibuye-Munyonyo'!G45,'23.07 Kibuye-Munyonyo'!G45,'24.07 Kibuye-Munyonyo'!G45,'25.07 Kibuye-Munyonyo'!G45,'26.07 Kibuye-Munyonyo-24h'!G45,'27.07 Kibuye-Munyonyo-24h'!G45,'28.07 Kibuye-Munyonyo'!G45)</f>
        <v>0.14285714285714285</v>
      </c>
      <c r="H45" s="49">
        <f>AVERAGE('22.07 Kibuye-Munyonyo'!H45,'23.07 Kibuye-Munyonyo'!H45,'24.07 Kibuye-Munyonyo'!H45,'25.07 Kibuye-Munyonyo'!H45,'26.07 Kibuye-Munyonyo-24h'!H45,'27.07 Kibuye-Munyonyo-24h'!H45,'28.07 Kibuye-Munyonyo'!H45)</f>
        <v>0</v>
      </c>
      <c r="I45" s="49">
        <f>AVERAGE('22.07 Kibuye-Munyonyo'!I45,'23.07 Kibuye-Munyonyo'!I45,'24.07 Kibuye-Munyonyo'!I45,'25.07 Kibuye-Munyonyo'!I45,'26.07 Kibuye-Munyonyo-24h'!I45,'27.07 Kibuye-Munyonyo-24h'!I45,'28.07 Kibuye-Munyonyo'!I45)</f>
        <v>3.7142857142857144</v>
      </c>
      <c r="J45" s="49">
        <f>AVERAGE('22.07 Kibuye-Munyonyo'!J45,'23.07 Kibuye-Munyonyo'!J45,'24.07 Kibuye-Munyonyo'!J45,'25.07 Kibuye-Munyonyo'!J45,'26.07 Kibuye-Munyonyo-24h'!J45,'27.07 Kibuye-Munyonyo-24h'!J45,'28.07 Kibuye-Munyonyo'!J45)</f>
        <v>0.5714285714285714</v>
      </c>
      <c r="K45" s="49">
        <f>AVERAGE('22.07 Kibuye-Munyonyo'!K45,'23.07 Kibuye-Munyonyo'!K45,'24.07 Kibuye-Munyonyo'!K45,'25.07 Kibuye-Munyonyo'!K45,'26.07 Kibuye-Munyonyo-24h'!K45,'27.07 Kibuye-Munyonyo-24h'!K45,'28.07 Kibuye-Munyonyo'!K45)</f>
        <v>0.42857142857142855</v>
      </c>
      <c r="L45" s="49">
        <f>AVERAGE('22.07 Kibuye-Munyonyo'!L45,'23.07 Kibuye-Munyonyo'!L45,'24.07 Kibuye-Munyonyo'!L45,'25.07 Kibuye-Munyonyo'!L45,'26.07 Kibuye-Munyonyo-24h'!L45,'27.07 Kibuye-Munyonyo-24h'!L45,'28.07 Kibuye-Munyonyo'!L45)</f>
        <v>0</v>
      </c>
      <c r="M45" s="49">
        <f>AVERAGE('22.07 Kibuye-Munyonyo'!M45,'23.07 Kibuye-Munyonyo'!M45,'24.07 Kibuye-Munyonyo'!M45,'25.07 Kibuye-Munyonyo'!M45,'26.07 Kibuye-Munyonyo-24h'!M45,'27.07 Kibuye-Munyonyo-24h'!M45,'28.07 Kibuye-Munyonyo'!M45)</f>
        <v>106.71428571428571</v>
      </c>
      <c r="N45" s="49">
        <f>AVERAGE('22.07 Kibuye-Munyonyo'!N45,'23.07 Kibuye-Munyonyo'!N45,'24.07 Kibuye-Munyonyo'!N45,'25.07 Kibuye-Munyonyo'!N45,'26.07 Kibuye-Munyonyo-24h'!N45,'27.07 Kibuye-Munyonyo-24h'!N45,'28.07 Kibuye-Munyonyo'!N45)</f>
        <v>0</v>
      </c>
      <c r="O45" s="15">
        <f t="shared" si="0"/>
        <v>61.571428571428584</v>
      </c>
      <c r="P45" s="15">
        <f t="shared" si="1"/>
        <v>168.28571428571428</v>
      </c>
    </row>
    <row r="46" spans="2:32" ht="23.1" customHeight="1" x14ac:dyDescent="0.25">
      <c r="B46" s="24" t="s">
        <v>73</v>
      </c>
      <c r="C46" s="49">
        <f>AVERAGE('22.07 Kibuye-Munyonyo'!C46,'23.07 Kibuye-Munyonyo'!C46,'24.07 Kibuye-Munyonyo'!C46,'25.07 Kibuye-Munyonyo'!C46,'26.07 Kibuye-Munyonyo-24h'!C46,'27.07 Kibuye-Munyonyo-24h'!C46,'28.07 Kibuye-Munyonyo'!C46)</f>
        <v>28.857142857142858</v>
      </c>
      <c r="D46" s="49">
        <f>AVERAGE('22.07 Kibuye-Munyonyo'!D46,'23.07 Kibuye-Munyonyo'!D46,'24.07 Kibuye-Munyonyo'!D46,'25.07 Kibuye-Munyonyo'!D46,'26.07 Kibuye-Munyonyo-24h'!D46,'27.07 Kibuye-Munyonyo-24h'!D46,'28.07 Kibuye-Munyonyo'!D46)</f>
        <v>12.714285714285714</v>
      </c>
      <c r="E46" s="49">
        <f>AVERAGE('22.07 Kibuye-Munyonyo'!E46,'23.07 Kibuye-Munyonyo'!E46,'24.07 Kibuye-Munyonyo'!E46,'25.07 Kibuye-Munyonyo'!E46,'26.07 Kibuye-Munyonyo-24h'!E46,'27.07 Kibuye-Munyonyo-24h'!E46,'28.07 Kibuye-Munyonyo'!E46)</f>
        <v>3.2857142857142856</v>
      </c>
      <c r="F46" s="49">
        <f>AVERAGE('22.07 Kibuye-Munyonyo'!F46,'23.07 Kibuye-Munyonyo'!F46,'24.07 Kibuye-Munyonyo'!F46,'25.07 Kibuye-Munyonyo'!F46,'26.07 Kibuye-Munyonyo-24h'!F46,'27.07 Kibuye-Munyonyo-24h'!F46,'28.07 Kibuye-Munyonyo'!F46)</f>
        <v>25.857142857142858</v>
      </c>
      <c r="G46" s="49">
        <f>AVERAGE('22.07 Kibuye-Munyonyo'!G46,'23.07 Kibuye-Munyonyo'!G46,'24.07 Kibuye-Munyonyo'!G46,'25.07 Kibuye-Munyonyo'!G46,'26.07 Kibuye-Munyonyo-24h'!G46,'27.07 Kibuye-Munyonyo-24h'!G46,'28.07 Kibuye-Munyonyo'!G46)</f>
        <v>0</v>
      </c>
      <c r="H46" s="49">
        <f>AVERAGE('22.07 Kibuye-Munyonyo'!H46,'23.07 Kibuye-Munyonyo'!H46,'24.07 Kibuye-Munyonyo'!H46,'25.07 Kibuye-Munyonyo'!H46,'26.07 Kibuye-Munyonyo-24h'!H46,'27.07 Kibuye-Munyonyo-24h'!H46,'28.07 Kibuye-Munyonyo'!H46)</f>
        <v>0</v>
      </c>
      <c r="I46" s="49">
        <f>AVERAGE('22.07 Kibuye-Munyonyo'!I46,'23.07 Kibuye-Munyonyo'!I46,'24.07 Kibuye-Munyonyo'!I46,'25.07 Kibuye-Munyonyo'!I46,'26.07 Kibuye-Munyonyo-24h'!I46,'27.07 Kibuye-Munyonyo-24h'!I46,'28.07 Kibuye-Munyonyo'!I46)</f>
        <v>5.2857142857142856</v>
      </c>
      <c r="J46" s="49">
        <f>AVERAGE('22.07 Kibuye-Munyonyo'!J46,'23.07 Kibuye-Munyonyo'!J46,'24.07 Kibuye-Munyonyo'!J46,'25.07 Kibuye-Munyonyo'!J46,'26.07 Kibuye-Munyonyo-24h'!J46,'27.07 Kibuye-Munyonyo-24h'!J46,'28.07 Kibuye-Munyonyo'!J46)</f>
        <v>0.14285714285714285</v>
      </c>
      <c r="K46" s="49">
        <f>AVERAGE('22.07 Kibuye-Munyonyo'!K46,'23.07 Kibuye-Munyonyo'!K46,'24.07 Kibuye-Munyonyo'!K46,'25.07 Kibuye-Munyonyo'!K46,'26.07 Kibuye-Munyonyo-24h'!K46,'27.07 Kibuye-Munyonyo-24h'!K46,'28.07 Kibuye-Munyonyo'!K46)</f>
        <v>0</v>
      </c>
      <c r="L46" s="49">
        <f>AVERAGE('22.07 Kibuye-Munyonyo'!L46,'23.07 Kibuye-Munyonyo'!L46,'24.07 Kibuye-Munyonyo'!L46,'25.07 Kibuye-Munyonyo'!L46,'26.07 Kibuye-Munyonyo-24h'!L46,'27.07 Kibuye-Munyonyo-24h'!L46,'28.07 Kibuye-Munyonyo'!L46)</f>
        <v>0</v>
      </c>
      <c r="M46" s="49">
        <f>AVERAGE('22.07 Kibuye-Munyonyo'!M46,'23.07 Kibuye-Munyonyo'!M46,'24.07 Kibuye-Munyonyo'!M46,'25.07 Kibuye-Munyonyo'!M46,'26.07 Kibuye-Munyonyo-24h'!M46,'27.07 Kibuye-Munyonyo-24h'!M46,'28.07 Kibuye-Munyonyo'!M46)</f>
        <v>111.71428571428571</v>
      </c>
      <c r="N46" s="49">
        <f>AVERAGE('22.07 Kibuye-Munyonyo'!N46,'23.07 Kibuye-Munyonyo'!N46,'24.07 Kibuye-Munyonyo'!N46,'25.07 Kibuye-Munyonyo'!N46,'26.07 Kibuye-Munyonyo-24h'!N46,'27.07 Kibuye-Munyonyo-24h'!N46,'28.07 Kibuye-Munyonyo'!N46)</f>
        <v>0</v>
      </c>
      <c r="O46" s="15">
        <f t="shared" si="0"/>
        <v>76.142857142857139</v>
      </c>
      <c r="P46" s="15">
        <f t="shared" si="1"/>
        <v>187.85714285714283</v>
      </c>
      <c r="R46" s="8"/>
      <c r="T46"/>
    </row>
    <row r="47" spans="2:32" ht="23.1" customHeight="1" x14ac:dyDescent="0.25">
      <c r="B47" s="24" t="s">
        <v>74</v>
      </c>
      <c r="C47" s="49">
        <f>AVERAGE('22.07 Kibuye-Munyonyo'!C47,'23.07 Kibuye-Munyonyo'!C47,'24.07 Kibuye-Munyonyo'!C47,'25.07 Kibuye-Munyonyo'!C47,'26.07 Kibuye-Munyonyo-24h'!C47,'27.07 Kibuye-Munyonyo-24h'!C47,'28.07 Kibuye-Munyonyo'!C47)</f>
        <v>27.285714285714285</v>
      </c>
      <c r="D47" s="49">
        <f>AVERAGE('22.07 Kibuye-Munyonyo'!D47,'23.07 Kibuye-Munyonyo'!D47,'24.07 Kibuye-Munyonyo'!D47,'25.07 Kibuye-Munyonyo'!D47,'26.07 Kibuye-Munyonyo-24h'!D47,'27.07 Kibuye-Munyonyo-24h'!D47,'28.07 Kibuye-Munyonyo'!D47)</f>
        <v>15.285714285714286</v>
      </c>
      <c r="E47" s="49">
        <f>AVERAGE('22.07 Kibuye-Munyonyo'!E47,'23.07 Kibuye-Munyonyo'!E47,'24.07 Kibuye-Munyonyo'!E47,'25.07 Kibuye-Munyonyo'!E47,'26.07 Kibuye-Munyonyo-24h'!E47,'27.07 Kibuye-Munyonyo-24h'!E47,'28.07 Kibuye-Munyonyo'!E47)</f>
        <v>3.1428571428571428</v>
      </c>
      <c r="F47" s="49">
        <f>AVERAGE('22.07 Kibuye-Munyonyo'!F47,'23.07 Kibuye-Munyonyo'!F47,'24.07 Kibuye-Munyonyo'!F47,'25.07 Kibuye-Munyonyo'!F47,'26.07 Kibuye-Munyonyo-24h'!F47,'27.07 Kibuye-Munyonyo-24h'!F47,'28.07 Kibuye-Munyonyo'!F47)</f>
        <v>22.142857142857142</v>
      </c>
      <c r="G47" s="49">
        <f>AVERAGE('22.07 Kibuye-Munyonyo'!G47,'23.07 Kibuye-Munyonyo'!G47,'24.07 Kibuye-Munyonyo'!G47,'25.07 Kibuye-Munyonyo'!G47,'26.07 Kibuye-Munyonyo-24h'!G47,'27.07 Kibuye-Munyonyo-24h'!G47,'28.07 Kibuye-Munyonyo'!G47)</f>
        <v>0.42857142857142855</v>
      </c>
      <c r="H47" s="49">
        <f>AVERAGE('22.07 Kibuye-Munyonyo'!H47,'23.07 Kibuye-Munyonyo'!H47,'24.07 Kibuye-Munyonyo'!H47,'25.07 Kibuye-Munyonyo'!H47,'26.07 Kibuye-Munyonyo-24h'!H47,'27.07 Kibuye-Munyonyo-24h'!H47,'28.07 Kibuye-Munyonyo'!H47)</f>
        <v>0</v>
      </c>
      <c r="I47" s="49">
        <f>AVERAGE('22.07 Kibuye-Munyonyo'!I47,'23.07 Kibuye-Munyonyo'!I47,'24.07 Kibuye-Munyonyo'!I47,'25.07 Kibuye-Munyonyo'!I47,'26.07 Kibuye-Munyonyo-24h'!I47,'27.07 Kibuye-Munyonyo-24h'!I47,'28.07 Kibuye-Munyonyo'!I47)</f>
        <v>4.1428571428571432</v>
      </c>
      <c r="J47" s="49">
        <f>AVERAGE('22.07 Kibuye-Munyonyo'!J47,'23.07 Kibuye-Munyonyo'!J47,'24.07 Kibuye-Munyonyo'!J47,'25.07 Kibuye-Munyonyo'!J47,'26.07 Kibuye-Munyonyo-24h'!J47,'27.07 Kibuye-Munyonyo-24h'!J47,'28.07 Kibuye-Munyonyo'!J47)</f>
        <v>1</v>
      </c>
      <c r="K47" s="49">
        <f>AVERAGE('22.07 Kibuye-Munyonyo'!K47,'23.07 Kibuye-Munyonyo'!K47,'24.07 Kibuye-Munyonyo'!K47,'25.07 Kibuye-Munyonyo'!K47,'26.07 Kibuye-Munyonyo-24h'!K47,'27.07 Kibuye-Munyonyo-24h'!K47,'28.07 Kibuye-Munyonyo'!K47)</f>
        <v>0.2857142857142857</v>
      </c>
      <c r="L47" s="49">
        <f>AVERAGE('22.07 Kibuye-Munyonyo'!L47,'23.07 Kibuye-Munyonyo'!L47,'24.07 Kibuye-Munyonyo'!L47,'25.07 Kibuye-Munyonyo'!L47,'26.07 Kibuye-Munyonyo-24h'!L47,'27.07 Kibuye-Munyonyo-24h'!L47,'28.07 Kibuye-Munyonyo'!L47)</f>
        <v>0</v>
      </c>
      <c r="M47" s="49">
        <f>AVERAGE('22.07 Kibuye-Munyonyo'!M47,'23.07 Kibuye-Munyonyo'!M47,'24.07 Kibuye-Munyonyo'!M47,'25.07 Kibuye-Munyonyo'!M47,'26.07 Kibuye-Munyonyo-24h'!M47,'27.07 Kibuye-Munyonyo-24h'!M47,'28.07 Kibuye-Munyonyo'!M47)</f>
        <v>137.71428571428572</v>
      </c>
      <c r="N47" s="49">
        <f>AVERAGE('22.07 Kibuye-Munyonyo'!N47,'23.07 Kibuye-Munyonyo'!N47,'24.07 Kibuye-Munyonyo'!N47,'25.07 Kibuye-Munyonyo'!N47,'26.07 Kibuye-Munyonyo-24h'!N47,'27.07 Kibuye-Munyonyo-24h'!N47,'28.07 Kibuye-Munyonyo'!N47)</f>
        <v>0</v>
      </c>
      <c r="O47" s="15">
        <f t="shared" si="0"/>
        <v>73.714285714285722</v>
      </c>
      <c r="P47" s="15">
        <f t="shared" si="1"/>
        <v>211.42857142857144</v>
      </c>
      <c r="R47" s="8"/>
      <c r="T47"/>
    </row>
    <row r="48" spans="2:32" ht="23.1" customHeight="1" x14ac:dyDescent="0.25">
      <c r="B48" s="24" t="s">
        <v>75</v>
      </c>
      <c r="C48" s="49">
        <f>AVERAGE('22.07 Kibuye-Munyonyo'!C48,'23.07 Kibuye-Munyonyo'!C48,'24.07 Kibuye-Munyonyo'!C48,'25.07 Kibuye-Munyonyo'!C48,'26.07 Kibuye-Munyonyo-24h'!C48,'27.07 Kibuye-Munyonyo-24h'!C48,'28.07 Kibuye-Munyonyo'!C48)</f>
        <v>36.857142857142854</v>
      </c>
      <c r="D48" s="49">
        <f>AVERAGE('22.07 Kibuye-Munyonyo'!D48,'23.07 Kibuye-Munyonyo'!D48,'24.07 Kibuye-Munyonyo'!D48,'25.07 Kibuye-Munyonyo'!D48,'26.07 Kibuye-Munyonyo-24h'!D48,'27.07 Kibuye-Munyonyo-24h'!D48,'28.07 Kibuye-Munyonyo'!D48)</f>
        <v>14.714285714285714</v>
      </c>
      <c r="E48" s="49">
        <f>AVERAGE('22.07 Kibuye-Munyonyo'!E48,'23.07 Kibuye-Munyonyo'!E48,'24.07 Kibuye-Munyonyo'!E48,'25.07 Kibuye-Munyonyo'!E48,'26.07 Kibuye-Munyonyo-24h'!E48,'27.07 Kibuye-Munyonyo-24h'!E48,'28.07 Kibuye-Munyonyo'!E48)</f>
        <v>4.5714285714285712</v>
      </c>
      <c r="F48" s="49">
        <f>AVERAGE('22.07 Kibuye-Munyonyo'!F48,'23.07 Kibuye-Munyonyo'!F48,'24.07 Kibuye-Munyonyo'!F48,'25.07 Kibuye-Munyonyo'!F48,'26.07 Kibuye-Munyonyo-24h'!F48,'27.07 Kibuye-Munyonyo-24h'!F48,'28.07 Kibuye-Munyonyo'!F48)</f>
        <v>28.428571428571427</v>
      </c>
      <c r="G48" s="49">
        <f>AVERAGE('22.07 Kibuye-Munyonyo'!G48,'23.07 Kibuye-Munyonyo'!G48,'24.07 Kibuye-Munyonyo'!G48,'25.07 Kibuye-Munyonyo'!G48,'26.07 Kibuye-Munyonyo-24h'!G48,'27.07 Kibuye-Munyonyo-24h'!G48,'28.07 Kibuye-Munyonyo'!G48)</f>
        <v>0.14285714285714285</v>
      </c>
      <c r="H48" s="49">
        <f>AVERAGE('22.07 Kibuye-Munyonyo'!H48,'23.07 Kibuye-Munyonyo'!H48,'24.07 Kibuye-Munyonyo'!H48,'25.07 Kibuye-Munyonyo'!H48,'26.07 Kibuye-Munyonyo-24h'!H48,'27.07 Kibuye-Munyonyo-24h'!H48,'28.07 Kibuye-Munyonyo'!H48)</f>
        <v>0.14285714285714285</v>
      </c>
      <c r="I48" s="49">
        <f>AVERAGE('22.07 Kibuye-Munyonyo'!I48,'23.07 Kibuye-Munyonyo'!I48,'24.07 Kibuye-Munyonyo'!I48,'25.07 Kibuye-Munyonyo'!I48,'26.07 Kibuye-Munyonyo-24h'!I48,'27.07 Kibuye-Munyonyo-24h'!I48,'28.07 Kibuye-Munyonyo'!I48)</f>
        <v>4.8571428571428568</v>
      </c>
      <c r="J48" s="49">
        <f>AVERAGE('22.07 Kibuye-Munyonyo'!J48,'23.07 Kibuye-Munyonyo'!J48,'24.07 Kibuye-Munyonyo'!J48,'25.07 Kibuye-Munyonyo'!J48,'26.07 Kibuye-Munyonyo-24h'!J48,'27.07 Kibuye-Munyonyo-24h'!J48,'28.07 Kibuye-Munyonyo'!J48)</f>
        <v>0.5714285714285714</v>
      </c>
      <c r="K48" s="49">
        <f>AVERAGE('22.07 Kibuye-Munyonyo'!K48,'23.07 Kibuye-Munyonyo'!K48,'24.07 Kibuye-Munyonyo'!K48,'25.07 Kibuye-Munyonyo'!K48,'26.07 Kibuye-Munyonyo-24h'!K48,'27.07 Kibuye-Munyonyo-24h'!K48,'28.07 Kibuye-Munyonyo'!K48)</f>
        <v>0.14285714285714285</v>
      </c>
      <c r="L48" s="49">
        <f>AVERAGE('22.07 Kibuye-Munyonyo'!L48,'23.07 Kibuye-Munyonyo'!L48,'24.07 Kibuye-Munyonyo'!L48,'25.07 Kibuye-Munyonyo'!L48,'26.07 Kibuye-Munyonyo-24h'!L48,'27.07 Kibuye-Munyonyo-24h'!L48,'28.07 Kibuye-Munyonyo'!L48)</f>
        <v>0</v>
      </c>
      <c r="M48" s="49">
        <f>AVERAGE('22.07 Kibuye-Munyonyo'!M48,'23.07 Kibuye-Munyonyo'!M48,'24.07 Kibuye-Munyonyo'!M48,'25.07 Kibuye-Munyonyo'!M48,'26.07 Kibuye-Munyonyo-24h'!M48,'27.07 Kibuye-Munyonyo-24h'!M48,'28.07 Kibuye-Munyonyo'!M48)</f>
        <v>119.28571428571429</v>
      </c>
      <c r="N48" s="49">
        <f>AVERAGE('22.07 Kibuye-Munyonyo'!N48,'23.07 Kibuye-Munyonyo'!N48,'24.07 Kibuye-Munyonyo'!N48,'25.07 Kibuye-Munyonyo'!N48,'26.07 Kibuye-Munyonyo-24h'!N48,'27.07 Kibuye-Munyonyo-24h'!N48,'28.07 Kibuye-Munyonyo'!N48)</f>
        <v>0</v>
      </c>
      <c r="O48" s="15">
        <f t="shared" si="0"/>
        <v>90.428571428571416</v>
      </c>
      <c r="P48" s="15">
        <f t="shared" si="1"/>
        <v>209.71428571428572</v>
      </c>
      <c r="R48" s="8"/>
      <c r="T48"/>
    </row>
    <row r="49" spans="2:20" ht="23.1" customHeight="1" x14ac:dyDescent="0.25">
      <c r="B49" s="23" t="s">
        <v>76</v>
      </c>
      <c r="C49" s="49">
        <f>AVERAGE('22.07 Kibuye-Munyonyo'!C49,'23.07 Kibuye-Munyonyo'!C49,'24.07 Kibuye-Munyonyo'!C49,'25.07 Kibuye-Munyonyo'!C49,'26.07 Kibuye-Munyonyo-24h'!C49,'27.07 Kibuye-Munyonyo-24h'!C49,'28.07 Kibuye-Munyonyo'!C49)</f>
        <v>30.142857142857142</v>
      </c>
      <c r="D49" s="49">
        <f>AVERAGE('22.07 Kibuye-Munyonyo'!D49,'23.07 Kibuye-Munyonyo'!D49,'24.07 Kibuye-Munyonyo'!D49,'25.07 Kibuye-Munyonyo'!D49,'26.07 Kibuye-Munyonyo-24h'!D49,'27.07 Kibuye-Munyonyo-24h'!D49,'28.07 Kibuye-Munyonyo'!D49)</f>
        <v>19.571428571428573</v>
      </c>
      <c r="E49" s="49">
        <f>AVERAGE('22.07 Kibuye-Munyonyo'!E49,'23.07 Kibuye-Munyonyo'!E49,'24.07 Kibuye-Munyonyo'!E49,'25.07 Kibuye-Munyonyo'!E49,'26.07 Kibuye-Munyonyo-24h'!E49,'27.07 Kibuye-Munyonyo-24h'!E49,'28.07 Kibuye-Munyonyo'!E49)</f>
        <v>4.5714285714285712</v>
      </c>
      <c r="F49" s="49">
        <f>AVERAGE('22.07 Kibuye-Munyonyo'!F49,'23.07 Kibuye-Munyonyo'!F49,'24.07 Kibuye-Munyonyo'!F49,'25.07 Kibuye-Munyonyo'!F49,'26.07 Kibuye-Munyonyo-24h'!F49,'27.07 Kibuye-Munyonyo-24h'!F49,'28.07 Kibuye-Munyonyo'!F49)</f>
        <v>26.714285714285715</v>
      </c>
      <c r="G49" s="49">
        <f>AVERAGE('22.07 Kibuye-Munyonyo'!G49,'23.07 Kibuye-Munyonyo'!G49,'24.07 Kibuye-Munyonyo'!G49,'25.07 Kibuye-Munyonyo'!G49,'26.07 Kibuye-Munyonyo-24h'!G49,'27.07 Kibuye-Munyonyo-24h'!G49,'28.07 Kibuye-Munyonyo'!G49)</f>
        <v>1</v>
      </c>
      <c r="H49" s="49">
        <f>AVERAGE('22.07 Kibuye-Munyonyo'!H49,'23.07 Kibuye-Munyonyo'!H49,'24.07 Kibuye-Munyonyo'!H49,'25.07 Kibuye-Munyonyo'!H49,'26.07 Kibuye-Munyonyo-24h'!H49,'27.07 Kibuye-Munyonyo-24h'!H49,'28.07 Kibuye-Munyonyo'!H49)</f>
        <v>0</v>
      </c>
      <c r="I49" s="49">
        <f>AVERAGE('22.07 Kibuye-Munyonyo'!I49,'23.07 Kibuye-Munyonyo'!I49,'24.07 Kibuye-Munyonyo'!I49,'25.07 Kibuye-Munyonyo'!I49,'26.07 Kibuye-Munyonyo-24h'!I49,'27.07 Kibuye-Munyonyo-24h'!I49,'28.07 Kibuye-Munyonyo'!I49)</f>
        <v>4.5714285714285712</v>
      </c>
      <c r="J49" s="49">
        <f>AVERAGE('22.07 Kibuye-Munyonyo'!J49,'23.07 Kibuye-Munyonyo'!J49,'24.07 Kibuye-Munyonyo'!J49,'25.07 Kibuye-Munyonyo'!J49,'26.07 Kibuye-Munyonyo-24h'!J49,'27.07 Kibuye-Munyonyo-24h'!J49,'28.07 Kibuye-Munyonyo'!J49)</f>
        <v>0.5714285714285714</v>
      </c>
      <c r="K49" s="49">
        <f>AVERAGE('22.07 Kibuye-Munyonyo'!K49,'23.07 Kibuye-Munyonyo'!K49,'24.07 Kibuye-Munyonyo'!K49,'25.07 Kibuye-Munyonyo'!K49,'26.07 Kibuye-Munyonyo-24h'!K49,'27.07 Kibuye-Munyonyo-24h'!K49,'28.07 Kibuye-Munyonyo'!K49)</f>
        <v>0.2857142857142857</v>
      </c>
      <c r="L49" s="49">
        <f>AVERAGE('22.07 Kibuye-Munyonyo'!L49,'23.07 Kibuye-Munyonyo'!L49,'24.07 Kibuye-Munyonyo'!L49,'25.07 Kibuye-Munyonyo'!L49,'26.07 Kibuye-Munyonyo-24h'!L49,'27.07 Kibuye-Munyonyo-24h'!L49,'28.07 Kibuye-Munyonyo'!L49)</f>
        <v>0</v>
      </c>
      <c r="M49" s="49">
        <f>AVERAGE('22.07 Kibuye-Munyonyo'!M49,'23.07 Kibuye-Munyonyo'!M49,'24.07 Kibuye-Munyonyo'!M49,'25.07 Kibuye-Munyonyo'!M49,'26.07 Kibuye-Munyonyo-24h'!M49,'27.07 Kibuye-Munyonyo-24h'!M49,'28.07 Kibuye-Munyonyo'!M49)</f>
        <v>109.71428571428571</v>
      </c>
      <c r="N49" s="49">
        <f>AVERAGE('22.07 Kibuye-Munyonyo'!N49,'23.07 Kibuye-Munyonyo'!N49,'24.07 Kibuye-Munyonyo'!N49,'25.07 Kibuye-Munyonyo'!N49,'26.07 Kibuye-Munyonyo-24h'!N49,'27.07 Kibuye-Munyonyo-24h'!N49,'28.07 Kibuye-Munyonyo'!N49)</f>
        <v>0</v>
      </c>
      <c r="O49" s="15">
        <f t="shared" si="0"/>
        <v>87.428571428571431</v>
      </c>
      <c r="P49" s="15">
        <f t="shared" si="1"/>
        <v>197.14285714285714</v>
      </c>
      <c r="R49" s="8"/>
      <c r="T49"/>
    </row>
    <row r="50" spans="2:20" ht="23.1" customHeight="1" x14ac:dyDescent="0.25">
      <c r="B50" s="24" t="s">
        <v>77</v>
      </c>
      <c r="C50" s="49">
        <f>AVERAGE('22.07 Kibuye-Munyonyo'!C50,'23.07 Kibuye-Munyonyo'!C50,'24.07 Kibuye-Munyonyo'!C50,'25.07 Kibuye-Munyonyo'!C50,'26.07 Kibuye-Munyonyo-24h'!C50,'27.07 Kibuye-Munyonyo-24h'!C50,'28.07 Kibuye-Munyonyo'!C50)</f>
        <v>29.142857142857142</v>
      </c>
      <c r="D50" s="49">
        <f>AVERAGE('22.07 Kibuye-Munyonyo'!D50,'23.07 Kibuye-Munyonyo'!D50,'24.07 Kibuye-Munyonyo'!D50,'25.07 Kibuye-Munyonyo'!D50,'26.07 Kibuye-Munyonyo-24h'!D50,'27.07 Kibuye-Munyonyo-24h'!D50,'28.07 Kibuye-Munyonyo'!D50)</f>
        <v>15.285714285714286</v>
      </c>
      <c r="E50" s="49">
        <f>AVERAGE('22.07 Kibuye-Munyonyo'!E50,'23.07 Kibuye-Munyonyo'!E50,'24.07 Kibuye-Munyonyo'!E50,'25.07 Kibuye-Munyonyo'!E50,'26.07 Kibuye-Munyonyo-24h'!E50,'27.07 Kibuye-Munyonyo-24h'!E50,'28.07 Kibuye-Munyonyo'!E50)</f>
        <v>2.8571428571428572</v>
      </c>
      <c r="F50" s="49">
        <f>AVERAGE('22.07 Kibuye-Munyonyo'!F50,'23.07 Kibuye-Munyonyo'!F50,'24.07 Kibuye-Munyonyo'!F50,'25.07 Kibuye-Munyonyo'!F50,'26.07 Kibuye-Munyonyo-24h'!F50,'27.07 Kibuye-Munyonyo-24h'!F50,'28.07 Kibuye-Munyonyo'!F50)</f>
        <v>25.142857142857142</v>
      </c>
      <c r="G50" s="49">
        <f>AVERAGE('22.07 Kibuye-Munyonyo'!G50,'23.07 Kibuye-Munyonyo'!G50,'24.07 Kibuye-Munyonyo'!G50,'25.07 Kibuye-Munyonyo'!G50,'26.07 Kibuye-Munyonyo-24h'!G50,'27.07 Kibuye-Munyonyo-24h'!G50,'28.07 Kibuye-Munyonyo'!G50)</f>
        <v>0.42857142857142855</v>
      </c>
      <c r="H50" s="49">
        <f>AVERAGE('22.07 Kibuye-Munyonyo'!H50,'23.07 Kibuye-Munyonyo'!H50,'24.07 Kibuye-Munyonyo'!H50,'25.07 Kibuye-Munyonyo'!H50,'26.07 Kibuye-Munyonyo-24h'!H50,'27.07 Kibuye-Munyonyo-24h'!H50,'28.07 Kibuye-Munyonyo'!H50)</f>
        <v>0.42857142857142855</v>
      </c>
      <c r="I50" s="49">
        <f>AVERAGE('22.07 Kibuye-Munyonyo'!I50,'23.07 Kibuye-Munyonyo'!I50,'24.07 Kibuye-Munyonyo'!I50,'25.07 Kibuye-Munyonyo'!I50,'26.07 Kibuye-Munyonyo-24h'!I50,'27.07 Kibuye-Munyonyo-24h'!I50,'28.07 Kibuye-Munyonyo'!I50)</f>
        <v>4</v>
      </c>
      <c r="J50" s="49">
        <f>AVERAGE('22.07 Kibuye-Munyonyo'!J50,'23.07 Kibuye-Munyonyo'!J50,'24.07 Kibuye-Munyonyo'!J50,'25.07 Kibuye-Munyonyo'!J50,'26.07 Kibuye-Munyonyo-24h'!J50,'27.07 Kibuye-Munyonyo-24h'!J50,'28.07 Kibuye-Munyonyo'!J50)</f>
        <v>0.7142857142857143</v>
      </c>
      <c r="K50" s="49">
        <f>AVERAGE('22.07 Kibuye-Munyonyo'!K50,'23.07 Kibuye-Munyonyo'!K50,'24.07 Kibuye-Munyonyo'!K50,'25.07 Kibuye-Munyonyo'!K50,'26.07 Kibuye-Munyonyo-24h'!K50,'27.07 Kibuye-Munyonyo-24h'!K50,'28.07 Kibuye-Munyonyo'!K50)</f>
        <v>0.14285714285714285</v>
      </c>
      <c r="L50" s="49">
        <f>AVERAGE('22.07 Kibuye-Munyonyo'!L50,'23.07 Kibuye-Munyonyo'!L50,'24.07 Kibuye-Munyonyo'!L50,'25.07 Kibuye-Munyonyo'!L50,'26.07 Kibuye-Munyonyo-24h'!L50,'27.07 Kibuye-Munyonyo-24h'!L50,'28.07 Kibuye-Munyonyo'!L50)</f>
        <v>0</v>
      </c>
      <c r="M50" s="49">
        <f>AVERAGE('22.07 Kibuye-Munyonyo'!M50,'23.07 Kibuye-Munyonyo'!M50,'24.07 Kibuye-Munyonyo'!M50,'25.07 Kibuye-Munyonyo'!M50,'26.07 Kibuye-Munyonyo-24h'!M50,'27.07 Kibuye-Munyonyo-24h'!M50,'28.07 Kibuye-Munyonyo'!M50)</f>
        <v>124.14285714285714</v>
      </c>
      <c r="N50" s="49">
        <f>AVERAGE('22.07 Kibuye-Munyonyo'!N50,'23.07 Kibuye-Munyonyo'!N50,'24.07 Kibuye-Munyonyo'!N50,'25.07 Kibuye-Munyonyo'!N50,'26.07 Kibuye-Munyonyo-24h'!N50,'27.07 Kibuye-Munyonyo-24h'!N50,'28.07 Kibuye-Munyonyo'!N50)</f>
        <v>0</v>
      </c>
      <c r="O50" s="15">
        <f t="shared" si="0"/>
        <v>78.142857142857139</v>
      </c>
      <c r="P50" s="15">
        <f t="shared" si="1"/>
        <v>202.28571428571428</v>
      </c>
      <c r="R50" s="8"/>
      <c r="T50"/>
    </row>
    <row r="51" spans="2:20" ht="23.1" customHeight="1" x14ac:dyDescent="0.25">
      <c r="B51" s="24" t="s">
        <v>78</v>
      </c>
      <c r="C51" s="49">
        <f>AVERAGE('22.07 Kibuye-Munyonyo'!C51,'23.07 Kibuye-Munyonyo'!C51,'24.07 Kibuye-Munyonyo'!C51,'25.07 Kibuye-Munyonyo'!C51,'26.07 Kibuye-Munyonyo-24h'!C51,'27.07 Kibuye-Munyonyo-24h'!C51,'28.07 Kibuye-Munyonyo'!C51)</f>
        <v>41.571428571428569</v>
      </c>
      <c r="D51" s="49">
        <f>AVERAGE('22.07 Kibuye-Munyonyo'!D51,'23.07 Kibuye-Munyonyo'!D51,'24.07 Kibuye-Munyonyo'!D51,'25.07 Kibuye-Munyonyo'!D51,'26.07 Kibuye-Munyonyo-24h'!D51,'27.07 Kibuye-Munyonyo-24h'!D51,'28.07 Kibuye-Munyonyo'!D51)</f>
        <v>18.428571428571427</v>
      </c>
      <c r="E51" s="49">
        <f>AVERAGE('22.07 Kibuye-Munyonyo'!E51,'23.07 Kibuye-Munyonyo'!E51,'24.07 Kibuye-Munyonyo'!E51,'25.07 Kibuye-Munyonyo'!E51,'26.07 Kibuye-Munyonyo-24h'!E51,'27.07 Kibuye-Munyonyo-24h'!E51,'28.07 Kibuye-Munyonyo'!E51)</f>
        <v>4.5714285714285712</v>
      </c>
      <c r="F51" s="49">
        <f>AVERAGE('22.07 Kibuye-Munyonyo'!F51,'23.07 Kibuye-Munyonyo'!F51,'24.07 Kibuye-Munyonyo'!F51,'25.07 Kibuye-Munyonyo'!F51,'26.07 Kibuye-Munyonyo-24h'!F51,'27.07 Kibuye-Munyonyo-24h'!F51,'28.07 Kibuye-Munyonyo'!F51)</f>
        <v>32.428571428571431</v>
      </c>
      <c r="G51" s="49">
        <f>AVERAGE('22.07 Kibuye-Munyonyo'!G51,'23.07 Kibuye-Munyonyo'!G51,'24.07 Kibuye-Munyonyo'!G51,'25.07 Kibuye-Munyonyo'!G51,'26.07 Kibuye-Munyonyo-24h'!G51,'27.07 Kibuye-Munyonyo-24h'!G51,'28.07 Kibuye-Munyonyo'!G51)</f>
        <v>0.7142857142857143</v>
      </c>
      <c r="H51" s="49">
        <f>AVERAGE('22.07 Kibuye-Munyonyo'!H51,'23.07 Kibuye-Munyonyo'!H51,'24.07 Kibuye-Munyonyo'!H51,'25.07 Kibuye-Munyonyo'!H51,'26.07 Kibuye-Munyonyo-24h'!H51,'27.07 Kibuye-Munyonyo-24h'!H51,'28.07 Kibuye-Munyonyo'!H51)</f>
        <v>0.2857142857142857</v>
      </c>
      <c r="I51" s="49">
        <f>AVERAGE('22.07 Kibuye-Munyonyo'!I51,'23.07 Kibuye-Munyonyo'!I51,'24.07 Kibuye-Munyonyo'!I51,'25.07 Kibuye-Munyonyo'!I51,'26.07 Kibuye-Munyonyo-24h'!I51,'27.07 Kibuye-Munyonyo-24h'!I51,'28.07 Kibuye-Munyonyo'!I51)</f>
        <v>5</v>
      </c>
      <c r="J51" s="49">
        <f>AVERAGE('22.07 Kibuye-Munyonyo'!J51,'23.07 Kibuye-Munyonyo'!J51,'24.07 Kibuye-Munyonyo'!J51,'25.07 Kibuye-Munyonyo'!J51,'26.07 Kibuye-Munyonyo-24h'!J51,'27.07 Kibuye-Munyonyo-24h'!J51,'28.07 Kibuye-Munyonyo'!J51)</f>
        <v>0.5714285714285714</v>
      </c>
      <c r="K51" s="49">
        <f>AVERAGE('22.07 Kibuye-Munyonyo'!K51,'23.07 Kibuye-Munyonyo'!K51,'24.07 Kibuye-Munyonyo'!K51,'25.07 Kibuye-Munyonyo'!K51,'26.07 Kibuye-Munyonyo-24h'!K51,'27.07 Kibuye-Munyonyo-24h'!K51,'28.07 Kibuye-Munyonyo'!K51)</f>
        <v>0</v>
      </c>
      <c r="L51" s="49">
        <f>AVERAGE('22.07 Kibuye-Munyonyo'!L51,'23.07 Kibuye-Munyonyo'!L51,'24.07 Kibuye-Munyonyo'!L51,'25.07 Kibuye-Munyonyo'!L51,'26.07 Kibuye-Munyonyo-24h'!L51,'27.07 Kibuye-Munyonyo-24h'!L51,'28.07 Kibuye-Munyonyo'!L51)</f>
        <v>0</v>
      </c>
      <c r="M51" s="49">
        <f>AVERAGE('22.07 Kibuye-Munyonyo'!M51,'23.07 Kibuye-Munyonyo'!M51,'24.07 Kibuye-Munyonyo'!M51,'25.07 Kibuye-Munyonyo'!M51,'26.07 Kibuye-Munyonyo-24h'!M51,'27.07 Kibuye-Munyonyo-24h'!M51,'28.07 Kibuye-Munyonyo'!M51)</f>
        <v>120.71428571428571</v>
      </c>
      <c r="N51" s="49">
        <f>AVERAGE('22.07 Kibuye-Munyonyo'!N51,'23.07 Kibuye-Munyonyo'!N51,'24.07 Kibuye-Munyonyo'!N51,'25.07 Kibuye-Munyonyo'!N51,'26.07 Kibuye-Munyonyo-24h'!N51,'27.07 Kibuye-Munyonyo-24h'!N51,'28.07 Kibuye-Munyonyo'!N51)</f>
        <v>0</v>
      </c>
      <c r="O51" s="15">
        <f t="shared" si="0"/>
        <v>103.57142857142857</v>
      </c>
      <c r="P51" s="15">
        <f t="shared" si="1"/>
        <v>224.28571428571428</v>
      </c>
      <c r="R51" s="8"/>
      <c r="T51"/>
    </row>
    <row r="52" spans="2:20" ht="23.1" customHeight="1" x14ac:dyDescent="0.25">
      <c r="B52" s="24" t="s">
        <v>79</v>
      </c>
      <c r="C52" s="49">
        <f>AVERAGE('22.07 Kibuye-Munyonyo'!C52,'23.07 Kibuye-Munyonyo'!C52,'24.07 Kibuye-Munyonyo'!C52,'25.07 Kibuye-Munyonyo'!C52,'26.07 Kibuye-Munyonyo-24h'!C52,'27.07 Kibuye-Munyonyo-24h'!C52,'28.07 Kibuye-Munyonyo'!C52)</f>
        <v>39.285714285714285</v>
      </c>
      <c r="D52" s="49">
        <f>AVERAGE('22.07 Kibuye-Munyonyo'!D52,'23.07 Kibuye-Munyonyo'!D52,'24.07 Kibuye-Munyonyo'!D52,'25.07 Kibuye-Munyonyo'!D52,'26.07 Kibuye-Munyonyo-24h'!D52,'27.07 Kibuye-Munyonyo-24h'!D52,'28.07 Kibuye-Munyonyo'!D52)</f>
        <v>17.571428571428573</v>
      </c>
      <c r="E52" s="49">
        <f>AVERAGE('22.07 Kibuye-Munyonyo'!E52,'23.07 Kibuye-Munyonyo'!E52,'24.07 Kibuye-Munyonyo'!E52,'25.07 Kibuye-Munyonyo'!E52,'26.07 Kibuye-Munyonyo-24h'!E52,'27.07 Kibuye-Munyonyo-24h'!E52,'28.07 Kibuye-Munyonyo'!E52)</f>
        <v>4.7142857142857144</v>
      </c>
      <c r="F52" s="49">
        <f>AVERAGE('22.07 Kibuye-Munyonyo'!F52,'23.07 Kibuye-Munyonyo'!F52,'24.07 Kibuye-Munyonyo'!F52,'25.07 Kibuye-Munyonyo'!F52,'26.07 Kibuye-Munyonyo-24h'!F52,'27.07 Kibuye-Munyonyo-24h'!F52,'28.07 Kibuye-Munyonyo'!F52)</f>
        <v>28.428571428571427</v>
      </c>
      <c r="G52" s="49">
        <f>AVERAGE('22.07 Kibuye-Munyonyo'!G52,'23.07 Kibuye-Munyonyo'!G52,'24.07 Kibuye-Munyonyo'!G52,'25.07 Kibuye-Munyonyo'!G52,'26.07 Kibuye-Munyonyo-24h'!G52,'27.07 Kibuye-Munyonyo-24h'!G52,'28.07 Kibuye-Munyonyo'!G52)</f>
        <v>0.2857142857142857</v>
      </c>
      <c r="H52" s="49">
        <f>AVERAGE('22.07 Kibuye-Munyonyo'!H52,'23.07 Kibuye-Munyonyo'!H52,'24.07 Kibuye-Munyonyo'!H52,'25.07 Kibuye-Munyonyo'!H52,'26.07 Kibuye-Munyonyo-24h'!H52,'27.07 Kibuye-Munyonyo-24h'!H52,'28.07 Kibuye-Munyonyo'!H52)</f>
        <v>0</v>
      </c>
      <c r="I52" s="49">
        <f>AVERAGE('22.07 Kibuye-Munyonyo'!I52,'23.07 Kibuye-Munyonyo'!I52,'24.07 Kibuye-Munyonyo'!I52,'25.07 Kibuye-Munyonyo'!I52,'26.07 Kibuye-Munyonyo-24h'!I52,'27.07 Kibuye-Munyonyo-24h'!I52,'28.07 Kibuye-Munyonyo'!I52)</f>
        <v>4.5714285714285712</v>
      </c>
      <c r="J52" s="49">
        <f>AVERAGE('22.07 Kibuye-Munyonyo'!J52,'23.07 Kibuye-Munyonyo'!J52,'24.07 Kibuye-Munyonyo'!J52,'25.07 Kibuye-Munyonyo'!J52,'26.07 Kibuye-Munyonyo-24h'!J52,'27.07 Kibuye-Munyonyo-24h'!J52,'28.07 Kibuye-Munyonyo'!J52)</f>
        <v>0.14285714285714285</v>
      </c>
      <c r="K52" s="49">
        <f>AVERAGE('22.07 Kibuye-Munyonyo'!K52,'23.07 Kibuye-Munyonyo'!K52,'24.07 Kibuye-Munyonyo'!K52,'25.07 Kibuye-Munyonyo'!K52,'26.07 Kibuye-Munyonyo-24h'!K52,'27.07 Kibuye-Munyonyo-24h'!K52,'28.07 Kibuye-Munyonyo'!K52)</f>
        <v>0</v>
      </c>
      <c r="L52" s="49">
        <f>AVERAGE('22.07 Kibuye-Munyonyo'!L52,'23.07 Kibuye-Munyonyo'!L52,'24.07 Kibuye-Munyonyo'!L52,'25.07 Kibuye-Munyonyo'!L52,'26.07 Kibuye-Munyonyo-24h'!L52,'27.07 Kibuye-Munyonyo-24h'!L52,'28.07 Kibuye-Munyonyo'!L52)</f>
        <v>0</v>
      </c>
      <c r="M52" s="49">
        <f>AVERAGE('22.07 Kibuye-Munyonyo'!M52,'23.07 Kibuye-Munyonyo'!M52,'24.07 Kibuye-Munyonyo'!M52,'25.07 Kibuye-Munyonyo'!M52,'26.07 Kibuye-Munyonyo-24h'!M52,'27.07 Kibuye-Munyonyo-24h'!M52,'28.07 Kibuye-Munyonyo'!M52)</f>
        <v>116.28571428571429</v>
      </c>
      <c r="N52" s="49">
        <f>AVERAGE('22.07 Kibuye-Munyonyo'!N52,'23.07 Kibuye-Munyonyo'!N52,'24.07 Kibuye-Munyonyo'!N52,'25.07 Kibuye-Munyonyo'!N52,'26.07 Kibuye-Munyonyo-24h'!N52,'27.07 Kibuye-Munyonyo-24h'!N52,'28.07 Kibuye-Munyonyo'!N52)</f>
        <v>0</v>
      </c>
      <c r="O52" s="15">
        <f t="shared" si="0"/>
        <v>95</v>
      </c>
      <c r="P52" s="15">
        <f t="shared" si="1"/>
        <v>211.28571428571428</v>
      </c>
      <c r="R52" s="8"/>
      <c r="T52"/>
    </row>
    <row r="53" spans="2:20" ht="23.1" customHeight="1" x14ac:dyDescent="0.25">
      <c r="B53" s="23" t="s">
        <v>80</v>
      </c>
      <c r="C53" s="49">
        <f>AVERAGE('22.07 Kibuye-Munyonyo'!C53,'23.07 Kibuye-Munyonyo'!C53,'24.07 Kibuye-Munyonyo'!C53,'25.07 Kibuye-Munyonyo'!C53,'26.07 Kibuye-Munyonyo-24h'!C53,'27.07 Kibuye-Munyonyo-24h'!C53,'28.07 Kibuye-Munyonyo'!C53)</f>
        <v>39.857142857142854</v>
      </c>
      <c r="D53" s="49">
        <f>AVERAGE('22.07 Kibuye-Munyonyo'!D53,'23.07 Kibuye-Munyonyo'!D53,'24.07 Kibuye-Munyonyo'!D53,'25.07 Kibuye-Munyonyo'!D53,'26.07 Kibuye-Munyonyo-24h'!D53,'27.07 Kibuye-Munyonyo-24h'!D53,'28.07 Kibuye-Munyonyo'!D53)</f>
        <v>21</v>
      </c>
      <c r="E53" s="49">
        <f>AVERAGE('22.07 Kibuye-Munyonyo'!E53,'23.07 Kibuye-Munyonyo'!E53,'24.07 Kibuye-Munyonyo'!E53,'25.07 Kibuye-Munyonyo'!E53,'26.07 Kibuye-Munyonyo-24h'!E53,'27.07 Kibuye-Munyonyo-24h'!E53,'28.07 Kibuye-Munyonyo'!E53)</f>
        <v>4</v>
      </c>
      <c r="F53" s="49">
        <f>AVERAGE('22.07 Kibuye-Munyonyo'!F53,'23.07 Kibuye-Munyonyo'!F53,'24.07 Kibuye-Munyonyo'!F53,'25.07 Kibuye-Munyonyo'!F53,'26.07 Kibuye-Munyonyo-24h'!F53,'27.07 Kibuye-Munyonyo-24h'!F53,'28.07 Kibuye-Munyonyo'!F53)</f>
        <v>31.142857142857142</v>
      </c>
      <c r="G53" s="49">
        <f>AVERAGE('22.07 Kibuye-Munyonyo'!G53,'23.07 Kibuye-Munyonyo'!G53,'24.07 Kibuye-Munyonyo'!G53,'25.07 Kibuye-Munyonyo'!G53,'26.07 Kibuye-Munyonyo-24h'!G53,'27.07 Kibuye-Munyonyo-24h'!G53,'28.07 Kibuye-Munyonyo'!G53)</f>
        <v>0.14285714285714285</v>
      </c>
      <c r="H53" s="49">
        <f>AVERAGE('22.07 Kibuye-Munyonyo'!H53,'23.07 Kibuye-Munyonyo'!H53,'24.07 Kibuye-Munyonyo'!H53,'25.07 Kibuye-Munyonyo'!H53,'26.07 Kibuye-Munyonyo-24h'!H53,'27.07 Kibuye-Munyonyo-24h'!H53,'28.07 Kibuye-Munyonyo'!H53)</f>
        <v>0</v>
      </c>
      <c r="I53" s="49">
        <f>AVERAGE('22.07 Kibuye-Munyonyo'!I53,'23.07 Kibuye-Munyonyo'!I53,'24.07 Kibuye-Munyonyo'!I53,'25.07 Kibuye-Munyonyo'!I53,'26.07 Kibuye-Munyonyo-24h'!I53,'27.07 Kibuye-Munyonyo-24h'!I53,'28.07 Kibuye-Munyonyo'!I53)</f>
        <v>4</v>
      </c>
      <c r="J53" s="49">
        <f>AVERAGE('22.07 Kibuye-Munyonyo'!J53,'23.07 Kibuye-Munyonyo'!J53,'24.07 Kibuye-Munyonyo'!J53,'25.07 Kibuye-Munyonyo'!J53,'26.07 Kibuye-Munyonyo-24h'!J53,'27.07 Kibuye-Munyonyo-24h'!J53,'28.07 Kibuye-Munyonyo'!J53)</f>
        <v>0.2857142857142857</v>
      </c>
      <c r="K53" s="49">
        <f>AVERAGE('22.07 Kibuye-Munyonyo'!K53,'23.07 Kibuye-Munyonyo'!K53,'24.07 Kibuye-Munyonyo'!K53,'25.07 Kibuye-Munyonyo'!K53,'26.07 Kibuye-Munyonyo-24h'!K53,'27.07 Kibuye-Munyonyo-24h'!K53,'28.07 Kibuye-Munyonyo'!K53)</f>
        <v>0.14285714285714285</v>
      </c>
      <c r="L53" s="49">
        <f>AVERAGE('22.07 Kibuye-Munyonyo'!L53,'23.07 Kibuye-Munyonyo'!L53,'24.07 Kibuye-Munyonyo'!L53,'25.07 Kibuye-Munyonyo'!L53,'26.07 Kibuye-Munyonyo-24h'!L53,'27.07 Kibuye-Munyonyo-24h'!L53,'28.07 Kibuye-Munyonyo'!L53)</f>
        <v>0</v>
      </c>
      <c r="M53" s="49">
        <f>AVERAGE('22.07 Kibuye-Munyonyo'!M53,'23.07 Kibuye-Munyonyo'!M53,'24.07 Kibuye-Munyonyo'!M53,'25.07 Kibuye-Munyonyo'!M53,'26.07 Kibuye-Munyonyo-24h'!M53,'27.07 Kibuye-Munyonyo-24h'!M53,'28.07 Kibuye-Munyonyo'!M53)</f>
        <v>96.571428571428569</v>
      </c>
      <c r="N53" s="49">
        <f>AVERAGE('22.07 Kibuye-Munyonyo'!N53,'23.07 Kibuye-Munyonyo'!N53,'24.07 Kibuye-Munyonyo'!N53,'25.07 Kibuye-Munyonyo'!N53,'26.07 Kibuye-Munyonyo-24h'!N53,'27.07 Kibuye-Munyonyo-24h'!N53,'28.07 Kibuye-Munyonyo'!N53)</f>
        <v>0</v>
      </c>
      <c r="O53" s="15">
        <f t="shared" si="0"/>
        <v>100.57142857142857</v>
      </c>
      <c r="P53" s="15">
        <f t="shared" si="1"/>
        <v>197.14285714285714</v>
      </c>
      <c r="R53" s="8"/>
      <c r="T53"/>
    </row>
    <row r="54" spans="2:20" ht="23.1" customHeight="1" x14ac:dyDescent="0.25">
      <c r="B54" s="23" t="s">
        <v>81</v>
      </c>
      <c r="C54" s="49">
        <f>AVERAGE('22.07 Kibuye-Munyonyo'!C54,'23.07 Kibuye-Munyonyo'!C54,'24.07 Kibuye-Munyonyo'!C54,'25.07 Kibuye-Munyonyo'!C54,'26.07 Kibuye-Munyonyo-24h'!C54,'27.07 Kibuye-Munyonyo-24h'!C54,'28.07 Kibuye-Munyonyo'!C54)</f>
        <v>35.142857142857146</v>
      </c>
      <c r="D54" s="49">
        <f>AVERAGE('22.07 Kibuye-Munyonyo'!D54,'23.07 Kibuye-Munyonyo'!D54,'24.07 Kibuye-Munyonyo'!D54,'25.07 Kibuye-Munyonyo'!D54,'26.07 Kibuye-Munyonyo-24h'!D54,'27.07 Kibuye-Munyonyo-24h'!D54,'28.07 Kibuye-Munyonyo'!D54)</f>
        <v>17.142857142857142</v>
      </c>
      <c r="E54" s="49">
        <f>AVERAGE('22.07 Kibuye-Munyonyo'!E54,'23.07 Kibuye-Munyonyo'!E54,'24.07 Kibuye-Munyonyo'!E54,'25.07 Kibuye-Munyonyo'!E54,'26.07 Kibuye-Munyonyo-24h'!E54,'27.07 Kibuye-Munyonyo-24h'!E54,'28.07 Kibuye-Munyonyo'!E54)</f>
        <v>2.8571428571428572</v>
      </c>
      <c r="F54" s="49">
        <f>AVERAGE('22.07 Kibuye-Munyonyo'!F54,'23.07 Kibuye-Munyonyo'!F54,'24.07 Kibuye-Munyonyo'!F54,'25.07 Kibuye-Munyonyo'!F54,'26.07 Kibuye-Munyonyo-24h'!F54,'27.07 Kibuye-Munyonyo-24h'!F54,'28.07 Kibuye-Munyonyo'!F54)</f>
        <v>32.142857142857146</v>
      </c>
      <c r="G54" s="49">
        <f>AVERAGE('22.07 Kibuye-Munyonyo'!G54,'23.07 Kibuye-Munyonyo'!G54,'24.07 Kibuye-Munyonyo'!G54,'25.07 Kibuye-Munyonyo'!G54,'26.07 Kibuye-Munyonyo-24h'!G54,'27.07 Kibuye-Munyonyo-24h'!G54,'28.07 Kibuye-Munyonyo'!G54)</f>
        <v>0.42857142857142855</v>
      </c>
      <c r="H54" s="49">
        <f>AVERAGE('22.07 Kibuye-Munyonyo'!H54,'23.07 Kibuye-Munyonyo'!H54,'24.07 Kibuye-Munyonyo'!H54,'25.07 Kibuye-Munyonyo'!H54,'26.07 Kibuye-Munyonyo-24h'!H54,'27.07 Kibuye-Munyonyo-24h'!H54,'28.07 Kibuye-Munyonyo'!H54)</f>
        <v>0</v>
      </c>
      <c r="I54" s="49">
        <f>AVERAGE('22.07 Kibuye-Munyonyo'!I54,'23.07 Kibuye-Munyonyo'!I54,'24.07 Kibuye-Munyonyo'!I54,'25.07 Kibuye-Munyonyo'!I54,'26.07 Kibuye-Munyonyo-24h'!I54,'27.07 Kibuye-Munyonyo-24h'!I54,'28.07 Kibuye-Munyonyo'!I54)</f>
        <v>4</v>
      </c>
      <c r="J54" s="49">
        <f>AVERAGE('22.07 Kibuye-Munyonyo'!J54,'23.07 Kibuye-Munyonyo'!J54,'24.07 Kibuye-Munyonyo'!J54,'25.07 Kibuye-Munyonyo'!J54,'26.07 Kibuye-Munyonyo-24h'!J54,'27.07 Kibuye-Munyonyo-24h'!J54,'28.07 Kibuye-Munyonyo'!J54)</f>
        <v>0.2857142857142857</v>
      </c>
      <c r="K54" s="49">
        <f>AVERAGE('22.07 Kibuye-Munyonyo'!K54,'23.07 Kibuye-Munyonyo'!K54,'24.07 Kibuye-Munyonyo'!K54,'25.07 Kibuye-Munyonyo'!K54,'26.07 Kibuye-Munyonyo-24h'!K54,'27.07 Kibuye-Munyonyo-24h'!K54,'28.07 Kibuye-Munyonyo'!K54)</f>
        <v>0</v>
      </c>
      <c r="L54" s="49">
        <f>AVERAGE('22.07 Kibuye-Munyonyo'!L54,'23.07 Kibuye-Munyonyo'!L54,'24.07 Kibuye-Munyonyo'!L54,'25.07 Kibuye-Munyonyo'!L54,'26.07 Kibuye-Munyonyo-24h'!L54,'27.07 Kibuye-Munyonyo-24h'!L54,'28.07 Kibuye-Munyonyo'!L54)</f>
        <v>0</v>
      </c>
      <c r="M54" s="49">
        <f>AVERAGE('22.07 Kibuye-Munyonyo'!M54,'23.07 Kibuye-Munyonyo'!M54,'24.07 Kibuye-Munyonyo'!M54,'25.07 Kibuye-Munyonyo'!M54,'26.07 Kibuye-Munyonyo-24h'!M54,'27.07 Kibuye-Munyonyo-24h'!M54,'28.07 Kibuye-Munyonyo'!M54)</f>
        <v>122.85714285714286</v>
      </c>
      <c r="N54" s="49">
        <f>AVERAGE('22.07 Kibuye-Munyonyo'!N54,'23.07 Kibuye-Munyonyo'!N54,'24.07 Kibuye-Munyonyo'!N54,'25.07 Kibuye-Munyonyo'!N54,'26.07 Kibuye-Munyonyo-24h'!N54,'27.07 Kibuye-Munyonyo-24h'!N54,'28.07 Kibuye-Munyonyo'!N54)</f>
        <v>0</v>
      </c>
      <c r="O54" s="15">
        <f t="shared" si="0"/>
        <v>92.000000000000014</v>
      </c>
      <c r="P54" s="15">
        <f t="shared" si="1"/>
        <v>214.85714285714289</v>
      </c>
      <c r="R54" s="8"/>
      <c r="T54"/>
    </row>
    <row r="55" spans="2:20" ht="23.1" customHeight="1" x14ac:dyDescent="0.25">
      <c r="B55" s="23" t="s">
        <v>82</v>
      </c>
      <c r="C55" s="49">
        <f>AVERAGE('22.07 Kibuye-Munyonyo'!C55,'23.07 Kibuye-Munyonyo'!C55,'24.07 Kibuye-Munyonyo'!C55,'25.07 Kibuye-Munyonyo'!C55,'26.07 Kibuye-Munyonyo-24h'!C55,'27.07 Kibuye-Munyonyo-24h'!C55,'28.07 Kibuye-Munyonyo'!C55)</f>
        <v>35.428571428571431</v>
      </c>
      <c r="D55" s="49">
        <f>AVERAGE('22.07 Kibuye-Munyonyo'!D55,'23.07 Kibuye-Munyonyo'!D55,'24.07 Kibuye-Munyonyo'!D55,'25.07 Kibuye-Munyonyo'!D55,'26.07 Kibuye-Munyonyo-24h'!D55,'27.07 Kibuye-Munyonyo-24h'!D55,'28.07 Kibuye-Munyonyo'!D55)</f>
        <v>18.142857142857142</v>
      </c>
      <c r="E55" s="49">
        <f>AVERAGE('22.07 Kibuye-Munyonyo'!E55,'23.07 Kibuye-Munyonyo'!E55,'24.07 Kibuye-Munyonyo'!E55,'25.07 Kibuye-Munyonyo'!E55,'26.07 Kibuye-Munyonyo-24h'!E55,'27.07 Kibuye-Munyonyo-24h'!E55,'28.07 Kibuye-Munyonyo'!E55)</f>
        <v>3.2857142857142856</v>
      </c>
      <c r="F55" s="49">
        <f>AVERAGE('22.07 Kibuye-Munyonyo'!F55,'23.07 Kibuye-Munyonyo'!F55,'24.07 Kibuye-Munyonyo'!F55,'25.07 Kibuye-Munyonyo'!F55,'26.07 Kibuye-Munyonyo-24h'!F55,'27.07 Kibuye-Munyonyo-24h'!F55,'28.07 Kibuye-Munyonyo'!F55)</f>
        <v>31.428571428571427</v>
      </c>
      <c r="G55" s="49">
        <f>AVERAGE('22.07 Kibuye-Munyonyo'!G55,'23.07 Kibuye-Munyonyo'!G55,'24.07 Kibuye-Munyonyo'!G55,'25.07 Kibuye-Munyonyo'!G55,'26.07 Kibuye-Munyonyo-24h'!G55,'27.07 Kibuye-Munyonyo-24h'!G55,'28.07 Kibuye-Munyonyo'!G55)</f>
        <v>0.8571428571428571</v>
      </c>
      <c r="H55" s="49">
        <f>AVERAGE('22.07 Kibuye-Munyonyo'!H55,'23.07 Kibuye-Munyonyo'!H55,'24.07 Kibuye-Munyonyo'!H55,'25.07 Kibuye-Munyonyo'!H55,'26.07 Kibuye-Munyonyo-24h'!H55,'27.07 Kibuye-Munyonyo-24h'!H55,'28.07 Kibuye-Munyonyo'!H55)</f>
        <v>0</v>
      </c>
      <c r="I55" s="49">
        <f>AVERAGE('22.07 Kibuye-Munyonyo'!I55,'23.07 Kibuye-Munyonyo'!I55,'24.07 Kibuye-Munyonyo'!I55,'25.07 Kibuye-Munyonyo'!I55,'26.07 Kibuye-Munyonyo-24h'!I55,'27.07 Kibuye-Munyonyo-24h'!I55,'28.07 Kibuye-Munyonyo'!I55)</f>
        <v>5.7142857142857144</v>
      </c>
      <c r="J55" s="49">
        <f>AVERAGE('22.07 Kibuye-Munyonyo'!J55,'23.07 Kibuye-Munyonyo'!J55,'24.07 Kibuye-Munyonyo'!J55,'25.07 Kibuye-Munyonyo'!J55,'26.07 Kibuye-Munyonyo-24h'!J55,'27.07 Kibuye-Munyonyo-24h'!J55,'28.07 Kibuye-Munyonyo'!J55)</f>
        <v>0.7142857142857143</v>
      </c>
      <c r="K55" s="49">
        <f>AVERAGE('22.07 Kibuye-Munyonyo'!K55,'23.07 Kibuye-Munyonyo'!K55,'24.07 Kibuye-Munyonyo'!K55,'25.07 Kibuye-Munyonyo'!K55,'26.07 Kibuye-Munyonyo-24h'!K55,'27.07 Kibuye-Munyonyo-24h'!K55,'28.07 Kibuye-Munyonyo'!K55)</f>
        <v>0.42857142857142855</v>
      </c>
      <c r="L55" s="49">
        <f>AVERAGE('22.07 Kibuye-Munyonyo'!L55,'23.07 Kibuye-Munyonyo'!L55,'24.07 Kibuye-Munyonyo'!L55,'25.07 Kibuye-Munyonyo'!L55,'26.07 Kibuye-Munyonyo-24h'!L55,'27.07 Kibuye-Munyonyo-24h'!L55,'28.07 Kibuye-Munyonyo'!L55)</f>
        <v>0</v>
      </c>
      <c r="M55" s="49">
        <f>AVERAGE('22.07 Kibuye-Munyonyo'!M55,'23.07 Kibuye-Munyonyo'!M55,'24.07 Kibuye-Munyonyo'!M55,'25.07 Kibuye-Munyonyo'!M55,'26.07 Kibuye-Munyonyo-24h'!M55,'27.07 Kibuye-Munyonyo-24h'!M55,'28.07 Kibuye-Munyonyo'!M55)</f>
        <v>122.85714285714286</v>
      </c>
      <c r="N55" s="49">
        <f>AVERAGE('22.07 Kibuye-Munyonyo'!N55,'23.07 Kibuye-Munyonyo'!N55,'24.07 Kibuye-Munyonyo'!N55,'25.07 Kibuye-Munyonyo'!N55,'26.07 Kibuye-Munyonyo-24h'!N55,'27.07 Kibuye-Munyonyo-24h'!N55,'28.07 Kibuye-Munyonyo'!N55)</f>
        <v>0</v>
      </c>
      <c r="O55" s="15">
        <f t="shared" si="0"/>
        <v>95.999999999999986</v>
      </c>
      <c r="P55" s="15">
        <f t="shared" si="1"/>
        <v>218.85714285714283</v>
      </c>
      <c r="R55" s="8"/>
      <c r="T55"/>
    </row>
    <row r="56" spans="2:20" ht="23.1" customHeight="1" x14ac:dyDescent="0.25">
      <c r="B56" s="23" t="s">
        <v>83</v>
      </c>
      <c r="C56" s="49">
        <f>AVERAGE('22.07 Kibuye-Munyonyo'!C56,'23.07 Kibuye-Munyonyo'!C56,'24.07 Kibuye-Munyonyo'!C56,'25.07 Kibuye-Munyonyo'!C56,'26.07 Kibuye-Munyonyo-24h'!C56,'27.07 Kibuye-Munyonyo-24h'!C56,'28.07 Kibuye-Munyonyo'!C56)</f>
        <v>31.142857142857142</v>
      </c>
      <c r="D56" s="49">
        <f>AVERAGE('22.07 Kibuye-Munyonyo'!D56,'23.07 Kibuye-Munyonyo'!D56,'24.07 Kibuye-Munyonyo'!D56,'25.07 Kibuye-Munyonyo'!D56,'26.07 Kibuye-Munyonyo-24h'!D56,'27.07 Kibuye-Munyonyo-24h'!D56,'28.07 Kibuye-Munyonyo'!D56)</f>
        <v>14.142857142857142</v>
      </c>
      <c r="E56" s="49">
        <f>AVERAGE('22.07 Kibuye-Munyonyo'!E56,'23.07 Kibuye-Munyonyo'!E56,'24.07 Kibuye-Munyonyo'!E56,'25.07 Kibuye-Munyonyo'!E56,'26.07 Kibuye-Munyonyo-24h'!E56,'27.07 Kibuye-Munyonyo-24h'!E56,'28.07 Kibuye-Munyonyo'!E56)</f>
        <v>2</v>
      </c>
      <c r="F56" s="49">
        <f>AVERAGE('22.07 Kibuye-Munyonyo'!F56,'23.07 Kibuye-Munyonyo'!F56,'24.07 Kibuye-Munyonyo'!F56,'25.07 Kibuye-Munyonyo'!F56,'26.07 Kibuye-Munyonyo-24h'!F56,'27.07 Kibuye-Munyonyo-24h'!F56,'28.07 Kibuye-Munyonyo'!F56)</f>
        <v>34.857142857142854</v>
      </c>
      <c r="G56" s="49">
        <f>AVERAGE('22.07 Kibuye-Munyonyo'!G56,'23.07 Kibuye-Munyonyo'!G56,'24.07 Kibuye-Munyonyo'!G56,'25.07 Kibuye-Munyonyo'!G56,'26.07 Kibuye-Munyonyo-24h'!G56,'27.07 Kibuye-Munyonyo-24h'!G56,'28.07 Kibuye-Munyonyo'!G56)</f>
        <v>1</v>
      </c>
      <c r="H56" s="49">
        <f>AVERAGE('22.07 Kibuye-Munyonyo'!H56,'23.07 Kibuye-Munyonyo'!H56,'24.07 Kibuye-Munyonyo'!H56,'25.07 Kibuye-Munyonyo'!H56,'26.07 Kibuye-Munyonyo-24h'!H56,'27.07 Kibuye-Munyonyo-24h'!H56,'28.07 Kibuye-Munyonyo'!H56)</f>
        <v>0.14285714285714285</v>
      </c>
      <c r="I56" s="49">
        <f>AVERAGE('22.07 Kibuye-Munyonyo'!I56,'23.07 Kibuye-Munyonyo'!I56,'24.07 Kibuye-Munyonyo'!I56,'25.07 Kibuye-Munyonyo'!I56,'26.07 Kibuye-Munyonyo-24h'!I56,'27.07 Kibuye-Munyonyo-24h'!I56,'28.07 Kibuye-Munyonyo'!I56)</f>
        <v>4.4285714285714288</v>
      </c>
      <c r="J56" s="49">
        <f>AVERAGE('22.07 Kibuye-Munyonyo'!J56,'23.07 Kibuye-Munyonyo'!J56,'24.07 Kibuye-Munyonyo'!J56,'25.07 Kibuye-Munyonyo'!J56,'26.07 Kibuye-Munyonyo-24h'!J56,'27.07 Kibuye-Munyonyo-24h'!J56,'28.07 Kibuye-Munyonyo'!J56)</f>
        <v>0</v>
      </c>
      <c r="K56" s="49">
        <f>AVERAGE('22.07 Kibuye-Munyonyo'!K56,'23.07 Kibuye-Munyonyo'!K56,'24.07 Kibuye-Munyonyo'!K56,'25.07 Kibuye-Munyonyo'!K56,'26.07 Kibuye-Munyonyo-24h'!K56,'27.07 Kibuye-Munyonyo-24h'!K56,'28.07 Kibuye-Munyonyo'!K56)</f>
        <v>0.14285714285714285</v>
      </c>
      <c r="L56" s="49">
        <f>AVERAGE('22.07 Kibuye-Munyonyo'!L56,'23.07 Kibuye-Munyonyo'!L56,'24.07 Kibuye-Munyonyo'!L56,'25.07 Kibuye-Munyonyo'!L56,'26.07 Kibuye-Munyonyo-24h'!L56,'27.07 Kibuye-Munyonyo-24h'!L56,'28.07 Kibuye-Munyonyo'!L56)</f>
        <v>0</v>
      </c>
      <c r="M56" s="49">
        <f>AVERAGE('22.07 Kibuye-Munyonyo'!M56,'23.07 Kibuye-Munyonyo'!M56,'24.07 Kibuye-Munyonyo'!M56,'25.07 Kibuye-Munyonyo'!M56,'26.07 Kibuye-Munyonyo-24h'!M56,'27.07 Kibuye-Munyonyo-24h'!M56,'28.07 Kibuye-Munyonyo'!M56)</f>
        <v>130.57142857142858</v>
      </c>
      <c r="N56" s="49">
        <f>AVERAGE('22.07 Kibuye-Munyonyo'!N56,'23.07 Kibuye-Munyonyo'!N56,'24.07 Kibuye-Munyonyo'!N56,'25.07 Kibuye-Munyonyo'!N56,'26.07 Kibuye-Munyonyo-24h'!N56,'27.07 Kibuye-Munyonyo-24h'!N56,'28.07 Kibuye-Munyonyo'!N56)</f>
        <v>0</v>
      </c>
      <c r="O56" s="15">
        <f t="shared" si="0"/>
        <v>87.857142857142847</v>
      </c>
      <c r="P56" s="15">
        <f t="shared" si="1"/>
        <v>218.42857142857144</v>
      </c>
      <c r="R56" s="8"/>
      <c r="T56"/>
    </row>
    <row r="57" spans="2:20" ht="23.1" customHeight="1" x14ac:dyDescent="0.25">
      <c r="B57" s="23" t="s">
        <v>84</v>
      </c>
      <c r="C57" s="49">
        <f>AVERAGE('22.07 Kibuye-Munyonyo'!C57,'23.07 Kibuye-Munyonyo'!C57,'24.07 Kibuye-Munyonyo'!C57,'25.07 Kibuye-Munyonyo'!C57,'26.07 Kibuye-Munyonyo-24h'!C57,'27.07 Kibuye-Munyonyo-24h'!C57,'28.07 Kibuye-Munyonyo'!C57)</f>
        <v>33</v>
      </c>
      <c r="D57" s="49">
        <f>AVERAGE('22.07 Kibuye-Munyonyo'!D57,'23.07 Kibuye-Munyonyo'!D57,'24.07 Kibuye-Munyonyo'!D57,'25.07 Kibuye-Munyonyo'!D57,'26.07 Kibuye-Munyonyo-24h'!D57,'27.07 Kibuye-Munyonyo-24h'!D57,'28.07 Kibuye-Munyonyo'!D57)</f>
        <v>11.571428571428571</v>
      </c>
      <c r="E57" s="49">
        <f>AVERAGE('22.07 Kibuye-Munyonyo'!E57,'23.07 Kibuye-Munyonyo'!E57,'24.07 Kibuye-Munyonyo'!E57,'25.07 Kibuye-Munyonyo'!E57,'26.07 Kibuye-Munyonyo-24h'!E57,'27.07 Kibuye-Munyonyo-24h'!E57,'28.07 Kibuye-Munyonyo'!E57)</f>
        <v>1.4285714285714286</v>
      </c>
      <c r="F57" s="49">
        <f>AVERAGE('22.07 Kibuye-Munyonyo'!F57,'23.07 Kibuye-Munyonyo'!F57,'24.07 Kibuye-Munyonyo'!F57,'25.07 Kibuye-Munyonyo'!F57,'26.07 Kibuye-Munyonyo-24h'!F57,'27.07 Kibuye-Munyonyo-24h'!F57,'28.07 Kibuye-Munyonyo'!F57)</f>
        <v>34</v>
      </c>
      <c r="G57" s="49">
        <f>AVERAGE('22.07 Kibuye-Munyonyo'!G57,'23.07 Kibuye-Munyonyo'!G57,'24.07 Kibuye-Munyonyo'!G57,'25.07 Kibuye-Munyonyo'!G57,'26.07 Kibuye-Munyonyo-24h'!G57,'27.07 Kibuye-Munyonyo-24h'!G57,'28.07 Kibuye-Munyonyo'!G57)</f>
        <v>0.14285714285714285</v>
      </c>
      <c r="H57" s="49">
        <f>AVERAGE('22.07 Kibuye-Munyonyo'!H57,'23.07 Kibuye-Munyonyo'!H57,'24.07 Kibuye-Munyonyo'!H57,'25.07 Kibuye-Munyonyo'!H57,'26.07 Kibuye-Munyonyo-24h'!H57,'27.07 Kibuye-Munyonyo-24h'!H57,'28.07 Kibuye-Munyonyo'!H57)</f>
        <v>0</v>
      </c>
      <c r="I57" s="49">
        <f>AVERAGE('22.07 Kibuye-Munyonyo'!I57,'23.07 Kibuye-Munyonyo'!I57,'24.07 Kibuye-Munyonyo'!I57,'25.07 Kibuye-Munyonyo'!I57,'26.07 Kibuye-Munyonyo-24h'!I57,'27.07 Kibuye-Munyonyo-24h'!I57,'28.07 Kibuye-Munyonyo'!I57)</f>
        <v>4.1428571428571432</v>
      </c>
      <c r="J57" s="49">
        <f>AVERAGE('22.07 Kibuye-Munyonyo'!J57,'23.07 Kibuye-Munyonyo'!J57,'24.07 Kibuye-Munyonyo'!J57,'25.07 Kibuye-Munyonyo'!J57,'26.07 Kibuye-Munyonyo-24h'!J57,'27.07 Kibuye-Munyonyo-24h'!J57,'28.07 Kibuye-Munyonyo'!J57)</f>
        <v>0.14285714285714285</v>
      </c>
      <c r="K57" s="49">
        <f>AVERAGE('22.07 Kibuye-Munyonyo'!K57,'23.07 Kibuye-Munyonyo'!K57,'24.07 Kibuye-Munyonyo'!K57,'25.07 Kibuye-Munyonyo'!K57,'26.07 Kibuye-Munyonyo-24h'!K57,'27.07 Kibuye-Munyonyo-24h'!K57,'28.07 Kibuye-Munyonyo'!K57)</f>
        <v>0.2857142857142857</v>
      </c>
      <c r="L57" s="49">
        <f>AVERAGE('22.07 Kibuye-Munyonyo'!L57,'23.07 Kibuye-Munyonyo'!L57,'24.07 Kibuye-Munyonyo'!L57,'25.07 Kibuye-Munyonyo'!L57,'26.07 Kibuye-Munyonyo-24h'!L57,'27.07 Kibuye-Munyonyo-24h'!L57,'28.07 Kibuye-Munyonyo'!L57)</f>
        <v>0</v>
      </c>
      <c r="M57" s="49">
        <f>AVERAGE('22.07 Kibuye-Munyonyo'!M57,'23.07 Kibuye-Munyonyo'!M57,'24.07 Kibuye-Munyonyo'!M57,'25.07 Kibuye-Munyonyo'!M57,'26.07 Kibuye-Munyonyo-24h'!M57,'27.07 Kibuye-Munyonyo-24h'!M57,'28.07 Kibuye-Munyonyo'!M57)</f>
        <v>121.42857142857143</v>
      </c>
      <c r="N57" s="49">
        <f>AVERAGE('22.07 Kibuye-Munyonyo'!N57,'23.07 Kibuye-Munyonyo'!N57,'24.07 Kibuye-Munyonyo'!N57,'25.07 Kibuye-Munyonyo'!N57,'26.07 Kibuye-Munyonyo-24h'!N57,'27.07 Kibuye-Munyonyo-24h'!N57,'28.07 Kibuye-Munyonyo'!N57)</f>
        <v>0</v>
      </c>
      <c r="O57" s="15">
        <f t="shared" si="0"/>
        <v>84.714285714285708</v>
      </c>
      <c r="P57" s="15">
        <f t="shared" si="1"/>
        <v>206.14285714285714</v>
      </c>
      <c r="R57" s="8"/>
      <c r="T57"/>
    </row>
    <row r="58" spans="2:20" ht="23.1" customHeight="1" x14ac:dyDescent="0.25">
      <c r="B58" s="23" t="s">
        <v>99</v>
      </c>
      <c r="C58" s="49">
        <f>AVERAGE('26.07 Kibuye-Munyonyo-24h'!C58,'27.07 Kibuye-Munyonyo-24h'!C58)</f>
        <v>21.5</v>
      </c>
      <c r="D58" s="49">
        <f>AVERAGE('26.07 Kibuye-Munyonyo-24h'!D58,'27.07 Kibuye-Munyonyo-24h'!D58)</f>
        <v>4.5</v>
      </c>
      <c r="E58" s="49">
        <f>AVERAGE('26.07 Kibuye-Munyonyo-24h'!E58,'27.07 Kibuye-Munyonyo-24h'!E58)</f>
        <v>5</v>
      </c>
      <c r="F58" s="49">
        <f>AVERAGE('26.07 Kibuye-Munyonyo-24h'!F58,'27.07 Kibuye-Munyonyo-24h'!F58)</f>
        <v>37.5</v>
      </c>
      <c r="G58" s="49">
        <f>AVERAGE('26.07 Kibuye-Munyonyo-24h'!G58,'27.07 Kibuye-Munyonyo-24h'!G58)</f>
        <v>1</v>
      </c>
      <c r="H58" s="49">
        <f>AVERAGE('26.07 Kibuye-Munyonyo-24h'!H58,'27.07 Kibuye-Munyonyo-24h'!H58)</f>
        <v>0</v>
      </c>
      <c r="I58" s="49">
        <f>AVERAGE('26.07 Kibuye-Munyonyo-24h'!I58,'27.07 Kibuye-Munyonyo-24h'!I58)</f>
        <v>0</v>
      </c>
      <c r="J58" s="49">
        <f>AVERAGE('26.07 Kibuye-Munyonyo-24h'!J58,'27.07 Kibuye-Munyonyo-24h'!J58)</f>
        <v>0</v>
      </c>
      <c r="K58" s="49">
        <f>AVERAGE('26.07 Kibuye-Munyonyo-24h'!K58,'27.07 Kibuye-Munyonyo-24h'!K58)</f>
        <v>1.5</v>
      </c>
      <c r="L58" s="49">
        <f>AVERAGE('26.07 Kibuye-Munyonyo-24h'!L58,'27.07 Kibuye-Munyonyo-24h'!L58)</f>
        <v>0</v>
      </c>
      <c r="M58" s="49">
        <f>AVERAGE('26.07 Kibuye-Munyonyo-24h'!M58,'27.07 Kibuye-Munyonyo-24h'!M58)</f>
        <v>50</v>
      </c>
      <c r="N58" s="49">
        <f>AVERAGE('26.07 Kibuye-Munyonyo-24h'!N58,'27.07 Kibuye-Munyonyo-24h'!N58)</f>
        <v>0</v>
      </c>
      <c r="O58" s="15">
        <f t="shared" ref="O58:O105" si="59">SUM(C58:L58,N58)</f>
        <v>71</v>
      </c>
      <c r="P58" s="15">
        <f t="shared" ref="P58:P105" si="60">SUM(C58:N58)</f>
        <v>121</v>
      </c>
      <c r="R58" s="8"/>
      <c r="T58"/>
    </row>
    <row r="59" spans="2:20" ht="23.1" customHeight="1" x14ac:dyDescent="0.25">
      <c r="B59" s="23" t="s">
        <v>100</v>
      </c>
      <c r="C59" s="49">
        <f>AVERAGE('26.07 Kibuye-Munyonyo-24h'!C59,'27.07 Kibuye-Munyonyo-24h'!C59)</f>
        <v>24</v>
      </c>
      <c r="D59" s="49">
        <f>AVERAGE('26.07 Kibuye-Munyonyo-24h'!D59,'27.07 Kibuye-Munyonyo-24h'!D59)</f>
        <v>5</v>
      </c>
      <c r="E59" s="49">
        <f>AVERAGE('26.07 Kibuye-Munyonyo-24h'!E59,'27.07 Kibuye-Munyonyo-24h'!E59)</f>
        <v>5.5</v>
      </c>
      <c r="F59" s="49">
        <f>AVERAGE('26.07 Kibuye-Munyonyo-24h'!F59,'27.07 Kibuye-Munyonyo-24h'!F59)</f>
        <v>28.5</v>
      </c>
      <c r="G59" s="49">
        <f>AVERAGE('26.07 Kibuye-Munyonyo-24h'!G59,'27.07 Kibuye-Munyonyo-24h'!G59)</f>
        <v>0</v>
      </c>
      <c r="H59" s="49">
        <f>AVERAGE('26.07 Kibuye-Munyonyo-24h'!H59,'27.07 Kibuye-Munyonyo-24h'!H59)</f>
        <v>0</v>
      </c>
      <c r="I59" s="49">
        <f>AVERAGE('26.07 Kibuye-Munyonyo-24h'!I59,'27.07 Kibuye-Munyonyo-24h'!I59)</f>
        <v>0</v>
      </c>
      <c r="J59" s="49">
        <f>AVERAGE('26.07 Kibuye-Munyonyo-24h'!J59,'27.07 Kibuye-Munyonyo-24h'!J59)</f>
        <v>3</v>
      </c>
      <c r="K59" s="49">
        <f>AVERAGE('26.07 Kibuye-Munyonyo-24h'!K59,'27.07 Kibuye-Munyonyo-24h'!K59)</f>
        <v>0</v>
      </c>
      <c r="L59" s="49">
        <f>AVERAGE('26.07 Kibuye-Munyonyo-24h'!L59,'27.07 Kibuye-Munyonyo-24h'!L59)</f>
        <v>0</v>
      </c>
      <c r="M59" s="49">
        <f>AVERAGE('26.07 Kibuye-Munyonyo-24h'!M59,'27.07 Kibuye-Munyonyo-24h'!M59)</f>
        <v>87.5</v>
      </c>
      <c r="N59" s="49">
        <f>AVERAGE('26.07 Kibuye-Munyonyo-24h'!N59,'27.07 Kibuye-Munyonyo-24h'!N59)</f>
        <v>0</v>
      </c>
      <c r="O59" s="15">
        <f t="shared" si="59"/>
        <v>66</v>
      </c>
      <c r="P59" s="15">
        <f t="shared" si="60"/>
        <v>153.5</v>
      </c>
      <c r="R59" s="8"/>
      <c r="T59"/>
    </row>
    <row r="60" spans="2:20" ht="23.1" customHeight="1" x14ac:dyDescent="0.25">
      <c r="B60" s="23" t="s">
        <v>101</v>
      </c>
      <c r="C60" s="49">
        <f>AVERAGE('26.07 Kibuye-Munyonyo-24h'!C60,'27.07 Kibuye-Munyonyo-24h'!C60)</f>
        <v>30</v>
      </c>
      <c r="D60" s="49">
        <f>AVERAGE('26.07 Kibuye-Munyonyo-24h'!D60,'27.07 Kibuye-Munyonyo-24h'!D60)</f>
        <v>16</v>
      </c>
      <c r="E60" s="49">
        <f>AVERAGE('26.07 Kibuye-Munyonyo-24h'!E60,'27.07 Kibuye-Munyonyo-24h'!E60)</f>
        <v>6.5</v>
      </c>
      <c r="F60" s="49">
        <f>AVERAGE('26.07 Kibuye-Munyonyo-24h'!F60,'27.07 Kibuye-Munyonyo-24h'!F60)</f>
        <v>50</v>
      </c>
      <c r="G60" s="49">
        <f>AVERAGE('26.07 Kibuye-Munyonyo-24h'!G60,'27.07 Kibuye-Munyonyo-24h'!G60)</f>
        <v>0</v>
      </c>
      <c r="H60" s="49">
        <f>AVERAGE('26.07 Kibuye-Munyonyo-24h'!H60,'27.07 Kibuye-Munyonyo-24h'!H60)</f>
        <v>0</v>
      </c>
      <c r="I60" s="49">
        <f>AVERAGE('26.07 Kibuye-Munyonyo-24h'!I60,'27.07 Kibuye-Munyonyo-24h'!I60)</f>
        <v>0</v>
      </c>
      <c r="J60" s="49">
        <f>AVERAGE('26.07 Kibuye-Munyonyo-24h'!J60,'27.07 Kibuye-Munyonyo-24h'!J60)</f>
        <v>0.5</v>
      </c>
      <c r="K60" s="49">
        <f>AVERAGE('26.07 Kibuye-Munyonyo-24h'!K60,'27.07 Kibuye-Munyonyo-24h'!K60)</f>
        <v>3.5</v>
      </c>
      <c r="L60" s="49">
        <f>AVERAGE('26.07 Kibuye-Munyonyo-24h'!L60,'27.07 Kibuye-Munyonyo-24h'!L60)</f>
        <v>0</v>
      </c>
      <c r="M60" s="49">
        <f>AVERAGE('26.07 Kibuye-Munyonyo-24h'!M60,'27.07 Kibuye-Munyonyo-24h'!M60)</f>
        <v>102.5</v>
      </c>
      <c r="N60" s="49">
        <f>AVERAGE('26.07 Kibuye-Munyonyo-24h'!N60,'27.07 Kibuye-Munyonyo-24h'!N60)</f>
        <v>0</v>
      </c>
      <c r="O60" s="15">
        <f t="shared" si="59"/>
        <v>106.5</v>
      </c>
      <c r="P60" s="15">
        <f t="shared" si="60"/>
        <v>209</v>
      </c>
      <c r="R60" s="8"/>
      <c r="T60"/>
    </row>
    <row r="61" spans="2:20" ht="23.1" customHeight="1" x14ac:dyDescent="0.25">
      <c r="B61" s="23" t="s">
        <v>102</v>
      </c>
      <c r="C61" s="49">
        <f>AVERAGE('26.07 Kibuye-Munyonyo-24h'!C61,'27.07 Kibuye-Munyonyo-24h'!C61)</f>
        <v>20.5</v>
      </c>
      <c r="D61" s="49">
        <f>AVERAGE('26.07 Kibuye-Munyonyo-24h'!D61,'27.07 Kibuye-Munyonyo-24h'!D61)</f>
        <v>9.5</v>
      </c>
      <c r="E61" s="49">
        <f>AVERAGE('26.07 Kibuye-Munyonyo-24h'!E61,'27.07 Kibuye-Munyonyo-24h'!E61)</f>
        <v>3</v>
      </c>
      <c r="F61" s="49">
        <f>AVERAGE('26.07 Kibuye-Munyonyo-24h'!F61,'27.07 Kibuye-Munyonyo-24h'!F61)</f>
        <v>40</v>
      </c>
      <c r="G61" s="49">
        <f>AVERAGE('26.07 Kibuye-Munyonyo-24h'!G61,'27.07 Kibuye-Munyonyo-24h'!G61)</f>
        <v>0</v>
      </c>
      <c r="H61" s="49">
        <f>AVERAGE('26.07 Kibuye-Munyonyo-24h'!H61,'27.07 Kibuye-Munyonyo-24h'!H61)</f>
        <v>0.5</v>
      </c>
      <c r="I61" s="49">
        <f>AVERAGE('26.07 Kibuye-Munyonyo-24h'!I61,'27.07 Kibuye-Munyonyo-24h'!I61)</f>
        <v>0</v>
      </c>
      <c r="J61" s="49">
        <f>AVERAGE('26.07 Kibuye-Munyonyo-24h'!J61,'27.07 Kibuye-Munyonyo-24h'!J61)</f>
        <v>0.5</v>
      </c>
      <c r="K61" s="49">
        <f>AVERAGE('26.07 Kibuye-Munyonyo-24h'!K61,'27.07 Kibuye-Munyonyo-24h'!K61)</f>
        <v>1.5</v>
      </c>
      <c r="L61" s="49">
        <f>AVERAGE('26.07 Kibuye-Munyonyo-24h'!L61,'27.07 Kibuye-Munyonyo-24h'!L61)</f>
        <v>0</v>
      </c>
      <c r="M61" s="49">
        <f>AVERAGE('26.07 Kibuye-Munyonyo-24h'!M61,'27.07 Kibuye-Munyonyo-24h'!M61)</f>
        <v>67.5</v>
      </c>
      <c r="N61" s="49">
        <f>AVERAGE('26.07 Kibuye-Munyonyo-24h'!N61,'27.07 Kibuye-Munyonyo-24h'!N61)</f>
        <v>0</v>
      </c>
      <c r="O61" s="15">
        <f t="shared" si="59"/>
        <v>75.5</v>
      </c>
      <c r="P61" s="15">
        <f t="shared" si="60"/>
        <v>143</v>
      </c>
      <c r="R61" s="8"/>
      <c r="T61"/>
    </row>
    <row r="62" spans="2:20" ht="23.1" customHeight="1" x14ac:dyDescent="0.25">
      <c r="B62" s="23" t="s">
        <v>107</v>
      </c>
      <c r="C62" s="49">
        <f>AVERAGE('26.07 Kibuye-Munyonyo-24h'!C62,'27.07 Kibuye-Munyonyo-24h'!C62)</f>
        <v>36.5</v>
      </c>
      <c r="D62" s="49">
        <f>AVERAGE('26.07 Kibuye-Munyonyo-24h'!D62,'27.07 Kibuye-Munyonyo-24h'!D62)</f>
        <v>13.5</v>
      </c>
      <c r="E62" s="49">
        <f>AVERAGE('26.07 Kibuye-Munyonyo-24h'!E62,'27.07 Kibuye-Munyonyo-24h'!E62)</f>
        <v>7</v>
      </c>
      <c r="F62" s="49">
        <f>AVERAGE('26.07 Kibuye-Munyonyo-24h'!F62,'27.07 Kibuye-Munyonyo-24h'!F62)</f>
        <v>48</v>
      </c>
      <c r="G62" s="49">
        <f>AVERAGE('26.07 Kibuye-Munyonyo-24h'!G62,'27.07 Kibuye-Munyonyo-24h'!G62)</f>
        <v>1</v>
      </c>
      <c r="H62" s="49">
        <f>AVERAGE('26.07 Kibuye-Munyonyo-24h'!H62,'27.07 Kibuye-Munyonyo-24h'!H62)</f>
        <v>0</v>
      </c>
      <c r="I62" s="49">
        <f>AVERAGE('26.07 Kibuye-Munyonyo-24h'!I62,'27.07 Kibuye-Munyonyo-24h'!I62)</f>
        <v>0</v>
      </c>
      <c r="J62" s="49">
        <f>AVERAGE('26.07 Kibuye-Munyonyo-24h'!J62,'27.07 Kibuye-Munyonyo-24h'!J62)</f>
        <v>1.5</v>
      </c>
      <c r="K62" s="49">
        <f>AVERAGE('26.07 Kibuye-Munyonyo-24h'!K62,'27.07 Kibuye-Munyonyo-24h'!K62)</f>
        <v>1</v>
      </c>
      <c r="L62" s="49">
        <f>AVERAGE('26.07 Kibuye-Munyonyo-24h'!L62,'27.07 Kibuye-Munyonyo-24h'!L62)</f>
        <v>0</v>
      </c>
      <c r="M62" s="49">
        <f>AVERAGE('26.07 Kibuye-Munyonyo-24h'!M62,'27.07 Kibuye-Munyonyo-24h'!M62)</f>
        <v>142.5</v>
      </c>
      <c r="N62" s="49">
        <f>AVERAGE('26.07 Kibuye-Munyonyo-24h'!N62,'27.07 Kibuye-Munyonyo-24h'!N62)</f>
        <v>0</v>
      </c>
      <c r="O62" s="15">
        <f t="shared" si="59"/>
        <v>108.5</v>
      </c>
      <c r="P62" s="15">
        <f t="shared" si="60"/>
        <v>251</v>
      </c>
      <c r="R62" s="8"/>
      <c r="T62"/>
    </row>
    <row r="63" spans="2:20" ht="23.1" customHeight="1" x14ac:dyDescent="0.25">
      <c r="B63" s="23" t="s">
        <v>108</v>
      </c>
      <c r="C63" s="49">
        <f>AVERAGE('26.07 Kibuye-Munyonyo-24h'!C63,'27.07 Kibuye-Munyonyo-24h'!C63)</f>
        <v>55.5</v>
      </c>
      <c r="D63" s="49">
        <f>AVERAGE('26.07 Kibuye-Munyonyo-24h'!D63,'27.07 Kibuye-Munyonyo-24h'!D63)</f>
        <v>16.5</v>
      </c>
      <c r="E63" s="49">
        <f>AVERAGE('26.07 Kibuye-Munyonyo-24h'!E63,'27.07 Kibuye-Munyonyo-24h'!E63)</f>
        <v>3.5</v>
      </c>
      <c r="F63" s="49">
        <f>AVERAGE('26.07 Kibuye-Munyonyo-24h'!F63,'27.07 Kibuye-Munyonyo-24h'!F63)</f>
        <v>44</v>
      </c>
      <c r="G63" s="49">
        <f>AVERAGE('26.07 Kibuye-Munyonyo-24h'!G63,'27.07 Kibuye-Munyonyo-24h'!G63)</f>
        <v>0</v>
      </c>
      <c r="H63" s="49">
        <f>AVERAGE('26.07 Kibuye-Munyonyo-24h'!H63,'27.07 Kibuye-Munyonyo-24h'!H63)</f>
        <v>0</v>
      </c>
      <c r="I63" s="49">
        <f>AVERAGE('26.07 Kibuye-Munyonyo-24h'!I63,'27.07 Kibuye-Munyonyo-24h'!I63)</f>
        <v>5.5</v>
      </c>
      <c r="J63" s="49">
        <f>AVERAGE('26.07 Kibuye-Munyonyo-24h'!J63,'27.07 Kibuye-Munyonyo-24h'!J63)</f>
        <v>0</v>
      </c>
      <c r="K63" s="49">
        <f>AVERAGE('26.07 Kibuye-Munyonyo-24h'!K63,'27.07 Kibuye-Munyonyo-24h'!K63)</f>
        <v>0</v>
      </c>
      <c r="L63" s="49">
        <f>AVERAGE('26.07 Kibuye-Munyonyo-24h'!L63,'27.07 Kibuye-Munyonyo-24h'!L63)</f>
        <v>0</v>
      </c>
      <c r="M63" s="49">
        <f>AVERAGE('26.07 Kibuye-Munyonyo-24h'!M63,'27.07 Kibuye-Munyonyo-24h'!M63)</f>
        <v>137.5</v>
      </c>
      <c r="N63" s="49">
        <f>AVERAGE('26.07 Kibuye-Munyonyo-24h'!N63,'27.07 Kibuye-Munyonyo-24h'!N63)</f>
        <v>0</v>
      </c>
      <c r="O63" s="15">
        <f t="shared" si="59"/>
        <v>125</v>
      </c>
      <c r="P63" s="15">
        <f t="shared" si="60"/>
        <v>262.5</v>
      </c>
      <c r="R63" s="8"/>
      <c r="T63"/>
    </row>
    <row r="64" spans="2:20" ht="23.1" customHeight="1" x14ac:dyDescent="0.25">
      <c r="B64" s="23" t="s">
        <v>109</v>
      </c>
      <c r="C64" s="49">
        <f>AVERAGE('26.07 Kibuye-Munyonyo-24h'!C64,'27.07 Kibuye-Munyonyo-24h'!C64)</f>
        <v>41.5</v>
      </c>
      <c r="D64" s="49">
        <f>AVERAGE('26.07 Kibuye-Munyonyo-24h'!D64,'27.07 Kibuye-Munyonyo-24h'!D64)</f>
        <v>6</v>
      </c>
      <c r="E64" s="49">
        <f>AVERAGE('26.07 Kibuye-Munyonyo-24h'!E64,'27.07 Kibuye-Munyonyo-24h'!E64)</f>
        <v>4.5</v>
      </c>
      <c r="F64" s="49">
        <f>AVERAGE('26.07 Kibuye-Munyonyo-24h'!F64,'27.07 Kibuye-Munyonyo-24h'!F64)</f>
        <v>31</v>
      </c>
      <c r="G64" s="49">
        <f>AVERAGE('26.07 Kibuye-Munyonyo-24h'!G64,'27.07 Kibuye-Munyonyo-24h'!G64)</f>
        <v>1</v>
      </c>
      <c r="H64" s="49">
        <f>AVERAGE('26.07 Kibuye-Munyonyo-24h'!H64,'27.07 Kibuye-Munyonyo-24h'!H64)</f>
        <v>0</v>
      </c>
      <c r="I64" s="49">
        <f>AVERAGE('26.07 Kibuye-Munyonyo-24h'!I64,'27.07 Kibuye-Munyonyo-24h'!I64)</f>
        <v>2.5</v>
      </c>
      <c r="J64" s="49">
        <f>AVERAGE('26.07 Kibuye-Munyonyo-24h'!J64,'27.07 Kibuye-Munyonyo-24h'!J64)</f>
        <v>0.5</v>
      </c>
      <c r="K64" s="49">
        <f>AVERAGE('26.07 Kibuye-Munyonyo-24h'!K64,'27.07 Kibuye-Munyonyo-24h'!K64)</f>
        <v>1</v>
      </c>
      <c r="L64" s="49">
        <f>AVERAGE('26.07 Kibuye-Munyonyo-24h'!L64,'27.07 Kibuye-Munyonyo-24h'!L64)</f>
        <v>0</v>
      </c>
      <c r="M64" s="49">
        <f>AVERAGE('26.07 Kibuye-Munyonyo-24h'!M64,'27.07 Kibuye-Munyonyo-24h'!M64)</f>
        <v>82.5</v>
      </c>
      <c r="N64" s="49">
        <f>AVERAGE('26.07 Kibuye-Munyonyo-24h'!N64,'27.07 Kibuye-Munyonyo-24h'!N64)</f>
        <v>0</v>
      </c>
      <c r="O64" s="15">
        <f t="shared" si="59"/>
        <v>88</v>
      </c>
      <c r="P64" s="15">
        <f t="shared" si="60"/>
        <v>170.5</v>
      </c>
      <c r="R64" s="8"/>
      <c r="T64"/>
    </row>
    <row r="65" spans="2:20" ht="23.1" customHeight="1" x14ac:dyDescent="0.25">
      <c r="B65" s="23" t="s">
        <v>158</v>
      </c>
      <c r="C65" s="49">
        <f>AVERAGE('26.07 Kibuye-Munyonyo-24h'!C65,'27.07 Kibuye-Munyonyo-24h'!C65)</f>
        <v>48.5</v>
      </c>
      <c r="D65" s="49">
        <f>AVERAGE('26.07 Kibuye-Munyonyo-24h'!D65,'27.07 Kibuye-Munyonyo-24h'!D65)</f>
        <v>9</v>
      </c>
      <c r="E65" s="49">
        <f>AVERAGE('26.07 Kibuye-Munyonyo-24h'!E65,'27.07 Kibuye-Munyonyo-24h'!E65)</f>
        <v>4</v>
      </c>
      <c r="F65" s="49">
        <f>AVERAGE('26.07 Kibuye-Munyonyo-24h'!F65,'27.07 Kibuye-Munyonyo-24h'!F65)</f>
        <v>28</v>
      </c>
      <c r="G65" s="49">
        <f>AVERAGE('26.07 Kibuye-Munyonyo-24h'!G65,'27.07 Kibuye-Munyonyo-24h'!G65)</f>
        <v>0</v>
      </c>
      <c r="H65" s="49">
        <f>AVERAGE('26.07 Kibuye-Munyonyo-24h'!H65,'27.07 Kibuye-Munyonyo-24h'!H65)</f>
        <v>0</v>
      </c>
      <c r="I65" s="49">
        <f>AVERAGE('26.07 Kibuye-Munyonyo-24h'!I65,'27.07 Kibuye-Munyonyo-24h'!I65)</f>
        <v>3.5</v>
      </c>
      <c r="J65" s="49">
        <f>AVERAGE('26.07 Kibuye-Munyonyo-24h'!J65,'27.07 Kibuye-Munyonyo-24h'!J65)</f>
        <v>0</v>
      </c>
      <c r="K65" s="49">
        <f>AVERAGE('26.07 Kibuye-Munyonyo-24h'!K65,'27.07 Kibuye-Munyonyo-24h'!K65)</f>
        <v>0</v>
      </c>
      <c r="L65" s="49">
        <f>AVERAGE('26.07 Kibuye-Munyonyo-24h'!L65,'27.07 Kibuye-Munyonyo-24h'!L65)</f>
        <v>0</v>
      </c>
      <c r="M65" s="49">
        <f>AVERAGE('26.07 Kibuye-Munyonyo-24h'!M65,'27.07 Kibuye-Munyonyo-24h'!M65)</f>
        <v>115</v>
      </c>
      <c r="N65" s="49">
        <f>AVERAGE('26.07 Kibuye-Munyonyo-24h'!N65,'27.07 Kibuye-Munyonyo-24h'!N65)</f>
        <v>0</v>
      </c>
      <c r="O65" s="15">
        <f t="shared" si="59"/>
        <v>93</v>
      </c>
      <c r="P65" s="15">
        <f t="shared" si="60"/>
        <v>208</v>
      </c>
      <c r="R65" s="8"/>
      <c r="T65"/>
    </row>
    <row r="66" spans="2:20" ht="23.1" customHeight="1" x14ac:dyDescent="0.25">
      <c r="B66" s="23" t="s">
        <v>103</v>
      </c>
      <c r="C66" s="49">
        <f>AVERAGE('26.07 Kibuye-Munyonyo-24h'!C66,'27.07 Kibuye-Munyonyo-24h'!C66)</f>
        <v>31</v>
      </c>
      <c r="D66" s="49">
        <f>AVERAGE('26.07 Kibuye-Munyonyo-24h'!D66,'27.07 Kibuye-Munyonyo-24h'!D66)</f>
        <v>7</v>
      </c>
      <c r="E66" s="49">
        <f>AVERAGE('26.07 Kibuye-Munyonyo-24h'!E66,'27.07 Kibuye-Munyonyo-24h'!E66)</f>
        <v>2.5</v>
      </c>
      <c r="F66" s="49">
        <f>AVERAGE('26.07 Kibuye-Munyonyo-24h'!F66,'27.07 Kibuye-Munyonyo-24h'!F66)</f>
        <v>43.5</v>
      </c>
      <c r="G66" s="49">
        <f>AVERAGE('26.07 Kibuye-Munyonyo-24h'!G66,'27.07 Kibuye-Munyonyo-24h'!G66)</f>
        <v>0</v>
      </c>
      <c r="H66" s="49">
        <f>AVERAGE('26.07 Kibuye-Munyonyo-24h'!H66,'27.07 Kibuye-Munyonyo-24h'!H66)</f>
        <v>0</v>
      </c>
      <c r="I66" s="49">
        <f>AVERAGE('26.07 Kibuye-Munyonyo-24h'!I66,'27.07 Kibuye-Munyonyo-24h'!I66)</f>
        <v>2.5</v>
      </c>
      <c r="J66" s="49">
        <f>AVERAGE('26.07 Kibuye-Munyonyo-24h'!J66,'27.07 Kibuye-Munyonyo-24h'!J66)</f>
        <v>0.5</v>
      </c>
      <c r="K66" s="49">
        <f>AVERAGE('26.07 Kibuye-Munyonyo-24h'!K66,'27.07 Kibuye-Munyonyo-24h'!K66)</f>
        <v>1.5</v>
      </c>
      <c r="L66" s="49">
        <f>AVERAGE('26.07 Kibuye-Munyonyo-24h'!L66,'27.07 Kibuye-Munyonyo-24h'!L66)</f>
        <v>0</v>
      </c>
      <c r="M66" s="49">
        <f>AVERAGE('26.07 Kibuye-Munyonyo-24h'!M66,'27.07 Kibuye-Munyonyo-24h'!M66)</f>
        <v>130</v>
      </c>
      <c r="N66" s="49">
        <f>AVERAGE('26.07 Kibuye-Munyonyo-24h'!N66,'27.07 Kibuye-Munyonyo-24h'!N66)</f>
        <v>0.5</v>
      </c>
      <c r="O66" s="15">
        <f t="shared" si="59"/>
        <v>89</v>
      </c>
      <c r="P66" s="15">
        <f t="shared" si="60"/>
        <v>219</v>
      </c>
      <c r="R66" s="8"/>
      <c r="T66"/>
    </row>
    <row r="67" spans="2:20" ht="23.1" customHeight="1" x14ac:dyDescent="0.25">
      <c r="B67" s="23" t="s">
        <v>104</v>
      </c>
      <c r="C67" s="49">
        <f>AVERAGE('26.07 Kibuye-Munyonyo-24h'!C67,'27.07 Kibuye-Munyonyo-24h'!C67)</f>
        <v>27.5</v>
      </c>
      <c r="D67" s="49">
        <f>AVERAGE('26.07 Kibuye-Munyonyo-24h'!D67,'27.07 Kibuye-Munyonyo-24h'!D67)</f>
        <v>11.5</v>
      </c>
      <c r="E67" s="49">
        <f>AVERAGE('26.07 Kibuye-Munyonyo-24h'!E67,'27.07 Kibuye-Munyonyo-24h'!E67)</f>
        <v>2</v>
      </c>
      <c r="F67" s="49">
        <f>AVERAGE('26.07 Kibuye-Munyonyo-24h'!F67,'27.07 Kibuye-Munyonyo-24h'!F67)</f>
        <v>41</v>
      </c>
      <c r="G67" s="49">
        <f>AVERAGE('26.07 Kibuye-Munyonyo-24h'!G67,'27.07 Kibuye-Munyonyo-24h'!G67)</f>
        <v>0</v>
      </c>
      <c r="H67" s="49">
        <f>AVERAGE('26.07 Kibuye-Munyonyo-24h'!H67,'27.07 Kibuye-Munyonyo-24h'!H67)</f>
        <v>0</v>
      </c>
      <c r="I67" s="49">
        <f>AVERAGE('26.07 Kibuye-Munyonyo-24h'!I67,'27.07 Kibuye-Munyonyo-24h'!I67)</f>
        <v>0.5</v>
      </c>
      <c r="J67" s="49">
        <f>AVERAGE('26.07 Kibuye-Munyonyo-24h'!J67,'27.07 Kibuye-Munyonyo-24h'!J67)</f>
        <v>2</v>
      </c>
      <c r="K67" s="49">
        <f>AVERAGE('26.07 Kibuye-Munyonyo-24h'!K67,'27.07 Kibuye-Munyonyo-24h'!K67)</f>
        <v>0</v>
      </c>
      <c r="L67" s="49">
        <f>AVERAGE('26.07 Kibuye-Munyonyo-24h'!L67,'27.07 Kibuye-Munyonyo-24h'!L67)</f>
        <v>0</v>
      </c>
      <c r="M67" s="49">
        <f>AVERAGE('26.07 Kibuye-Munyonyo-24h'!M67,'27.07 Kibuye-Munyonyo-24h'!M67)</f>
        <v>82.5</v>
      </c>
      <c r="N67" s="49">
        <f>AVERAGE('26.07 Kibuye-Munyonyo-24h'!N67,'27.07 Kibuye-Munyonyo-24h'!N67)</f>
        <v>0</v>
      </c>
      <c r="O67" s="15">
        <f t="shared" si="59"/>
        <v>84.5</v>
      </c>
      <c r="P67" s="15">
        <f t="shared" si="60"/>
        <v>167</v>
      </c>
      <c r="R67" s="8"/>
      <c r="T67"/>
    </row>
    <row r="68" spans="2:20" ht="23.1" customHeight="1" x14ac:dyDescent="0.25">
      <c r="B68" s="23" t="s">
        <v>105</v>
      </c>
      <c r="C68" s="49">
        <f>AVERAGE('26.07 Kibuye-Munyonyo-24h'!C68,'27.07 Kibuye-Munyonyo-24h'!C68)</f>
        <v>33.5</v>
      </c>
      <c r="D68" s="49">
        <f>AVERAGE('26.07 Kibuye-Munyonyo-24h'!D68,'27.07 Kibuye-Munyonyo-24h'!D68)</f>
        <v>7.5</v>
      </c>
      <c r="E68" s="49">
        <f>AVERAGE('26.07 Kibuye-Munyonyo-24h'!E68,'27.07 Kibuye-Munyonyo-24h'!E68)</f>
        <v>4</v>
      </c>
      <c r="F68" s="49">
        <f>AVERAGE('26.07 Kibuye-Munyonyo-24h'!F68,'27.07 Kibuye-Munyonyo-24h'!F68)</f>
        <v>28.5</v>
      </c>
      <c r="G68" s="49">
        <f>AVERAGE('26.07 Kibuye-Munyonyo-24h'!G68,'27.07 Kibuye-Munyonyo-24h'!G68)</f>
        <v>0</v>
      </c>
      <c r="H68" s="49">
        <f>AVERAGE('26.07 Kibuye-Munyonyo-24h'!H68,'27.07 Kibuye-Munyonyo-24h'!H68)</f>
        <v>0</v>
      </c>
      <c r="I68" s="49">
        <f>AVERAGE('26.07 Kibuye-Munyonyo-24h'!I68,'27.07 Kibuye-Munyonyo-24h'!I68)</f>
        <v>0</v>
      </c>
      <c r="J68" s="49">
        <f>AVERAGE('26.07 Kibuye-Munyonyo-24h'!J68,'27.07 Kibuye-Munyonyo-24h'!J68)</f>
        <v>2</v>
      </c>
      <c r="K68" s="49">
        <f>AVERAGE('26.07 Kibuye-Munyonyo-24h'!K68,'27.07 Kibuye-Munyonyo-24h'!K68)</f>
        <v>2</v>
      </c>
      <c r="L68" s="49">
        <f>AVERAGE('26.07 Kibuye-Munyonyo-24h'!L68,'27.07 Kibuye-Munyonyo-24h'!L68)</f>
        <v>0</v>
      </c>
      <c r="M68" s="49">
        <f>AVERAGE('26.07 Kibuye-Munyonyo-24h'!M68,'27.07 Kibuye-Munyonyo-24h'!M68)</f>
        <v>82.5</v>
      </c>
      <c r="N68" s="49">
        <f>AVERAGE('26.07 Kibuye-Munyonyo-24h'!N68,'27.07 Kibuye-Munyonyo-24h'!N68)</f>
        <v>0</v>
      </c>
      <c r="O68" s="15">
        <f t="shared" si="59"/>
        <v>77.5</v>
      </c>
      <c r="P68" s="15">
        <f t="shared" si="60"/>
        <v>160</v>
      </c>
      <c r="R68" s="8"/>
      <c r="T68"/>
    </row>
    <row r="69" spans="2:20" ht="23.1" customHeight="1" x14ac:dyDescent="0.25">
      <c r="B69" s="23" t="s">
        <v>106</v>
      </c>
      <c r="C69" s="49">
        <f>AVERAGE('26.07 Kibuye-Munyonyo-24h'!C69,'27.07 Kibuye-Munyonyo-24h'!C69)</f>
        <v>30</v>
      </c>
      <c r="D69" s="49">
        <f>AVERAGE('26.07 Kibuye-Munyonyo-24h'!D69,'27.07 Kibuye-Munyonyo-24h'!D69)</f>
        <v>7.5</v>
      </c>
      <c r="E69" s="49">
        <f>AVERAGE('26.07 Kibuye-Munyonyo-24h'!E69,'27.07 Kibuye-Munyonyo-24h'!E69)</f>
        <v>2</v>
      </c>
      <c r="F69" s="49">
        <f>AVERAGE('26.07 Kibuye-Munyonyo-24h'!F69,'27.07 Kibuye-Munyonyo-24h'!F69)</f>
        <v>29</v>
      </c>
      <c r="G69" s="49">
        <f>AVERAGE('26.07 Kibuye-Munyonyo-24h'!G69,'27.07 Kibuye-Munyonyo-24h'!G69)</f>
        <v>0</v>
      </c>
      <c r="H69" s="49">
        <f>AVERAGE('26.07 Kibuye-Munyonyo-24h'!H69,'27.07 Kibuye-Munyonyo-24h'!H69)</f>
        <v>0</v>
      </c>
      <c r="I69" s="49">
        <f>AVERAGE('26.07 Kibuye-Munyonyo-24h'!I69,'27.07 Kibuye-Munyonyo-24h'!I69)</f>
        <v>0.5</v>
      </c>
      <c r="J69" s="49">
        <f>AVERAGE('26.07 Kibuye-Munyonyo-24h'!J69,'27.07 Kibuye-Munyonyo-24h'!J69)</f>
        <v>0</v>
      </c>
      <c r="K69" s="49">
        <f>AVERAGE('26.07 Kibuye-Munyonyo-24h'!K69,'27.07 Kibuye-Munyonyo-24h'!K69)</f>
        <v>1</v>
      </c>
      <c r="L69" s="49">
        <f>AVERAGE('26.07 Kibuye-Munyonyo-24h'!L69,'27.07 Kibuye-Munyonyo-24h'!L69)</f>
        <v>0</v>
      </c>
      <c r="M69" s="49">
        <f>AVERAGE('26.07 Kibuye-Munyonyo-24h'!M69,'27.07 Kibuye-Munyonyo-24h'!M69)</f>
        <v>61</v>
      </c>
      <c r="N69" s="49">
        <f>AVERAGE('26.07 Kibuye-Munyonyo-24h'!N69,'27.07 Kibuye-Munyonyo-24h'!N69)</f>
        <v>0</v>
      </c>
      <c r="O69" s="15">
        <f t="shared" si="59"/>
        <v>70</v>
      </c>
      <c r="P69" s="15">
        <f t="shared" si="60"/>
        <v>131</v>
      </c>
      <c r="R69" s="8"/>
      <c r="T69"/>
    </row>
    <row r="70" spans="2:20" ht="23.1" customHeight="1" x14ac:dyDescent="0.25">
      <c r="B70" s="23" t="s">
        <v>110</v>
      </c>
      <c r="C70" s="49">
        <f>AVERAGE('26.07 Kibuye-Munyonyo-24h'!C70,'27.07 Kibuye-Munyonyo-24h'!C70)</f>
        <v>47.5</v>
      </c>
      <c r="D70" s="49">
        <f>AVERAGE('26.07 Kibuye-Munyonyo-24h'!D70,'27.07 Kibuye-Munyonyo-24h'!D70)</f>
        <v>6.5</v>
      </c>
      <c r="E70" s="49">
        <f>AVERAGE('26.07 Kibuye-Munyonyo-24h'!E70,'27.07 Kibuye-Munyonyo-24h'!E70)</f>
        <v>3</v>
      </c>
      <c r="F70" s="49">
        <f>AVERAGE('26.07 Kibuye-Munyonyo-24h'!F70,'27.07 Kibuye-Munyonyo-24h'!F70)</f>
        <v>32.5</v>
      </c>
      <c r="G70" s="49">
        <f>AVERAGE('26.07 Kibuye-Munyonyo-24h'!G70,'27.07 Kibuye-Munyonyo-24h'!G70)</f>
        <v>0</v>
      </c>
      <c r="H70" s="49">
        <f>AVERAGE('26.07 Kibuye-Munyonyo-24h'!H70,'27.07 Kibuye-Munyonyo-24h'!H70)</f>
        <v>0</v>
      </c>
      <c r="I70" s="49">
        <f>AVERAGE('26.07 Kibuye-Munyonyo-24h'!I70,'27.07 Kibuye-Munyonyo-24h'!I70)</f>
        <v>2</v>
      </c>
      <c r="J70" s="49">
        <f>AVERAGE('26.07 Kibuye-Munyonyo-24h'!J70,'27.07 Kibuye-Munyonyo-24h'!J70)</f>
        <v>0.5</v>
      </c>
      <c r="K70" s="49">
        <f>AVERAGE('26.07 Kibuye-Munyonyo-24h'!K70,'27.07 Kibuye-Munyonyo-24h'!K70)</f>
        <v>0.5</v>
      </c>
      <c r="L70" s="49">
        <f>AVERAGE('26.07 Kibuye-Munyonyo-24h'!L70,'27.07 Kibuye-Munyonyo-24h'!L70)</f>
        <v>0</v>
      </c>
      <c r="M70" s="49">
        <f>AVERAGE('26.07 Kibuye-Munyonyo-24h'!M70,'27.07 Kibuye-Munyonyo-24h'!M70)</f>
        <v>87.5</v>
      </c>
      <c r="N70" s="49">
        <f>AVERAGE('26.07 Kibuye-Munyonyo-24h'!N70,'27.07 Kibuye-Munyonyo-24h'!N70)</f>
        <v>0</v>
      </c>
      <c r="O70" s="15">
        <f t="shared" si="59"/>
        <v>92.5</v>
      </c>
      <c r="P70" s="15">
        <f t="shared" si="60"/>
        <v>180</v>
      </c>
      <c r="R70" s="8"/>
      <c r="T70"/>
    </row>
    <row r="71" spans="2:20" ht="23.1" customHeight="1" x14ac:dyDescent="0.25">
      <c r="B71" s="23" t="s">
        <v>111</v>
      </c>
      <c r="C71" s="49">
        <f>AVERAGE('26.07 Kibuye-Munyonyo-24h'!C71,'27.07 Kibuye-Munyonyo-24h'!C71)</f>
        <v>42.5</v>
      </c>
      <c r="D71" s="49">
        <f>AVERAGE('26.07 Kibuye-Munyonyo-24h'!D71,'27.07 Kibuye-Munyonyo-24h'!D71)</f>
        <v>4.5</v>
      </c>
      <c r="E71" s="49">
        <f>AVERAGE('26.07 Kibuye-Munyonyo-24h'!E71,'27.07 Kibuye-Munyonyo-24h'!E71)</f>
        <v>1</v>
      </c>
      <c r="F71" s="49">
        <f>AVERAGE('26.07 Kibuye-Munyonyo-24h'!F71,'27.07 Kibuye-Munyonyo-24h'!F71)</f>
        <v>35</v>
      </c>
      <c r="G71" s="49">
        <f>AVERAGE('26.07 Kibuye-Munyonyo-24h'!G71,'27.07 Kibuye-Munyonyo-24h'!G71)</f>
        <v>0.5</v>
      </c>
      <c r="H71" s="49">
        <f>AVERAGE('26.07 Kibuye-Munyonyo-24h'!H71,'27.07 Kibuye-Munyonyo-24h'!H71)</f>
        <v>0</v>
      </c>
      <c r="I71" s="49">
        <f>AVERAGE('26.07 Kibuye-Munyonyo-24h'!I71,'27.07 Kibuye-Munyonyo-24h'!I71)</f>
        <v>1.5</v>
      </c>
      <c r="J71" s="49">
        <f>AVERAGE('26.07 Kibuye-Munyonyo-24h'!J71,'27.07 Kibuye-Munyonyo-24h'!J71)</f>
        <v>0.5</v>
      </c>
      <c r="K71" s="49">
        <f>AVERAGE('26.07 Kibuye-Munyonyo-24h'!K71,'27.07 Kibuye-Munyonyo-24h'!K71)</f>
        <v>0</v>
      </c>
      <c r="L71" s="49">
        <f>AVERAGE('26.07 Kibuye-Munyonyo-24h'!L71,'27.07 Kibuye-Munyonyo-24h'!L71)</f>
        <v>0</v>
      </c>
      <c r="M71" s="49">
        <f>AVERAGE('26.07 Kibuye-Munyonyo-24h'!M71,'27.07 Kibuye-Munyonyo-24h'!M71)</f>
        <v>57.5</v>
      </c>
      <c r="N71" s="49">
        <f>AVERAGE('26.07 Kibuye-Munyonyo-24h'!N71,'27.07 Kibuye-Munyonyo-24h'!N71)</f>
        <v>0</v>
      </c>
      <c r="O71" s="15">
        <f t="shared" si="59"/>
        <v>85.5</v>
      </c>
      <c r="P71" s="15">
        <f t="shared" si="60"/>
        <v>143</v>
      </c>
      <c r="R71" s="8"/>
      <c r="T71"/>
    </row>
    <row r="72" spans="2:20" ht="23.1" customHeight="1" x14ac:dyDescent="0.25">
      <c r="B72" s="23" t="s">
        <v>112</v>
      </c>
      <c r="C72" s="49">
        <f>AVERAGE('26.07 Kibuye-Munyonyo-24h'!C72,'27.07 Kibuye-Munyonyo-24h'!C72)</f>
        <v>37.5</v>
      </c>
      <c r="D72" s="49">
        <f>AVERAGE('26.07 Kibuye-Munyonyo-24h'!D72,'27.07 Kibuye-Munyonyo-24h'!D72)</f>
        <v>9.5</v>
      </c>
      <c r="E72" s="49">
        <f>AVERAGE('26.07 Kibuye-Munyonyo-24h'!E72,'27.07 Kibuye-Munyonyo-24h'!E72)</f>
        <v>1</v>
      </c>
      <c r="F72" s="49">
        <f>AVERAGE('26.07 Kibuye-Munyonyo-24h'!F72,'27.07 Kibuye-Munyonyo-24h'!F72)</f>
        <v>37.5</v>
      </c>
      <c r="G72" s="49">
        <f>AVERAGE('26.07 Kibuye-Munyonyo-24h'!G72,'27.07 Kibuye-Munyonyo-24h'!G72)</f>
        <v>0</v>
      </c>
      <c r="H72" s="49">
        <f>AVERAGE('26.07 Kibuye-Munyonyo-24h'!H72,'27.07 Kibuye-Munyonyo-24h'!H72)</f>
        <v>0</v>
      </c>
      <c r="I72" s="49">
        <f>AVERAGE('26.07 Kibuye-Munyonyo-24h'!I72,'27.07 Kibuye-Munyonyo-24h'!I72)</f>
        <v>1</v>
      </c>
      <c r="J72" s="49">
        <f>AVERAGE('26.07 Kibuye-Munyonyo-24h'!J72,'27.07 Kibuye-Munyonyo-24h'!J72)</f>
        <v>0</v>
      </c>
      <c r="K72" s="49">
        <f>AVERAGE('26.07 Kibuye-Munyonyo-24h'!K72,'27.07 Kibuye-Munyonyo-24h'!K72)</f>
        <v>0.5</v>
      </c>
      <c r="L72" s="49">
        <f>AVERAGE('26.07 Kibuye-Munyonyo-24h'!L72,'27.07 Kibuye-Munyonyo-24h'!L72)</f>
        <v>0</v>
      </c>
      <c r="M72" s="49">
        <f>AVERAGE('26.07 Kibuye-Munyonyo-24h'!M72,'27.07 Kibuye-Munyonyo-24h'!M72)</f>
        <v>57.5</v>
      </c>
      <c r="N72" s="49">
        <f>AVERAGE('26.07 Kibuye-Munyonyo-24h'!N72,'27.07 Kibuye-Munyonyo-24h'!N72)</f>
        <v>0</v>
      </c>
      <c r="O72" s="15">
        <f t="shared" si="59"/>
        <v>87</v>
      </c>
      <c r="P72" s="15">
        <f t="shared" si="60"/>
        <v>144.5</v>
      </c>
      <c r="R72" s="8"/>
      <c r="T72"/>
    </row>
    <row r="73" spans="2:20" ht="23.1" customHeight="1" x14ac:dyDescent="0.25">
      <c r="B73" s="23" t="s">
        <v>113</v>
      </c>
      <c r="C73" s="49">
        <f>AVERAGE('26.07 Kibuye-Munyonyo-24h'!C73,'27.07 Kibuye-Munyonyo-24h'!C73)</f>
        <v>21.5</v>
      </c>
      <c r="D73" s="49">
        <f>AVERAGE('26.07 Kibuye-Munyonyo-24h'!D73,'27.07 Kibuye-Munyonyo-24h'!D73)</f>
        <v>8</v>
      </c>
      <c r="E73" s="49">
        <f>AVERAGE('26.07 Kibuye-Munyonyo-24h'!E73,'27.07 Kibuye-Munyonyo-24h'!E73)</f>
        <v>1</v>
      </c>
      <c r="F73" s="49">
        <f>AVERAGE('26.07 Kibuye-Munyonyo-24h'!F73,'27.07 Kibuye-Munyonyo-24h'!F73)</f>
        <v>19</v>
      </c>
      <c r="G73" s="49">
        <f>AVERAGE('26.07 Kibuye-Munyonyo-24h'!G73,'27.07 Kibuye-Munyonyo-24h'!G73)</f>
        <v>0</v>
      </c>
      <c r="H73" s="49">
        <f>AVERAGE('26.07 Kibuye-Munyonyo-24h'!H73,'27.07 Kibuye-Munyonyo-24h'!H73)</f>
        <v>0</v>
      </c>
      <c r="I73" s="49">
        <f>AVERAGE('26.07 Kibuye-Munyonyo-24h'!I73,'27.07 Kibuye-Munyonyo-24h'!I73)</f>
        <v>0</v>
      </c>
      <c r="J73" s="49">
        <f>AVERAGE('26.07 Kibuye-Munyonyo-24h'!J73,'27.07 Kibuye-Munyonyo-24h'!J73)</f>
        <v>1</v>
      </c>
      <c r="K73" s="49">
        <f>AVERAGE('26.07 Kibuye-Munyonyo-24h'!K73,'27.07 Kibuye-Munyonyo-24h'!K73)</f>
        <v>0.5</v>
      </c>
      <c r="L73" s="49">
        <f>AVERAGE('26.07 Kibuye-Munyonyo-24h'!L73,'27.07 Kibuye-Munyonyo-24h'!L73)</f>
        <v>0</v>
      </c>
      <c r="M73" s="49">
        <f>AVERAGE('26.07 Kibuye-Munyonyo-24h'!M73,'27.07 Kibuye-Munyonyo-24h'!M73)</f>
        <v>50</v>
      </c>
      <c r="N73" s="49">
        <f>AVERAGE('26.07 Kibuye-Munyonyo-24h'!N73,'27.07 Kibuye-Munyonyo-24h'!N73)</f>
        <v>0</v>
      </c>
      <c r="O73" s="15">
        <f t="shared" si="59"/>
        <v>51</v>
      </c>
      <c r="P73" s="15">
        <f t="shared" si="60"/>
        <v>101</v>
      </c>
      <c r="R73" s="8"/>
      <c r="T73"/>
    </row>
    <row r="74" spans="2:20" ht="23.1" customHeight="1" x14ac:dyDescent="0.25">
      <c r="B74" s="23" t="s">
        <v>114</v>
      </c>
      <c r="C74" s="49">
        <f>AVERAGE('26.07 Kibuye-Munyonyo-24h'!C74,'27.07 Kibuye-Munyonyo-24h'!C74)</f>
        <v>30</v>
      </c>
      <c r="D74" s="49">
        <f>AVERAGE('26.07 Kibuye-Munyonyo-24h'!D74,'27.07 Kibuye-Munyonyo-24h'!D74)</f>
        <v>2.5</v>
      </c>
      <c r="E74" s="49">
        <f>AVERAGE('26.07 Kibuye-Munyonyo-24h'!E74,'27.07 Kibuye-Munyonyo-24h'!E74)</f>
        <v>1.5</v>
      </c>
      <c r="F74" s="49">
        <f>AVERAGE('26.07 Kibuye-Munyonyo-24h'!F74,'27.07 Kibuye-Munyonyo-24h'!F74)</f>
        <v>26.5</v>
      </c>
      <c r="G74" s="49">
        <f>AVERAGE('26.07 Kibuye-Munyonyo-24h'!G74,'27.07 Kibuye-Munyonyo-24h'!G74)</f>
        <v>0.5</v>
      </c>
      <c r="H74" s="49">
        <f>AVERAGE('26.07 Kibuye-Munyonyo-24h'!H74,'27.07 Kibuye-Munyonyo-24h'!H74)</f>
        <v>0</v>
      </c>
      <c r="I74" s="49">
        <f>AVERAGE('26.07 Kibuye-Munyonyo-24h'!I74,'27.07 Kibuye-Munyonyo-24h'!I74)</f>
        <v>0</v>
      </c>
      <c r="J74" s="49">
        <f>AVERAGE('26.07 Kibuye-Munyonyo-24h'!J74,'27.07 Kibuye-Munyonyo-24h'!J74)</f>
        <v>1.5</v>
      </c>
      <c r="K74" s="49">
        <f>AVERAGE('26.07 Kibuye-Munyonyo-24h'!K74,'27.07 Kibuye-Munyonyo-24h'!K74)</f>
        <v>0</v>
      </c>
      <c r="L74" s="49">
        <f>AVERAGE('26.07 Kibuye-Munyonyo-24h'!L74,'27.07 Kibuye-Munyonyo-24h'!L74)</f>
        <v>0</v>
      </c>
      <c r="M74" s="49">
        <f>AVERAGE('26.07 Kibuye-Munyonyo-24h'!M74,'27.07 Kibuye-Munyonyo-24h'!M74)</f>
        <v>42.5</v>
      </c>
      <c r="N74" s="49">
        <f>AVERAGE('26.07 Kibuye-Munyonyo-24h'!N74,'27.07 Kibuye-Munyonyo-24h'!N74)</f>
        <v>0</v>
      </c>
      <c r="O74" s="15">
        <f t="shared" si="59"/>
        <v>62.5</v>
      </c>
      <c r="P74" s="15">
        <f t="shared" si="60"/>
        <v>105</v>
      </c>
      <c r="R74" s="8"/>
      <c r="T74"/>
    </row>
    <row r="75" spans="2:20" ht="23.1" customHeight="1" x14ac:dyDescent="0.25">
      <c r="B75" s="23" t="s">
        <v>115</v>
      </c>
      <c r="C75" s="49">
        <f>AVERAGE('26.07 Kibuye-Munyonyo-24h'!C75,'27.07 Kibuye-Munyonyo-24h'!C75)</f>
        <v>35</v>
      </c>
      <c r="D75" s="49">
        <f>AVERAGE('26.07 Kibuye-Munyonyo-24h'!D75,'27.07 Kibuye-Munyonyo-24h'!D75)</f>
        <v>4.5</v>
      </c>
      <c r="E75" s="49">
        <f>AVERAGE('26.07 Kibuye-Munyonyo-24h'!E75,'27.07 Kibuye-Munyonyo-24h'!E75)</f>
        <v>1.5</v>
      </c>
      <c r="F75" s="49">
        <f>AVERAGE('26.07 Kibuye-Munyonyo-24h'!F75,'27.07 Kibuye-Munyonyo-24h'!F75)</f>
        <v>25.5</v>
      </c>
      <c r="G75" s="49">
        <f>AVERAGE('26.07 Kibuye-Munyonyo-24h'!G75,'27.07 Kibuye-Munyonyo-24h'!G75)</f>
        <v>0</v>
      </c>
      <c r="H75" s="49">
        <f>AVERAGE('26.07 Kibuye-Munyonyo-24h'!H75,'27.07 Kibuye-Munyonyo-24h'!H75)</f>
        <v>0</v>
      </c>
      <c r="I75" s="49">
        <f>AVERAGE('26.07 Kibuye-Munyonyo-24h'!I75,'27.07 Kibuye-Munyonyo-24h'!I75)</f>
        <v>0.5</v>
      </c>
      <c r="J75" s="49">
        <f>AVERAGE('26.07 Kibuye-Munyonyo-24h'!J75,'27.07 Kibuye-Munyonyo-24h'!J75)</f>
        <v>1</v>
      </c>
      <c r="K75" s="49">
        <f>AVERAGE('26.07 Kibuye-Munyonyo-24h'!K75,'27.07 Kibuye-Munyonyo-24h'!K75)</f>
        <v>1</v>
      </c>
      <c r="L75" s="49">
        <f>AVERAGE('26.07 Kibuye-Munyonyo-24h'!L75,'27.07 Kibuye-Munyonyo-24h'!L75)</f>
        <v>0</v>
      </c>
      <c r="M75" s="49">
        <f>AVERAGE('26.07 Kibuye-Munyonyo-24h'!M75,'27.07 Kibuye-Munyonyo-24h'!M75)</f>
        <v>50</v>
      </c>
      <c r="N75" s="49">
        <f>AVERAGE('26.07 Kibuye-Munyonyo-24h'!N75,'27.07 Kibuye-Munyonyo-24h'!N75)</f>
        <v>0</v>
      </c>
      <c r="O75" s="15">
        <f t="shared" si="59"/>
        <v>69</v>
      </c>
      <c r="P75" s="15">
        <f t="shared" si="60"/>
        <v>119</v>
      </c>
      <c r="R75" s="8"/>
      <c r="T75"/>
    </row>
    <row r="76" spans="2:20" ht="23.1" customHeight="1" x14ac:dyDescent="0.25">
      <c r="B76" s="23" t="s">
        <v>116</v>
      </c>
      <c r="C76" s="49">
        <f>AVERAGE('26.07 Kibuye-Munyonyo-24h'!C76,'27.07 Kibuye-Munyonyo-24h'!C76)</f>
        <v>20.5</v>
      </c>
      <c r="D76" s="49">
        <f>AVERAGE('26.07 Kibuye-Munyonyo-24h'!D76,'27.07 Kibuye-Munyonyo-24h'!D76)</f>
        <v>3</v>
      </c>
      <c r="E76" s="49">
        <f>AVERAGE('26.07 Kibuye-Munyonyo-24h'!E76,'27.07 Kibuye-Munyonyo-24h'!E76)</f>
        <v>0</v>
      </c>
      <c r="F76" s="49">
        <f>AVERAGE('26.07 Kibuye-Munyonyo-24h'!F76,'27.07 Kibuye-Munyonyo-24h'!F76)</f>
        <v>14</v>
      </c>
      <c r="G76" s="49">
        <f>AVERAGE('26.07 Kibuye-Munyonyo-24h'!G76,'27.07 Kibuye-Munyonyo-24h'!G76)</f>
        <v>0</v>
      </c>
      <c r="H76" s="49">
        <f>AVERAGE('26.07 Kibuye-Munyonyo-24h'!H76,'27.07 Kibuye-Munyonyo-24h'!H76)</f>
        <v>0</v>
      </c>
      <c r="I76" s="49">
        <f>AVERAGE('26.07 Kibuye-Munyonyo-24h'!I76,'27.07 Kibuye-Munyonyo-24h'!I76)</f>
        <v>2</v>
      </c>
      <c r="J76" s="49">
        <f>AVERAGE('26.07 Kibuye-Munyonyo-24h'!J76,'27.07 Kibuye-Munyonyo-24h'!J76)</f>
        <v>0.5</v>
      </c>
      <c r="K76" s="49">
        <f>AVERAGE('26.07 Kibuye-Munyonyo-24h'!K76,'27.07 Kibuye-Munyonyo-24h'!K76)</f>
        <v>0</v>
      </c>
      <c r="L76" s="49">
        <f>AVERAGE('26.07 Kibuye-Munyonyo-24h'!L76,'27.07 Kibuye-Munyonyo-24h'!L76)</f>
        <v>0</v>
      </c>
      <c r="M76" s="49">
        <f>AVERAGE('26.07 Kibuye-Munyonyo-24h'!M76,'27.07 Kibuye-Munyonyo-24h'!M76)</f>
        <v>42.5</v>
      </c>
      <c r="N76" s="49">
        <f>AVERAGE('26.07 Kibuye-Munyonyo-24h'!N76,'27.07 Kibuye-Munyonyo-24h'!N76)</f>
        <v>0</v>
      </c>
      <c r="O76" s="15">
        <f t="shared" si="59"/>
        <v>40</v>
      </c>
      <c r="P76" s="15">
        <f t="shared" si="60"/>
        <v>82.5</v>
      </c>
      <c r="R76" s="8"/>
      <c r="T76"/>
    </row>
    <row r="77" spans="2:20" ht="23.1" customHeight="1" x14ac:dyDescent="0.25">
      <c r="B77" s="23" t="s">
        <v>117</v>
      </c>
      <c r="C77" s="49">
        <f>AVERAGE('26.07 Kibuye-Munyonyo-24h'!C77,'27.07 Kibuye-Munyonyo-24h'!C77)</f>
        <v>25.5</v>
      </c>
      <c r="D77" s="49">
        <f>AVERAGE('26.07 Kibuye-Munyonyo-24h'!D77,'27.07 Kibuye-Munyonyo-24h'!D77)</f>
        <v>2.5</v>
      </c>
      <c r="E77" s="49">
        <f>AVERAGE('26.07 Kibuye-Munyonyo-24h'!E77,'27.07 Kibuye-Munyonyo-24h'!E77)</f>
        <v>1</v>
      </c>
      <c r="F77" s="49">
        <f>AVERAGE('26.07 Kibuye-Munyonyo-24h'!F77,'27.07 Kibuye-Munyonyo-24h'!F77)</f>
        <v>14</v>
      </c>
      <c r="G77" s="49">
        <f>AVERAGE('26.07 Kibuye-Munyonyo-24h'!G77,'27.07 Kibuye-Munyonyo-24h'!G77)</f>
        <v>0</v>
      </c>
      <c r="H77" s="49">
        <f>AVERAGE('26.07 Kibuye-Munyonyo-24h'!H77,'27.07 Kibuye-Munyonyo-24h'!H77)</f>
        <v>0</v>
      </c>
      <c r="I77" s="49">
        <f>AVERAGE('26.07 Kibuye-Munyonyo-24h'!I77,'27.07 Kibuye-Munyonyo-24h'!I77)</f>
        <v>0</v>
      </c>
      <c r="J77" s="49">
        <f>AVERAGE('26.07 Kibuye-Munyonyo-24h'!J77,'27.07 Kibuye-Munyonyo-24h'!J77)</f>
        <v>0.5</v>
      </c>
      <c r="K77" s="49">
        <f>AVERAGE('26.07 Kibuye-Munyonyo-24h'!K77,'27.07 Kibuye-Munyonyo-24h'!K77)</f>
        <v>0</v>
      </c>
      <c r="L77" s="49">
        <f>AVERAGE('26.07 Kibuye-Munyonyo-24h'!L77,'27.07 Kibuye-Munyonyo-24h'!L77)</f>
        <v>0</v>
      </c>
      <c r="M77" s="49">
        <f>AVERAGE('26.07 Kibuye-Munyonyo-24h'!M77,'27.07 Kibuye-Munyonyo-24h'!M77)</f>
        <v>42.5</v>
      </c>
      <c r="N77" s="49">
        <f>AVERAGE('26.07 Kibuye-Munyonyo-24h'!N77,'27.07 Kibuye-Munyonyo-24h'!N77)</f>
        <v>0</v>
      </c>
      <c r="O77" s="15">
        <f t="shared" si="59"/>
        <v>43.5</v>
      </c>
      <c r="P77" s="15">
        <f t="shared" si="60"/>
        <v>86</v>
      </c>
      <c r="R77" s="8"/>
      <c r="T77"/>
    </row>
    <row r="78" spans="2:20" ht="23.1" customHeight="1" x14ac:dyDescent="0.25">
      <c r="B78" s="24" t="s">
        <v>118</v>
      </c>
      <c r="C78" s="49">
        <f>AVERAGE('26.07 Kibuye-Munyonyo-24h'!C78,'27.07 Kibuye-Munyonyo-24h'!C78)</f>
        <v>35</v>
      </c>
      <c r="D78" s="49">
        <f>AVERAGE('26.07 Kibuye-Munyonyo-24h'!D78,'27.07 Kibuye-Munyonyo-24h'!D78)</f>
        <v>5.5</v>
      </c>
      <c r="E78" s="49">
        <f>AVERAGE('26.07 Kibuye-Munyonyo-24h'!E78,'27.07 Kibuye-Munyonyo-24h'!E78)</f>
        <v>1.5</v>
      </c>
      <c r="F78" s="49">
        <f>AVERAGE('26.07 Kibuye-Munyonyo-24h'!F78,'27.07 Kibuye-Munyonyo-24h'!F78)</f>
        <v>27.5</v>
      </c>
      <c r="G78" s="49">
        <f>AVERAGE('26.07 Kibuye-Munyonyo-24h'!G78,'27.07 Kibuye-Munyonyo-24h'!G78)</f>
        <v>0</v>
      </c>
      <c r="H78" s="49">
        <f>AVERAGE('26.07 Kibuye-Munyonyo-24h'!H78,'27.07 Kibuye-Munyonyo-24h'!H78)</f>
        <v>0</v>
      </c>
      <c r="I78" s="49">
        <f>AVERAGE('26.07 Kibuye-Munyonyo-24h'!I78,'27.07 Kibuye-Munyonyo-24h'!I78)</f>
        <v>0</v>
      </c>
      <c r="J78" s="49">
        <f>AVERAGE('26.07 Kibuye-Munyonyo-24h'!J78,'27.07 Kibuye-Munyonyo-24h'!J78)</f>
        <v>1</v>
      </c>
      <c r="K78" s="49">
        <f>AVERAGE('26.07 Kibuye-Munyonyo-24h'!K78,'27.07 Kibuye-Munyonyo-24h'!K78)</f>
        <v>0</v>
      </c>
      <c r="L78" s="49">
        <f>AVERAGE('26.07 Kibuye-Munyonyo-24h'!L78,'27.07 Kibuye-Munyonyo-24h'!L78)</f>
        <v>0</v>
      </c>
      <c r="M78" s="49">
        <f>AVERAGE('26.07 Kibuye-Munyonyo-24h'!M78,'27.07 Kibuye-Munyonyo-24h'!M78)</f>
        <v>51.5</v>
      </c>
      <c r="N78" s="49">
        <f>AVERAGE('26.07 Kibuye-Munyonyo-24h'!N78,'27.07 Kibuye-Munyonyo-24h'!N78)</f>
        <v>0</v>
      </c>
      <c r="O78" s="15">
        <f t="shared" si="59"/>
        <v>70.5</v>
      </c>
      <c r="P78" s="15">
        <f t="shared" si="60"/>
        <v>122</v>
      </c>
      <c r="R78" s="8"/>
      <c r="T78"/>
    </row>
    <row r="79" spans="2:20" ht="23.1" customHeight="1" x14ac:dyDescent="0.25">
      <c r="B79" s="23" t="s">
        <v>119</v>
      </c>
      <c r="C79" s="49">
        <f>AVERAGE('26.07 Kibuye-Munyonyo-24h'!C79,'27.07 Kibuye-Munyonyo-24h'!C79)</f>
        <v>25.5</v>
      </c>
      <c r="D79" s="49">
        <f>AVERAGE('26.07 Kibuye-Munyonyo-24h'!D79,'27.07 Kibuye-Munyonyo-24h'!D79)</f>
        <v>1</v>
      </c>
      <c r="E79" s="49">
        <f>AVERAGE('26.07 Kibuye-Munyonyo-24h'!E79,'27.07 Kibuye-Munyonyo-24h'!E79)</f>
        <v>2.5</v>
      </c>
      <c r="F79" s="49">
        <f>AVERAGE('26.07 Kibuye-Munyonyo-24h'!F79,'27.07 Kibuye-Munyonyo-24h'!F79)</f>
        <v>15.5</v>
      </c>
      <c r="G79" s="49">
        <f>AVERAGE('26.07 Kibuye-Munyonyo-24h'!G79,'27.07 Kibuye-Munyonyo-24h'!G79)</f>
        <v>0</v>
      </c>
      <c r="H79" s="49">
        <f>AVERAGE('26.07 Kibuye-Munyonyo-24h'!H79,'27.07 Kibuye-Munyonyo-24h'!H79)</f>
        <v>0</v>
      </c>
      <c r="I79" s="49">
        <f>AVERAGE('26.07 Kibuye-Munyonyo-24h'!I79,'27.07 Kibuye-Munyonyo-24h'!I79)</f>
        <v>1</v>
      </c>
      <c r="J79" s="49">
        <f>AVERAGE('26.07 Kibuye-Munyonyo-24h'!J79,'27.07 Kibuye-Munyonyo-24h'!J79)</f>
        <v>1.5</v>
      </c>
      <c r="K79" s="49">
        <f>AVERAGE('26.07 Kibuye-Munyonyo-24h'!K79,'27.07 Kibuye-Munyonyo-24h'!K79)</f>
        <v>0</v>
      </c>
      <c r="L79" s="49">
        <f>AVERAGE('26.07 Kibuye-Munyonyo-24h'!L79,'27.07 Kibuye-Munyonyo-24h'!L79)</f>
        <v>0</v>
      </c>
      <c r="M79" s="49">
        <f>AVERAGE('26.07 Kibuye-Munyonyo-24h'!M79,'27.07 Kibuye-Munyonyo-24h'!M79)</f>
        <v>32.5</v>
      </c>
      <c r="N79" s="49">
        <f>AVERAGE('26.07 Kibuye-Munyonyo-24h'!N79,'27.07 Kibuye-Munyonyo-24h'!N79)</f>
        <v>0</v>
      </c>
      <c r="O79" s="15">
        <f t="shared" si="59"/>
        <v>47</v>
      </c>
      <c r="P79" s="15">
        <f t="shared" si="60"/>
        <v>79.5</v>
      </c>
      <c r="R79" s="8"/>
      <c r="T79"/>
    </row>
    <row r="80" spans="2:20" ht="23.1" customHeight="1" x14ac:dyDescent="0.25">
      <c r="B80" s="25" t="s">
        <v>120</v>
      </c>
      <c r="C80" s="49">
        <f>AVERAGE('26.07 Kibuye-Munyonyo-24h'!C80,'27.07 Kibuye-Munyonyo-24h'!C80)</f>
        <v>27.5</v>
      </c>
      <c r="D80" s="49">
        <f>AVERAGE('26.07 Kibuye-Munyonyo-24h'!D80,'27.07 Kibuye-Munyonyo-24h'!D80)</f>
        <v>7</v>
      </c>
      <c r="E80" s="49">
        <f>AVERAGE('26.07 Kibuye-Munyonyo-24h'!E80,'27.07 Kibuye-Munyonyo-24h'!E80)</f>
        <v>1.5</v>
      </c>
      <c r="F80" s="49">
        <f>AVERAGE('26.07 Kibuye-Munyonyo-24h'!F80,'27.07 Kibuye-Munyonyo-24h'!F80)</f>
        <v>37.5</v>
      </c>
      <c r="G80" s="49">
        <f>AVERAGE('26.07 Kibuye-Munyonyo-24h'!G80,'27.07 Kibuye-Munyonyo-24h'!G80)</f>
        <v>0</v>
      </c>
      <c r="H80" s="49">
        <f>AVERAGE('26.07 Kibuye-Munyonyo-24h'!H80,'27.07 Kibuye-Munyonyo-24h'!H80)</f>
        <v>0</v>
      </c>
      <c r="I80" s="49">
        <f>AVERAGE('26.07 Kibuye-Munyonyo-24h'!I80,'27.07 Kibuye-Munyonyo-24h'!I80)</f>
        <v>0</v>
      </c>
      <c r="J80" s="49">
        <f>AVERAGE('26.07 Kibuye-Munyonyo-24h'!J80,'27.07 Kibuye-Munyonyo-24h'!J80)</f>
        <v>0.5</v>
      </c>
      <c r="K80" s="49">
        <f>AVERAGE('26.07 Kibuye-Munyonyo-24h'!K80,'27.07 Kibuye-Munyonyo-24h'!K80)</f>
        <v>0</v>
      </c>
      <c r="L80" s="49">
        <f>AVERAGE('26.07 Kibuye-Munyonyo-24h'!L80,'27.07 Kibuye-Munyonyo-24h'!L80)</f>
        <v>0</v>
      </c>
      <c r="M80" s="49">
        <f>AVERAGE('26.07 Kibuye-Munyonyo-24h'!M80,'27.07 Kibuye-Munyonyo-24h'!M80)</f>
        <v>35</v>
      </c>
      <c r="N80" s="49">
        <f>AVERAGE('26.07 Kibuye-Munyonyo-24h'!N80,'27.07 Kibuye-Munyonyo-24h'!N80)</f>
        <v>0</v>
      </c>
      <c r="O80" s="15">
        <f t="shared" si="59"/>
        <v>74</v>
      </c>
      <c r="P80" s="15">
        <f t="shared" si="60"/>
        <v>109</v>
      </c>
      <c r="R80" s="8"/>
      <c r="T80"/>
    </row>
    <row r="81" spans="2:20" ht="23.1" customHeight="1" x14ac:dyDescent="0.25">
      <c r="B81" s="23" t="s">
        <v>121</v>
      </c>
      <c r="C81" s="49">
        <f>AVERAGE('26.07 Kibuye-Munyonyo-24h'!C81,'27.07 Kibuye-Munyonyo-24h'!C81)</f>
        <v>21.5</v>
      </c>
      <c r="D81" s="49">
        <f>AVERAGE('26.07 Kibuye-Munyonyo-24h'!D81,'27.07 Kibuye-Munyonyo-24h'!D81)</f>
        <v>8</v>
      </c>
      <c r="E81" s="49">
        <f>AVERAGE('26.07 Kibuye-Munyonyo-24h'!E81,'27.07 Kibuye-Munyonyo-24h'!E81)</f>
        <v>1</v>
      </c>
      <c r="F81" s="49">
        <f>AVERAGE('26.07 Kibuye-Munyonyo-24h'!F81,'27.07 Kibuye-Munyonyo-24h'!F81)</f>
        <v>23.5</v>
      </c>
      <c r="G81" s="49">
        <f>AVERAGE('26.07 Kibuye-Munyonyo-24h'!G81,'27.07 Kibuye-Munyonyo-24h'!G81)</f>
        <v>0</v>
      </c>
      <c r="H81" s="49">
        <f>AVERAGE('26.07 Kibuye-Munyonyo-24h'!H81,'27.07 Kibuye-Munyonyo-24h'!H81)</f>
        <v>0</v>
      </c>
      <c r="I81" s="49">
        <f>AVERAGE('26.07 Kibuye-Munyonyo-24h'!I81,'27.07 Kibuye-Munyonyo-24h'!I81)</f>
        <v>1</v>
      </c>
      <c r="J81" s="49">
        <f>AVERAGE('26.07 Kibuye-Munyonyo-24h'!J81,'27.07 Kibuye-Munyonyo-24h'!J81)</f>
        <v>0.5</v>
      </c>
      <c r="K81" s="49">
        <f>AVERAGE('26.07 Kibuye-Munyonyo-24h'!K81,'27.07 Kibuye-Munyonyo-24h'!K81)</f>
        <v>0</v>
      </c>
      <c r="L81" s="49">
        <f>AVERAGE('26.07 Kibuye-Munyonyo-24h'!L81,'27.07 Kibuye-Munyonyo-24h'!L81)</f>
        <v>0</v>
      </c>
      <c r="M81" s="49">
        <f>AVERAGE('26.07 Kibuye-Munyonyo-24h'!M81,'27.07 Kibuye-Munyonyo-24h'!M81)</f>
        <v>40</v>
      </c>
      <c r="N81" s="49">
        <f>AVERAGE('26.07 Kibuye-Munyonyo-24h'!N81,'27.07 Kibuye-Munyonyo-24h'!N81)</f>
        <v>0</v>
      </c>
      <c r="O81" s="15">
        <f t="shared" si="59"/>
        <v>55.5</v>
      </c>
      <c r="P81" s="15">
        <f t="shared" si="60"/>
        <v>95.5</v>
      </c>
      <c r="R81" s="8"/>
      <c r="T81"/>
    </row>
    <row r="82" spans="2:20" ht="23.1" customHeight="1" x14ac:dyDescent="0.25">
      <c r="B82" s="24" t="s">
        <v>122</v>
      </c>
      <c r="C82" s="49">
        <f>AVERAGE('26.07 Kibuye-Munyonyo-24h'!C82,'27.07 Kibuye-Munyonyo-24h'!C82)</f>
        <v>31.5</v>
      </c>
      <c r="D82" s="49">
        <f>AVERAGE('26.07 Kibuye-Munyonyo-24h'!D82,'27.07 Kibuye-Munyonyo-24h'!D82)</f>
        <v>1.5</v>
      </c>
      <c r="E82" s="49">
        <f>AVERAGE('26.07 Kibuye-Munyonyo-24h'!E82,'27.07 Kibuye-Munyonyo-24h'!E82)</f>
        <v>1</v>
      </c>
      <c r="F82" s="49">
        <f>AVERAGE('26.07 Kibuye-Munyonyo-24h'!F82,'27.07 Kibuye-Munyonyo-24h'!F82)</f>
        <v>3.5</v>
      </c>
      <c r="G82" s="49">
        <f>AVERAGE('26.07 Kibuye-Munyonyo-24h'!G82,'27.07 Kibuye-Munyonyo-24h'!G82)</f>
        <v>0</v>
      </c>
      <c r="H82" s="49">
        <f>AVERAGE('26.07 Kibuye-Munyonyo-24h'!H82,'27.07 Kibuye-Munyonyo-24h'!H82)</f>
        <v>0.5</v>
      </c>
      <c r="I82" s="49">
        <f>AVERAGE('26.07 Kibuye-Munyonyo-24h'!I82,'27.07 Kibuye-Munyonyo-24h'!I82)</f>
        <v>0</v>
      </c>
      <c r="J82" s="49">
        <f>AVERAGE('26.07 Kibuye-Munyonyo-24h'!J82,'27.07 Kibuye-Munyonyo-24h'!J82)</f>
        <v>0.5</v>
      </c>
      <c r="K82" s="49">
        <f>AVERAGE('26.07 Kibuye-Munyonyo-24h'!K82,'27.07 Kibuye-Munyonyo-24h'!K82)</f>
        <v>0</v>
      </c>
      <c r="L82" s="49">
        <f>AVERAGE('26.07 Kibuye-Munyonyo-24h'!L82,'27.07 Kibuye-Munyonyo-24h'!L82)</f>
        <v>0</v>
      </c>
      <c r="M82" s="49">
        <f>AVERAGE('26.07 Kibuye-Munyonyo-24h'!M82,'27.07 Kibuye-Munyonyo-24h'!M82)</f>
        <v>35</v>
      </c>
      <c r="N82" s="49">
        <f>AVERAGE('26.07 Kibuye-Munyonyo-24h'!N82,'27.07 Kibuye-Munyonyo-24h'!N82)</f>
        <v>0</v>
      </c>
      <c r="O82" s="15">
        <f t="shared" si="59"/>
        <v>38.5</v>
      </c>
      <c r="P82" s="15">
        <f t="shared" si="60"/>
        <v>73.5</v>
      </c>
      <c r="R82" s="8"/>
      <c r="T82"/>
    </row>
    <row r="83" spans="2:20" ht="23.1" customHeight="1" x14ac:dyDescent="0.25">
      <c r="B83" s="23" t="s">
        <v>123</v>
      </c>
      <c r="C83" s="49">
        <f>AVERAGE('26.07 Kibuye-Munyonyo-24h'!C83,'27.07 Kibuye-Munyonyo-24h'!C83)</f>
        <v>20</v>
      </c>
      <c r="D83" s="49">
        <f>AVERAGE('26.07 Kibuye-Munyonyo-24h'!D83,'27.07 Kibuye-Munyonyo-24h'!D83)</f>
        <v>2.5</v>
      </c>
      <c r="E83" s="49">
        <f>AVERAGE('26.07 Kibuye-Munyonyo-24h'!E83,'27.07 Kibuye-Munyonyo-24h'!E83)</f>
        <v>1</v>
      </c>
      <c r="F83" s="49">
        <f>AVERAGE('26.07 Kibuye-Munyonyo-24h'!F83,'27.07 Kibuye-Munyonyo-24h'!F83)</f>
        <v>12.5</v>
      </c>
      <c r="G83" s="49">
        <f>AVERAGE('26.07 Kibuye-Munyonyo-24h'!G83,'27.07 Kibuye-Munyonyo-24h'!G83)</f>
        <v>0</v>
      </c>
      <c r="H83" s="49">
        <f>AVERAGE('26.07 Kibuye-Munyonyo-24h'!H83,'27.07 Kibuye-Munyonyo-24h'!H83)</f>
        <v>0</v>
      </c>
      <c r="I83" s="49">
        <f>AVERAGE('26.07 Kibuye-Munyonyo-24h'!I83,'27.07 Kibuye-Munyonyo-24h'!I83)</f>
        <v>1</v>
      </c>
      <c r="J83" s="49">
        <f>AVERAGE('26.07 Kibuye-Munyonyo-24h'!J83,'27.07 Kibuye-Munyonyo-24h'!J83)</f>
        <v>0.5</v>
      </c>
      <c r="K83" s="49">
        <f>AVERAGE('26.07 Kibuye-Munyonyo-24h'!K83,'27.07 Kibuye-Munyonyo-24h'!K83)</f>
        <v>0</v>
      </c>
      <c r="L83" s="49">
        <f>AVERAGE('26.07 Kibuye-Munyonyo-24h'!L83,'27.07 Kibuye-Munyonyo-24h'!L83)</f>
        <v>0</v>
      </c>
      <c r="M83" s="49">
        <f>AVERAGE('26.07 Kibuye-Munyonyo-24h'!M83,'27.07 Kibuye-Munyonyo-24h'!M83)</f>
        <v>35</v>
      </c>
      <c r="N83" s="49">
        <f>AVERAGE('26.07 Kibuye-Munyonyo-24h'!N83,'27.07 Kibuye-Munyonyo-24h'!N83)</f>
        <v>0</v>
      </c>
      <c r="O83" s="15">
        <f t="shared" si="59"/>
        <v>37.5</v>
      </c>
      <c r="P83" s="15">
        <f t="shared" si="60"/>
        <v>72.5</v>
      </c>
      <c r="R83" s="8"/>
      <c r="T83"/>
    </row>
    <row r="84" spans="2:20" ht="23.1" customHeight="1" x14ac:dyDescent="0.25">
      <c r="B84" s="25" t="s">
        <v>124</v>
      </c>
      <c r="C84" s="49">
        <f>AVERAGE('26.07 Kibuye-Munyonyo-24h'!C84,'27.07 Kibuye-Munyonyo-24h'!C84)</f>
        <v>33</v>
      </c>
      <c r="D84" s="49">
        <f>AVERAGE('26.07 Kibuye-Munyonyo-24h'!D84,'27.07 Kibuye-Munyonyo-24h'!D84)</f>
        <v>9.5</v>
      </c>
      <c r="E84" s="49">
        <f>AVERAGE('26.07 Kibuye-Munyonyo-24h'!E84,'27.07 Kibuye-Munyonyo-24h'!E84)</f>
        <v>0</v>
      </c>
      <c r="F84" s="49">
        <f>AVERAGE('26.07 Kibuye-Munyonyo-24h'!F84,'27.07 Kibuye-Munyonyo-24h'!F84)</f>
        <v>14.5</v>
      </c>
      <c r="G84" s="49">
        <f>AVERAGE('26.07 Kibuye-Munyonyo-24h'!G84,'27.07 Kibuye-Munyonyo-24h'!G84)</f>
        <v>0</v>
      </c>
      <c r="H84" s="49">
        <f>AVERAGE('26.07 Kibuye-Munyonyo-24h'!H84,'27.07 Kibuye-Munyonyo-24h'!H84)</f>
        <v>0</v>
      </c>
      <c r="I84" s="49">
        <f>AVERAGE('26.07 Kibuye-Munyonyo-24h'!I84,'27.07 Kibuye-Munyonyo-24h'!I84)</f>
        <v>0</v>
      </c>
      <c r="J84" s="49">
        <f>AVERAGE('26.07 Kibuye-Munyonyo-24h'!J84,'27.07 Kibuye-Munyonyo-24h'!J84)</f>
        <v>0.5</v>
      </c>
      <c r="K84" s="49">
        <f>AVERAGE('26.07 Kibuye-Munyonyo-24h'!K84,'27.07 Kibuye-Munyonyo-24h'!K84)</f>
        <v>0</v>
      </c>
      <c r="L84" s="49">
        <f>AVERAGE('26.07 Kibuye-Munyonyo-24h'!L84,'27.07 Kibuye-Munyonyo-24h'!L84)</f>
        <v>0</v>
      </c>
      <c r="M84" s="49">
        <f>AVERAGE('26.07 Kibuye-Munyonyo-24h'!M84,'27.07 Kibuye-Munyonyo-24h'!M84)</f>
        <v>27.5</v>
      </c>
      <c r="N84" s="49">
        <f>AVERAGE('26.07 Kibuye-Munyonyo-24h'!N84,'27.07 Kibuye-Munyonyo-24h'!N84)</f>
        <v>0</v>
      </c>
      <c r="O84" s="15">
        <f t="shared" si="59"/>
        <v>57.5</v>
      </c>
      <c r="P84" s="15">
        <f t="shared" si="60"/>
        <v>85</v>
      </c>
      <c r="R84" s="8"/>
      <c r="T84"/>
    </row>
    <row r="85" spans="2:20" ht="23.1" customHeight="1" x14ac:dyDescent="0.25">
      <c r="B85" s="23" t="s">
        <v>125</v>
      </c>
      <c r="C85" s="49">
        <f>AVERAGE('26.07 Kibuye-Munyonyo-24h'!C85,'27.07 Kibuye-Munyonyo-24h'!C85)</f>
        <v>20</v>
      </c>
      <c r="D85" s="49">
        <f>AVERAGE('26.07 Kibuye-Munyonyo-24h'!D85,'27.07 Kibuye-Munyonyo-24h'!D85)</f>
        <v>5</v>
      </c>
      <c r="E85" s="49">
        <f>AVERAGE('26.07 Kibuye-Munyonyo-24h'!E85,'27.07 Kibuye-Munyonyo-24h'!E85)</f>
        <v>0.5</v>
      </c>
      <c r="F85" s="49">
        <f>AVERAGE('26.07 Kibuye-Munyonyo-24h'!F85,'27.07 Kibuye-Munyonyo-24h'!F85)</f>
        <v>11</v>
      </c>
      <c r="G85" s="49">
        <f>AVERAGE('26.07 Kibuye-Munyonyo-24h'!G85,'27.07 Kibuye-Munyonyo-24h'!G85)</f>
        <v>0</v>
      </c>
      <c r="H85" s="49">
        <f>AVERAGE('26.07 Kibuye-Munyonyo-24h'!H85,'27.07 Kibuye-Munyonyo-24h'!H85)</f>
        <v>0</v>
      </c>
      <c r="I85" s="49">
        <f>AVERAGE('26.07 Kibuye-Munyonyo-24h'!I85,'27.07 Kibuye-Munyonyo-24h'!I85)</f>
        <v>0</v>
      </c>
      <c r="J85" s="49">
        <f>AVERAGE('26.07 Kibuye-Munyonyo-24h'!J85,'27.07 Kibuye-Munyonyo-24h'!J85)</f>
        <v>1.5</v>
      </c>
      <c r="K85" s="49">
        <f>AVERAGE('26.07 Kibuye-Munyonyo-24h'!K85,'27.07 Kibuye-Munyonyo-24h'!K85)</f>
        <v>0</v>
      </c>
      <c r="L85" s="49">
        <f>AVERAGE('26.07 Kibuye-Munyonyo-24h'!L85,'27.07 Kibuye-Munyonyo-24h'!L85)</f>
        <v>0</v>
      </c>
      <c r="M85" s="49">
        <f>AVERAGE('26.07 Kibuye-Munyonyo-24h'!M85,'27.07 Kibuye-Munyonyo-24h'!M85)</f>
        <v>40</v>
      </c>
      <c r="N85" s="49">
        <f>AVERAGE('26.07 Kibuye-Munyonyo-24h'!N85,'27.07 Kibuye-Munyonyo-24h'!N85)</f>
        <v>0</v>
      </c>
      <c r="O85" s="15">
        <f t="shared" si="59"/>
        <v>38</v>
      </c>
      <c r="P85" s="15">
        <f t="shared" si="60"/>
        <v>78</v>
      </c>
      <c r="R85" s="8"/>
      <c r="T85"/>
    </row>
    <row r="86" spans="2:20" ht="23.1" customHeight="1" x14ac:dyDescent="0.25">
      <c r="B86" s="24" t="s">
        <v>126</v>
      </c>
      <c r="C86" s="49">
        <f>AVERAGE('26.07 Kibuye-Munyonyo-24h'!C86,'27.07 Kibuye-Munyonyo-24h'!C86)</f>
        <v>14.5</v>
      </c>
      <c r="D86" s="49">
        <f>AVERAGE('26.07 Kibuye-Munyonyo-24h'!D86,'27.07 Kibuye-Munyonyo-24h'!D86)</f>
        <v>0</v>
      </c>
      <c r="E86" s="49">
        <f>AVERAGE('26.07 Kibuye-Munyonyo-24h'!E86,'27.07 Kibuye-Munyonyo-24h'!E86)</f>
        <v>0</v>
      </c>
      <c r="F86" s="49">
        <f>AVERAGE('26.07 Kibuye-Munyonyo-24h'!F86,'27.07 Kibuye-Munyonyo-24h'!F86)</f>
        <v>6</v>
      </c>
      <c r="G86" s="49">
        <f>AVERAGE('26.07 Kibuye-Munyonyo-24h'!G86,'27.07 Kibuye-Munyonyo-24h'!G86)</f>
        <v>0</v>
      </c>
      <c r="H86" s="49">
        <f>AVERAGE('26.07 Kibuye-Munyonyo-24h'!H86,'27.07 Kibuye-Munyonyo-24h'!H86)</f>
        <v>0</v>
      </c>
      <c r="I86" s="49">
        <f>AVERAGE('26.07 Kibuye-Munyonyo-24h'!I86,'27.07 Kibuye-Munyonyo-24h'!I86)</f>
        <v>0</v>
      </c>
      <c r="J86" s="49">
        <f>AVERAGE('26.07 Kibuye-Munyonyo-24h'!J86,'27.07 Kibuye-Munyonyo-24h'!J86)</f>
        <v>0</v>
      </c>
      <c r="K86" s="49">
        <f>AVERAGE('26.07 Kibuye-Munyonyo-24h'!K86,'27.07 Kibuye-Munyonyo-24h'!K86)</f>
        <v>1</v>
      </c>
      <c r="L86" s="49">
        <f>AVERAGE('26.07 Kibuye-Munyonyo-24h'!L86,'27.07 Kibuye-Munyonyo-24h'!L86)</f>
        <v>0</v>
      </c>
      <c r="M86" s="49">
        <f>AVERAGE('26.07 Kibuye-Munyonyo-24h'!M86,'27.07 Kibuye-Munyonyo-24h'!M86)</f>
        <v>22.5</v>
      </c>
      <c r="N86" s="49">
        <f>AVERAGE('26.07 Kibuye-Munyonyo-24h'!N86,'27.07 Kibuye-Munyonyo-24h'!N86)</f>
        <v>0</v>
      </c>
      <c r="O86" s="15">
        <f t="shared" si="59"/>
        <v>21.5</v>
      </c>
      <c r="P86" s="15">
        <f t="shared" si="60"/>
        <v>44</v>
      </c>
      <c r="R86" s="8"/>
      <c r="T86"/>
    </row>
    <row r="87" spans="2:20" ht="23.1" customHeight="1" x14ac:dyDescent="0.25">
      <c r="B87" s="23" t="s">
        <v>127</v>
      </c>
      <c r="C87" s="49">
        <f>AVERAGE('26.07 Kibuye-Munyonyo-24h'!C87,'27.07 Kibuye-Munyonyo-24h'!C87)</f>
        <v>11.5</v>
      </c>
      <c r="D87" s="49">
        <f>AVERAGE('26.07 Kibuye-Munyonyo-24h'!D87,'27.07 Kibuye-Munyonyo-24h'!D87)</f>
        <v>0</v>
      </c>
      <c r="E87" s="49">
        <f>AVERAGE('26.07 Kibuye-Munyonyo-24h'!E87,'27.07 Kibuye-Munyonyo-24h'!E87)</f>
        <v>1.5</v>
      </c>
      <c r="F87" s="49">
        <f>AVERAGE('26.07 Kibuye-Munyonyo-24h'!F87,'27.07 Kibuye-Munyonyo-24h'!F87)</f>
        <v>3</v>
      </c>
      <c r="G87" s="49">
        <f>AVERAGE('26.07 Kibuye-Munyonyo-24h'!G87,'27.07 Kibuye-Munyonyo-24h'!G87)</f>
        <v>0</v>
      </c>
      <c r="H87" s="49">
        <f>AVERAGE('26.07 Kibuye-Munyonyo-24h'!H87,'27.07 Kibuye-Munyonyo-24h'!H87)</f>
        <v>0</v>
      </c>
      <c r="I87" s="49">
        <f>AVERAGE('26.07 Kibuye-Munyonyo-24h'!I87,'27.07 Kibuye-Munyonyo-24h'!I87)</f>
        <v>0.5</v>
      </c>
      <c r="J87" s="49">
        <f>AVERAGE('26.07 Kibuye-Munyonyo-24h'!J87,'27.07 Kibuye-Munyonyo-24h'!J87)</f>
        <v>0</v>
      </c>
      <c r="K87" s="49">
        <f>AVERAGE('26.07 Kibuye-Munyonyo-24h'!K87,'27.07 Kibuye-Munyonyo-24h'!K87)</f>
        <v>0.5</v>
      </c>
      <c r="L87" s="49">
        <f>AVERAGE('26.07 Kibuye-Munyonyo-24h'!L87,'27.07 Kibuye-Munyonyo-24h'!L87)</f>
        <v>0</v>
      </c>
      <c r="M87" s="49">
        <f>AVERAGE('26.07 Kibuye-Munyonyo-24h'!M87,'27.07 Kibuye-Munyonyo-24h'!M87)</f>
        <v>20</v>
      </c>
      <c r="N87" s="49">
        <f>AVERAGE('26.07 Kibuye-Munyonyo-24h'!N87,'27.07 Kibuye-Munyonyo-24h'!N87)</f>
        <v>0</v>
      </c>
      <c r="O87" s="15">
        <f t="shared" si="59"/>
        <v>17</v>
      </c>
      <c r="P87" s="15">
        <f t="shared" si="60"/>
        <v>37</v>
      </c>
      <c r="R87" s="8"/>
      <c r="T87"/>
    </row>
    <row r="88" spans="2:20" ht="23.1" customHeight="1" x14ac:dyDescent="0.25">
      <c r="B88" s="25" t="s">
        <v>128</v>
      </c>
      <c r="C88" s="49">
        <f>AVERAGE('26.07 Kibuye-Munyonyo-24h'!C88,'27.07 Kibuye-Munyonyo-24h'!C88)</f>
        <v>11.5</v>
      </c>
      <c r="D88" s="49">
        <f>AVERAGE('26.07 Kibuye-Munyonyo-24h'!D88,'27.07 Kibuye-Munyonyo-24h'!D88)</f>
        <v>2</v>
      </c>
      <c r="E88" s="49">
        <f>AVERAGE('26.07 Kibuye-Munyonyo-24h'!E88,'27.07 Kibuye-Munyonyo-24h'!E88)</f>
        <v>1.5</v>
      </c>
      <c r="F88" s="49">
        <f>AVERAGE('26.07 Kibuye-Munyonyo-24h'!F88,'27.07 Kibuye-Munyonyo-24h'!F88)</f>
        <v>7.5</v>
      </c>
      <c r="G88" s="49">
        <f>AVERAGE('26.07 Kibuye-Munyonyo-24h'!G88,'27.07 Kibuye-Munyonyo-24h'!G88)</f>
        <v>0</v>
      </c>
      <c r="H88" s="49">
        <f>AVERAGE('26.07 Kibuye-Munyonyo-24h'!H88,'27.07 Kibuye-Munyonyo-24h'!H88)</f>
        <v>0</v>
      </c>
      <c r="I88" s="49">
        <f>AVERAGE('26.07 Kibuye-Munyonyo-24h'!I88,'27.07 Kibuye-Munyonyo-24h'!I88)</f>
        <v>0.5</v>
      </c>
      <c r="J88" s="49">
        <f>AVERAGE('26.07 Kibuye-Munyonyo-24h'!J88,'27.07 Kibuye-Munyonyo-24h'!J88)</f>
        <v>0</v>
      </c>
      <c r="K88" s="49">
        <f>AVERAGE('26.07 Kibuye-Munyonyo-24h'!K88,'27.07 Kibuye-Munyonyo-24h'!K88)</f>
        <v>1.5</v>
      </c>
      <c r="L88" s="49">
        <f>AVERAGE('26.07 Kibuye-Munyonyo-24h'!L88,'27.07 Kibuye-Munyonyo-24h'!L88)</f>
        <v>0</v>
      </c>
      <c r="M88" s="49">
        <f>AVERAGE('26.07 Kibuye-Munyonyo-24h'!M88,'27.07 Kibuye-Munyonyo-24h'!M88)</f>
        <v>22.5</v>
      </c>
      <c r="N88" s="49">
        <f>AVERAGE('26.07 Kibuye-Munyonyo-24h'!N88,'27.07 Kibuye-Munyonyo-24h'!N88)</f>
        <v>0</v>
      </c>
      <c r="O88" s="15">
        <f t="shared" si="59"/>
        <v>24.5</v>
      </c>
      <c r="P88" s="15">
        <f t="shared" si="60"/>
        <v>47</v>
      </c>
      <c r="R88" s="8"/>
      <c r="T88"/>
    </row>
    <row r="89" spans="2:20" ht="23.1" customHeight="1" x14ac:dyDescent="0.25">
      <c r="B89" s="23" t="s">
        <v>129</v>
      </c>
      <c r="C89" s="49">
        <f>AVERAGE('26.07 Kibuye-Munyonyo-24h'!C89,'27.07 Kibuye-Munyonyo-24h'!C89)</f>
        <v>12.5</v>
      </c>
      <c r="D89" s="49">
        <f>AVERAGE('26.07 Kibuye-Munyonyo-24h'!D89,'27.07 Kibuye-Munyonyo-24h'!D89)</f>
        <v>4</v>
      </c>
      <c r="E89" s="49">
        <f>AVERAGE('26.07 Kibuye-Munyonyo-24h'!E89,'27.07 Kibuye-Munyonyo-24h'!E89)</f>
        <v>0</v>
      </c>
      <c r="F89" s="49">
        <f>AVERAGE('26.07 Kibuye-Munyonyo-24h'!F89,'27.07 Kibuye-Munyonyo-24h'!F89)</f>
        <v>7</v>
      </c>
      <c r="G89" s="49">
        <f>AVERAGE('26.07 Kibuye-Munyonyo-24h'!G89,'27.07 Kibuye-Munyonyo-24h'!G89)</f>
        <v>0</v>
      </c>
      <c r="H89" s="49">
        <f>AVERAGE('26.07 Kibuye-Munyonyo-24h'!H89,'27.07 Kibuye-Munyonyo-24h'!H89)</f>
        <v>0</v>
      </c>
      <c r="I89" s="49">
        <f>AVERAGE('26.07 Kibuye-Munyonyo-24h'!I89,'27.07 Kibuye-Munyonyo-24h'!I89)</f>
        <v>0.5</v>
      </c>
      <c r="J89" s="49">
        <f>AVERAGE('26.07 Kibuye-Munyonyo-24h'!J89,'27.07 Kibuye-Munyonyo-24h'!J89)</f>
        <v>0</v>
      </c>
      <c r="K89" s="49">
        <f>AVERAGE('26.07 Kibuye-Munyonyo-24h'!K89,'27.07 Kibuye-Munyonyo-24h'!K89)</f>
        <v>0</v>
      </c>
      <c r="L89" s="49">
        <f>AVERAGE('26.07 Kibuye-Munyonyo-24h'!L89,'27.07 Kibuye-Munyonyo-24h'!L89)</f>
        <v>0</v>
      </c>
      <c r="M89" s="49">
        <f>AVERAGE('26.07 Kibuye-Munyonyo-24h'!M89,'27.07 Kibuye-Munyonyo-24h'!M89)</f>
        <v>30</v>
      </c>
      <c r="N89" s="49">
        <f>AVERAGE('26.07 Kibuye-Munyonyo-24h'!N89,'27.07 Kibuye-Munyonyo-24h'!N89)</f>
        <v>0</v>
      </c>
      <c r="O89" s="15">
        <f t="shared" si="59"/>
        <v>24</v>
      </c>
      <c r="P89" s="15">
        <f t="shared" si="60"/>
        <v>54</v>
      </c>
      <c r="R89" s="8"/>
      <c r="T89"/>
    </row>
    <row r="90" spans="2:20" ht="23.1" customHeight="1" x14ac:dyDescent="0.25">
      <c r="B90" s="24" t="s">
        <v>130</v>
      </c>
      <c r="C90" s="49">
        <f>AVERAGE('26.07 Kibuye-Munyonyo-24h'!C90,'27.07 Kibuye-Munyonyo-24h'!C90)</f>
        <v>15.5</v>
      </c>
      <c r="D90" s="49">
        <f>AVERAGE('26.07 Kibuye-Munyonyo-24h'!D90,'27.07 Kibuye-Munyonyo-24h'!D90)</f>
        <v>3</v>
      </c>
      <c r="E90" s="49">
        <f>AVERAGE('26.07 Kibuye-Munyonyo-24h'!E90,'27.07 Kibuye-Munyonyo-24h'!E90)</f>
        <v>2.5</v>
      </c>
      <c r="F90" s="49">
        <f>AVERAGE('26.07 Kibuye-Munyonyo-24h'!F90,'27.07 Kibuye-Munyonyo-24h'!F90)</f>
        <v>16</v>
      </c>
      <c r="G90" s="49">
        <f>AVERAGE('26.07 Kibuye-Munyonyo-24h'!G90,'27.07 Kibuye-Munyonyo-24h'!G90)</f>
        <v>0.5</v>
      </c>
      <c r="H90" s="49">
        <f>AVERAGE('26.07 Kibuye-Munyonyo-24h'!H90,'27.07 Kibuye-Munyonyo-24h'!H90)</f>
        <v>0</v>
      </c>
      <c r="I90" s="49">
        <f>AVERAGE('26.07 Kibuye-Munyonyo-24h'!I90,'27.07 Kibuye-Munyonyo-24h'!I90)</f>
        <v>0</v>
      </c>
      <c r="J90" s="49">
        <f>AVERAGE('26.07 Kibuye-Munyonyo-24h'!J90,'27.07 Kibuye-Munyonyo-24h'!J90)</f>
        <v>0</v>
      </c>
      <c r="K90" s="49">
        <f>AVERAGE('26.07 Kibuye-Munyonyo-24h'!K90,'27.07 Kibuye-Munyonyo-24h'!K90)</f>
        <v>0.5</v>
      </c>
      <c r="L90" s="49">
        <f>AVERAGE('26.07 Kibuye-Munyonyo-24h'!L90,'27.07 Kibuye-Munyonyo-24h'!L90)</f>
        <v>0</v>
      </c>
      <c r="M90" s="49">
        <f>AVERAGE('26.07 Kibuye-Munyonyo-24h'!M90,'27.07 Kibuye-Munyonyo-24h'!M90)</f>
        <v>35</v>
      </c>
      <c r="N90" s="49">
        <f>AVERAGE('26.07 Kibuye-Munyonyo-24h'!N90,'27.07 Kibuye-Munyonyo-24h'!N90)</f>
        <v>0</v>
      </c>
      <c r="O90" s="15">
        <f t="shared" si="59"/>
        <v>38</v>
      </c>
      <c r="P90" s="15">
        <f t="shared" si="60"/>
        <v>73</v>
      </c>
      <c r="R90" s="8"/>
      <c r="T90"/>
    </row>
    <row r="91" spans="2:20" ht="23.1" customHeight="1" x14ac:dyDescent="0.25">
      <c r="B91" s="23" t="s">
        <v>131</v>
      </c>
      <c r="C91" s="49">
        <f>AVERAGE('26.07 Kibuye-Munyonyo-24h'!C91,'27.07 Kibuye-Munyonyo-24h'!C91)</f>
        <v>15</v>
      </c>
      <c r="D91" s="49">
        <f>AVERAGE('26.07 Kibuye-Munyonyo-24h'!D91,'27.07 Kibuye-Munyonyo-24h'!D91)</f>
        <v>1.5</v>
      </c>
      <c r="E91" s="49">
        <f>AVERAGE('26.07 Kibuye-Munyonyo-24h'!E91,'27.07 Kibuye-Munyonyo-24h'!E91)</f>
        <v>1</v>
      </c>
      <c r="F91" s="49">
        <f>AVERAGE('26.07 Kibuye-Munyonyo-24h'!F91,'27.07 Kibuye-Munyonyo-24h'!F91)</f>
        <v>6</v>
      </c>
      <c r="G91" s="49">
        <f>AVERAGE('26.07 Kibuye-Munyonyo-24h'!G91,'27.07 Kibuye-Munyonyo-24h'!G91)</f>
        <v>0</v>
      </c>
      <c r="H91" s="49">
        <f>AVERAGE('26.07 Kibuye-Munyonyo-24h'!H91,'27.07 Kibuye-Munyonyo-24h'!H91)</f>
        <v>0</v>
      </c>
      <c r="I91" s="49">
        <f>AVERAGE('26.07 Kibuye-Munyonyo-24h'!I91,'27.07 Kibuye-Munyonyo-24h'!I91)</f>
        <v>1</v>
      </c>
      <c r="J91" s="49">
        <f>AVERAGE('26.07 Kibuye-Munyonyo-24h'!J91,'27.07 Kibuye-Munyonyo-24h'!J91)</f>
        <v>0</v>
      </c>
      <c r="K91" s="49">
        <f>AVERAGE('26.07 Kibuye-Munyonyo-24h'!K91,'27.07 Kibuye-Munyonyo-24h'!K91)</f>
        <v>0</v>
      </c>
      <c r="L91" s="49">
        <f>AVERAGE('26.07 Kibuye-Munyonyo-24h'!L91,'27.07 Kibuye-Munyonyo-24h'!L91)</f>
        <v>0</v>
      </c>
      <c r="M91" s="49">
        <f>AVERAGE('26.07 Kibuye-Munyonyo-24h'!M91,'27.07 Kibuye-Munyonyo-24h'!M91)</f>
        <v>35</v>
      </c>
      <c r="N91" s="49">
        <f>AVERAGE('26.07 Kibuye-Munyonyo-24h'!N91,'27.07 Kibuye-Munyonyo-24h'!N91)</f>
        <v>0</v>
      </c>
      <c r="O91" s="15">
        <f t="shared" si="59"/>
        <v>24.5</v>
      </c>
      <c r="P91" s="15">
        <f t="shared" si="60"/>
        <v>59.5</v>
      </c>
      <c r="R91" s="8"/>
      <c r="T91"/>
    </row>
    <row r="92" spans="2:20" ht="23.1" customHeight="1" x14ac:dyDescent="0.25">
      <c r="B92" s="25" t="s">
        <v>132</v>
      </c>
      <c r="C92" s="49">
        <f>AVERAGE('26.07 Kibuye-Munyonyo-24h'!C92,'27.07 Kibuye-Munyonyo-24h'!C92)</f>
        <v>10</v>
      </c>
      <c r="D92" s="49">
        <f>AVERAGE('26.07 Kibuye-Munyonyo-24h'!D92,'27.07 Kibuye-Munyonyo-24h'!D92)</f>
        <v>0.5</v>
      </c>
      <c r="E92" s="49">
        <f>AVERAGE('26.07 Kibuye-Munyonyo-24h'!E92,'27.07 Kibuye-Munyonyo-24h'!E92)</f>
        <v>0.5</v>
      </c>
      <c r="F92" s="49">
        <f>AVERAGE('26.07 Kibuye-Munyonyo-24h'!F92,'27.07 Kibuye-Munyonyo-24h'!F92)</f>
        <v>6.5</v>
      </c>
      <c r="G92" s="49">
        <f>AVERAGE('26.07 Kibuye-Munyonyo-24h'!G92,'27.07 Kibuye-Munyonyo-24h'!G92)</f>
        <v>0</v>
      </c>
      <c r="H92" s="49">
        <f>AVERAGE('26.07 Kibuye-Munyonyo-24h'!H92,'27.07 Kibuye-Munyonyo-24h'!H92)</f>
        <v>0</v>
      </c>
      <c r="I92" s="49">
        <f>AVERAGE('26.07 Kibuye-Munyonyo-24h'!I92,'27.07 Kibuye-Munyonyo-24h'!I92)</f>
        <v>1</v>
      </c>
      <c r="J92" s="49">
        <f>AVERAGE('26.07 Kibuye-Munyonyo-24h'!J92,'27.07 Kibuye-Munyonyo-24h'!J92)</f>
        <v>0</v>
      </c>
      <c r="K92" s="49">
        <f>AVERAGE('26.07 Kibuye-Munyonyo-24h'!K92,'27.07 Kibuye-Munyonyo-24h'!K92)</f>
        <v>0.5</v>
      </c>
      <c r="L92" s="49">
        <f>AVERAGE('26.07 Kibuye-Munyonyo-24h'!L92,'27.07 Kibuye-Munyonyo-24h'!L92)</f>
        <v>0</v>
      </c>
      <c r="M92" s="49">
        <f>AVERAGE('26.07 Kibuye-Munyonyo-24h'!M92,'27.07 Kibuye-Munyonyo-24h'!M92)</f>
        <v>30</v>
      </c>
      <c r="N92" s="49">
        <f>AVERAGE('26.07 Kibuye-Munyonyo-24h'!N92,'27.07 Kibuye-Munyonyo-24h'!N92)</f>
        <v>0</v>
      </c>
      <c r="O92" s="15">
        <f t="shared" si="59"/>
        <v>19</v>
      </c>
      <c r="P92" s="15">
        <f t="shared" si="60"/>
        <v>49</v>
      </c>
      <c r="R92" s="8"/>
      <c r="T92"/>
    </row>
    <row r="93" spans="2:20" ht="23.1" customHeight="1" x14ac:dyDescent="0.25">
      <c r="B93" s="23" t="s">
        <v>133</v>
      </c>
      <c r="C93" s="49">
        <f>AVERAGE('26.07 Kibuye-Munyonyo-24h'!C93,'27.07 Kibuye-Munyonyo-24h'!C93)</f>
        <v>5</v>
      </c>
      <c r="D93" s="49">
        <f>AVERAGE('26.07 Kibuye-Munyonyo-24h'!D93,'27.07 Kibuye-Munyonyo-24h'!D93)</f>
        <v>0.5</v>
      </c>
      <c r="E93" s="49">
        <f>AVERAGE('26.07 Kibuye-Munyonyo-24h'!E93,'27.07 Kibuye-Munyonyo-24h'!E93)</f>
        <v>0.5</v>
      </c>
      <c r="F93" s="49">
        <f>AVERAGE('26.07 Kibuye-Munyonyo-24h'!F93,'27.07 Kibuye-Munyonyo-24h'!F93)</f>
        <v>0.5</v>
      </c>
      <c r="G93" s="49">
        <f>AVERAGE('26.07 Kibuye-Munyonyo-24h'!G93,'27.07 Kibuye-Munyonyo-24h'!G93)</f>
        <v>3</v>
      </c>
      <c r="H93" s="49">
        <f>AVERAGE('26.07 Kibuye-Munyonyo-24h'!H93,'27.07 Kibuye-Munyonyo-24h'!H93)</f>
        <v>0</v>
      </c>
      <c r="I93" s="49">
        <f>AVERAGE('26.07 Kibuye-Munyonyo-24h'!I93,'27.07 Kibuye-Munyonyo-24h'!I93)</f>
        <v>0</v>
      </c>
      <c r="J93" s="49">
        <f>AVERAGE('26.07 Kibuye-Munyonyo-24h'!J93,'27.07 Kibuye-Munyonyo-24h'!J93)</f>
        <v>0</v>
      </c>
      <c r="K93" s="49">
        <f>AVERAGE('26.07 Kibuye-Munyonyo-24h'!K93,'27.07 Kibuye-Munyonyo-24h'!K93)</f>
        <v>0</v>
      </c>
      <c r="L93" s="49">
        <f>AVERAGE('26.07 Kibuye-Munyonyo-24h'!L93,'27.07 Kibuye-Munyonyo-24h'!L93)</f>
        <v>0</v>
      </c>
      <c r="M93" s="49">
        <f>AVERAGE('26.07 Kibuye-Munyonyo-24h'!M93,'27.07 Kibuye-Munyonyo-24h'!M93)</f>
        <v>31.5</v>
      </c>
      <c r="N93" s="49">
        <f>AVERAGE('26.07 Kibuye-Munyonyo-24h'!N93,'27.07 Kibuye-Munyonyo-24h'!N93)</f>
        <v>0</v>
      </c>
      <c r="O93" s="15">
        <f t="shared" si="59"/>
        <v>9.5</v>
      </c>
      <c r="P93" s="15">
        <f t="shared" si="60"/>
        <v>41</v>
      </c>
      <c r="R93" s="8"/>
      <c r="T93"/>
    </row>
    <row r="94" spans="2:20" ht="23.1" customHeight="1" x14ac:dyDescent="0.25">
      <c r="B94" s="24" t="s">
        <v>134</v>
      </c>
      <c r="C94" s="49">
        <f>AVERAGE('26.07 Kibuye-Munyonyo-24h'!C94,'27.07 Kibuye-Munyonyo-24h'!C94)</f>
        <v>14</v>
      </c>
      <c r="D94" s="49">
        <f>AVERAGE('26.07 Kibuye-Munyonyo-24h'!D94,'27.07 Kibuye-Munyonyo-24h'!D94)</f>
        <v>1.5</v>
      </c>
      <c r="E94" s="49">
        <f>AVERAGE('26.07 Kibuye-Munyonyo-24h'!E94,'27.07 Kibuye-Munyonyo-24h'!E94)</f>
        <v>0</v>
      </c>
      <c r="F94" s="49">
        <f>AVERAGE('26.07 Kibuye-Munyonyo-24h'!F94,'27.07 Kibuye-Munyonyo-24h'!F94)</f>
        <v>3</v>
      </c>
      <c r="G94" s="49">
        <f>AVERAGE('26.07 Kibuye-Munyonyo-24h'!G94,'27.07 Kibuye-Munyonyo-24h'!G94)</f>
        <v>0</v>
      </c>
      <c r="H94" s="49">
        <f>AVERAGE('26.07 Kibuye-Munyonyo-24h'!H94,'27.07 Kibuye-Munyonyo-24h'!H94)</f>
        <v>0.5</v>
      </c>
      <c r="I94" s="49">
        <f>AVERAGE('26.07 Kibuye-Munyonyo-24h'!I94,'27.07 Kibuye-Munyonyo-24h'!I94)</f>
        <v>0</v>
      </c>
      <c r="J94" s="49">
        <f>AVERAGE('26.07 Kibuye-Munyonyo-24h'!J94,'27.07 Kibuye-Munyonyo-24h'!J94)</f>
        <v>0</v>
      </c>
      <c r="K94" s="49">
        <f>AVERAGE('26.07 Kibuye-Munyonyo-24h'!K94,'27.07 Kibuye-Munyonyo-24h'!K94)</f>
        <v>1</v>
      </c>
      <c r="L94" s="49">
        <f>AVERAGE('26.07 Kibuye-Munyonyo-24h'!L94,'27.07 Kibuye-Munyonyo-24h'!L94)</f>
        <v>0</v>
      </c>
      <c r="M94" s="49">
        <f>AVERAGE('26.07 Kibuye-Munyonyo-24h'!M94,'27.07 Kibuye-Munyonyo-24h'!M94)</f>
        <v>34.5</v>
      </c>
      <c r="N94" s="49">
        <f>AVERAGE('26.07 Kibuye-Munyonyo-24h'!N94,'27.07 Kibuye-Munyonyo-24h'!N94)</f>
        <v>0</v>
      </c>
      <c r="O94" s="15">
        <f t="shared" si="59"/>
        <v>20</v>
      </c>
      <c r="P94" s="15">
        <f t="shared" si="60"/>
        <v>54.5</v>
      </c>
      <c r="R94" s="8"/>
      <c r="T94"/>
    </row>
    <row r="95" spans="2:20" ht="23.1" customHeight="1" x14ac:dyDescent="0.25">
      <c r="B95" s="23" t="s">
        <v>135</v>
      </c>
      <c r="C95" s="49">
        <f>AVERAGE('26.07 Kibuye-Munyonyo-24h'!C95,'27.07 Kibuye-Munyonyo-24h'!C95)</f>
        <v>13.5</v>
      </c>
      <c r="D95" s="49">
        <f>AVERAGE('26.07 Kibuye-Munyonyo-24h'!D95,'27.07 Kibuye-Munyonyo-24h'!D95)</f>
        <v>1</v>
      </c>
      <c r="E95" s="49">
        <f>AVERAGE('26.07 Kibuye-Munyonyo-24h'!E95,'27.07 Kibuye-Munyonyo-24h'!E95)</f>
        <v>0</v>
      </c>
      <c r="F95" s="49">
        <f>AVERAGE('26.07 Kibuye-Munyonyo-24h'!F95,'27.07 Kibuye-Munyonyo-24h'!F95)</f>
        <v>1.5</v>
      </c>
      <c r="G95" s="49">
        <f>AVERAGE('26.07 Kibuye-Munyonyo-24h'!G95,'27.07 Kibuye-Munyonyo-24h'!G95)</f>
        <v>0</v>
      </c>
      <c r="H95" s="49">
        <f>AVERAGE('26.07 Kibuye-Munyonyo-24h'!H95,'27.07 Kibuye-Munyonyo-24h'!H95)</f>
        <v>0</v>
      </c>
      <c r="I95" s="49">
        <f>AVERAGE('26.07 Kibuye-Munyonyo-24h'!I95,'27.07 Kibuye-Munyonyo-24h'!I95)</f>
        <v>0</v>
      </c>
      <c r="J95" s="49">
        <f>AVERAGE('26.07 Kibuye-Munyonyo-24h'!J95,'27.07 Kibuye-Munyonyo-24h'!J95)</f>
        <v>0.5</v>
      </c>
      <c r="K95" s="49">
        <f>AVERAGE('26.07 Kibuye-Munyonyo-24h'!K95,'27.07 Kibuye-Munyonyo-24h'!K95)</f>
        <v>1.5</v>
      </c>
      <c r="L95" s="49">
        <f>AVERAGE('26.07 Kibuye-Munyonyo-24h'!L95,'27.07 Kibuye-Munyonyo-24h'!L95)</f>
        <v>0</v>
      </c>
      <c r="M95" s="49">
        <f>AVERAGE('26.07 Kibuye-Munyonyo-24h'!M95,'27.07 Kibuye-Munyonyo-24h'!M95)</f>
        <v>40.5</v>
      </c>
      <c r="N95" s="49">
        <f>AVERAGE('26.07 Kibuye-Munyonyo-24h'!N95,'27.07 Kibuye-Munyonyo-24h'!N95)</f>
        <v>0</v>
      </c>
      <c r="O95" s="15">
        <f t="shared" si="59"/>
        <v>18</v>
      </c>
      <c r="P95" s="15">
        <f t="shared" si="60"/>
        <v>58.5</v>
      </c>
      <c r="R95" s="8"/>
      <c r="T95"/>
    </row>
    <row r="96" spans="2:20" ht="23.1" customHeight="1" x14ac:dyDescent="0.25">
      <c r="B96" s="25" t="s">
        <v>136</v>
      </c>
      <c r="C96" s="49">
        <f>AVERAGE('26.07 Kibuye-Munyonyo-24h'!C96,'27.07 Kibuye-Munyonyo-24h'!C96)</f>
        <v>15.5</v>
      </c>
      <c r="D96" s="49">
        <f>AVERAGE('26.07 Kibuye-Munyonyo-24h'!D96,'27.07 Kibuye-Munyonyo-24h'!D96)</f>
        <v>1.5</v>
      </c>
      <c r="E96" s="49">
        <f>AVERAGE('26.07 Kibuye-Munyonyo-24h'!E96,'27.07 Kibuye-Munyonyo-24h'!E96)</f>
        <v>1</v>
      </c>
      <c r="F96" s="49">
        <f>AVERAGE('26.07 Kibuye-Munyonyo-24h'!F96,'27.07 Kibuye-Munyonyo-24h'!F96)</f>
        <v>0.5</v>
      </c>
      <c r="G96" s="49">
        <f>AVERAGE('26.07 Kibuye-Munyonyo-24h'!G96,'27.07 Kibuye-Munyonyo-24h'!G96)</f>
        <v>0</v>
      </c>
      <c r="H96" s="49">
        <f>AVERAGE('26.07 Kibuye-Munyonyo-24h'!H96,'27.07 Kibuye-Munyonyo-24h'!H96)</f>
        <v>0</v>
      </c>
      <c r="I96" s="49">
        <f>AVERAGE('26.07 Kibuye-Munyonyo-24h'!I96,'27.07 Kibuye-Munyonyo-24h'!I96)</f>
        <v>0</v>
      </c>
      <c r="J96" s="49">
        <f>AVERAGE('26.07 Kibuye-Munyonyo-24h'!J96,'27.07 Kibuye-Munyonyo-24h'!J96)</f>
        <v>0</v>
      </c>
      <c r="K96" s="49">
        <f>AVERAGE('26.07 Kibuye-Munyonyo-24h'!K96,'27.07 Kibuye-Munyonyo-24h'!K96)</f>
        <v>2</v>
      </c>
      <c r="L96" s="49">
        <f>AVERAGE('26.07 Kibuye-Munyonyo-24h'!L96,'27.07 Kibuye-Munyonyo-24h'!L96)</f>
        <v>0</v>
      </c>
      <c r="M96" s="49">
        <f>AVERAGE('26.07 Kibuye-Munyonyo-24h'!M96,'27.07 Kibuye-Munyonyo-24h'!M96)</f>
        <v>35</v>
      </c>
      <c r="N96" s="49">
        <f>AVERAGE('26.07 Kibuye-Munyonyo-24h'!N96,'27.07 Kibuye-Munyonyo-24h'!N96)</f>
        <v>0</v>
      </c>
      <c r="O96" s="15">
        <f t="shared" si="59"/>
        <v>20.5</v>
      </c>
      <c r="P96" s="15">
        <f t="shared" si="60"/>
        <v>55.5</v>
      </c>
      <c r="R96" s="8"/>
      <c r="T96"/>
    </row>
    <row r="97" spans="2:20" ht="23.1" customHeight="1" x14ac:dyDescent="0.25">
      <c r="B97" s="23" t="s">
        <v>137</v>
      </c>
      <c r="C97" s="49">
        <f>AVERAGE('26.07 Kibuye-Munyonyo-24h'!C97,'27.07 Kibuye-Munyonyo-24h'!C97)</f>
        <v>14</v>
      </c>
      <c r="D97" s="49">
        <f>AVERAGE('26.07 Kibuye-Munyonyo-24h'!D97,'27.07 Kibuye-Munyonyo-24h'!D97)</f>
        <v>1.5</v>
      </c>
      <c r="E97" s="49">
        <f>AVERAGE('26.07 Kibuye-Munyonyo-24h'!E97,'27.07 Kibuye-Munyonyo-24h'!E97)</f>
        <v>0.5</v>
      </c>
      <c r="F97" s="49">
        <f>AVERAGE('26.07 Kibuye-Munyonyo-24h'!F97,'27.07 Kibuye-Munyonyo-24h'!F97)</f>
        <v>1</v>
      </c>
      <c r="G97" s="49">
        <f>AVERAGE('26.07 Kibuye-Munyonyo-24h'!G97,'27.07 Kibuye-Munyonyo-24h'!G97)</f>
        <v>0</v>
      </c>
      <c r="H97" s="49">
        <f>AVERAGE('26.07 Kibuye-Munyonyo-24h'!H97,'27.07 Kibuye-Munyonyo-24h'!H97)</f>
        <v>0</v>
      </c>
      <c r="I97" s="49">
        <f>AVERAGE('26.07 Kibuye-Munyonyo-24h'!I97,'27.07 Kibuye-Munyonyo-24h'!I97)</f>
        <v>0</v>
      </c>
      <c r="J97" s="49">
        <f>AVERAGE('26.07 Kibuye-Munyonyo-24h'!J97,'27.07 Kibuye-Munyonyo-24h'!J97)</f>
        <v>0</v>
      </c>
      <c r="K97" s="49">
        <f>AVERAGE('26.07 Kibuye-Munyonyo-24h'!K97,'27.07 Kibuye-Munyonyo-24h'!K97)</f>
        <v>0</v>
      </c>
      <c r="L97" s="49">
        <f>AVERAGE('26.07 Kibuye-Munyonyo-24h'!L97,'27.07 Kibuye-Munyonyo-24h'!L97)</f>
        <v>0</v>
      </c>
      <c r="M97" s="49">
        <f>AVERAGE('26.07 Kibuye-Munyonyo-24h'!M97,'27.07 Kibuye-Munyonyo-24h'!M97)</f>
        <v>34</v>
      </c>
      <c r="N97" s="49">
        <f>AVERAGE('26.07 Kibuye-Munyonyo-24h'!N97,'27.07 Kibuye-Munyonyo-24h'!N97)</f>
        <v>0</v>
      </c>
      <c r="O97" s="15">
        <f t="shared" si="59"/>
        <v>17</v>
      </c>
      <c r="P97" s="15">
        <f t="shared" si="60"/>
        <v>51</v>
      </c>
      <c r="R97" s="8"/>
      <c r="T97"/>
    </row>
    <row r="98" spans="2:20" ht="23.1" customHeight="1" x14ac:dyDescent="0.25">
      <c r="B98" s="24" t="s">
        <v>138</v>
      </c>
      <c r="C98" s="49">
        <f>AVERAGE('26.07 Kibuye-Munyonyo-24h'!C98,'27.07 Kibuye-Munyonyo-24h'!C98)</f>
        <v>12</v>
      </c>
      <c r="D98" s="49">
        <f>AVERAGE('26.07 Kibuye-Munyonyo-24h'!D98,'27.07 Kibuye-Munyonyo-24h'!D98)</f>
        <v>0.5</v>
      </c>
      <c r="E98" s="49">
        <f>AVERAGE('26.07 Kibuye-Munyonyo-24h'!E98,'27.07 Kibuye-Munyonyo-24h'!E98)</f>
        <v>0.5</v>
      </c>
      <c r="F98" s="49">
        <f>AVERAGE('26.07 Kibuye-Munyonyo-24h'!F98,'27.07 Kibuye-Munyonyo-24h'!F98)</f>
        <v>1.5</v>
      </c>
      <c r="G98" s="49">
        <f>AVERAGE('26.07 Kibuye-Munyonyo-24h'!G98,'27.07 Kibuye-Munyonyo-24h'!G98)</f>
        <v>0</v>
      </c>
      <c r="H98" s="49">
        <f>AVERAGE('26.07 Kibuye-Munyonyo-24h'!H98,'27.07 Kibuye-Munyonyo-24h'!H98)</f>
        <v>0</v>
      </c>
      <c r="I98" s="49">
        <f>AVERAGE('26.07 Kibuye-Munyonyo-24h'!I98,'27.07 Kibuye-Munyonyo-24h'!I98)</f>
        <v>0.5</v>
      </c>
      <c r="J98" s="49">
        <f>AVERAGE('26.07 Kibuye-Munyonyo-24h'!J98,'27.07 Kibuye-Munyonyo-24h'!J98)</f>
        <v>0</v>
      </c>
      <c r="K98" s="49">
        <f>AVERAGE('26.07 Kibuye-Munyonyo-24h'!K98,'27.07 Kibuye-Munyonyo-24h'!K98)</f>
        <v>1.5</v>
      </c>
      <c r="L98" s="49">
        <f>AVERAGE('26.07 Kibuye-Munyonyo-24h'!L98,'27.07 Kibuye-Munyonyo-24h'!L98)</f>
        <v>0</v>
      </c>
      <c r="M98" s="49">
        <f>AVERAGE('26.07 Kibuye-Munyonyo-24h'!M98,'27.07 Kibuye-Munyonyo-24h'!M98)</f>
        <v>41.5</v>
      </c>
      <c r="N98" s="49">
        <f>AVERAGE('26.07 Kibuye-Munyonyo-24h'!N98,'27.07 Kibuye-Munyonyo-24h'!N98)</f>
        <v>0</v>
      </c>
      <c r="O98" s="15">
        <f t="shared" si="59"/>
        <v>16.5</v>
      </c>
      <c r="P98" s="15">
        <f t="shared" si="60"/>
        <v>58</v>
      </c>
      <c r="R98" s="8"/>
      <c r="T98"/>
    </row>
    <row r="99" spans="2:20" ht="23.1" customHeight="1" x14ac:dyDescent="0.25">
      <c r="B99" s="23" t="s">
        <v>139</v>
      </c>
      <c r="C99" s="49">
        <f>AVERAGE('26.07 Kibuye-Munyonyo-24h'!C99,'27.07 Kibuye-Munyonyo-24h'!C99)</f>
        <v>7</v>
      </c>
      <c r="D99" s="49">
        <f>AVERAGE('26.07 Kibuye-Munyonyo-24h'!D99,'27.07 Kibuye-Munyonyo-24h'!D99)</f>
        <v>0</v>
      </c>
      <c r="E99" s="49">
        <f>AVERAGE('26.07 Kibuye-Munyonyo-24h'!E99,'27.07 Kibuye-Munyonyo-24h'!E99)</f>
        <v>0</v>
      </c>
      <c r="F99" s="49">
        <f>AVERAGE('26.07 Kibuye-Munyonyo-24h'!F99,'27.07 Kibuye-Munyonyo-24h'!F99)</f>
        <v>1.5</v>
      </c>
      <c r="G99" s="49">
        <f>AVERAGE('26.07 Kibuye-Munyonyo-24h'!G99,'27.07 Kibuye-Munyonyo-24h'!G99)</f>
        <v>0</v>
      </c>
      <c r="H99" s="49">
        <f>AVERAGE('26.07 Kibuye-Munyonyo-24h'!H99,'27.07 Kibuye-Munyonyo-24h'!H99)</f>
        <v>0</v>
      </c>
      <c r="I99" s="49">
        <f>AVERAGE('26.07 Kibuye-Munyonyo-24h'!I99,'27.07 Kibuye-Munyonyo-24h'!I99)</f>
        <v>0</v>
      </c>
      <c r="J99" s="49">
        <f>AVERAGE('26.07 Kibuye-Munyonyo-24h'!J99,'27.07 Kibuye-Munyonyo-24h'!J99)</f>
        <v>0</v>
      </c>
      <c r="K99" s="49">
        <f>AVERAGE('26.07 Kibuye-Munyonyo-24h'!K99,'27.07 Kibuye-Munyonyo-24h'!K99)</f>
        <v>1</v>
      </c>
      <c r="L99" s="49">
        <f>AVERAGE('26.07 Kibuye-Munyonyo-24h'!L99,'27.07 Kibuye-Munyonyo-24h'!L99)</f>
        <v>0</v>
      </c>
      <c r="M99" s="49">
        <f>AVERAGE('26.07 Kibuye-Munyonyo-24h'!M99,'27.07 Kibuye-Munyonyo-24h'!M99)</f>
        <v>27.5</v>
      </c>
      <c r="N99" s="49">
        <f>AVERAGE('26.07 Kibuye-Munyonyo-24h'!N99,'27.07 Kibuye-Munyonyo-24h'!N99)</f>
        <v>0</v>
      </c>
      <c r="O99" s="15">
        <f t="shared" si="59"/>
        <v>9.5</v>
      </c>
      <c r="P99" s="15">
        <f t="shared" si="60"/>
        <v>37</v>
      </c>
      <c r="R99" s="8"/>
      <c r="T99"/>
    </row>
    <row r="100" spans="2:20" ht="23.1" customHeight="1" x14ac:dyDescent="0.25">
      <c r="B100" s="25" t="s">
        <v>140</v>
      </c>
      <c r="C100" s="49">
        <f>AVERAGE('26.07 Kibuye-Munyonyo-24h'!C100,'27.07 Kibuye-Munyonyo-24h'!C100)</f>
        <v>9</v>
      </c>
      <c r="D100" s="49">
        <f>AVERAGE('26.07 Kibuye-Munyonyo-24h'!D100,'27.07 Kibuye-Munyonyo-24h'!D100)</f>
        <v>2.5</v>
      </c>
      <c r="E100" s="49">
        <f>AVERAGE('26.07 Kibuye-Munyonyo-24h'!E100,'27.07 Kibuye-Munyonyo-24h'!E100)</f>
        <v>0.5</v>
      </c>
      <c r="F100" s="49">
        <f>AVERAGE('26.07 Kibuye-Munyonyo-24h'!F100,'27.07 Kibuye-Munyonyo-24h'!F100)</f>
        <v>0.5</v>
      </c>
      <c r="G100" s="49">
        <f>AVERAGE('26.07 Kibuye-Munyonyo-24h'!G100,'27.07 Kibuye-Munyonyo-24h'!G100)</f>
        <v>0</v>
      </c>
      <c r="H100" s="49">
        <f>AVERAGE('26.07 Kibuye-Munyonyo-24h'!H100,'27.07 Kibuye-Munyonyo-24h'!H100)</f>
        <v>0</v>
      </c>
      <c r="I100" s="49">
        <f>AVERAGE('26.07 Kibuye-Munyonyo-24h'!I100,'27.07 Kibuye-Munyonyo-24h'!I100)</f>
        <v>0</v>
      </c>
      <c r="J100" s="49">
        <f>AVERAGE('26.07 Kibuye-Munyonyo-24h'!J100,'27.07 Kibuye-Munyonyo-24h'!J100)</f>
        <v>0</v>
      </c>
      <c r="K100" s="49">
        <f>AVERAGE('26.07 Kibuye-Munyonyo-24h'!K100,'27.07 Kibuye-Munyonyo-24h'!K100)</f>
        <v>2</v>
      </c>
      <c r="L100" s="49">
        <f>AVERAGE('26.07 Kibuye-Munyonyo-24h'!L100,'27.07 Kibuye-Munyonyo-24h'!L100)</f>
        <v>0</v>
      </c>
      <c r="M100" s="49">
        <f>AVERAGE('26.07 Kibuye-Munyonyo-24h'!M100,'27.07 Kibuye-Munyonyo-24h'!M100)</f>
        <v>44</v>
      </c>
      <c r="N100" s="49">
        <f>AVERAGE('26.07 Kibuye-Munyonyo-24h'!N100,'27.07 Kibuye-Munyonyo-24h'!N100)</f>
        <v>0</v>
      </c>
      <c r="O100" s="15">
        <f t="shared" si="59"/>
        <v>14.5</v>
      </c>
      <c r="P100" s="15">
        <f t="shared" si="60"/>
        <v>58.5</v>
      </c>
      <c r="R100" s="8"/>
      <c r="T100"/>
    </row>
    <row r="101" spans="2:20" ht="23.1" customHeight="1" x14ac:dyDescent="0.25">
      <c r="B101" s="23" t="s">
        <v>141</v>
      </c>
      <c r="C101" s="49">
        <f>AVERAGE('26.07 Kibuye-Munyonyo-24h'!C101,'27.07 Kibuye-Munyonyo-24h'!C101)</f>
        <v>11.5</v>
      </c>
      <c r="D101" s="49">
        <f>AVERAGE('26.07 Kibuye-Munyonyo-24h'!D101,'27.07 Kibuye-Munyonyo-24h'!D101)</f>
        <v>1</v>
      </c>
      <c r="E101" s="49">
        <f>AVERAGE('26.07 Kibuye-Munyonyo-24h'!E101,'27.07 Kibuye-Munyonyo-24h'!E101)</f>
        <v>0.5</v>
      </c>
      <c r="F101" s="49">
        <f>AVERAGE('26.07 Kibuye-Munyonyo-24h'!F101,'27.07 Kibuye-Munyonyo-24h'!F101)</f>
        <v>0.5</v>
      </c>
      <c r="G101" s="49">
        <f>AVERAGE('26.07 Kibuye-Munyonyo-24h'!G101,'27.07 Kibuye-Munyonyo-24h'!G101)</f>
        <v>0</v>
      </c>
      <c r="H101" s="49">
        <f>AVERAGE('26.07 Kibuye-Munyonyo-24h'!H101,'27.07 Kibuye-Munyonyo-24h'!H101)</f>
        <v>0</v>
      </c>
      <c r="I101" s="49">
        <f>AVERAGE('26.07 Kibuye-Munyonyo-24h'!I101,'27.07 Kibuye-Munyonyo-24h'!I101)</f>
        <v>0</v>
      </c>
      <c r="J101" s="49">
        <f>AVERAGE('26.07 Kibuye-Munyonyo-24h'!J101,'27.07 Kibuye-Munyonyo-24h'!J101)</f>
        <v>0</v>
      </c>
      <c r="K101" s="49">
        <f>AVERAGE('26.07 Kibuye-Munyonyo-24h'!K101,'27.07 Kibuye-Munyonyo-24h'!K101)</f>
        <v>1</v>
      </c>
      <c r="L101" s="49">
        <f>AVERAGE('26.07 Kibuye-Munyonyo-24h'!L101,'27.07 Kibuye-Munyonyo-24h'!L101)</f>
        <v>0</v>
      </c>
      <c r="M101" s="49">
        <f>AVERAGE('26.07 Kibuye-Munyonyo-24h'!M101,'27.07 Kibuye-Munyonyo-24h'!M101)</f>
        <v>20</v>
      </c>
      <c r="N101" s="49">
        <f>AVERAGE('26.07 Kibuye-Munyonyo-24h'!N101,'27.07 Kibuye-Munyonyo-24h'!N101)</f>
        <v>0</v>
      </c>
      <c r="O101" s="15">
        <f t="shared" si="59"/>
        <v>14.5</v>
      </c>
      <c r="P101" s="15">
        <f t="shared" si="60"/>
        <v>34.5</v>
      </c>
      <c r="R101" s="8"/>
      <c r="T101"/>
    </row>
    <row r="102" spans="2:20" ht="23.1" customHeight="1" x14ac:dyDescent="0.25">
      <c r="B102" s="24" t="s">
        <v>142</v>
      </c>
      <c r="C102" s="49">
        <f>AVERAGE('26.07 Kibuye-Munyonyo-24h'!C102,'27.07 Kibuye-Munyonyo-24h'!C102)</f>
        <v>8.5</v>
      </c>
      <c r="D102" s="49">
        <f>AVERAGE('26.07 Kibuye-Munyonyo-24h'!D102,'27.07 Kibuye-Munyonyo-24h'!D102)</f>
        <v>3</v>
      </c>
      <c r="E102" s="49">
        <f>AVERAGE('26.07 Kibuye-Munyonyo-24h'!E102,'27.07 Kibuye-Munyonyo-24h'!E102)</f>
        <v>1.5</v>
      </c>
      <c r="F102" s="49">
        <f>AVERAGE('26.07 Kibuye-Munyonyo-24h'!F102,'27.07 Kibuye-Munyonyo-24h'!F102)</f>
        <v>1</v>
      </c>
      <c r="G102" s="49">
        <f>AVERAGE('26.07 Kibuye-Munyonyo-24h'!G102,'27.07 Kibuye-Munyonyo-24h'!G102)</f>
        <v>0</v>
      </c>
      <c r="H102" s="49">
        <f>AVERAGE('26.07 Kibuye-Munyonyo-24h'!H102,'27.07 Kibuye-Munyonyo-24h'!H102)</f>
        <v>0</v>
      </c>
      <c r="I102" s="49">
        <f>AVERAGE('26.07 Kibuye-Munyonyo-24h'!I102,'27.07 Kibuye-Munyonyo-24h'!I102)</f>
        <v>0</v>
      </c>
      <c r="J102" s="49">
        <f>AVERAGE('26.07 Kibuye-Munyonyo-24h'!J102,'27.07 Kibuye-Munyonyo-24h'!J102)</f>
        <v>0</v>
      </c>
      <c r="K102" s="49">
        <f>AVERAGE('26.07 Kibuye-Munyonyo-24h'!K102,'27.07 Kibuye-Munyonyo-24h'!K102)</f>
        <v>0</v>
      </c>
      <c r="L102" s="49">
        <f>AVERAGE('26.07 Kibuye-Munyonyo-24h'!L102,'27.07 Kibuye-Munyonyo-24h'!L102)</f>
        <v>0</v>
      </c>
      <c r="M102" s="49">
        <f>AVERAGE('26.07 Kibuye-Munyonyo-24h'!M102,'27.07 Kibuye-Munyonyo-24h'!M102)</f>
        <v>27.5</v>
      </c>
      <c r="N102" s="49">
        <f>AVERAGE('26.07 Kibuye-Munyonyo-24h'!N102,'27.07 Kibuye-Munyonyo-24h'!N102)</f>
        <v>0</v>
      </c>
      <c r="O102" s="15">
        <f t="shared" si="59"/>
        <v>14</v>
      </c>
      <c r="P102" s="15">
        <f t="shared" si="60"/>
        <v>41.5</v>
      </c>
      <c r="R102" s="8"/>
      <c r="T102"/>
    </row>
    <row r="103" spans="2:20" ht="23.1" customHeight="1" x14ac:dyDescent="0.25">
      <c r="B103" s="23" t="s">
        <v>143</v>
      </c>
      <c r="C103" s="49">
        <f>AVERAGE('26.07 Kibuye-Munyonyo-24h'!C103,'27.07 Kibuye-Munyonyo-24h'!C103)</f>
        <v>7</v>
      </c>
      <c r="D103" s="49">
        <f>AVERAGE('26.07 Kibuye-Munyonyo-24h'!D103,'27.07 Kibuye-Munyonyo-24h'!D103)</f>
        <v>1.5</v>
      </c>
      <c r="E103" s="49">
        <f>AVERAGE('26.07 Kibuye-Munyonyo-24h'!E103,'27.07 Kibuye-Munyonyo-24h'!E103)</f>
        <v>0</v>
      </c>
      <c r="F103" s="49">
        <f>AVERAGE('26.07 Kibuye-Munyonyo-24h'!F103,'27.07 Kibuye-Munyonyo-24h'!F103)</f>
        <v>2</v>
      </c>
      <c r="G103" s="49">
        <f>AVERAGE('26.07 Kibuye-Munyonyo-24h'!G103,'27.07 Kibuye-Munyonyo-24h'!G103)</f>
        <v>0</v>
      </c>
      <c r="H103" s="49">
        <f>AVERAGE('26.07 Kibuye-Munyonyo-24h'!H103,'27.07 Kibuye-Munyonyo-24h'!H103)</f>
        <v>0</v>
      </c>
      <c r="I103" s="49">
        <f>AVERAGE('26.07 Kibuye-Munyonyo-24h'!I103,'27.07 Kibuye-Munyonyo-24h'!I103)</f>
        <v>0</v>
      </c>
      <c r="J103" s="49">
        <f>AVERAGE('26.07 Kibuye-Munyonyo-24h'!J103,'27.07 Kibuye-Munyonyo-24h'!J103)</f>
        <v>0</v>
      </c>
      <c r="K103" s="49">
        <f>AVERAGE('26.07 Kibuye-Munyonyo-24h'!K103,'27.07 Kibuye-Munyonyo-24h'!K103)</f>
        <v>1.5</v>
      </c>
      <c r="L103" s="49">
        <f>AVERAGE('26.07 Kibuye-Munyonyo-24h'!L103,'27.07 Kibuye-Munyonyo-24h'!L103)</f>
        <v>0</v>
      </c>
      <c r="M103" s="49">
        <f>AVERAGE('26.07 Kibuye-Munyonyo-24h'!M103,'27.07 Kibuye-Munyonyo-24h'!M103)</f>
        <v>17.5</v>
      </c>
      <c r="N103" s="49">
        <f>AVERAGE('26.07 Kibuye-Munyonyo-24h'!N103,'27.07 Kibuye-Munyonyo-24h'!N103)</f>
        <v>0</v>
      </c>
      <c r="O103" s="15">
        <f t="shared" si="59"/>
        <v>12</v>
      </c>
      <c r="P103" s="15">
        <f t="shared" si="60"/>
        <v>29.5</v>
      </c>
      <c r="R103" s="8"/>
      <c r="T103"/>
    </row>
    <row r="104" spans="2:20" ht="23.1" customHeight="1" x14ac:dyDescent="0.25">
      <c r="B104" s="25" t="s">
        <v>144</v>
      </c>
      <c r="C104" s="49">
        <f>AVERAGE('26.07 Kibuye-Munyonyo-24h'!C104,'27.07 Kibuye-Munyonyo-24h'!C104)</f>
        <v>6.5</v>
      </c>
      <c r="D104" s="49">
        <f>AVERAGE('26.07 Kibuye-Munyonyo-24h'!D104,'27.07 Kibuye-Munyonyo-24h'!D104)</f>
        <v>1</v>
      </c>
      <c r="E104" s="49">
        <f>AVERAGE('26.07 Kibuye-Munyonyo-24h'!E104,'27.07 Kibuye-Munyonyo-24h'!E104)</f>
        <v>0</v>
      </c>
      <c r="F104" s="49">
        <f>AVERAGE('26.07 Kibuye-Munyonyo-24h'!F104,'27.07 Kibuye-Munyonyo-24h'!F104)</f>
        <v>1</v>
      </c>
      <c r="G104" s="49">
        <f>AVERAGE('26.07 Kibuye-Munyonyo-24h'!G104,'27.07 Kibuye-Munyonyo-24h'!G104)</f>
        <v>0</v>
      </c>
      <c r="H104" s="49">
        <f>AVERAGE('26.07 Kibuye-Munyonyo-24h'!H104,'27.07 Kibuye-Munyonyo-24h'!H104)</f>
        <v>0</v>
      </c>
      <c r="I104" s="49">
        <f>AVERAGE('26.07 Kibuye-Munyonyo-24h'!I104,'27.07 Kibuye-Munyonyo-24h'!I104)</f>
        <v>0</v>
      </c>
      <c r="J104" s="49">
        <f>AVERAGE('26.07 Kibuye-Munyonyo-24h'!J104,'27.07 Kibuye-Munyonyo-24h'!J104)</f>
        <v>0</v>
      </c>
      <c r="K104" s="49">
        <f>AVERAGE('26.07 Kibuye-Munyonyo-24h'!K104,'27.07 Kibuye-Munyonyo-24h'!K104)</f>
        <v>2</v>
      </c>
      <c r="L104" s="49">
        <f>AVERAGE('26.07 Kibuye-Munyonyo-24h'!L104,'27.07 Kibuye-Munyonyo-24h'!L104)</f>
        <v>0</v>
      </c>
      <c r="M104" s="49">
        <f>AVERAGE('26.07 Kibuye-Munyonyo-24h'!M104,'27.07 Kibuye-Munyonyo-24h'!M104)</f>
        <v>28.5</v>
      </c>
      <c r="N104" s="49">
        <f>AVERAGE('26.07 Kibuye-Munyonyo-24h'!N104,'27.07 Kibuye-Munyonyo-24h'!N104)</f>
        <v>0</v>
      </c>
      <c r="O104" s="15">
        <f t="shared" si="59"/>
        <v>10.5</v>
      </c>
      <c r="P104" s="15">
        <f t="shared" si="60"/>
        <v>39</v>
      </c>
      <c r="R104" s="8"/>
      <c r="T104"/>
    </row>
    <row r="105" spans="2:20" ht="23.1" customHeight="1" x14ac:dyDescent="0.25">
      <c r="B105" s="23" t="s">
        <v>145</v>
      </c>
      <c r="C105" s="49">
        <f>AVERAGE('26.07 Kibuye-Munyonyo-24h'!C105,'27.07 Kibuye-Munyonyo-24h'!C105)</f>
        <v>5</v>
      </c>
      <c r="D105" s="49">
        <f>AVERAGE('26.07 Kibuye-Munyonyo-24h'!D105,'27.07 Kibuye-Munyonyo-24h'!D105)</f>
        <v>1</v>
      </c>
      <c r="E105" s="49">
        <f>AVERAGE('26.07 Kibuye-Munyonyo-24h'!E105,'27.07 Kibuye-Munyonyo-24h'!E105)</f>
        <v>0.5</v>
      </c>
      <c r="F105" s="49">
        <f>AVERAGE('26.07 Kibuye-Munyonyo-24h'!F105,'27.07 Kibuye-Munyonyo-24h'!F105)</f>
        <v>3</v>
      </c>
      <c r="G105" s="49">
        <f>AVERAGE('26.07 Kibuye-Munyonyo-24h'!G105,'27.07 Kibuye-Munyonyo-24h'!G105)</f>
        <v>0</v>
      </c>
      <c r="H105" s="49">
        <f>AVERAGE('26.07 Kibuye-Munyonyo-24h'!H105,'27.07 Kibuye-Munyonyo-24h'!H105)</f>
        <v>0</v>
      </c>
      <c r="I105" s="49">
        <f>AVERAGE('26.07 Kibuye-Munyonyo-24h'!I105,'27.07 Kibuye-Munyonyo-24h'!I105)</f>
        <v>0</v>
      </c>
      <c r="J105" s="49">
        <f>AVERAGE('26.07 Kibuye-Munyonyo-24h'!J105,'27.07 Kibuye-Munyonyo-24h'!J105)</f>
        <v>0.5</v>
      </c>
      <c r="K105" s="49">
        <f>AVERAGE('26.07 Kibuye-Munyonyo-24h'!K105,'27.07 Kibuye-Munyonyo-24h'!K105)</f>
        <v>0.5</v>
      </c>
      <c r="L105" s="49">
        <f>AVERAGE('26.07 Kibuye-Munyonyo-24h'!L105,'27.07 Kibuye-Munyonyo-24h'!L105)</f>
        <v>0</v>
      </c>
      <c r="M105" s="49">
        <f>AVERAGE('26.07 Kibuye-Munyonyo-24h'!M105,'27.07 Kibuye-Munyonyo-24h'!M105)</f>
        <v>15.5</v>
      </c>
      <c r="N105" s="49">
        <f>AVERAGE('26.07 Kibuye-Munyonyo-24h'!N105,'27.07 Kibuye-Munyonyo-24h'!N105)</f>
        <v>0</v>
      </c>
      <c r="O105" s="15">
        <f t="shared" si="59"/>
        <v>10.5</v>
      </c>
      <c r="P105" s="15">
        <f t="shared" si="60"/>
        <v>26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2092.8571428571427</v>
      </c>
      <c r="D106" s="16">
        <f t="shared" ref="D106:P106" si="61">SUM(D10:D105)</f>
        <v>671.14285714285711</v>
      </c>
      <c r="E106" s="16">
        <f t="shared" si="61"/>
        <v>204.42857142857144</v>
      </c>
      <c r="F106" s="16">
        <f t="shared" si="61"/>
        <v>2478.8571428571422</v>
      </c>
      <c r="G106" s="16">
        <f t="shared" si="61"/>
        <v>24.785714285714285</v>
      </c>
      <c r="H106" s="16">
        <f t="shared" si="61"/>
        <v>4.2142857142857135</v>
      </c>
      <c r="I106" s="16">
        <f t="shared" si="61"/>
        <v>195.85714285714286</v>
      </c>
      <c r="J106" s="16">
        <f t="shared" si="61"/>
        <v>48.928571428571431</v>
      </c>
      <c r="K106" s="16">
        <f t="shared" si="61"/>
        <v>46.5</v>
      </c>
      <c r="L106" s="16">
        <f t="shared" si="61"/>
        <v>0.42857142857142855</v>
      </c>
      <c r="M106" s="16">
        <f t="shared" si="61"/>
        <v>8381.1428571428551</v>
      </c>
      <c r="N106" s="16">
        <f t="shared" si="61"/>
        <v>0.7857142857142857</v>
      </c>
      <c r="O106" s="16">
        <f t="shared" si="61"/>
        <v>5768.7857142857138</v>
      </c>
      <c r="P106" s="16">
        <f t="shared" si="61"/>
        <v>14149.928571428571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62">C106/$P$106</f>
        <v>0.14790584505726934</v>
      </c>
      <c r="D107" s="43">
        <f t="shared" si="62"/>
        <v>4.7430830039525695E-2</v>
      </c>
      <c r="E107" s="43">
        <f t="shared" si="62"/>
        <v>1.4447321793648632E-2</v>
      </c>
      <c r="F107" s="43">
        <f t="shared" si="62"/>
        <v>0.17518513470537456</v>
      </c>
      <c r="G107" s="43">
        <f t="shared" si="62"/>
        <v>1.751649427811347E-3</v>
      </c>
      <c r="H107" s="43">
        <f t="shared" si="62"/>
        <v>2.9783088253852865E-4</v>
      </c>
      <c r="I107" s="43">
        <f t="shared" si="62"/>
        <v>1.3841564066451624E-2</v>
      </c>
      <c r="J107" s="43">
        <f t="shared" si="62"/>
        <v>3.4578670260829183E-3</v>
      </c>
      <c r="K107" s="43">
        <f t="shared" si="62"/>
        <v>3.2862356700437663E-3</v>
      </c>
      <c r="L107" s="43">
        <f t="shared" si="62"/>
        <v>3.0287886359850377E-5</v>
      </c>
      <c r="M107" s="43">
        <f t="shared" si="62"/>
        <v>0.59230990565323383</v>
      </c>
      <c r="N107" s="43">
        <f t="shared" si="62"/>
        <v>5.5527791659725695E-5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0.36278989141067075</v>
      </c>
      <c r="D108" s="44">
        <f t="shared" ref="D108:N108" si="63">D106/$O$106</f>
        <v>0.1163404034025482</v>
      </c>
      <c r="E108" s="44">
        <f t="shared" si="63"/>
        <v>3.543701942721296E-2</v>
      </c>
      <c r="F108" s="44">
        <f t="shared" si="63"/>
        <v>0.42970171984695954</v>
      </c>
      <c r="G108" s="44">
        <f t="shared" si="63"/>
        <v>4.2965219221673297E-3</v>
      </c>
      <c r="H108" s="44">
        <f t="shared" si="63"/>
        <v>7.3053254584401267E-4</v>
      </c>
      <c r="I108" s="44">
        <f t="shared" si="63"/>
        <v>3.3951190520411581E-2</v>
      </c>
      <c r="J108" s="44">
        <f t="shared" si="63"/>
        <v>8.4816066763245563E-3</v>
      </c>
      <c r="K108" s="44">
        <f t="shared" si="63"/>
        <v>8.0606218193974965E-3</v>
      </c>
      <c r="L108" s="44">
        <f t="shared" si="63"/>
        <v>7.42914453400691E-5</v>
      </c>
      <c r="M108" s="44"/>
      <c r="N108" s="44">
        <f t="shared" si="63"/>
        <v>1.3620098312346E-4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F52" zoomScale="60" workbookViewId="0">
      <selection activeCell="AE59" sqref="AE5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'28.07 Munyonyo-Kibuye'!C3:G3</f>
        <v>MCC - C1 - STN01A - SALAMA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170</v>
      </c>
      <c r="E5" s="67"/>
      <c r="F5" s="41" t="s">
        <v>1</v>
      </c>
      <c r="G5" s="64" t="str">
        <f>'28.07 Munyonyo-Kibuye'!G5:H5</f>
        <v>Salama road 1A</v>
      </c>
      <c r="H5" s="65"/>
      <c r="I5" s="14"/>
      <c r="J5" s="2" t="s">
        <v>5</v>
      </c>
      <c r="K5" s="64" t="str">
        <f>'28.07 Munyonyo-Kibuye'!K5:L5</f>
        <v>Gerald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'28.07 Munyonyo-Kibuye'!D6:E6</f>
        <v>Munyonyo</v>
      </c>
      <c r="E6" s="65"/>
      <c r="F6" s="2" t="s">
        <v>2</v>
      </c>
      <c r="G6" s="64" t="str">
        <f>'28.07 Munyonyo-Kibuye'!G6:H6</f>
        <v>Kibuye</v>
      </c>
      <c r="H6" s="65"/>
      <c r="J6" s="2" t="s">
        <v>21</v>
      </c>
      <c r="K6" s="64" t="str">
        <f>'28.07 Munyonyo-Kibuye'!K6:L6</f>
        <v>Emma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Munyonyo-Kibuye'!C10,'23.07 Munyonyo-Kibuye'!C10,'24.07 Munyonyo-Kibuye'!C10,'25.07 Munyonyo-Kibuye'!C10,'26.07 Munyonyo-Kibuye-24h'!C10,'27.07 Munyonyo-Kibuye-24h'!C10,'28.07 Munyonyo-Kibuye'!C10)</f>
        <v>30.142857142857142</v>
      </c>
      <c r="D10" s="49">
        <f>AVERAGE('22.07 Munyonyo-Kibuye'!D10,'23.07 Munyonyo-Kibuye'!D10,'24.07 Munyonyo-Kibuye'!D10,'25.07 Munyonyo-Kibuye'!D10,'26.07 Munyonyo-Kibuye-24h'!D10,'27.07 Munyonyo-Kibuye-24h'!D10,'28.07 Munyonyo-Kibuye'!D10)</f>
        <v>12</v>
      </c>
      <c r="E10" s="49">
        <f>AVERAGE('22.07 Munyonyo-Kibuye'!E10,'23.07 Munyonyo-Kibuye'!E10,'24.07 Munyonyo-Kibuye'!E10,'25.07 Munyonyo-Kibuye'!E10,'26.07 Munyonyo-Kibuye-24h'!E10,'27.07 Munyonyo-Kibuye-24h'!E10,'28.07 Munyonyo-Kibuye'!E10)</f>
        <v>3.4285714285714284</v>
      </c>
      <c r="F10" s="49">
        <f>AVERAGE('22.07 Munyonyo-Kibuye'!F10,'23.07 Munyonyo-Kibuye'!F10,'24.07 Munyonyo-Kibuye'!F10,'25.07 Munyonyo-Kibuye'!F10,'26.07 Munyonyo-Kibuye-24h'!F10,'27.07 Munyonyo-Kibuye-24h'!F10,'28.07 Munyonyo-Kibuye'!F10)</f>
        <v>46.142857142857146</v>
      </c>
      <c r="G10" s="49">
        <f>AVERAGE('22.07 Munyonyo-Kibuye'!G10,'23.07 Munyonyo-Kibuye'!G10,'24.07 Munyonyo-Kibuye'!G10,'25.07 Munyonyo-Kibuye'!G10,'26.07 Munyonyo-Kibuye-24h'!G10,'27.07 Munyonyo-Kibuye-24h'!G10,'28.07 Munyonyo-Kibuye'!G10)</f>
        <v>0.5714285714285714</v>
      </c>
      <c r="H10" s="49">
        <f>AVERAGE('22.07 Munyonyo-Kibuye'!H10,'23.07 Munyonyo-Kibuye'!H10,'24.07 Munyonyo-Kibuye'!H10,'25.07 Munyonyo-Kibuye'!H10,'26.07 Munyonyo-Kibuye-24h'!H10,'27.07 Munyonyo-Kibuye-24h'!H10,'28.07 Munyonyo-Kibuye'!H10)</f>
        <v>0</v>
      </c>
      <c r="I10" s="49">
        <f>AVERAGE('22.07 Munyonyo-Kibuye'!I10,'23.07 Munyonyo-Kibuye'!I10,'24.07 Munyonyo-Kibuye'!I10,'25.07 Munyonyo-Kibuye'!I10,'26.07 Munyonyo-Kibuye-24h'!I10,'27.07 Munyonyo-Kibuye-24h'!I10,'28.07 Munyonyo-Kibuye'!I10)</f>
        <v>3.7142857142857144</v>
      </c>
      <c r="J10" s="49">
        <f>AVERAGE('22.07 Munyonyo-Kibuye'!J10,'23.07 Munyonyo-Kibuye'!J10,'24.07 Munyonyo-Kibuye'!J10,'25.07 Munyonyo-Kibuye'!J10,'26.07 Munyonyo-Kibuye-24h'!J10,'27.07 Munyonyo-Kibuye-24h'!J10,'28.07 Munyonyo-Kibuye'!J10)</f>
        <v>0.14285714285714285</v>
      </c>
      <c r="K10" s="49">
        <f>AVERAGE('22.07 Munyonyo-Kibuye'!K10,'23.07 Munyonyo-Kibuye'!K10,'24.07 Munyonyo-Kibuye'!K10,'25.07 Munyonyo-Kibuye'!K10,'26.07 Munyonyo-Kibuye-24h'!K10,'27.07 Munyonyo-Kibuye-24h'!K10,'28.07 Munyonyo-Kibuye'!K10)</f>
        <v>0.2857142857142857</v>
      </c>
      <c r="L10" s="49">
        <f>AVERAGE('22.07 Munyonyo-Kibuye'!L10,'23.07 Munyonyo-Kibuye'!L10,'24.07 Munyonyo-Kibuye'!L10,'25.07 Munyonyo-Kibuye'!L10,'26.07 Munyonyo-Kibuye-24h'!L10,'27.07 Munyonyo-Kibuye-24h'!L10,'28.07 Munyonyo-Kibuye'!L10)</f>
        <v>0</v>
      </c>
      <c r="M10" s="49">
        <f>AVERAGE('22.07 Munyonyo-Kibuye'!M10,'23.07 Munyonyo-Kibuye'!M10,'24.07 Munyonyo-Kibuye'!M10,'25.07 Munyonyo-Kibuye'!M10,'26.07 Munyonyo-Kibuye-24h'!M10,'27.07 Munyonyo-Kibuye-24h'!M10,'28.07 Munyonyo-Kibuye'!M10)</f>
        <v>155.14285714285714</v>
      </c>
      <c r="N10" s="49">
        <f>AVERAGE('22.07 Munyonyo-Kibuye'!N10,'23.07 Munyonyo-Kibuye'!N10,'24.07 Munyonyo-Kibuye'!N10,'25.07 Munyonyo-Kibuye'!N10,'26.07 Munyonyo-Kibuye-24h'!N10,'27.07 Munyonyo-Kibuye-24h'!N10,'28.07 Munyonyo-Kibuye'!N10)</f>
        <v>0</v>
      </c>
      <c r="O10" s="15">
        <f t="shared" ref="O10:O57" si="0">SUM(C10:L10,N10)</f>
        <v>96.428571428571431</v>
      </c>
      <c r="P10" s="15">
        <f t="shared" ref="P10:P57" si="1">SUM(C10:N10)</f>
        <v>251.57142857142856</v>
      </c>
      <c r="R10" s="1" t="s">
        <v>6</v>
      </c>
      <c r="S10" s="17">
        <f t="shared" ref="S10:AF10" si="2">SUM(C10:C13)</f>
        <v>96</v>
      </c>
      <c r="T10" s="17">
        <f t="shared" si="2"/>
        <v>46</v>
      </c>
      <c r="U10" s="17">
        <f t="shared" si="2"/>
        <v>11</v>
      </c>
      <c r="V10" s="17">
        <f t="shared" si="2"/>
        <v>186.71428571428572</v>
      </c>
      <c r="W10" s="17">
        <f t="shared" si="2"/>
        <v>1.4285714285714284</v>
      </c>
      <c r="X10" s="17">
        <f t="shared" si="2"/>
        <v>0</v>
      </c>
      <c r="Y10" s="17">
        <f t="shared" si="2"/>
        <v>13.428571428571429</v>
      </c>
      <c r="Z10" s="17">
        <f t="shared" si="2"/>
        <v>1.2857142857142856</v>
      </c>
      <c r="AA10" s="17">
        <f t="shared" si="2"/>
        <v>0.5714285714285714</v>
      </c>
      <c r="AB10" s="17">
        <f t="shared" si="2"/>
        <v>0</v>
      </c>
      <c r="AC10" s="17">
        <f t="shared" si="2"/>
        <v>735.85714285714289</v>
      </c>
      <c r="AD10" s="17">
        <f t="shared" si="2"/>
        <v>0</v>
      </c>
      <c r="AE10" s="31">
        <f t="shared" si="2"/>
        <v>356.42857142857144</v>
      </c>
      <c r="AF10" s="31">
        <f t="shared" si="2"/>
        <v>1092.2857142857144</v>
      </c>
    </row>
    <row r="11" spans="2:32" s="6" customFormat="1" ht="23.1" customHeight="1" x14ac:dyDescent="0.25">
      <c r="B11" s="23" t="s">
        <v>38</v>
      </c>
      <c r="C11" s="49">
        <f>AVERAGE('22.07 Munyonyo-Kibuye'!C11,'23.07 Munyonyo-Kibuye'!C11,'24.07 Munyonyo-Kibuye'!C11,'25.07 Munyonyo-Kibuye'!C11,'26.07 Munyonyo-Kibuye-24h'!C11,'27.07 Munyonyo-Kibuye-24h'!C11,'28.07 Munyonyo-Kibuye'!C11)</f>
        <v>21.571428571428573</v>
      </c>
      <c r="D11" s="49">
        <f>AVERAGE('22.07 Munyonyo-Kibuye'!D11,'23.07 Munyonyo-Kibuye'!D11,'24.07 Munyonyo-Kibuye'!D11,'25.07 Munyonyo-Kibuye'!D11,'26.07 Munyonyo-Kibuye-24h'!D11,'27.07 Munyonyo-Kibuye-24h'!D11,'28.07 Munyonyo-Kibuye'!D11)</f>
        <v>12.142857142857142</v>
      </c>
      <c r="E11" s="49">
        <f>AVERAGE('22.07 Munyonyo-Kibuye'!E11,'23.07 Munyonyo-Kibuye'!E11,'24.07 Munyonyo-Kibuye'!E11,'25.07 Munyonyo-Kibuye'!E11,'26.07 Munyonyo-Kibuye-24h'!E11,'27.07 Munyonyo-Kibuye-24h'!E11,'28.07 Munyonyo-Kibuye'!E11)</f>
        <v>3</v>
      </c>
      <c r="F11" s="49">
        <f>AVERAGE('22.07 Munyonyo-Kibuye'!F11,'23.07 Munyonyo-Kibuye'!F11,'24.07 Munyonyo-Kibuye'!F11,'25.07 Munyonyo-Kibuye'!F11,'26.07 Munyonyo-Kibuye-24h'!F11,'27.07 Munyonyo-Kibuye-24h'!F11,'28.07 Munyonyo-Kibuye'!F11)</f>
        <v>43.142857142857146</v>
      </c>
      <c r="G11" s="49">
        <f>AVERAGE('22.07 Munyonyo-Kibuye'!G11,'23.07 Munyonyo-Kibuye'!G11,'24.07 Munyonyo-Kibuye'!G11,'25.07 Munyonyo-Kibuye'!G11,'26.07 Munyonyo-Kibuye-24h'!G11,'27.07 Munyonyo-Kibuye-24h'!G11,'28.07 Munyonyo-Kibuye'!G11)</f>
        <v>0.2857142857142857</v>
      </c>
      <c r="H11" s="49">
        <f>AVERAGE('22.07 Munyonyo-Kibuye'!H11,'23.07 Munyonyo-Kibuye'!H11,'24.07 Munyonyo-Kibuye'!H11,'25.07 Munyonyo-Kibuye'!H11,'26.07 Munyonyo-Kibuye-24h'!H11,'27.07 Munyonyo-Kibuye-24h'!H11,'28.07 Munyonyo-Kibuye'!H11)</f>
        <v>0</v>
      </c>
      <c r="I11" s="49">
        <f>AVERAGE('22.07 Munyonyo-Kibuye'!I11,'23.07 Munyonyo-Kibuye'!I11,'24.07 Munyonyo-Kibuye'!I11,'25.07 Munyonyo-Kibuye'!I11,'26.07 Munyonyo-Kibuye-24h'!I11,'27.07 Munyonyo-Kibuye-24h'!I11,'28.07 Munyonyo-Kibuye'!I11)</f>
        <v>3.2857142857142856</v>
      </c>
      <c r="J11" s="49">
        <f>AVERAGE('22.07 Munyonyo-Kibuye'!J11,'23.07 Munyonyo-Kibuye'!J11,'24.07 Munyonyo-Kibuye'!J11,'25.07 Munyonyo-Kibuye'!J11,'26.07 Munyonyo-Kibuye-24h'!J11,'27.07 Munyonyo-Kibuye-24h'!J11,'28.07 Munyonyo-Kibuye'!J11)</f>
        <v>0.5714285714285714</v>
      </c>
      <c r="K11" s="49">
        <f>AVERAGE('22.07 Munyonyo-Kibuye'!K11,'23.07 Munyonyo-Kibuye'!K11,'24.07 Munyonyo-Kibuye'!K11,'25.07 Munyonyo-Kibuye'!K11,'26.07 Munyonyo-Kibuye-24h'!K11,'27.07 Munyonyo-Kibuye-24h'!K11,'28.07 Munyonyo-Kibuye'!K11)</f>
        <v>0</v>
      </c>
      <c r="L11" s="49">
        <f>AVERAGE('22.07 Munyonyo-Kibuye'!L11,'23.07 Munyonyo-Kibuye'!L11,'24.07 Munyonyo-Kibuye'!L11,'25.07 Munyonyo-Kibuye'!L11,'26.07 Munyonyo-Kibuye-24h'!L11,'27.07 Munyonyo-Kibuye-24h'!L11,'28.07 Munyonyo-Kibuye'!L11)</f>
        <v>0</v>
      </c>
      <c r="M11" s="49">
        <f>AVERAGE('22.07 Munyonyo-Kibuye'!M11,'23.07 Munyonyo-Kibuye'!M11,'24.07 Munyonyo-Kibuye'!M11,'25.07 Munyonyo-Kibuye'!M11,'26.07 Munyonyo-Kibuye-24h'!M11,'27.07 Munyonyo-Kibuye-24h'!M11,'28.07 Munyonyo-Kibuye'!M11)</f>
        <v>172.57142857142858</v>
      </c>
      <c r="N11" s="49">
        <f>AVERAGE('22.07 Munyonyo-Kibuye'!N11,'23.07 Munyonyo-Kibuye'!N11,'24.07 Munyonyo-Kibuye'!N11,'25.07 Munyonyo-Kibuye'!N11,'26.07 Munyonyo-Kibuye-24h'!N11,'27.07 Munyonyo-Kibuye-24h'!N11,'28.07 Munyonyo-Kibuye'!N11)</f>
        <v>0</v>
      </c>
      <c r="O11" s="15">
        <f t="shared" si="0"/>
        <v>84.000000000000014</v>
      </c>
      <c r="P11" s="15">
        <f t="shared" si="1"/>
        <v>256.57142857142861</v>
      </c>
      <c r="R11" s="1" t="s">
        <v>7</v>
      </c>
      <c r="S11" s="17">
        <f t="shared" ref="S11:AF11" si="3">SUM(C14:C17)</f>
        <v>112.14285714285714</v>
      </c>
      <c r="T11" s="17">
        <f t="shared" si="3"/>
        <v>54.857142857142854</v>
      </c>
      <c r="U11" s="17">
        <f t="shared" si="3"/>
        <v>17.285714285714285</v>
      </c>
      <c r="V11" s="17">
        <f t="shared" si="3"/>
        <v>217.28571428571428</v>
      </c>
      <c r="W11" s="17">
        <f t="shared" si="3"/>
        <v>1.4285714285714286</v>
      </c>
      <c r="X11" s="17">
        <f t="shared" si="3"/>
        <v>0</v>
      </c>
      <c r="Y11" s="17">
        <f t="shared" si="3"/>
        <v>14.285714285714286</v>
      </c>
      <c r="Z11" s="17">
        <f t="shared" si="3"/>
        <v>1.2857142857142856</v>
      </c>
      <c r="AA11" s="17">
        <f t="shared" si="3"/>
        <v>0.5714285714285714</v>
      </c>
      <c r="AB11" s="17">
        <f t="shared" si="3"/>
        <v>0</v>
      </c>
      <c r="AC11" s="17">
        <f t="shared" si="3"/>
        <v>921.85714285714289</v>
      </c>
      <c r="AD11" s="17">
        <f t="shared" si="3"/>
        <v>0</v>
      </c>
      <c r="AE11" s="31">
        <f t="shared" si="3"/>
        <v>419.14285714285717</v>
      </c>
      <c r="AF11" s="31">
        <f t="shared" si="3"/>
        <v>1341</v>
      </c>
    </row>
    <row r="12" spans="2:32" ht="23.1" customHeight="1" x14ac:dyDescent="0.25">
      <c r="B12" s="23" t="s">
        <v>39</v>
      </c>
      <c r="C12" s="49">
        <f>AVERAGE('22.07 Munyonyo-Kibuye'!C12,'23.07 Munyonyo-Kibuye'!C12,'24.07 Munyonyo-Kibuye'!C12,'25.07 Munyonyo-Kibuye'!C12,'26.07 Munyonyo-Kibuye-24h'!C12,'27.07 Munyonyo-Kibuye-24h'!C12,'28.07 Munyonyo-Kibuye'!C12)</f>
        <v>18.142857142857142</v>
      </c>
      <c r="D12" s="49">
        <f>AVERAGE('22.07 Munyonyo-Kibuye'!D12,'23.07 Munyonyo-Kibuye'!D12,'24.07 Munyonyo-Kibuye'!D12,'25.07 Munyonyo-Kibuye'!D12,'26.07 Munyonyo-Kibuye-24h'!D12,'27.07 Munyonyo-Kibuye-24h'!D12,'28.07 Munyonyo-Kibuye'!D12)</f>
        <v>10.571428571428571</v>
      </c>
      <c r="E12" s="49">
        <f>AVERAGE('22.07 Munyonyo-Kibuye'!E12,'23.07 Munyonyo-Kibuye'!E12,'24.07 Munyonyo-Kibuye'!E12,'25.07 Munyonyo-Kibuye'!E12,'26.07 Munyonyo-Kibuye-24h'!E12,'27.07 Munyonyo-Kibuye-24h'!E12,'28.07 Munyonyo-Kibuye'!E12)</f>
        <v>1.8571428571428572</v>
      </c>
      <c r="F12" s="49">
        <f>AVERAGE('22.07 Munyonyo-Kibuye'!F12,'23.07 Munyonyo-Kibuye'!F12,'24.07 Munyonyo-Kibuye'!F12,'25.07 Munyonyo-Kibuye'!F12,'26.07 Munyonyo-Kibuye-24h'!F12,'27.07 Munyonyo-Kibuye-24h'!F12,'28.07 Munyonyo-Kibuye'!F12)</f>
        <v>47.285714285714285</v>
      </c>
      <c r="G12" s="49">
        <f>AVERAGE('22.07 Munyonyo-Kibuye'!G12,'23.07 Munyonyo-Kibuye'!G12,'24.07 Munyonyo-Kibuye'!G12,'25.07 Munyonyo-Kibuye'!G12,'26.07 Munyonyo-Kibuye-24h'!G12,'27.07 Munyonyo-Kibuye-24h'!G12,'28.07 Munyonyo-Kibuye'!G12)</f>
        <v>0</v>
      </c>
      <c r="H12" s="49">
        <f>AVERAGE('22.07 Munyonyo-Kibuye'!H12,'23.07 Munyonyo-Kibuye'!H12,'24.07 Munyonyo-Kibuye'!H12,'25.07 Munyonyo-Kibuye'!H12,'26.07 Munyonyo-Kibuye-24h'!H12,'27.07 Munyonyo-Kibuye-24h'!H12,'28.07 Munyonyo-Kibuye'!H12)</f>
        <v>0</v>
      </c>
      <c r="I12" s="49">
        <f>AVERAGE('22.07 Munyonyo-Kibuye'!I12,'23.07 Munyonyo-Kibuye'!I12,'24.07 Munyonyo-Kibuye'!I12,'25.07 Munyonyo-Kibuye'!I12,'26.07 Munyonyo-Kibuye-24h'!I12,'27.07 Munyonyo-Kibuye-24h'!I12,'28.07 Munyonyo-Kibuye'!I12)</f>
        <v>2.8571428571428572</v>
      </c>
      <c r="J12" s="49">
        <f>AVERAGE('22.07 Munyonyo-Kibuye'!J12,'23.07 Munyonyo-Kibuye'!J12,'24.07 Munyonyo-Kibuye'!J12,'25.07 Munyonyo-Kibuye'!J12,'26.07 Munyonyo-Kibuye-24h'!J12,'27.07 Munyonyo-Kibuye-24h'!J12,'28.07 Munyonyo-Kibuye'!J12)</f>
        <v>0.5714285714285714</v>
      </c>
      <c r="K12" s="49">
        <f>AVERAGE('22.07 Munyonyo-Kibuye'!K12,'23.07 Munyonyo-Kibuye'!K12,'24.07 Munyonyo-Kibuye'!K12,'25.07 Munyonyo-Kibuye'!K12,'26.07 Munyonyo-Kibuye-24h'!K12,'27.07 Munyonyo-Kibuye-24h'!K12,'28.07 Munyonyo-Kibuye'!K12)</f>
        <v>0.14285714285714285</v>
      </c>
      <c r="L12" s="49">
        <f>AVERAGE('22.07 Munyonyo-Kibuye'!L12,'23.07 Munyonyo-Kibuye'!L12,'24.07 Munyonyo-Kibuye'!L12,'25.07 Munyonyo-Kibuye'!L12,'26.07 Munyonyo-Kibuye-24h'!L12,'27.07 Munyonyo-Kibuye-24h'!L12,'28.07 Munyonyo-Kibuye'!L12)</f>
        <v>0</v>
      </c>
      <c r="M12" s="49">
        <f>AVERAGE('22.07 Munyonyo-Kibuye'!M12,'23.07 Munyonyo-Kibuye'!M12,'24.07 Munyonyo-Kibuye'!M12,'25.07 Munyonyo-Kibuye'!M12,'26.07 Munyonyo-Kibuye-24h'!M12,'27.07 Munyonyo-Kibuye-24h'!M12,'28.07 Munyonyo-Kibuye'!M12)</f>
        <v>192</v>
      </c>
      <c r="N12" s="49">
        <f>AVERAGE('22.07 Munyonyo-Kibuye'!N12,'23.07 Munyonyo-Kibuye'!N12,'24.07 Munyonyo-Kibuye'!N12,'25.07 Munyonyo-Kibuye'!N12,'26.07 Munyonyo-Kibuye-24h'!N12,'27.07 Munyonyo-Kibuye-24h'!N12,'28.07 Munyonyo-Kibuye'!N12)</f>
        <v>0</v>
      </c>
      <c r="O12" s="15">
        <f t="shared" si="0"/>
        <v>81.428571428571431</v>
      </c>
      <c r="P12" s="15">
        <f t="shared" si="1"/>
        <v>273.42857142857144</v>
      </c>
      <c r="R12" s="1" t="s">
        <v>8</v>
      </c>
      <c r="S12" s="17">
        <f t="shared" ref="S12:AF12" si="4">SUM(C18:C21)</f>
        <v>105.85714285714286</v>
      </c>
      <c r="T12" s="17">
        <f t="shared" si="4"/>
        <v>57.285714285714285</v>
      </c>
      <c r="U12" s="17">
        <f t="shared" si="4"/>
        <v>16.428571428571427</v>
      </c>
      <c r="V12" s="17">
        <f t="shared" si="4"/>
        <v>168.14285714285714</v>
      </c>
      <c r="W12" s="17">
        <f t="shared" si="4"/>
        <v>0.71428571428571419</v>
      </c>
      <c r="X12" s="17">
        <f t="shared" si="4"/>
        <v>0.2857142857142857</v>
      </c>
      <c r="Y12" s="17">
        <f t="shared" si="4"/>
        <v>11.142857142857142</v>
      </c>
      <c r="Z12" s="17">
        <f t="shared" si="4"/>
        <v>1.1428571428571428</v>
      </c>
      <c r="AA12" s="17">
        <f t="shared" si="4"/>
        <v>0.42857142857142855</v>
      </c>
      <c r="AB12" s="17">
        <f t="shared" si="4"/>
        <v>0.2857142857142857</v>
      </c>
      <c r="AC12" s="17">
        <f t="shared" si="4"/>
        <v>768.28571428571422</v>
      </c>
      <c r="AD12" s="17">
        <f t="shared" si="4"/>
        <v>0</v>
      </c>
      <c r="AE12" s="31">
        <f t="shared" si="4"/>
        <v>361.71428571428567</v>
      </c>
      <c r="AF12" s="31">
        <f t="shared" si="4"/>
        <v>1130</v>
      </c>
    </row>
    <row r="13" spans="2:32" ht="23.1" customHeight="1" x14ac:dyDescent="0.25">
      <c r="B13" s="23" t="s">
        <v>40</v>
      </c>
      <c r="C13" s="49">
        <f>AVERAGE('22.07 Munyonyo-Kibuye'!C13,'23.07 Munyonyo-Kibuye'!C13,'24.07 Munyonyo-Kibuye'!C13,'25.07 Munyonyo-Kibuye'!C13,'26.07 Munyonyo-Kibuye-24h'!C13,'27.07 Munyonyo-Kibuye-24h'!C13,'28.07 Munyonyo-Kibuye'!C13)</f>
        <v>26.142857142857142</v>
      </c>
      <c r="D13" s="49">
        <f>AVERAGE('22.07 Munyonyo-Kibuye'!D13,'23.07 Munyonyo-Kibuye'!D13,'24.07 Munyonyo-Kibuye'!D13,'25.07 Munyonyo-Kibuye'!D13,'26.07 Munyonyo-Kibuye-24h'!D13,'27.07 Munyonyo-Kibuye-24h'!D13,'28.07 Munyonyo-Kibuye'!D13)</f>
        <v>11.285714285714286</v>
      </c>
      <c r="E13" s="49">
        <f>AVERAGE('22.07 Munyonyo-Kibuye'!E13,'23.07 Munyonyo-Kibuye'!E13,'24.07 Munyonyo-Kibuye'!E13,'25.07 Munyonyo-Kibuye'!E13,'26.07 Munyonyo-Kibuye-24h'!E13,'27.07 Munyonyo-Kibuye-24h'!E13,'28.07 Munyonyo-Kibuye'!E13)</f>
        <v>2.7142857142857144</v>
      </c>
      <c r="F13" s="49">
        <f>AVERAGE('22.07 Munyonyo-Kibuye'!F13,'23.07 Munyonyo-Kibuye'!F13,'24.07 Munyonyo-Kibuye'!F13,'25.07 Munyonyo-Kibuye'!F13,'26.07 Munyonyo-Kibuye-24h'!F13,'27.07 Munyonyo-Kibuye-24h'!F13,'28.07 Munyonyo-Kibuye'!F13)</f>
        <v>50.142857142857146</v>
      </c>
      <c r="G13" s="49">
        <f>AVERAGE('22.07 Munyonyo-Kibuye'!G13,'23.07 Munyonyo-Kibuye'!G13,'24.07 Munyonyo-Kibuye'!G13,'25.07 Munyonyo-Kibuye'!G13,'26.07 Munyonyo-Kibuye-24h'!G13,'27.07 Munyonyo-Kibuye-24h'!G13,'28.07 Munyonyo-Kibuye'!G13)</f>
        <v>0.5714285714285714</v>
      </c>
      <c r="H13" s="49">
        <f>AVERAGE('22.07 Munyonyo-Kibuye'!H13,'23.07 Munyonyo-Kibuye'!H13,'24.07 Munyonyo-Kibuye'!H13,'25.07 Munyonyo-Kibuye'!H13,'26.07 Munyonyo-Kibuye-24h'!H13,'27.07 Munyonyo-Kibuye-24h'!H13,'28.07 Munyonyo-Kibuye'!H13)</f>
        <v>0</v>
      </c>
      <c r="I13" s="49">
        <f>AVERAGE('22.07 Munyonyo-Kibuye'!I13,'23.07 Munyonyo-Kibuye'!I13,'24.07 Munyonyo-Kibuye'!I13,'25.07 Munyonyo-Kibuye'!I13,'26.07 Munyonyo-Kibuye-24h'!I13,'27.07 Munyonyo-Kibuye-24h'!I13,'28.07 Munyonyo-Kibuye'!I13)</f>
        <v>3.5714285714285716</v>
      </c>
      <c r="J13" s="49">
        <f>AVERAGE('22.07 Munyonyo-Kibuye'!J13,'23.07 Munyonyo-Kibuye'!J13,'24.07 Munyonyo-Kibuye'!J13,'25.07 Munyonyo-Kibuye'!J13,'26.07 Munyonyo-Kibuye-24h'!J13,'27.07 Munyonyo-Kibuye-24h'!J13,'28.07 Munyonyo-Kibuye'!J13)</f>
        <v>0</v>
      </c>
      <c r="K13" s="49">
        <f>AVERAGE('22.07 Munyonyo-Kibuye'!K13,'23.07 Munyonyo-Kibuye'!K13,'24.07 Munyonyo-Kibuye'!K13,'25.07 Munyonyo-Kibuye'!K13,'26.07 Munyonyo-Kibuye-24h'!K13,'27.07 Munyonyo-Kibuye-24h'!K13,'28.07 Munyonyo-Kibuye'!K13)</f>
        <v>0.14285714285714285</v>
      </c>
      <c r="L13" s="49">
        <f>AVERAGE('22.07 Munyonyo-Kibuye'!L13,'23.07 Munyonyo-Kibuye'!L13,'24.07 Munyonyo-Kibuye'!L13,'25.07 Munyonyo-Kibuye'!L13,'26.07 Munyonyo-Kibuye-24h'!L13,'27.07 Munyonyo-Kibuye-24h'!L13,'28.07 Munyonyo-Kibuye'!L13)</f>
        <v>0</v>
      </c>
      <c r="M13" s="49">
        <f>AVERAGE('22.07 Munyonyo-Kibuye'!M13,'23.07 Munyonyo-Kibuye'!M13,'24.07 Munyonyo-Kibuye'!M13,'25.07 Munyonyo-Kibuye'!M13,'26.07 Munyonyo-Kibuye-24h'!M13,'27.07 Munyonyo-Kibuye-24h'!M13,'28.07 Munyonyo-Kibuye'!M13)</f>
        <v>216.14285714285714</v>
      </c>
      <c r="N13" s="49">
        <f>AVERAGE('22.07 Munyonyo-Kibuye'!N13,'23.07 Munyonyo-Kibuye'!N13,'24.07 Munyonyo-Kibuye'!N13,'25.07 Munyonyo-Kibuye'!N13,'26.07 Munyonyo-Kibuye-24h'!N13,'27.07 Munyonyo-Kibuye-24h'!N13,'28.07 Munyonyo-Kibuye'!N13)</f>
        <v>0</v>
      </c>
      <c r="O13" s="15">
        <f t="shared" si="0"/>
        <v>94.571428571428569</v>
      </c>
      <c r="P13" s="15">
        <f t="shared" si="1"/>
        <v>310.71428571428572</v>
      </c>
      <c r="R13" s="1" t="s">
        <v>9</v>
      </c>
      <c r="S13" s="17">
        <f t="shared" ref="S13:AF13" si="5">SUM(C22:C25)</f>
        <v>100.14285714285714</v>
      </c>
      <c r="T13" s="17">
        <f t="shared" si="5"/>
        <v>54.857142857142861</v>
      </c>
      <c r="U13" s="17">
        <f t="shared" si="5"/>
        <v>14</v>
      </c>
      <c r="V13" s="17">
        <f t="shared" si="5"/>
        <v>147.14285714285714</v>
      </c>
      <c r="W13" s="17">
        <f t="shared" si="5"/>
        <v>1.2857142857142858</v>
      </c>
      <c r="X13" s="17">
        <f t="shared" si="5"/>
        <v>0.14285714285714285</v>
      </c>
      <c r="Y13" s="17">
        <f t="shared" si="5"/>
        <v>14.428571428571429</v>
      </c>
      <c r="Z13" s="17">
        <f t="shared" si="5"/>
        <v>2.1428571428571428</v>
      </c>
      <c r="AA13" s="17">
        <f t="shared" si="5"/>
        <v>0.2857142857142857</v>
      </c>
      <c r="AB13" s="17">
        <f t="shared" si="5"/>
        <v>0</v>
      </c>
      <c r="AC13" s="17">
        <f t="shared" si="5"/>
        <v>659.85714285714289</v>
      </c>
      <c r="AD13" s="17">
        <f t="shared" si="5"/>
        <v>1.8571428571428572</v>
      </c>
      <c r="AE13" s="31">
        <f t="shared" si="5"/>
        <v>336.28571428571428</v>
      </c>
      <c r="AF13" s="31">
        <f t="shared" si="5"/>
        <v>996.14285714285711</v>
      </c>
    </row>
    <row r="14" spans="2:32" ht="23.1" customHeight="1" x14ac:dyDescent="0.25">
      <c r="B14" s="23" t="s">
        <v>41</v>
      </c>
      <c r="C14" s="49">
        <f>AVERAGE('22.07 Munyonyo-Kibuye'!C14,'23.07 Munyonyo-Kibuye'!C14,'24.07 Munyonyo-Kibuye'!C14,'25.07 Munyonyo-Kibuye'!C14,'26.07 Munyonyo-Kibuye-24h'!C14,'27.07 Munyonyo-Kibuye-24h'!C14,'28.07 Munyonyo-Kibuye'!C14)</f>
        <v>25.857142857142858</v>
      </c>
      <c r="D14" s="49">
        <f>AVERAGE('22.07 Munyonyo-Kibuye'!D14,'23.07 Munyonyo-Kibuye'!D14,'24.07 Munyonyo-Kibuye'!D14,'25.07 Munyonyo-Kibuye'!D14,'26.07 Munyonyo-Kibuye-24h'!D14,'27.07 Munyonyo-Kibuye-24h'!D14,'28.07 Munyonyo-Kibuye'!D14)</f>
        <v>13.857142857142858</v>
      </c>
      <c r="E14" s="49">
        <f>AVERAGE('22.07 Munyonyo-Kibuye'!E14,'23.07 Munyonyo-Kibuye'!E14,'24.07 Munyonyo-Kibuye'!E14,'25.07 Munyonyo-Kibuye'!E14,'26.07 Munyonyo-Kibuye-24h'!E14,'27.07 Munyonyo-Kibuye-24h'!E14,'28.07 Munyonyo-Kibuye'!E14)</f>
        <v>4</v>
      </c>
      <c r="F14" s="49">
        <f>AVERAGE('22.07 Munyonyo-Kibuye'!F14,'23.07 Munyonyo-Kibuye'!F14,'24.07 Munyonyo-Kibuye'!F14,'25.07 Munyonyo-Kibuye'!F14,'26.07 Munyonyo-Kibuye-24h'!F14,'27.07 Munyonyo-Kibuye-24h'!F14,'28.07 Munyonyo-Kibuye'!F14)</f>
        <v>57.428571428571431</v>
      </c>
      <c r="G14" s="49">
        <f>AVERAGE('22.07 Munyonyo-Kibuye'!G14,'23.07 Munyonyo-Kibuye'!G14,'24.07 Munyonyo-Kibuye'!G14,'25.07 Munyonyo-Kibuye'!G14,'26.07 Munyonyo-Kibuye-24h'!G14,'27.07 Munyonyo-Kibuye-24h'!G14,'28.07 Munyonyo-Kibuye'!G14)</f>
        <v>0.8571428571428571</v>
      </c>
      <c r="H14" s="49">
        <f>AVERAGE('22.07 Munyonyo-Kibuye'!H14,'23.07 Munyonyo-Kibuye'!H14,'24.07 Munyonyo-Kibuye'!H14,'25.07 Munyonyo-Kibuye'!H14,'26.07 Munyonyo-Kibuye-24h'!H14,'27.07 Munyonyo-Kibuye-24h'!H14,'28.07 Munyonyo-Kibuye'!H14)</f>
        <v>0</v>
      </c>
      <c r="I14" s="49">
        <f>AVERAGE('22.07 Munyonyo-Kibuye'!I14,'23.07 Munyonyo-Kibuye'!I14,'24.07 Munyonyo-Kibuye'!I14,'25.07 Munyonyo-Kibuye'!I14,'26.07 Munyonyo-Kibuye-24h'!I14,'27.07 Munyonyo-Kibuye-24h'!I14,'28.07 Munyonyo-Kibuye'!I14)</f>
        <v>4.1428571428571432</v>
      </c>
      <c r="J14" s="49">
        <f>AVERAGE('22.07 Munyonyo-Kibuye'!J14,'23.07 Munyonyo-Kibuye'!J14,'24.07 Munyonyo-Kibuye'!J14,'25.07 Munyonyo-Kibuye'!J14,'26.07 Munyonyo-Kibuye-24h'!J14,'27.07 Munyonyo-Kibuye-24h'!J14,'28.07 Munyonyo-Kibuye'!J14)</f>
        <v>0.5714285714285714</v>
      </c>
      <c r="K14" s="49">
        <f>AVERAGE('22.07 Munyonyo-Kibuye'!K14,'23.07 Munyonyo-Kibuye'!K14,'24.07 Munyonyo-Kibuye'!K14,'25.07 Munyonyo-Kibuye'!K14,'26.07 Munyonyo-Kibuye-24h'!K14,'27.07 Munyonyo-Kibuye-24h'!K14,'28.07 Munyonyo-Kibuye'!K14)</f>
        <v>0.14285714285714285</v>
      </c>
      <c r="L14" s="49">
        <f>AVERAGE('22.07 Munyonyo-Kibuye'!L14,'23.07 Munyonyo-Kibuye'!L14,'24.07 Munyonyo-Kibuye'!L14,'25.07 Munyonyo-Kibuye'!L14,'26.07 Munyonyo-Kibuye-24h'!L14,'27.07 Munyonyo-Kibuye-24h'!L14,'28.07 Munyonyo-Kibuye'!L14)</f>
        <v>0</v>
      </c>
      <c r="M14" s="49">
        <f>AVERAGE('22.07 Munyonyo-Kibuye'!M14,'23.07 Munyonyo-Kibuye'!M14,'24.07 Munyonyo-Kibuye'!M14,'25.07 Munyonyo-Kibuye'!M14,'26.07 Munyonyo-Kibuye-24h'!M14,'27.07 Munyonyo-Kibuye-24h'!M14,'28.07 Munyonyo-Kibuye'!M14)</f>
        <v>235.71428571428572</v>
      </c>
      <c r="N14" s="49">
        <f>AVERAGE('22.07 Munyonyo-Kibuye'!N14,'23.07 Munyonyo-Kibuye'!N14,'24.07 Munyonyo-Kibuye'!N14,'25.07 Munyonyo-Kibuye'!N14,'26.07 Munyonyo-Kibuye-24h'!N14,'27.07 Munyonyo-Kibuye-24h'!N14,'28.07 Munyonyo-Kibuye'!N14)</f>
        <v>0</v>
      </c>
      <c r="O14" s="15">
        <f t="shared" si="0"/>
        <v>106.85714285714285</v>
      </c>
      <c r="P14" s="15">
        <f t="shared" si="1"/>
        <v>342.57142857142856</v>
      </c>
      <c r="R14" s="1" t="s">
        <v>10</v>
      </c>
      <c r="S14" s="17">
        <f t="shared" ref="S14:AF14" si="6">SUM(C26:C29)</f>
        <v>86.714285714285722</v>
      </c>
      <c r="T14" s="17">
        <f t="shared" si="6"/>
        <v>46.571428571428569</v>
      </c>
      <c r="U14" s="17">
        <f t="shared" si="6"/>
        <v>14</v>
      </c>
      <c r="V14" s="17">
        <f t="shared" si="6"/>
        <v>115.71428571428571</v>
      </c>
      <c r="W14" s="17">
        <f t="shared" si="6"/>
        <v>0.5714285714285714</v>
      </c>
      <c r="X14" s="17">
        <f t="shared" si="6"/>
        <v>0</v>
      </c>
      <c r="Y14" s="17">
        <f t="shared" si="6"/>
        <v>13.285714285714285</v>
      </c>
      <c r="Z14" s="17">
        <f t="shared" si="6"/>
        <v>1.9285714285714284</v>
      </c>
      <c r="AA14" s="17">
        <f t="shared" si="6"/>
        <v>0</v>
      </c>
      <c r="AB14" s="17">
        <f t="shared" si="6"/>
        <v>0</v>
      </c>
      <c r="AC14" s="17">
        <f t="shared" si="6"/>
        <v>574.85714285714289</v>
      </c>
      <c r="AD14" s="17">
        <f t="shared" si="6"/>
        <v>0</v>
      </c>
      <c r="AE14" s="31">
        <f t="shared" si="6"/>
        <v>278.78571428571433</v>
      </c>
      <c r="AF14" s="31">
        <f t="shared" si="6"/>
        <v>853.64285714285711</v>
      </c>
    </row>
    <row r="15" spans="2:32" ht="23.1" customHeight="1" x14ac:dyDescent="0.25">
      <c r="B15" s="23" t="s">
        <v>42</v>
      </c>
      <c r="C15" s="49">
        <f>AVERAGE('22.07 Munyonyo-Kibuye'!C15,'23.07 Munyonyo-Kibuye'!C15,'24.07 Munyonyo-Kibuye'!C15,'25.07 Munyonyo-Kibuye'!C15,'26.07 Munyonyo-Kibuye-24h'!C15,'27.07 Munyonyo-Kibuye-24h'!C15,'28.07 Munyonyo-Kibuye'!C15)</f>
        <v>27</v>
      </c>
      <c r="D15" s="49">
        <f>AVERAGE('22.07 Munyonyo-Kibuye'!D15,'23.07 Munyonyo-Kibuye'!D15,'24.07 Munyonyo-Kibuye'!D15,'25.07 Munyonyo-Kibuye'!D15,'26.07 Munyonyo-Kibuye-24h'!D15,'27.07 Munyonyo-Kibuye-24h'!D15,'28.07 Munyonyo-Kibuye'!D15)</f>
        <v>13.714285714285714</v>
      </c>
      <c r="E15" s="49">
        <f>AVERAGE('22.07 Munyonyo-Kibuye'!E15,'23.07 Munyonyo-Kibuye'!E15,'24.07 Munyonyo-Kibuye'!E15,'25.07 Munyonyo-Kibuye'!E15,'26.07 Munyonyo-Kibuye-24h'!E15,'27.07 Munyonyo-Kibuye-24h'!E15,'28.07 Munyonyo-Kibuye'!E15)</f>
        <v>3.8571428571428572</v>
      </c>
      <c r="F15" s="49">
        <f>AVERAGE('22.07 Munyonyo-Kibuye'!F15,'23.07 Munyonyo-Kibuye'!F15,'24.07 Munyonyo-Kibuye'!F15,'25.07 Munyonyo-Kibuye'!F15,'26.07 Munyonyo-Kibuye-24h'!F15,'27.07 Munyonyo-Kibuye-24h'!F15,'28.07 Munyonyo-Kibuye'!F15)</f>
        <v>55.285714285714285</v>
      </c>
      <c r="G15" s="49">
        <f>AVERAGE('22.07 Munyonyo-Kibuye'!G15,'23.07 Munyonyo-Kibuye'!G15,'24.07 Munyonyo-Kibuye'!G15,'25.07 Munyonyo-Kibuye'!G15,'26.07 Munyonyo-Kibuye-24h'!G15,'27.07 Munyonyo-Kibuye-24h'!G15,'28.07 Munyonyo-Kibuye'!G15)</f>
        <v>0</v>
      </c>
      <c r="H15" s="49">
        <f>AVERAGE('22.07 Munyonyo-Kibuye'!H15,'23.07 Munyonyo-Kibuye'!H15,'24.07 Munyonyo-Kibuye'!H15,'25.07 Munyonyo-Kibuye'!H15,'26.07 Munyonyo-Kibuye-24h'!H15,'27.07 Munyonyo-Kibuye-24h'!H15,'28.07 Munyonyo-Kibuye'!H15)</f>
        <v>0</v>
      </c>
      <c r="I15" s="49">
        <f>AVERAGE('22.07 Munyonyo-Kibuye'!I15,'23.07 Munyonyo-Kibuye'!I15,'24.07 Munyonyo-Kibuye'!I15,'25.07 Munyonyo-Kibuye'!I15,'26.07 Munyonyo-Kibuye-24h'!I15,'27.07 Munyonyo-Kibuye-24h'!I15,'28.07 Munyonyo-Kibuye'!I15)</f>
        <v>4</v>
      </c>
      <c r="J15" s="49">
        <f>AVERAGE('22.07 Munyonyo-Kibuye'!J15,'23.07 Munyonyo-Kibuye'!J15,'24.07 Munyonyo-Kibuye'!J15,'25.07 Munyonyo-Kibuye'!J15,'26.07 Munyonyo-Kibuye-24h'!J15,'27.07 Munyonyo-Kibuye-24h'!J15,'28.07 Munyonyo-Kibuye'!J15)</f>
        <v>0.2857142857142857</v>
      </c>
      <c r="K15" s="49">
        <f>AVERAGE('22.07 Munyonyo-Kibuye'!K15,'23.07 Munyonyo-Kibuye'!K15,'24.07 Munyonyo-Kibuye'!K15,'25.07 Munyonyo-Kibuye'!K15,'26.07 Munyonyo-Kibuye-24h'!K15,'27.07 Munyonyo-Kibuye-24h'!K15,'28.07 Munyonyo-Kibuye'!K15)</f>
        <v>0</v>
      </c>
      <c r="L15" s="49">
        <f>AVERAGE('22.07 Munyonyo-Kibuye'!L15,'23.07 Munyonyo-Kibuye'!L15,'24.07 Munyonyo-Kibuye'!L15,'25.07 Munyonyo-Kibuye'!L15,'26.07 Munyonyo-Kibuye-24h'!L15,'27.07 Munyonyo-Kibuye-24h'!L15,'28.07 Munyonyo-Kibuye'!L15)</f>
        <v>0</v>
      </c>
      <c r="M15" s="49">
        <f>AVERAGE('22.07 Munyonyo-Kibuye'!M15,'23.07 Munyonyo-Kibuye'!M15,'24.07 Munyonyo-Kibuye'!M15,'25.07 Munyonyo-Kibuye'!M15,'26.07 Munyonyo-Kibuye-24h'!M15,'27.07 Munyonyo-Kibuye-24h'!M15,'28.07 Munyonyo-Kibuye'!M15)</f>
        <v>227.42857142857142</v>
      </c>
      <c r="N15" s="49">
        <f>AVERAGE('22.07 Munyonyo-Kibuye'!N15,'23.07 Munyonyo-Kibuye'!N15,'24.07 Munyonyo-Kibuye'!N15,'25.07 Munyonyo-Kibuye'!N15,'26.07 Munyonyo-Kibuye-24h'!N15,'27.07 Munyonyo-Kibuye-24h'!N15,'28.07 Munyonyo-Kibuye'!N15)</f>
        <v>0</v>
      </c>
      <c r="O15" s="15">
        <f t="shared" si="0"/>
        <v>104.14285714285715</v>
      </c>
      <c r="P15" s="15">
        <f t="shared" si="1"/>
        <v>331.57142857142856</v>
      </c>
      <c r="R15" s="1" t="s">
        <v>11</v>
      </c>
      <c r="S15" s="17">
        <f t="shared" ref="S15:AF15" si="7">SUM(C30:C33)</f>
        <v>80.142857142857153</v>
      </c>
      <c r="T15" s="17">
        <f t="shared" si="7"/>
        <v>43</v>
      </c>
      <c r="U15" s="17">
        <f t="shared" si="7"/>
        <v>13.428571428571429</v>
      </c>
      <c r="V15" s="17">
        <f t="shared" si="7"/>
        <v>99.285714285714292</v>
      </c>
      <c r="W15" s="17">
        <f t="shared" si="7"/>
        <v>0.71428571428571419</v>
      </c>
      <c r="X15" s="17">
        <f t="shared" si="7"/>
        <v>0.14285714285714285</v>
      </c>
      <c r="Y15" s="17">
        <f t="shared" si="7"/>
        <v>14.285714285714285</v>
      </c>
      <c r="Z15" s="17">
        <f t="shared" si="7"/>
        <v>1.714285714285714</v>
      </c>
      <c r="AA15" s="17">
        <f t="shared" si="7"/>
        <v>0.5714285714285714</v>
      </c>
      <c r="AB15" s="17">
        <f t="shared" si="7"/>
        <v>0.14285714285714285</v>
      </c>
      <c r="AC15" s="17">
        <f t="shared" si="7"/>
        <v>519.71428571428578</v>
      </c>
      <c r="AD15" s="17">
        <f t="shared" si="7"/>
        <v>0</v>
      </c>
      <c r="AE15" s="31">
        <f t="shared" si="7"/>
        <v>253.42857142857144</v>
      </c>
      <c r="AF15" s="31">
        <f t="shared" si="7"/>
        <v>773.14285714285711</v>
      </c>
    </row>
    <row r="16" spans="2:32" ht="23.1" customHeight="1" x14ac:dyDescent="0.25">
      <c r="B16" s="23" t="s">
        <v>43</v>
      </c>
      <c r="C16" s="49">
        <f>AVERAGE('22.07 Munyonyo-Kibuye'!C16,'23.07 Munyonyo-Kibuye'!C16,'24.07 Munyonyo-Kibuye'!C16,'25.07 Munyonyo-Kibuye'!C16,'26.07 Munyonyo-Kibuye-24h'!C16,'27.07 Munyonyo-Kibuye-24h'!C16,'28.07 Munyonyo-Kibuye'!C16)</f>
        <v>31.285714285714285</v>
      </c>
      <c r="D16" s="49">
        <f>AVERAGE('22.07 Munyonyo-Kibuye'!D16,'23.07 Munyonyo-Kibuye'!D16,'24.07 Munyonyo-Kibuye'!D16,'25.07 Munyonyo-Kibuye'!D16,'26.07 Munyonyo-Kibuye-24h'!D16,'27.07 Munyonyo-Kibuye-24h'!D16,'28.07 Munyonyo-Kibuye'!D16)</f>
        <v>13.714285714285714</v>
      </c>
      <c r="E16" s="49">
        <f>AVERAGE('22.07 Munyonyo-Kibuye'!E16,'23.07 Munyonyo-Kibuye'!E16,'24.07 Munyonyo-Kibuye'!E16,'25.07 Munyonyo-Kibuye'!E16,'26.07 Munyonyo-Kibuye-24h'!E16,'27.07 Munyonyo-Kibuye-24h'!E16,'28.07 Munyonyo-Kibuye'!E16)</f>
        <v>4</v>
      </c>
      <c r="F16" s="49">
        <f>AVERAGE('22.07 Munyonyo-Kibuye'!F16,'23.07 Munyonyo-Kibuye'!F16,'24.07 Munyonyo-Kibuye'!F16,'25.07 Munyonyo-Kibuye'!F16,'26.07 Munyonyo-Kibuye-24h'!F16,'27.07 Munyonyo-Kibuye-24h'!F16,'28.07 Munyonyo-Kibuye'!F16)</f>
        <v>56.142857142857146</v>
      </c>
      <c r="G16" s="49">
        <f>AVERAGE('22.07 Munyonyo-Kibuye'!G16,'23.07 Munyonyo-Kibuye'!G16,'24.07 Munyonyo-Kibuye'!G16,'25.07 Munyonyo-Kibuye'!G16,'26.07 Munyonyo-Kibuye-24h'!G16,'27.07 Munyonyo-Kibuye-24h'!G16,'28.07 Munyonyo-Kibuye'!G16)</f>
        <v>0.14285714285714285</v>
      </c>
      <c r="H16" s="49">
        <f>AVERAGE('22.07 Munyonyo-Kibuye'!H16,'23.07 Munyonyo-Kibuye'!H16,'24.07 Munyonyo-Kibuye'!H16,'25.07 Munyonyo-Kibuye'!H16,'26.07 Munyonyo-Kibuye-24h'!H16,'27.07 Munyonyo-Kibuye-24h'!H16,'28.07 Munyonyo-Kibuye'!H16)</f>
        <v>0</v>
      </c>
      <c r="I16" s="49">
        <f>AVERAGE('22.07 Munyonyo-Kibuye'!I16,'23.07 Munyonyo-Kibuye'!I16,'24.07 Munyonyo-Kibuye'!I16,'25.07 Munyonyo-Kibuye'!I16,'26.07 Munyonyo-Kibuye-24h'!I16,'27.07 Munyonyo-Kibuye-24h'!I16,'28.07 Munyonyo-Kibuye'!I16)</f>
        <v>3.7142857142857144</v>
      </c>
      <c r="J16" s="49">
        <f>AVERAGE('22.07 Munyonyo-Kibuye'!J16,'23.07 Munyonyo-Kibuye'!J16,'24.07 Munyonyo-Kibuye'!J16,'25.07 Munyonyo-Kibuye'!J16,'26.07 Munyonyo-Kibuye-24h'!J16,'27.07 Munyonyo-Kibuye-24h'!J16,'28.07 Munyonyo-Kibuye'!J16)</f>
        <v>0.14285714285714285</v>
      </c>
      <c r="K16" s="49">
        <f>AVERAGE('22.07 Munyonyo-Kibuye'!K16,'23.07 Munyonyo-Kibuye'!K16,'24.07 Munyonyo-Kibuye'!K16,'25.07 Munyonyo-Kibuye'!K16,'26.07 Munyonyo-Kibuye-24h'!K16,'27.07 Munyonyo-Kibuye-24h'!K16,'28.07 Munyonyo-Kibuye'!K16)</f>
        <v>0.2857142857142857</v>
      </c>
      <c r="L16" s="49">
        <f>AVERAGE('22.07 Munyonyo-Kibuye'!L16,'23.07 Munyonyo-Kibuye'!L16,'24.07 Munyonyo-Kibuye'!L16,'25.07 Munyonyo-Kibuye'!L16,'26.07 Munyonyo-Kibuye-24h'!L16,'27.07 Munyonyo-Kibuye-24h'!L16,'28.07 Munyonyo-Kibuye'!L16)</f>
        <v>0</v>
      </c>
      <c r="M16" s="49">
        <f>AVERAGE('22.07 Munyonyo-Kibuye'!M16,'23.07 Munyonyo-Kibuye'!M16,'24.07 Munyonyo-Kibuye'!M16,'25.07 Munyonyo-Kibuye'!M16,'26.07 Munyonyo-Kibuye-24h'!M16,'27.07 Munyonyo-Kibuye-24h'!M16,'28.07 Munyonyo-Kibuye'!M16)</f>
        <v>241.71428571428572</v>
      </c>
      <c r="N16" s="49">
        <f>AVERAGE('22.07 Munyonyo-Kibuye'!N16,'23.07 Munyonyo-Kibuye'!N16,'24.07 Munyonyo-Kibuye'!N16,'25.07 Munyonyo-Kibuye'!N16,'26.07 Munyonyo-Kibuye-24h'!N16,'27.07 Munyonyo-Kibuye-24h'!N16,'28.07 Munyonyo-Kibuye'!N16)</f>
        <v>0</v>
      </c>
      <c r="O16" s="15">
        <f t="shared" si="0"/>
        <v>109.42857142857142</v>
      </c>
      <c r="P16" s="15">
        <f t="shared" si="1"/>
        <v>351.14285714285711</v>
      </c>
      <c r="R16" s="1" t="s">
        <v>12</v>
      </c>
      <c r="S16" s="17">
        <f t="shared" ref="S16:AF16" si="8">SUM(C34:C37)</f>
        <v>79.714285714285708</v>
      </c>
      <c r="T16" s="17">
        <f t="shared" si="8"/>
        <v>46.142857142857139</v>
      </c>
      <c r="U16" s="17">
        <f t="shared" si="8"/>
        <v>14.714285714285714</v>
      </c>
      <c r="V16" s="17">
        <f t="shared" si="8"/>
        <v>89.714285714285722</v>
      </c>
      <c r="W16" s="17">
        <f t="shared" si="8"/>
        <v>0.42857142857142855</v>
      </c>
      <c r="X16" s="17">
        <f t="shared" si="8"/>
        <v>0</v>
      </c>
      <c r="Y16" s="17">
        <f t="shared" si="8"/>
        <v>15.142857142857144</v>
      </c>
      <c r="Z16" s="17">
        <f t="shared" si="8"/>
        <v>2.2857142857142856</v>
      </c>
      <c r="AA16" s="17">
        <f t="shared" si="8"/>
        <v>0.2857142857142857</v>
      </c>
      <c r="AB16" s="17">
        <f t="shared" si="8"/>
        <v>0</v>
      </c>
      <c r="AC16" s="17">
        <f t="shared" si="8"/>
        <v>483.85714285714289</v>
      </c>
      <c r="AD16" s="17">
        <f t="shared" si="8"/>
        <v>1</v>
      </c>
      <c r="AE16" s="31">
        <f t="shared" si="8"/>
        <v>249.42857142857144</v>
      </c>
      <c r="AF16" s="31">
        <f t="shared" si="8"/>
        <v>733.28571428571422</v>
      </c>
    </row>
    <row r="17" spans="2:32" ht="23.1" customHeight="1" x14ac:dyDescent="0.25">
      <c r="B17" s="23" t="s">
        <v>44</v>
      </c>
      <c r="C17" s="49">
        <f>AVERAGE('22.07 Munyonyo-Kibuye'!C17,'23.07 Munyonyo-Kibuye'!C17,'24.07 Munyonyo-Kibuye'!C17,'25.07 Munyonyo-Kibuye'!C17,'26.07 Munyonyo-Kibuye-24h'!C17,'27.07 Munyonyo-Kibuye-24h'!C17,'28.07 Munyonyo-Kibuye'!C17)</f>
        <v>28</v>
      </c>
      <c r="D17" s="49">
        <f>AVERAGE('22.07 Munyonyo-Kibuye'!D17,'23.07 Munyonyo-Kibuye'!D17,'24.07 Munyonyo-Kibuye'!D17,'25.07 Munyonyo-Kibuye'!D17,'26.07 Munyonyo-Kibuye-24h'!D17,'27.07 Munyonyo-Kibuye-24h'!D17,'28.07 Munyonyo-Kibuye'!D17)</f>
        <v>13.571428571428571</v>
      </c>
      <c r="E17" s="49">
        <f>AVERAGE('22.07 Munyonyo-Kibuye'!E17,'23.07 Munyonyo-Kibuye'!E17,'24.07 Munyonyo-Kibuye'!E17,'25.07 Munyonyo-Kibuye'!E17,'26.07 Munyonyo-Kibuye-24h'!E17,'27.07 Munyonyo-Kibuye-24h'!E17,'28.07 Munyonyo-Kibuye'!E17)</f>
        <v>5.4285714285714288</v>
      </c>
      <c r="F17" s="49">
        <f>AVERAGE('22.07 Munyonyo-Kibuye'!F17,'23.07 Munyonyo-Kibuye'!F17,'24.07 Munyonyo-Kibuye'!F17,'25.07 Munyonyo-Kibuye'!F17,'26.07 Munyonyo-Kibuye-24h'!F17,'27.07 Munyonyo-Kibuye-24h'!F17,'28.07 Munyonyo-Kibuye'!F17)</f>
        <v>48.428571428571431</v>
      </c>
      <c r="G17" s="49">
        <f>AVERAGE('22.07 Munyonyo-Kibuye'!G17,'23.07 Munyonyo-Kibuye'!G17,'24.07 Munyonyo-Kibuye'!G17,'25.07 Munyonyo-Kibuye'!G17,'26.07 Munyonyo-Kibuye-24h'!G17,'27.07 Munyonyo-Kibuye-24h'!G17,'28.07 Munyonyo-Kibuye'!G17)</f>
        <v>0.42857142857142855</v>
      </c>
      <c r="H17" s="49">
        <f>AVERAGE('22.07 Munyonyo-Kibuye'!H17,'23.07 Munyonyo-Kibuye'!H17,'24.07 Munyonyo-Kibuye'!H17,'25.07 Munyonyo-Kibuye'!H17,'26.07 Munyonyo-Kibuye-24h'!H17,'27.07 Munyonyo-Kibuye-24h'!H17,'28.07 Munyonyo-Kibuye'!H17)</f>
        <v>0</v>
      </c>
      <c r="I17" s="49">
        <f>AVERAGE('22.07 Munyonyo-Kibuye'!I17,'23.07 Munyonyo-Kibuye'!I17,'24.07 Munyonyo-Kibuye'!I17,'25.07 Munyonyo-Kibuye'!I17,'26.07 Munyonyo-Kibuye-24h'!I17,'27.07 Munyonyo-Kibuye-24h'!I17,'28.07 Munyonyo-Kibuye'!I17)</f>
        <v>2.4285714285714284</v>
      </c>
      <c r="J17" s="49">
        <f>AVERAGE('22.07 Munyonyo-Kibuye'!J17,'23.07 Munyonyo-Kibuye'!J17,'24.07 Munyonyo-Kibuye'!J17,'25.07 Munyonyo-Kibuye'!J17,'26.07 Munyonyo-Kibuye-24h'!J17,'27.07 Munyonyo-Kibuye-24h'!J17,'28.07 Munyonyo-Kibuye'!J17)</f>
        <v>0.2857142857142857</v>
      </c>
      <c r="K17" s="49">
        <f>AVERAGE('22.07 Munyonyo-Kibuye'!K17,'23.07 Munyonyo-Kibuye'!K17,'24.07 Munyonyo-Kibuye'!K17,'25.07 Munyonyo-Kibuye'!K17,'26.07 Munyonyo-Kibuye-24h'!K17,'27.07 Munyonyo-Kibuye-24h'!K17,'28.07 Munyonyo-Kibuye'!K17)</f>
        <v>0.14285714285714285</v>
      </c>
      <c r="L17" s="49">
        <f>AVERAGE('22.07 Munyonyo-Kibuye'!L17,'23.07 Munyonyo-Kibuye'!L17,'24.07 Munyonyo-Kibuye'!L17,'25.07 Munyonyo-Kibuye'!L17,'26.07 Munyonyo-Kibuye-24h'!L17,'27.07 Munyonyo-Kibuye-24h'!L17,'28.07 Munyonyo-Kibuye'!L17)</f>
        <v>0</v>
      </c>
      <c r="M17" s="49">
        <f>AVERAGE('22.07 Munyonyo-Kibuye'!M17,'23.07 Munyonyo-Kibuye'!M17,'24.07 Munyonyo-Kibuye'!M17,'25.07 Munyonyo-Kibuye'!M17,'26.07 Munyonyo-Kibuye-24h'!M17,'27.07 Munyonyo-Kibuye-24h'!M17,'28.07 Munyonyo-Kibuye'!M17)</f>
        <v>217</v>
      </c>
      <c r="N17" s="49">
        <f>AVERAGE('22.07 Munyonyo-Kibuye'!N17,'23.07 Munyonyo-Kibuye'!N17,'24.07 Munyonyo-Kibuye'!N17,'25.07 Munyonyo-Kibuye'!N17,'26.07 Munyonyo-Kibuye-24h'!N17,'27.07 Munyonyo-Kibuye-24h'!N17,'28.07 Munyonyo-Kibuye'!N17)</f>
        <v>0</v>
      </c>
      <c r="O17" s="15">
        <f t="shared" si="0"/>
        <v>98.714285714285722</v>
      </c>
      <c r="P17" s="15">
        <f t="shared" si="1"/>
        <v>315.71428571428572</v>
      </c>
      <c r="R17" s="1" t="s">
        <v>13</v>
      </c>
      <c r="S17" s="17">
        <f t="shared" ref="S17:AF17" si="9">SUM(C38:C41)</f>
        <v>83.857142857142861</v>
      </c>
      <c r="T17" s="17">
        <f t="shared" si="9"/>
        <v>47</v>
      </c>
      <c r="U17" s="17">
        <f t="shared" si="9"/>
        <v>17</v>
      </c>
      <c r="V17" s="17">
        <f t="shared" si="9"/>
        <v>78</v>
      </c>
      <c r="W17" s="17">
        <f t="shared" si="9"/>
        <v>0.2857142857142857</v>
      </c>
      <c r="X17" s="17">
        <f t="shared" si="9"/>
        <v>0</v>
      </c>
      <c r="Y17" s="17">
        <f t="shared" si="9"/>
        <v>12.285714285714286</v>
      </c>
      <c r="Z17" s="17">
        <f t="shared" si="9"/>
        <v>1.4285714285714284</v>
      </c>
      <c r="AA17" s="17">
        <f t="shared" si="9"/>
        <v>0.5714285714285714</v>
      </c>
      <c r="AB17" s="17">
        <f t="shared" si="9"/>
        <v>0.14285714285714285</v>
      </c>
      <c r="AC17" s="17">
        <f t="shared" si="9"/>
        <v>493.71428571428567</v>
      </c>
      <c r="AD17" s="17">
        <f t="shared" si="9"/>
        <v>0</v>
      </c>
      <c r="AE17" s="31">
        <f t="shared" si="9"/>
        <v>240.57142857142858</v>
      </c>
      <c r="AF17" s="31">
        <f t="shared" si="9"/>
        <v>734.28571428571422</v>
      </c>
    </row>
    <row r="18" spans="2:32" ht="23.1" customHeight="1" x14ac:dyDescent="0.25">
      <c r="B18" s="23" t="s">
        <v>45</v>
      </c>
      <c r="C18" s="49">
        <f>AVERAGE('22.07 Munyonyo-Kibuye'!C18,'23.07 Munyonyo-Kibuye'!C18,'24.07 Munyonyo-Kibuye'!C18,'25.07 Munyonyo-Kibuye'!C18,'26.07 Munyonyo-Kibuye-24h'!C18,'27.07 Munyonyo-Kibuye-24h'!C18,'28.07 Munyonyo-Kibuye'!C18)</f>
        <v>24.571428571428573</v>
      </c>
      <c r="D18" s="49">
        <f>AVERAGE('22.07 Munyonyo-Kibuye'!D18,'23.07 Munyonyo-Kibuye'!D18,'24.07 Munyonyo-Kibuye'!D18,'25.07 Munyonyo-Kibuye'!D18,'26.07 Munyonyo-Kibuye-24h'!D18,'27.07 Munyonyo-Kibuye-24h'!D18,'28.07 Munyonyo-Kibuye'!D18)</f>
        <v>14.142857142857142</v>
      </c>
      <c r="E18" s="49">
        <f>AVERAGE('22.07 Munyonyo-Kibuye'!E18,'23.07 Munyonyo-Kibuye'!E18,'24.07 Munyonyo-Kibuye'!E18,'25.07 Munyonyo-Kibuye'!E18,'26.07 Munyonyo-Kibuye-24h'!E18,'27.07 Munyonyo-Kibuye-24h'!E18,'28.07 Munyonyo-Kibuye'!E18)</f>
        <v>4.2857142857142856</v>
      </c>
      <c r="F18" s="49">
        <f>AVERAGE('22.07 Munyonyo-Kibuye'!F18,'23.07 Munyonyo-Kibuye'!F18,'24.07 Munyonyo-Kibuye'!F18,'25.07 Munyonyo-Kibuye'!F18,'26.07 Munyonyo-Kibuye-24h'!F18,'27.07 Munyonyo-Kibuye-24h'!F18,'28.07 Munyonyo-Kibuye'!F18)</f>
        <v>45.857142857142854</v>
      </c>
      <c r="G18" s="49">
        <f>AVERAGE('22.07 Munyonyo-Kibuye'!G18,'23.07 Munyonyo-Kibuye'!G18,'24.07 Munyonyo-Kibuye'!G18,'25.07 Munyonyo-Kibuye'!G18,'26.07 Munyonyo-Kibuye-24h'!G18,'27.07 Munyonyo-Kibuye-24h'!G18,'28.07 Munyonyo-Kibuye'!G18)</f>
        <v>0</v>
      </c>
      <c r="H18" s="49">
        <f>AVERAGE('22.07 Munyonyo-Kibuye'!H18,'23.07 Munyonyo-Kibuye'!H18,'24.07 Munyonyo-Kibuye'!H18,'25.07 Munyonyo-Kibuye'!H18,'26.07 Munyonyo-Kibuye-24h'!H18,'27.07 Munyonyo-Kibuye-24h'!H18,'28.07 Munyonyo-Kibuye'!H18)</f>
        <v>0</v>
      </c>
      <c r="I18" s="49">
        <f>AVERAGE('22.07 Munyonyo-Kibuye'!I18,'23.07 Munyonyo-Kibuye'!I18,'24.07 Munyonyo-Kibuye'!I18,'25.07 Munyonyo-Kibuye'!I18,'26.07 Munyonyo-Kibuye-24h'!I18,'27.07 Munyonyo-Kibuye-24h'!I18,'28.07 Munyonyo-Kibuye'!I18)</f>
        <v>1.8571428571428572</v>
      </c>
      <c r="J18" s="49">
        <f>AVERAGE('22.07 Munyonyo-Kibuye'!J18,'23.07 Munyonyo-Kibuye'!J18,'24.07 Munyonyo-Kibuye'!J18,'25.07 Munyonyo-Kibuye'!J18,'26.07 Munyonyo-Kibuye-24h'!J18,'27.07 Munyonyo-Kibuye-24h'!J18,'28.07 Munyonyo-Kibuye'!J18)</f>
        <v>0.2857142857142857</v>
      </c>
      <c r="K18" s="49">
        <f>AVERAGE('22.07 Munyonyo-Kibuye'!K18,'23.07 Munyonyo-Kibuye'!K18,'24.07 Munyonyo-Kibuye'!K18,'25.07 Munyonyo-Kibuye'!K18,'26.07 Munyonyo-Kibuye-24h'!K18,'27.07 Munyonyo-Kibuye-24h'!K18,'28.07 Munyonyo-Kibuye'!K18)</f>
        <v>0.14285714285714285</v>
      </c>
      <c r="L18" s="49">
        <f>AVERAGE('22.07 Munyonyo-Kibuye'!L18,'23.07 Munyonyo-Kibuye'!L18,'24.07 Munyonyo-Kibuye'!L18,'25.07 Munyonyo-Kibuye'!L18,'26.07 Munyonyo-Kibuye-24h'!L18,'27.07 Munyonyo-Kibuye-24h'!L18,'28.07 Munyonyo-Kibuye'!L18)</f>
        <v>0.14285714285714285</v>
      </c>
      <c r="M18" s="49">
        <f>AVERAGE('22.07 Munyonyo-Kibuye'!M18,'23.07 Munyonyo-Kibuye'!M18,'24.07 Munyonyo-Kibuye'!M18,'25.07 Munyonyo-Kibuye'!M18,'26.07 Munyonyo-Kibuye-24h'!M18,'27.07 Munyonyo-Kibuye-24h'!M18,'28.07 Munyonyo-Kibuye'!M18)</f>
        <v>197.42857142857142</v>
      </c>
      <c r="N18" s="49">
        <f>AVERAGE('22.07 Munyonyo-Kibuye'!N18,'23.07 Munyonyo-Kibuye'!N18,'24.07 Munyonyo-Kibuye'!N18,'25.07 Munyonyo-Kibuye'!N18,'26.07 Munyonyo-Kibuye-24h'!N18,'27.07 Munyonyo-Kibuye-24h'!N18,'28.07 Munyonyo-Kibuye'!N18)</f>
        <v>0</v>
      </c>
      <c r="O18" s="15">
        <f t="shared" si="0"/>
        <v>91.285714285714292</v>
      </c>
      <c r="P18" s="15">
        <f t="shared" si="1"/>
        <v>288.71428571428572</v>
      </c>
      <c r="R18" s="1" t="s">
        <v>14</v>
      </c>
      <c r="S18" s="17">
        <f t="shared" ref="S18:AF18" si="10">SUM(C42:C45)</f>
        <v>86.142857142857139</v>
      </c>
      <c r="T18" s="17">
        <f t="shared" si="10"/>
        <v>41.285714285714285</v>
      </c>
      <c r="U18" s="17">
        <f t="shared" si="10"/>
        <v>14.285714285714285</v>
      </c>
      <c r="V18" s="17">
        <f t="shared" si="10"/>
        <v>82.714285714285708</v>
      </c>
      <c r="W18" s="17">
        <f t="shared" si="10"/>
        <v>0.5714285714285714</v>
      </c>
      <c r="X18" s="17">
        <f t="shared" si="10"/>
        <v>0</v>
      </c>
      <c r="Y18" s="17">
        <f t="shared" si="10"/>
        <v>14.000000000000002</v>
      </c>
      <c r="Z18" s="17">
        <f t="shared" si="10"/>
        <v>1.857142857142857</v>
      </c>
      <c r="AA18" s="17">
        <f t="shared" si="10"/>
        <v>0.42857142857142855</v>
      </c>
      <c r="AB18" s="17">
        <f t="shared" si="10"/>
        <v>0.5714285714285714</v>
      </c>
      <c r="AC18" s="17">
        <f t="shared" si="10"/>
        <v>505.71428571428572</v>
      </c>
      <c r="AD18" s="17">
        <f t="shared" si="10"/>
        <v>0</v>
      </c>
      <c r="AE18" s="31">
        <f t="shared" si="10"/>
        <v>241.85714285714289</v>
      </c>
      <c r="AF18" s="31">
        <f t="shared" si="10"/>
        <v>747.57142857142867</v>
      </c>
    </row>
    <row r="19" spans="2:32" ht="23.1" customHeight="1" x14ac:dyDescent="0.25">
      <c r="B19" s="23" t="s">
        <v>46</v>
      </c>
      <c r="C19" s="49">
        <f>AVERAGE('22.07 Munyonyo-Kibuye'!C19,'23.07 Munyonyo-Kibuye'!C19,'24.07 Munyonyo-Kibuye'!C19,'25.07 Munyonyo-Kibuye'!C19,'26.07 Munyonyo-Kibuye-24h'!C19,'27.07 Munyonyo-Kibuye-24h'!C19,'28.07 Munyonyo-Kibuye'!C19)</f>
        <v>26.142857142857142</v>
      </c>
      <c r="D19" s="49">
        <f>AVERAGE('22.07 Munyonyo-Kibuye'!D19,'23.07 Munyonyo-Kibuye'!D19,'24.07 Munyonyo-Kibuye'!D19,'25.07 Munyonyo-Kibuye'!D19,'26.07 Munyonyo-Kibuye-24h'!D19,'27.07 Munyonyo-Kibuye-24h'!D19,'28.07 Munyonyo-Kibuye'!D19)</f>
        <v>16</v>
      </c>
      <c r="E19" s="49">
        <f>AVERAGE('22.07 Munyonyo-Kibuye'!E19,'23.07 Munyonyo-Kibuye'!E19,'24.07 Munyonyo-Kibuye'!E19,'25.07 Munyonyo-Kibuye'!E19,'26.07 Munyonyo-Kibuye-24h'!E19,'27.07 Munyonyo-Kibuye-24h'!E19,'28.07 Munyonyo-Kibuye'!E19)</f>
        <v>3.5714285714285716</v>
      </c>
      <c r="F19" s="49">
        <f>AVERAGE('22.07 Munyonyo-Kibuye'!F19,'23.07 Munyonyo-Kibuye'!F19,'24.07 Munyonyo-Kibuye'!F19,'25.07 Munyonyo-Kibuye'!F19,'26.07 Munyonyo-Kibuye-24h'!F19,'27.07 Munyonyo-Kibuye-24h'!F19,'28.07 Munyonyo-Kibuye'!F19)</f>
        <v>42.857142857142854</v>
      </c>
      <c r="G19" s="49">
        <f>AVERAGE('22.07 Munyonyo-Kibuye'!G19,'23.07 Munyonyo-Kibuye'!G19,'24.07 Munyonyo-Kibuye'!G19,'25.07 Munyonyo-Kibuye'!G19,'26.07 Munyonyo-Kibuye-24h'!G19,'27.07 Munyonyo-Kibuye-24h'!G19,'28.07 Munyonyo-Kibuye'!G19)</f>
        <v>0.2857142857142857</v>
      </c>
      <c r="H19" s="49">
        <f>AVERAGE('22.07 Munyonyo-Kibuye'!H19,'23.07 Munyonyo-Kibuye'!H19,'24.07 Munyonyo-Kibuye'!H19,'25.07 Munyonyo-Kibuye'!H19,'26.07 Munyonyo-Kibuye-24h'!H19,'27.07 Munyonyo-Kibuye-24h'!H19,'28.07 Munyonyo-Kibuye'!H19)</f>
        <v>0</v>
      </c>
      <c r="I19" s="49">
        <f>AVERAGE('22.07 Munyonyo-Kibuye'!I19,'23.07 Munyonyo-Kibuye'!I19,'24.07 Munyonyo-Kibuye'!I19,'25.07 Munyonyo-Kibuye'!I19,'26.07 Munyonyo-Kibuye-24h'!I19,'27.07 Munyonyo-Kibuye-24h'!I19,'28.07 Munyonyo-Kibuye'!I19)</f>
        <v>2.5714285714285716</v>
      </c>
      <c r="J19" s="49">
        <f>AVERAGE('22.07 Munyonyo-Kibuye'!J19,'23.07 Munyonyo-Kibuye'!J19,'24.07 Munyonyo-Kibuye'!J19,'25.07 Munyonyo-Kibuye'!J19,'26.07 Munyonyo-Kibuye-24h'!J19,'27.07 Munyonyo-Kibuye-24h'!J19,'28.07 Munyonyo-Kibuye'!J19)</f>
        <v>0.14285714285714285</v>
      </c>
      <c r="K19" s="49">
        <f>AVERAGE('22.07 Munyonyo-Kibuye'!K19,'23.07 Munyonyo-Kibuye'!K19,'24.07 Munyonyo-Kibuye'!K19,'25.07 Munyonyo-Kibuye'!K19,'26.07 Munyonyo-Kibuye-24h'!K19,'27.07 Munyonyo-Kibuye-24h'!K19,'28.07 Munyonyo-Kibuye'!K19)</f>
        <v>0.14285714285714285</v>
      </c>
      <c r="L19" s="49">
        <f>AVERAGE('22.07 Munyonyo-Kibuye'!L19,'23.07 Munyonyo-Kibuye'!L19,'24.07 Munyonyo-Kibuye'!L19,'25.07 Munyonyo-Kibuye'!L19,'26.07 Munyonyo-Kibuye-24h'!L19,'27.07 Munyonyo-Kibuye-24h'!L19,'28.07 Munyonyo-Kibuye'!L19)</f>
        <v>0</v>
      </c>
      <c r="M19" s="49">
        <f>AVERAGE('22.07 Munyonyo-Kibuye'!M19,'23.07 Munyonyo-Kibuye'!M19,'24.07 Munyonyo-Kibuye'!M19,'25.07 Munyonyo-Kibuye'!M19,'26.07 Munyonyo-Kibuye-24h'!M19,'27.07 Munyonyo-Kibuye-24h'!M19,'28.07 Munyonyo-Kibuye'!M19)</f>
        <v>192.85714285714286</v>
      </c>
      <c r="N19" s="49">
        <f>AVERAGE('22.07 Munyonyo-Kibuye'!N19,'23.07 Munyonyo-Kibuye'!N19,'24.07 Munyonyo-Kibuye'!N19,'25.07 Munyonyo-Kibuye'!N19,'26.07 Munyonyo-Kibuye-24h'!N19,'27.07 Munyonyo-Kibuye-24h'!N19,'28.07 Munyonyo-Kibuye'!N19)</f>
        <v>0</v>
      </c>
      <c r="O19" s="15">
        <f t="shared" si="0"/>
        <v>91.714285714285694</v>
      </c>
      <c r="P19" s="15">
        <f t="shared" si="1"/>
        <v>284.57142857142856</v>
      </c>
      <c r="R19" s="1" t="s">
        <v>15</v>
      </c>
      <c r="S19" s="17">
        <f t="shared" ref="S19:AF19" si="11">SUM(C46:C49)</f>
        <v>104.85714285714286</v>
      </c>
      <c r="T19" s="17">
        <f t="shared" si="11"/>
        <v>52.142857142857139</v>
      </c>
      <c r="U19" s="17">
        <f t="shared" si="11"/>
        <v>18.714285714285715</v>
      </c>
      <c r="V19" s="17">
        <f t="shared" si="11"/>
        <v>89.142857142857139</v>
      </c>
      <c r="W19" s="17">
        <f t="shared" si="11"/>
        <v>2.4285714285714284</v>
      </c>
      <c r="X19" s="17">
        <f t="shared" si="11"/>
        <v>0</v>
      </c>
      <c r="Y19" s="17">
        <f t="shared" si="11"/>
        <v>15.285714285714285</v>
      </c>
      <c r="Z19" s="17">
        <f t="shared" si="11"/>
        <v>0.85714285714285698</v>
      </c>
      <c r="AA19" s="17">
        <f t="shared" si="11"/>
        <v>0.5714285714285714</v>
      </c>
      <c r="AB19" s="17">
        <f t="shared" si="11"/>
        <v>0.2857142857142857</v>
      </c>
      <c r="AC19" s="17">
        <f t="shared" si="11"/>
        <v>611.42857142857133</v>
      </c>
      <c r="AD19" s="17">
        <f t="shared" si="11"/>
        <v>0</v>
      </c>
      <c r="AE19" s="31">
        <f t="shared" si="11"/>
        <v>284.28571428571428</v>
      </c>
      <c r="AF19" s="31">
        <f t="shared" si="11"/>
        <v>895.71428571428578</v>
      </c>
    </row>
    <row r="20" spans="2:32" ht="23.1" customHeight="1" x14ac:dyDescent="0.25">
      <c r="B20" s="23" t="s">
        <v>47</v>
      </c>
      <c r="C20" s="49">
        <f>AVERAGE('22.07 Munyonyo-Kibuye'!C20,'23.07 Munyonyo-Kibuye'!C20,'24.07 Munyonyo-Kibuye'!C20,'25.07 Munyonyo-Kibuye'!C20,'26.07 Munyonyo-Kibuye-24h'!C20,'27.07 Munyonyo-Kibuye-24h'!C20,'28.07 Munyonyo-Kibuye'!C20)</f>
        <v>29</v>
      </c>
      <c r="D20" s="49">
        <f>AVERAGE('22.07 Munyonyo-Kibuye'!D20,'23.07 Munyonyo-Kibuye'!D20,'24.07 Munyonyo-Kibuye'!D20,'25.07 Munyonyo-Kibuye'!D20,'26.07 Munyonyo-Kibuye-24h'!D20,'27.07 Munyonyo-Kibuye-24h'!D20,'28.07 Munyonyo-Kibuye'!D20)</f>
        <v>14.571428571428571</v>
      </c>
      <c r="E20" s="49">
        <f>AVERAGE('22.07 Munyonyo-Kibuye'!E20,'23.07 Munyonyo-Kibuye'!E20,'24.07 Munyonyo-Kibuye'!E20,'25.07 Munyonyo-Kibuye'!E20,'26.07 Munyonyo-Kibuye-24h'!E20,'27.07 Munyonyo-Kibuye-24h'!E20,'28.07 Munyonyo-Kibuye'!E20)</f>
        <v>4.2857142857142856</v>
      </c>
      <c r="F20" s="49">
        <f>AVERAGE('22.07 Munyonyo-Kibuye'!F20,'23.07 Munyonyo-Kibuye'!F20,'24.07 Munyonyo-Kibuye'!F20,'25.07 Munyonyo-Kibuye'!F20,'26.07 Munyonyo-Kibuye-24h'!F20,'27.07 Munyonyo-Kibuye-24h'!F20,'28.07 Munyonyo-Kibuye'!F20)</f>
        <v>41.285714285714285</v>
      </c>
      <c r="G20" s="49">
        <f>AVERAGE('22.07 Munyonyo-Kibuye'!G20,'23.07 Munyonyo-Kibuye'!G20,'24.07 Munyonyo-Kibuye'!G20,'25.07 Munyonyo-Kibuye'!G20,'26.07 Munyonyo-Kibuye-24h'!G20,'27.07 Munyonyo-Kibuye-24h'!G20,'28.07 Munyonyo-Kibuye'!G20)</f>
        <v>0.42857142857142855</v>
      </c>
      <c r="H20" s="49">
        <f>AVERAGE('22.07 Munyonyo-Kibuye'!H20,'23.07 Munyonyo-Kibuye'!H20,'24.07 Munyonyo-Kibuye'!H20,'25.07 Munyonyo-Kibuye'!H20,'26.07 Munyonyo-Kibuye-24h'!H20,'27.07 Munyonyo-Kibuye-24h'!H20,'28.07 Munyonyo-Kibuye'!H20)</f>
        <v>0.2857142857142857</v>
      </c>
      <c r="I20" s="49">
        <f>AVERAGE('22.07 Munyonyo-Kibuye'!I20,'23.07 Munyonyo-Kibuye'!I20,'24.07 Munyonyo-Kibuye'!I20,'25.07 Munyonyo-Kibuye'!I20,'26.07 Munyonyo-Kibuye-24h'!I20,'27.07 Munyonyo-Kibuye-24h'!I20,'28.07 Munyonyo-Kibuye'!I20)</f>
        <v>3.5714285714285716</v>
      </c>
      <c r="J20" s="49">
        <f>AVERAGE('22.07 Munyonyo-Kibuye'!J20,'23.07 Munyonyo-Kibuye'!J20,'24.07 Munyonyo-Kibuye'!J20,'25.07 Munyonyo-Kibuye'!J20,'26.07 Munyonyo-Kibuye-24h'!J20,'27.07 Munyonyo-Kibuye-24h'!J20,'28.07 Munyonyo-Kibuye'!J20)</f>
        <v>0.42857142857142855</v>
      </c>
      <c r="K20" s="49">
        <f>AVERAGE('22.07 Munyonyo-Kibuye'!K20,'23.07 Munyonyo-Kibuye'!K20,'24.07 Munyonyo-Kibuye'!K20,'25.07 Munyonyo-Kibuye'!K20,'26.07 Munyonyo-Kibuye-24h'!K20,'27.07 Munyonyo-Kibuye-24h'!K20,'28.07 Munyonyo-Kibuye'!K20)</f>
        <v>0.14285714285714285</v>
      </c>
      <c r="L20" s="49">
        <f>AVERAGE('22.07 Munyonyo-Kibuye'!L20,'23.07 Munyonyo-Kibuye'!L20,'24.07 Munyonyo-Kibuye'!L20,'25.07 Munyonyo-Kibuye'!L20,'26.07 Munyonyo-Kibuye-24h'!L20,'27.07 Munyonyo-Kibuye-24h'!L20,'28.07 Munyonyo-Kibuye'!L20)</f>
        <v>0.14285714285714285</v>
      </c>
      <c r="M20" s="49">
        <f>AVERAGE('22.07 Munyonyo-Kibuye'!M20,'23.07 Munyonyo-Kibuye'!M20,'24.07 Munyonyo-Kibuye'!M20,'25.07 Munyonyo-Kibuye'!M20,'26.07 Munyonyo-Kibuye-24h'!M20,'27.07 Munyonyo-Kibuye-24h'!M20,'28.07 Munyonyo-Kibuye'!M20)</f>
        <v>186.71428571428572</v>
      </c>
      <c r="N20" s="49">
        <f>AVERAGE('22.07 Munyonyo-Kibuye'!N20,'23.07 Munyonyo-Kibuye'!N20,'24.07 Munyonyo-Kibuye'!N20,'25.07 Munyonyo-Kibuye'!N20,'26.07 Munyonyo-Kibuye-24h'!N20,'27.07 Munyonyo-Kibuye-24h'!N20,'28.07 Munyonyo-Kibuye'!N20)</f>
        <v>0</v>
      </c>
      <c r="O20" s="15">
        <f t="shared" si="0"/>
        <v>94.142857142857139</v>
      </c>
      <c r="P20" s="15">
        <f t="shared" si="1"/>
        <v>280.85714285714289</v>
      </c>
      <c r="R20" s="1" t="s">
        <v>16</v>
      </c>
      <c r="S20" s="17">
        <f t="shared" ref="S20:AF20" si="12">SUM(C50:C53)</f>
        <v>92.285714285714278</v>
      </c>
      <c r="T20" s="17">
        <f t="shared" si="12"/>
        <v>42.857142857142861</v>
      </c>
      <c r="U20" s="17">
        <f t="shared" si="12"/>
        <v>13.142857142857142</v>
      </c>
      <c r="V20" s="17">
        <f t="shared" si="12"/>
        <v>88.714285714285722</v>
      </c>
      <c r="W20" s="17">
        <f t="shared" si="12"/>
        <v>1.5714285714285714</v>
      </c>
      <c r="X20" s="17">
        <f t="shared" si="12"/>
        <v>0.14285714285714285</v>
      </c>
      <c r="Y20" s="17">
        <f t="shared" si="12"/>
        <v>12</v>
      </c>
      <c r="Z20" s="17">
        <f t="shared" si="12"/>
        <v>1.2857142857142856</v>
      </c>
      <c r="AA20" s="17">
        <f t="shared" si="12"/>
        <v>0.5714285714285714</v>
      </c>
      <c r="AB20" s="17">
        <f t="shared" si="12"/>
        <v>0.2857142857142857</v>
      </c>
      <c r="AC20" s="17">
        <f t="shared" si="12"/>
        <v>651.42857142857144</v>
      </c>
      <c r="AD20" s="17">
        <f t="shared" si="12"/>
        <v>0</v>
      </c>
      <c r="AE20" s="31">
        <f t="shared" si="12"/>
        <v>252.85714285714286</v>
      </c>
      <c r="AF20" s="31">
        <f t="shared" si="12"/>
        <v>904.28571428571433</v>
      </c>
    </row>
    <row r="21" spans="2:32" ht="23.1" customHeight="1" x14ac:dyDescent="0.25">
      <c r="B21" s="23" t="s">
        <v>48</v>
      </c>
      <c r="C21" s="49">
        <f>AVERAGE('22.07 Munyonyo-Kibuye'!C21,'23.07 Munyonyo-Kibuye'!C21,'24.07 Munyonyo-Kibuye'!C21,'25.07 Munyonyo-Kibuye'!C21,'26.07 Munyonyo-Kibuye-24h'!C21,'27.07 Munyonyo-Kibuye-24h'!C21,'28.07 Munyonyo-Kibuye'!C21)</f>
        <v>26.142857142857142</v>
      </c>
      <c r="D21" s="49">
        <f>AVERAGE('22.07 Munyonyo-Kibuye'!D21,'23.07 Munyonyo-Kibuye'!D21,'24.07 Munyonyo-Kibuye'!D21,'25.07 Munyonyo-Kibuye'!D21,'26.07 Munyonyo-Kibuye-24h'!D21,'27.07 Munyonyo-Kibuye-24h'!D21,'28.07 Munyonyo-Kibuye'!D21)</f>
        <v>12.571428571428571</v>
      </c>
      <c r="E21" s="49">
        <f>AVERAGE('22.07 Munyonyo-Kibuye'!E21,'23.07 Munyonyo-Kibuye'!E21,'24.07 Munyonyo-Kibuye'!E21,'25.07 Munyonyo-Kibuye'!E21,'26.07 Munyonyo-Kibuye-24h'!E21,'27.07 Munyonyo-Kibuye-24h'!E21,'28.07 Munyonyo-Kibuye'!E21)</f>
        <v>4.2857142857142856</v>
      </c>
      <c r="F21" s="49">
        <f>AVERAGE('22.07 Munyonyo-Kibuye'!F21,'23.07 Munyonyo-Kibuye'!F21,'24.07 Munyonyo-Kibuye'!F21,'25.07 Munyonyo-Kibuye'!F21,'26.07 Munyonyo-Kibuye-24h'!F21,'27.07 Munyonyo-Kibuye-24h'!F21,'28.07 Munyonyo-Kibuye'!F21)</f>
        <v>38.142857142857146</v>
      </c>
      <c r="G21" s="49">
        <f>AVERAGE('22.07 Munyonyo-Kibuye'!G21,'23.07 Munyonyo-Kibuye'!G21,'24.07 Munyonyo-Kibuye'!G21,'25.07 Munyonyo-Kibuye'!G21,'26.07 Munyonyo-Kibuye-24h'!G21,'27.07 Munyonyo-Kibuye-24h'!G21,'28.07 Munyonyo-Kibuye'!G21)</f>
        <v>0</v>
      </c>
      <c r="H21" s="49">
        <f>AVERAGE('22.07 Munyonyo-Kibuye'!H21,'23.07 Munyonyo-Kibuye'!H21,'24.07 Munyonyo-Kibuye'!H21,'25.07 Munyonyo-Kibuye'!H21,'26.07 Munyonyo-Kibuye-24h'!H21,'27.07 Munyonyo-Kibuye-24h'!H21,'28.07 Munyonyo-Kibuye'!H21)</f>
        <v>0</v>
      </c>
      <c r="I21" s="49">
        <f>AVERAGE('22.07 Munyonyo-Kibuye'!I21,'23.07 Munyonyo-Kibuye'!I21,'24.07 Munyonyo-Kibuye'!I21,'25.07 Munyonyo-Kibuye'!I21,'26.07 Munyonyo-Kibuye-24h'!I21,'27.07 Munyonyo-Kibuye-24h'!I21,'28.07 Munyonyo-Kibuye'!I21)</f>
        <v>3.1428571428571428</v>
      </c>
      <c r="J21" s="49">
        <f>AVERAGE('22.07 Munyonyo-Kibuye'!J21,'23.07 Munyonyo-Kibuye'!J21,'24.07 Munyonyo-Kibuye'!J21,'25.07 Munyonyo-Kibuye'!J21,'26.07 Munyonyo-Kibuye-24h'!J21,'27.07 Munyonyo-Kibuye-24h'!J21,'28.07 Munyonyo-Kibuye'!J21)</f>
        <v>0.2857142857142857</v>
      </c>
      <c r="K21" s="49">
        <f>AVERAGE('22.07 Munyonyo-Kibuye'!K21,'23.07 Munyonyo-Kibuye'!K21,'24.07 Munyonyo-Kibuye'!K21,'25.07 Munyonyo-Kibuye'!K21,'26.07 Munyonyo-Kibuye-24h'!K21,'27.07 Munyonyo-Kibuye-24h'!K21,'28.07 Munyonyo-Kibuye'!K21)</f>
        <v>0</v>
      </c>
      <c r="L21" s="49">
        <f>AVERAGE('22.07 Munyonyo-Kibuye'!L21,'23.07 Munyonyo-Kibuye'!L21,'24.07 Munyonyo-Kibuye'!L21,'25.07 Munyonyo-Kibuye'!L21,'26.07 Munyonyo-Kibuye-24h'!L21,'27.07 Munyonyo-Kibuye-24h'!L21,'28.07 Munyonyo-Kibuye'!L21)</f>
        <v>0</v>
      </c>
      <c r="M21" s="49">
        <f>AVERAGE('22.07 Munyonyo-Kibuye'!M21,'23.07 Munyonyo-Kibuye'!M21,'24.07 Munyonyo-Kibuye'!M21,'25.07 Munyonyo-Kibuye'!M21,'26.07 Munyonyo-Kibuye-24h'!M21,'27.07 Munyonyo-Kibuye-24h'!M21,'28.07 Munyonyo-Kibuye'!M21)</f>
        <v>191.28571428571428</v>
      </c>
      <c r="N21" s="49">
        <f>AVERAGE('22.07 Munyonyo-Kibuye'!N21,'23.07 Munyonyo-Kibuye'!N21,'24.07 Munyonyo-Kibuye'!N21,'25.07 Munyonyo-Kibuye'!N21,'26.07 Munyonyo-Kibuye-24h'!N21,'27.07 Munyonyo-Kibuye-24h'!N21,'28.07 Munyonyo-Kibuye'!N21)</f>
        <v>0</v>
      </c>
      <c r="O21" s="15">
        <f t="shared" si="0"/>
        <v>84.571428571428569</v>
      </c>
      <c r="P21" s="15">
        <f t="shared" si="1"/>
        <v>275.85714285714283</v>
      </c>
      <c r="R21" s="36" t="s">
        <v>20</v>
      </c>
      <c r="S21" s="34">
        <f t="shared" ref="S21:AF21" si="13">SUM(C54:C57)</f>
        <v>78.714285714285722</v>
      </c>
      <c r="T21" s="17">
        <f t="shared" si="13"/>
        <v>40.571428571428569</v>
      </c>
      <c r="U21" s="17">
        <f t="shared" si="13"/>
        <v>13.857142857142858</v>
      </c>
      <c r="V21" s="17">
        <f t="shared" si="13"/>
        <v>93.571428571428584</v>
      </c>
      <c r="W21" s="17">
        <f t="shared" si="13"/>
        <v>4.7142857142857135</v>
      </c>
      <c r="X21" s="17">
        <f t="shared" si="13"/>
        <v>3.5714285714285712</v>
      </c>
      <c r="Y21" s="17">
        <f t="shared" si="13"/>
        <v>12.714285714285715</v>
      </c>
      <c r="Z21" s="17">
        <f t="shared" si="13"/>
        <v>3.4285714285714288</v>
      </c>
      <c r="AA21" s="17">
        <f t="shared" si="13"/>
        <v>3.2857142857142856</v>
      </c>
      <c r="AB21" s="17">
        <f t="shared" si="13"/>
        <v>2.4285714285714284</v>
      </c>
      <c r="AC21" s="17">
        <f t="shared" si="13"/>
        <v>623.57142857142856</v>
      </c>
      <c r="AD21" s="17">
        <f t="shared" si="13"/>
        <v>0</v>
      </c>
      <c r="AE21" s="31">
        <f t="shared" si="13"/>
        <v>256.85714285714283</v>
      </c>
      <c r="AF21" s="31">
        <f t="shared" si="13"/>
        <v>880.42857142857133</v>
      </c>
    </row>
    <row r="22" spans="2:32" ht="23.1" customHeight="1" x14ac:dyDescent="0.25">
      <c r="B22" s="23" t="s">
        <v>49</v>
      </c>
      <c r="C22" s="49">
        <f>AVERAGE('22.07 Munyonyo-Kibuye'!C22,'23.07 Munyonyo-Kibuye'!C22,'24.07 Munyonyo-Kibuye'!C22,'25.07 Munyonyo-Kibuye'!C22,'26.07 Munyonyo-Kibuye-24h'!C22,'27.07 Munyonyo-Kibuye-24h'!C22,'28.07 Munyonyo-Kibuye'!C22)</f>
        <v>28.285714285714285</v>
      </c>
      <c r="D22" s="49">
        <f>AVERAGE('22.07 Munyonyo-Kibuye'!D22,'23.07 Munyonyo-Kibuye'!D22,'24.07 Munyonyo-Kibuye'!D22,'25.07 Munyonyo-Kibuye'!D22,'26.07 Munyonyo-Kibuye-24h'!D22,'27.07 Munyonyo-Kibuye-24h'!D22,'28.07 Munyonyo-Kibuye'!D22)</f>
        <v>15.428571428571429</v>
      </c>
      <c r="E22" s="49">
        <f>AVERAGE('22.07 Munyonyo-Kibuye'!E22,'23.07 Munyonyo-Kibuye'!E22,'24.07 Munyonyo-Kibuye'!E22,'25.07 Munyonyo-Kibuye'!E22,'26.07 Munyonyo-Kibuye-24h'!E22,'27.07 Munyonyo-Kibuye-24h'!E22,'28.07 Munyonyo-Kibuye'!E22)</f>
        <v>3</v>
      </c>
      <c r="F22" s="49">
        <f>AVERAGE('22.07 Munyonyo-Kibuye'!F22,'23.07 Munyonyo-Kibuye'!F22,'24.07 Munyonyo-Kibuye'!F22,'25.07 Munyonyo-Kibuye'!F22,'26.07 Munyonyo-Kibuye-24h'!F22,'27.07 Munyonyo-Kibuye-24h'!F22,'28.07 Munyonyo-Kibuye'!F22)</f>
        <v>39.428571428571431</v>
      </c>
      <c r="G22" s="49">
        <f>AVERAGE('22.07 Munyonyo-Kibuye'!G22,'23.07 Munyonyo-Kibuye'!G22,'24.07 Munyonyo-Kibuye'!G22,'25.07 Munyonyo-Kibuye'!G22,'26.07 Munyonyo-Kibuye-24h'!G22,'27.07 Munyonyo-Kibuye-24h'!G22,'28.07 Munyonyo-Kibuye'!G22)</f>
        <v>0.14285714285714285</v>
      </c>
      <c r="H22" s="49">
        <f>AVERAGE('22.07 Munyonyo-Kibuye'!H22,'23.07 Munyonyo-Kibuye'!H22,'24.07 Munyonyo-Kibuye'!H22,'25.07 Munyonyo-Kibuye'!H22,'26.07 Munyonyo-Kibuye-24h'!H22,'27.07 Munyonyo-Kibuye-24h'!H22,'28.07 Munyonyo-Kibuye'!H22)</f>
        <v>0</v>
      </c>
      <c r="I22" s="49">
        <f>AVERAGE('22.07 Munyonyo-Kibuye'!I22,'23.07 Munyonyo-Kibuye'!I22,'24.07 Munyonyo-Kibuye'!I22,'25.07 Munyonyo-Kibuye'!I22,'26.07 Munyonyo-Kibuye-24h'!I22,'27.07 Munyonyo-Kibuye-24h'!I22,'28.07 Munyonyo-Kibuye'!I22)</f>
        <v>4.7142857142857144</v>
      </c>
      <c r="J22" s="49">
        <f>AVERAGE('22.07 Munyonyo-Kibuye'!J22,'23.07 Munyonyo-Kibuye'!J22,'24.07 Munyonyo-Kibuye'!J22,'25.07 Munyonyo-Kibuye'!J22,'26.07 Munyonyo-Kibuye-24h'!J22,'27.07 Munyonyo-Kibuye-24h'!J22,'28.07 Munyonyo-Kibuye'!J22)</f>
        <v>0.5714285714285714</v>
      </c>
      <c r="K22" s="49">
        <f>AVERAGE('22.07 Munyonyo-Kibuye'!K22,'23.07 Munyonyo-Kibuye'!K22,'24.07 Munyonyo-Kibuye'!K22,'25.07 Munyonyo-Kibuye'!K22,'26.07 Munyonyo-Kibuye-24h'!K22,'27.07 Munyonyo-Kibuye-24h'!K22,'28.07 Munyonyo-Kibuye'!K22)</f>
        <v>0.14285714285714285</v>
      </c>
      <c r="L22" s="49">
        <f>AVERAGE('22.07 Munyonyo-Kibuye'!L22,'23.07 Munyonyo-Kibuye'!L22,'24.07 Munyonyo-Kibuye'!L22,'25.07 Munyonyo-Kibuye'!L22,'26.07 Munyonyo-Kibuye-24h'!L22,'27.07 Munyonyo-Kibuye-24h'!L22,'28.07 Munyonyo-Kibuye'!L22)</f>
        <v>0</v>
      </c>
      <c r="M22" s="49">
        <f>AVERAGE('22.07 Munyonyo-Kibuye'!M22,'23.07 Munyonyo-Kibuye'!M22,'24.07 Munyonyo-Kibuye'!M22,'25.07 Munyonyo-Kibuye'!M22,'26.07 Munyonyo-Kibuye-24h'!M22,'27.07 Munyonyo-Kibuye-24h'!M22,'28.07 Munyonyo-Kibuye'!M22)</f>
        <v>182.85714285714286</v>
      </c>
      <c r="N22" s="49">
        <f>AVERAGE('22.07 Munyonyo-Kibuye'!N22,'23.07 Munyonyo-Kibuye'!N22,'24.07 Munyonyo-Kibuye'!N22,'25.07 Munyonyo-Kibuye'!N22,'26.07 Munyonyo-Kibuye-24h'!N22,'27.07 Munyonyo-Kibuye-24h'!N22,'28.07 Munyonyo-Kibuye'!N22)</f>
        <v>0</v>
      </c>
      <c r="O22" s="15">
        <f t="shared" si="0"/>
        <v>91.714285714285694</v>
      </c>
      <c r="P22" s="15">
        <f t="shared" si="1"/>
        <v>274.57142857142856</v>
      </c>
      <c r="R22" s="1" t="s">
        <v>146</v>
      </c>
      <c r="S22" s="34">
        <f>SUM(C58:C61)</f>
        <v>136.5</v>
      </c>
      <c r="T22" s="34">
        <f t="shared" ref="T22:AF22" si="14">SUM(D58:D61)</f>
        <v>39</v>
      </c>
      <c r="U22" s="34">
        <f t="shared" si="14"/>
        <v>12</v>
      </c>
      <c r="V22" s="34">
        <f t="shared" si="14"/>
        <v>215</v>
      </c>
      <c r="W22" s="34">
        <f t="shared" si="14"/>
        <v>1.5</v>
      </c>
      <c r="X22" s="34">
        <f t="shared" si="14"/>
        <v>2.5</v>
      </c>
      <c r="Y22" s="34">
        <f t="shared" si="14"/>
        <v>9</v>
      </c>
      <c r="Z22" s="34">
        <f t="shared" si="14"/>
        <v>0.5</v>
      </c>
      <c r="AA22" s="34">
        <f t="shared" si="14"/>
        <v>0</v>
      </c>
      <c r="AB22" s="34">
        <f t="shared" si="14"/>
        <v>0</v>
      </c>
      <c r="AC22" s="34">
        <f t="shared" si="14"/>
        <v>916.5</v>
      </c>
      <c r="AD22" s="34">
        <f t="shared" si="14"/>
        <v>0</v>
      </c>
      <c r="AE22" s="31">
        <f t="shared" si="14"/>
        <v>416</v>
      </c>
      <c r="AF22" s="31">
        <f t="shared" si="14"/>
        <v>1332.5</v>
      </c>
    </row>
    <row r="23" spans="2:32" ht="23.1" customHeight="1" x14ac:dyDescent="0.25">
      <c r="B23" s="23" t="s">
        <v>50</v>
      </c>
      <c r="C23" s="49">
        <f>AVERAGE('22.07 Munyonyo-Kibuye'!C23,'23.07 Munyonyo-Kibuye'!C23,'24.07 Munyonyo-Kibuye'!C23,'25.07 Munyonyo-Kibuye'!C23,'26.07 Munyonyo-Kibuye-24h'!C23,'27.07 Munyonyo-Kibuye-24h'!C23,'28.07 Munyonyo-Kibuye'!C23)</f>
        <v>24.714285714285715</v>
      </c>
      <c r="D23" s="49">
        <f>AVERAGE('22.07 Munyonyo-Kibuye'!D23,'23.07 Munyonyo-Kibuye'!D23,'24.07 Munyonyo-Kibuye'!D23,'25.07 Munyonyo-Kibuye'!D23,'26.07 Munyonyo-Kibuye-24h'!D23,'27.07 Munyonyo-Kibuye-24h'!D23,'28.07 Munyonyo-Kibuye'!D23)</f>
        <v>13.571428571428571</v>
      </c>
      <c r="E23" s="49">
        <f>AVERAGE('22.07 Munyonyo-Kibuye'!E23,'23.07 Munyonyo-Kibuye'!E23,'24.07 Munyonyo-Kibuye'!E23,'25.07 Munyonyo-Kibuye'!E23,'26.07 Munyonyo-Kibuye-24h'!E23,'27.07 Munyonyo-Kibuye-24h'!E23,'28.07 Munyonyo-Kibuye'!E23)</f>
        <v>4</v>
      </c>
      <c r="F23" s="49">
        <f>AVERAGE('22.07 Munyonyo-Kibuye'!F23,'23.07 Munyonyo-Kibuye'!F23,'24.07 Munyonyo-Kibuye'!F23,'25.07 Munyonyo-Kibuye'!F23,'26.07 Munyonyo-Kibuye-24h'!F23,'27.07 Munyonyo-Kibuye-24h'!F23,'28.07 Munyonyo-Kibuye'!F23)</f>
        <v>35.142857142857146</v>
      </c>
      <c r="G23" s="49">
        <f>AVERAGE('22.07 Munyonyo-Kibuye'!G23,'23.07 Munyonyo-Kibuye'!G23,'24.07 Munyonyo-Kibuye'!G23,'25.07 Munyonyo-Kibuye'!G23,'26.07 Munyonyo-Kibuye-24h'!G23,'27.07 Munyonyo-Kibuye-24h'!G23,'28.07 Munyonyo-Kibuye'!G23)</f>
        <v>0.7142857142857143</v>
      </c>
      <c r="H23" s="49">
        <f>AVERAGE('22.07 Munyonyo-Kibuye'!H23,'23.07 Munyonyo-Kibuye'!H23,'24.07 Munyonyo-Kibuye'!H23,'25.07 Munyonyo-Kibuye'!H23,'26.07 Munyonyo-Kibuye-24h'!H23,'27.07 Munyonyo-Kibuye-24h'!H23,'28.07 Munyonyo-Kibuye'!H23)</f>
        <v>0.14285714285714285</v>
      </c>
      <c r="I23" s="49">
        <f>AVERAGE('22.07 Munyonyo-Kibuye'!I23,'23.07 Munyonyo-Kibuye'!I23,'24.07 Munyonyo-Kibuye'!I23,'25.07 Munyonyo-Kibuye'!I23,'26.07 Munyonyo-Kibuye-24h'!I23,'27.07 Munyonyo-Kibuye-24h'!I23,'28.07 Munyonyo-Kibuye'!I23)</f>
        <v>3.1428571428571428</v>
      </c>
      <c r="J23" s="49">
        <f>AVERAGE('22.07 Munyonyo-Kibuye'!J23,'23.07 Munyonyo-Kibuye'!J23,'24.07 Munyonyo-Kibuye'!J23,'25.07 Munyonyo-Kibuye'!J23,'26.07 Munyonyo-Kibuye-24h'!J23,'27.07 Munyonyo-Kibuye-24h'!J23,'28.07 Munyonyo-Kibuye'!J23)</f>
        <v>0.5714285714285714</v>
      </c>
      <c r="K23" s="49">
        <f>AVERAGE('22.07 Munyonyo-Kibuye'!K23,'23.07 Munyonyo-Kibuye'!K23,'24.07 Munyonyo-Kibuye'!K23,'25.07 Munyonyo-Kibuye'!K23,'26.07 Munyonyo-Kibuye-24h'!K23,'27.07 Munyonyo-Kibuye-24h'!K23,'28.07 Munyonyo-Kibuye'!K23)</f>
        <v>0</v>
      </c>
      <c r="L23" s="49">
        <f>AVERAGE('22.07 Munyonyo-Kibuye'!L23,'23.07 Munyonyo-Kibuye'!L23,'24.07 Munyonyo-Kibuye'!L23,'25.07 Munyonyo-Kibuye'!L23,'26.07 Munyonyo-Kibuye-24h'!L23,'27.07 Munyonyo-Kibuye-24h'!L23,'28.07 Munyonyo-Kibuye'!L23)</f>
        <v>0</v>
      </c>
      <c r="M23" s="49">
        <f>AVERAGE('22.07 Munyonyo-Kibuye'!M23,'23.07 Munyonyo-Kibuye'!M23,'24.07 Munyonyo-Kibuye'!M23,'25.07 Munyonyo-Kibuye'!M23,'26.07 Munyonyo-Kibuye-24h'!M23,'27.07 Munyonyo-Kibuye-24h'!M23,'28.07 Munyonyo-Kibuye'!M23)</f>
        <v>165.71428571428572</v>
      </c>
      <c r="N23" s="49">
        <f>AVERAGE('22.07 Munyonyo-Kibuye'!N23,'23.07 Munyonyo-Kibuye'!N23,'24.07 Munyonyo-Kibuye'!N23,'25.07 Munyonyo-Kibuye'!N23,'26.07 Munyonyo-Kibuye-24h'!N23,'27.07 Munyonyo-Kibuye-24h'!N23,'28.07 Munyonyo-Kibuye'!N23)</f>
        <v>0</v>
      </c>
      <c r="O23" s="15">
        <f t="shared" si="0"/>
        <v>81.999999999999986</v>
      </c>
      <c r="P23" s="15">
        <f t="shared" si="1"/>
        <v>247.71428571428572</v>
      </c>
      <c r="R23" s="1" t="s">
        <v>147</v>
      </c>
      <c r="S23" s="34">
        <f>SUM(C62:C65)</f>
        <v>204.5</v>
      </c>
      <c r="T23" s="34">
        <f t="shared" ref="T23:AF23" si="15">SUM(D62:D65)</f>
        <v>92.5</v>
      </c>
      <c r="U23" s="34">
        <f t="shared" si="15"/>
        <v>16</v>
      </c>
      <c r="V23" s="34">
        <f t="shared" si="15"/>
        <v>342.5</v>
      </c>
      <c r="W23" s="34">
        <f t="shared" si="15"/>
        <v>3.5</v>
      </c>
      <c r="X23" s="34">
        <f t="shared" si="15"/>
        <v>0</v>
      </c>
      <c r="Y23" s="34">
        <f t="shared" si="15"/>
        <v>9</v>
      </c>
      <c r="Z23" s="34">
        <f t="shared" si="15"/>
        <v>2</v>
      </c>
      <c r="AA23" s="34">
        <f t="shared" si="15"/>
        <v>0</v>
      </c>
      <c r="AB23" s="34">
        <f t="shared" si="15"/>
        <v>0</v>
      </c>
      <c r="AC23" s="34">
        <f t="shared" si="15"/>
        <v>1000.5</v>
      </c>
      <c r="AD23" s="34">
        <f t="shared" si="15"/>
        <v>0</v>
      </c>
      <c r="AE23" s="31">
        <f t="shared" si="15"/>
        <v>670</v>
      </c>
      <c r="AF23" s="31">
        <f t="shared" si="15"/>
        <v>1670.5</v>
      </c>
    </row>
    <row r="24" spans="2:32" ht="23.1" customHeight="1" x14ac:dyDescent="0.25">
      <c r="B24" s="23" t="s">
        <v>51</v>
      </c>
      <c r="C24" s="49">
        <f>AVERAGE('22.07 Munyonyo-Kibuye'!C24,'23.07 Munyonyo-Kibuye'!C24,'24.07 Munyonyo-Kibuye'!C24,'25.07 Munyonyo-Kibuye'!C24,'26.07 Munyonyo-Kibuye-24h'!C24,'27.07 Munyonyo-Kibuye-24h'!C24,'28.07 Munyonyo-Kibuye'!C24)</f>
        <v>24.571428571428573</v>
      </c>
      <c r="D24" s="49">
        <f>AVERAGE('22.07 Munyonyo-Kibuye'!D24,'23.07 Munyonyo-Kibuye'!D24,'24.07 Munyonyo-Kibuye'!D24,'25.07 Munyonyo-Kibuye'!D24,'26.07 Munyonyo-Kibuye-24h'!D24,'27.07 Munyonyo-Kibuye-24h'!D24,'28.07 Munyonyo-Kibuye'!D24)</f>
        <v>13.428571428571429</v>
      </c>
      <c r="E24" s="49">
        <f>AVERAGE('22.07 Munyonyo-Kibuye'!E24,'23.07 Munyonyo-Kibuye'!E24,'24.07 Munyonyo-Kibuye'!E24,'25.07 Munyonyo-Kibuye'!E24,'26.07 Munyonyo-Kibuye-24h'!E24,'27.07 Munyonyo-Kibuye-24h'!E24,'28.07 Munyonyo-Kibuye'!E24)</f>
        <v>3.5714285714285716</v>
      </c>
      <c r="F24" s="49">
        <f>AVERAGE('22.07 Munyonyo-Kibuye'!F24,'23.07 Munyonyo-Kibuye'!F24,'24.07 Munyonyo-Kibuye'!F24,'25.07 Munyonyo-Kibuye'!F24,'26.07 Munyonyo-Kibuye-24h'!F24,'27.07 Munyonyo-Kibuye-24h'!F24,'28.07 Munyonyo-Kibuye'!F24)</f>
        <v>41.285714285714285</v>
      </c>
      <c r="G24" s="49">
        <f>AVERAGE('22.07 Munyonyo-Kibuye'!G24,'23.07 Munyonyo-Kibuye'!G24,'24.07 Munyonyo-Kibuye'!G24,'25.07 Munyonyo-Kibuye'!G24,'26.07 Munyonyo-Kibuye-24h'!G24,'27.07 Munyonyo-Kibuye-24h'!G24,'28.07 Munyonyo-Kibuye'!G24)</f>
        <v>0</v>
      </c>
      <c r="H24" s="49">
        <f>AVERAGE('22.07 Munyonyo-Kibuye'!H24,'23.07 Munyonyo-Kibuye'!H24,'24.07 Munyonyo-Kibuye'!H24,'25.07 Munyonyo-Kibuye'!H24,'26.07 Munyonyo-Kibuye-24h'!H24,'27.07 Munyonyo-Kibuye-24h'!H24,'28.07 Munyonyo-Kibuye'!H24)</f>
        <v>0</v>
      </c>
      <c r="I24" s="49">
        <f>AVERAGE('22.07 Munyonyo-Kibuye'!I24,'23.07 Munyonyo-Kibuye'!I24,'24.07 Munyonyo-Kibuye'!I24,'25.07 Munyonyo-Kibuye'!I24,'26.07 Munyonyo-Kibuye-24h'!I24,'27.07 Munyonyo-Kibuye-24h'!I24,'28.07 Munyonyo-Kibuye'!I24)</f>
        <v>4</v>
      </c>
      <c r="J24" s="49">
        <f>AVERAGE('22.07 Munyonyo-Kibuye'!J24,'23.07 Munyonyo-Kibuye'!J24,'24.07 Munyonyo-Kibuye'!J24,'25.07 Munyonyo-Kibuye'!J24,'26.07 Munyonyo-Kibuye-24h'!J24,'27.07 Munyonyo-Kibuye-24h'!J24,'28.07 Munyonyo-Kibuye'!J24)</f>
        <v>0.8571428571428571</v>
      </c>
      <c r="K24" s="49">
        <f>AVERAGE('22.07 Munyonyo-Kibuye'!K24,'23.07 Munyonyo-Kibuye'!K24,'24.07 Munyonyo-Kibuye'!K24,'25.07 Munyonyo-Kibuye'!K24,'26.07 Munyonyo-Kibuye-24h'!K24,'27.07 Munyonyo-Kibuye-24h'!K24,'28.07 Munyonyo-Kibuye'!K24)</f>
        <v>0.14285714285714285</v>
      </c>
      <c r="L24" s="49">
        <f>AVERAGE('22.07 Munyonyo-Kibuye'!L24,'23.07 Munyonyo-Kibuye'!L24,'24.07 Munyonyo-Kibuye'!L24,'25.07 Munyonyo-Kibuye'!L24,'26.07 Munyonyo-Kibuye-24h'!L24,'27.07 Munyonyo-Kibuye-24h'!L24,'28.07 Munyonyo-Kibuye'!L24)</f>
        <v>0</v>
      </c>
      <c r="M24" s="49">
        <f>AVERAGE('22.07 Munyonyo-Kibuye'!M24,'23.07 Munyonyo-Kibuye'!M24,'24.07 Munyonyo-Kibuye'!M24,'25.07 Munyonyo-Kibuye'!M24,'26.07 Munyonyo-Kibuye-24h'!M24,'27.07 Munyonyo-Kibuye-24h'!M24,'28.07 Munyonyo-Kibuye'!M24)</f>
        <v>164.85714285714286</v>
      </c>
      <c r="N24" s="49">
        <f>AVERAGE('22.07 Munyonyo-Kibuye'!N24,'23.07 Munyonyo-Kibuye'!N24,'24.07 Munyonyo-Kibuye'!N24,'25.07 Munyonyo-Kibuye'!N24,'26.07 Munyonyo-Kibuye-24h'!N24,'27.07 Munyonyo-Kibuye-24h'!N24,'28.07 Munyonyo-Kibuye'!N24)</f>
        <v>0</v>
      </c>
      <c r="O24" s="15">
        <f t="shared" si="0"/>
        <v>87.857142857142861</v>
      </c>
      <c r="P24" s="15">
        <f t="shared" si="1"/>
        <v>252.71428571428572</v>
      </c>
      <c r="R24" s="1" t="s">
        <v>148</v>
      </c>
      <c r="S24" s="34">
        <f>SUM(C66:C69)</f>
        <v>207</v>
      </c>
      <c r="T24" s="34">
        <f t="shared" ref="T24:AF24" si="16">SUM(D66:D69)</f>
        <v>81.5</v>
      </c>
      <c r="U24" s="34">
        <f t="shared" si="16"/>
        <v>15.5</v>
      </c>
      <c r="V24" s="34">
        <f t="shared" si="16"/>
        <v>231.5</v>
      </c>
      <c r="W24" s="34">
        <f t="shared" si="16"/>
        <v>2.5</v>
      </c>
      <c r="X24" s="34">
        <f t="shared" si="16"/>
        <v>0</v>
      </c>
      <c r="Y24" s="34">
        <f t="shared" si="16"/>
        <v>4</v>
      </c>
      <c r="Z24" s="34">
        <f t="shared" si="16"/>
        <v>0</v>
      </c>
      <c r="AA24" s="34">
        <f t="shared" si="16"/>
        <v>1.5</v>
      </c>
      <c r="AB24" s="34">
        <f t="shared" si="16"/>
        <v>0</v>
      </c>
      <c r="AC24" s="34">
        <f t="shared" si="16"/>
        <v>1000</v>
      </c>
      <c r="AD24" s="34">
        <f t="shared" si="16"/>
        <v>0</v>
      </c>
      <c r="AE24" s="31">
        <f t="shared" si="16"/>
        <v>543.5</v>
      </c>
      <c r="AF24" s="31">
        <f t="shared" si="16"/>
        <v>1543.5</v>
      </c>
    </row>
    <row r="25" spans="2:32" ht="23.1" customHeight="1" x14ac:dyDescent="0.25">
      <c r="B25" s="23" t="s">
        <v>52</v>
      </c>
      <c r="C25" s="49">
        <f>AVERAGE('22.07 Munyonyo-Kibuye'!C25,'23.07 Munyonyo-Kibuye'!C25,'24.07 Munyonyo-Kibuye'!C25,'25.07 Munyonyo-Kibuye'!C25,'26.07 Munyonyo-Kibuye-24h'!C25,'27.07 Munyonyo-Kibuye-24h'!C25,'28.07 Munyonyo-Kibuye'!C25)</f>
        <v>22.571428571428573</v>
      </c>
      <c r="D25" s="49">
        <f>AVERAGE('22.07 Munyonyo-Kibuye'!D25,'23.07 Munyonyo-Kibuye'!D25,'24.07 Munyonyo-Kibuye'!D25,'25.07 Munyonyo-Kibuye'!D25,'26.07 Munyonyo-Kibuye-24h'!D25,'27.07 Munyonyo-Kibuye-24h'!D25,'28.07 Munyonyo-Kibuye'!D25)</f>
        <v>12.428571428571429</v>
      </c>
      <c r="E25" s="49">
        <f>AVERAGE('22.07 Munyonyo-Kibuye'!E25,'23.07 Munyonyo-Kibuye'!E25,'24.07 Munyonyo-Kibuye'!E25,'25.07 Munyonyo-Kibuye'!E25,'26.07 Munyonyo-Kibuye-24h'!E25,'27.07 Munyonyo-Kibuye-24h'!E25,'28.07 Munyonyo-Kibuye'!E25)</f>
        <v>3.4285714285714284</v>
      </c>
      <c r="F25" s="49">
        <f>AVERAGE('22.07 Munyonyo-Kibuye'!F25,'23.07 Munyonyo-Kibuye'!F25,'24.07 Munyonyo-Kibuye'!F25,'25.07 Munyonyo-Kibuye'!F25,'26.07 Munyonyo-Kibuye-24h'!F25,'27.07 Munyonyo-Kibuye-24h'!F25,'28.07 Munyonyo-Kibuye'!F25)</f>
        <v>31.285714285714285</v>
      </c>
      <c r="G25" s="49">
        <f>AVERAGE('22.07 Munyonyo-Kibuye'!G25,'23.07 Munyonyo-Kibuye'!G25,'24.07 Munyonyo-Kibuye'!G25,'25.07 Munyonyo-Kibuye'!G25,'26.07 Munyonyo-Kibuye-24h'!G25,'27.07 Munyonyo-Kibuye-24h'!G25,'28.07 Munyonyo-Kibuye'!G25)</f>
        <v>0.42857142857142855</v>
      </c>
      <c r="H25" s="49">
        <f>AVERAGE('22.07 Munyonyo-Kibuye'!H25,'23.07 Munyonyo-Kibuye'!H25,'24.07 Munyonyo-Kibuye'!H25,'25.07 Munyonyo-Kibuye'!H25,'26.07 Munyonyo-Kibuye-24h'!H25,'27.07 Munyonyo-Kibuye-24h'!H25,'28.07 Munyonyo-Kibuye'!H25)</f>
        <v>0</v>
      </c>
      <c r="I25" s="49">
        <f>AVERAGE('22.07 Munyonyo-Kibuye'!I25,'23.07 Munyonyo-Kibuye'!I25,'24.07 Munyonyo-Kibuye'!I25,'25.07 Munyonyo-Kibuye'!I25,'26.07 Munyonyo-Kibuye-24h'!I25,'27.07 Munyonyo-Kibuye-24h'!I25,'28.07 Munyonyo-Kibuye'!I25)</f>
        <v>2.5714285714285716</v>
      </c>
      <c r="J25" s="49">
        <f>AVERAGE('22.07 Munyonyo-Kibuye'!J25,'23.07 Munyonyo-Kibuye'!J25,'24.07 Munyonyo-Kibuye'!J25,'25.07 Munyonyo-Kibuye'!J25,'26.07 Munyonyo-Kibuye-24h'!J25,'27.07 Munyonyo-Kibuye-24h'!J25,'28.07 Munyonyo-Kibuye'!J25)</f>
        <v>0.14285714285714285</v>
      </c>
      <c r="K25" s="49">
        <f>AVERAGE('22.07 Munyonyo-Kibuye'!K25,'23.07 Munyonyo-Kibuye'!K25,'24.07 Munyonyo-Kibuye'!K25,'25.07 Munyonyo-Kibuye'!K25,'26.07 Munyonyo-Kibuye-24h'!K25,'27.07 Munyonyo-Kibuye-24h'!K25,'28.07 Munyonyo-Kibuye'!K25)</f>
        <v>0</v>
      </c>
      <c r="L25" s="49">
        <f>AVERAGE('22.07 Munyonyo-Kibuye'!L25,'23.07 Munyonyo-Kibuye'!L25,'24.07 Munyonyo-Kibuye'!L25,'25.07 Munyonyo-Kibuye'!L25,'26.07 Munyonyo-Kibuye-24h'!L25,'27.07 Munyonyo-Kibuye-24h'!L25,'28.07 Munyonyo-Kibuye'!L25)</f>
        <v>0</v>
      </c>
      <c r="M25" s="49">
        <f>AVERAGE('22.07 Munyonyo-Kibuye'!M25,'23.07 Munyonyo-Kibuye'!M25,'24.07 Munyonyo-Kibuye'!M25,'25.07 Munyonyo-Kibuye'!M25,'26.07 Munyonyo-Kibuye-24h'!M25,'27.07 Munyonyo-Kibuye-24h'!M25,'28.07 Munyonyo-Kibuye'!M25)</f>
        <v>146.42857142857142</v>
      </c>
      <c r="N25" s="49">
        <f>AVERAGE('22.07 Munyonyo-Kibuye'!N25,'23.07 Munyonyo-Kibuye'!N25,'24.07 Munyonyo-Kibuye'!N25,'25.07 Munyonyo-Kibuye'!N25,'26.07 Munyonyo-Kibuye-24h'!N25,'27.07 Munyonyo-Kibuye-24h'!N25,'28.07 Munyonyo-Kibuye'!N25)</f>
        <v>1.8571428571428572</v>
      </c>
      <c r="O25" s="15">
        <f t="shared" si="0"/>
        <v>74.714285714285722</v>
      </c>
      <c r="P25" s="15">
        <f t="shared" si="1"/>
        <v>221.14285714285714</v>
      </c>
      <c r="R25" s="1" t="s">
        <v>149</v>
      </c>
      <c r="S25" s="34">
        <f>SUM(C70:C73)</f>
        <v>212.5</v>
      </c>
      <c r="T25" s="34">
        <f t="shared" ref="T25:AF25" si="17">SUM(D70:D73)</f>
        <v>65.5</v>
      </c>
      <c r="U25" s="34">
        <f t="shared" si="17"/>
        <v>9.5</v>
      </c>
      <c r="V25" s="34">
        <f t="shared" si="17"/>
        <v>178</v>
      </c>
      <c r="W25" s="34">
        <f t="shared" si="17"/>
        <v>0.5</v>
      </c>
      <c r="X25" s="34">
        <f t="shared" si="17"/>
        <v>0</v>
      </c>
      <c r="Y25" s="34">
        <f t="shared" si="17"/>
        <v>2.5</v>
      </c>
      <c r="Z25" s="34">
        <f t="shared" si="17"/>
        <v>0</v>
      </c>
      <c r="AA25" s="34">
        <f t="shared" si="17"/>
        <v>1</v>
      </c>
      <c r="AB25" s="34">
        <f t="shared" si="17"/>
        <v>0</v>
      </c>
      <c r="AC25" s="34">
        <f t="shared" si="17"/>
        <v>830</v>
      </c>
      <c r="AD25" s="34">
        <f t="shared" si="17"/>
        <v>0</v>
      </c>
      <c r="AE25" s="31">
        <f t="shared" si="17"/>
        <v>469.5</v>
      </c>
      <c r="AF25" s="31">
        <f t="shared" si="17"/>
        <v>1299.5</v>
      </c>
    </row>
    <row r="26" spans="2:32" ht="23.1" customHeight="1" x14ac:dyDescent="0.25">
      <c r="B26" s="23" t="s">
        <v>53</v>
      </c>
      <c r="C26" s="49">
        <f>AVERAGE('22.07 Munyonyo-Kibuye'!C26,'23.07 Munyonyo-Kibuye'!C26,'24.07 Munyonyo-Kibuye'!C26,'25.07 Munyonyo-Kibuye'!C26,'26.07 Munyonyo-Kibuye-24h'!C26,'27.07 Munyonyo-Kibuye-24h'!C26,'28.07 Munyonyo-Kibuye'!C26)</f>
        <v>24</v>
      </c>
      <c r="D26" s="49">
        <f>AVERAGE('22.07 Munyonyo-Kibuye'!D26,'23.07 Munyonyo-Kibuye'!D26,'24.07 Munyonyo-Kibuye'!D26,'25.07 Munyonyo-Kibuye'!D26,'26.07 Munyonyo-Kibuye-24h'!D26,'27.07 Munyonyo-Kibuye-24h'!D26,'28.07 Munyonyo-Kibuye'!D26)</f>
        <v>11.857142857142858</v>
      </c>
      <c r="E26" s="49">
        <f>AVERAGE('22.07 Munyonyo-Kibuye'!E26,'23.07 Munyonyo-Kibuye'!E26,'24.07 Munyonyo-Kibuye'!E26,'25.07 Munyonyo-Kibuye'!E26,'26.07 Munyonyo-Kibuye-24h'!E26,'27.07 Munyonyo-Kibuye-24h'!E26,'28.07 Munyonyo-Kibuye'!E26)</f>
        <v>4.5714285714285712</v>
      </c>
      <c r="F26" s="49">
        <f>AVERAGE('22.07 Munyonyo-Kibuye'!F26,'23.07 Munyonyo-Kibuye'!F26,'24.07 Munyonyo-Kibuye'!F26,'25.07 Munyonyo-Kibuye'!F26,'26.07 Munyonyo-Kibuye-24h'!F26,'27.07 Munyonyo-Kibuye-24h'!F26,'28.07 Munyonyo-Kibuye'!F26)</f>
        <v>31.857142857142858</v>
      </c>
      <c r="G26" s="49">
        <f>AVERAGE('22.07 Munyonyo-Kibuye'!G26,'23.07 Munyonyo-Kibuye'!G26,'24.07 Munyonyo-Kibuye'!G26,'25.07 Munyonyo-Kibuye'!G26,'26.07 Munyonyo-Kibuye-24h'!G26,'27.07 Munyonyo-Kibuye-24h'!G26,'28.07 Munyonyo-Kibuye'!G26)</f>
        <v>0</v>
      </c>
      <c r="H26" s="49">
        <f>AVERAGE('22.07 Munyonyo-Kibuye'!H26,'23.07 Munyonyo-Kibuye'!H26,'24.07 Munyonyo-Kibuye'!H26,'25.07 Munyonyo-Kibuye'!H26,'26.07 Munyonyo-Kibuye-24h'!H26,'27.07 Munyonyo-Kibuye-24h'!H26,'28.07 Munyonyo-Kibuye'!H26)</f>
        <v>0</v>
      </c>
      <c r="I26" s="49">
        <f>AVERAGE('22.07 Munyonyo-Kibuye'!I26,'23.07 Munyonyo-Kibuye'!I26,'24.07 Munyonyo-Kibuye'!I26,'25.07 Munyonyo-Kibuye'!I26,'26.07 Munyonyo-Kibuye-24h'!I26,'27.07 Munyonyo-Kibuye-24h'!I26,'28.07 Munyonyo-Kibuye'!I26)</f>
        <v>3.7142857142857144</v>
      </c>
      <c r="J26" s="49">
        <f>AVERAGE('22.07 Munyonyo-Kibuye'!J26,'23.07 Munyonyo-Kibuye'!J26,'24.07 Munyonyo-Kibuye'!J26,'25.07 Munyonyo-Kibuye'!J26,'26.07 Munyonyo-Kibuye-24h'!J26,'27.07 Munyonyo-Kibuye-24h'!J26,'28.07 Munyonyo-Kibuye'!J26)</f>
        <v>0.5</v>
      </c>
      <c r="K26" s="49">
        <f>AVERAGE('22.07 Munyonyo-Kibuye'!K26,'23.07 Munyonyo-Kibuye'!K26,'24.07 Munyonyo-Kibuye'!K26,'25.07 Munyonyo-Kibuye'!K26,'26.07 Munyonyo-Kibuye-24h'!K26,'27.07 Munyonyo-Kibuye-24h'!K26,'28.07 Munyonyo-Kibuye'!K26)</f>
        <v>0</v>
      </c>
      <c r="L26" s="49">
        <f>AVERAGE('22.07 Munyonyo-Kibuye'!L26,'23.07 Munyonyo-Kibuye'!L26,'24.07 Munyonyo-Kibuye'!L26,'25.07 Munyonyo-Kibuye'!L26,'26.07 Munyonyo-Kibuye-24h'!L26,'27.07 Munyonyo-Kibuye-24h'!L26,'28.07 Munyonyo-Kibuye'!L26)</f>
        <v>0</v>
      </c>
      <c r="M26" s="49">
        <f>AVERAGE('22.07 Munyonyo-Kibuye'!M26,'23.07 Munyonyo-Kibuye'!M26,'24.07 Munyonyo-Kibuye'!M26,'25.07 Munyonyo-Kibuye'!M26,'26.07 Munyonyo-Kibuye-24h'!M26,'27.07 Munyonyo-Kibuye-24h'!M26,'28.07 Munyonyo-Kibuye'!M26)</f>
        <v>150.71428571428572</v>
      </c>
      <c r="N26" s="49">
        <f>AVERAGE('22.07 Munyonyo-Kibuye'!N26,'23.07 Munyonyo-Kibuye'!N26,'24.07 Munyonyo-Kibuye'!N26,'25.07 Munyonyo-Kibuye'!N26,'26.07 Munyonyo-Kibuye-24h'!N26,'27.07 Munyonyo-Kibuye-24h'!N26,'28.07 Munyonyo-Kibuye'!N26)</f>
        <v>0</v>
      </c>
      <c r="O26" s="15">
        <f t="shared" si="0"/>
        <v>76.5</v>
      </c>
      <c r="P26" s="15">
        <f t="shared" si="1"/>
        <v>227.21428571428572</v>
      </c>
      <c r="R26" s="1" t="s">
        <v>150</v>
      </c>
      <c r="S26" s="34">
        <f>SUM(C74:C77)</f>
        <v>126</v>
      </c>
      <c r="T26" s="34">
        <f t="shared" ref="T26:AF26" si="18">SUM(D74:D77)</f>
        <v>61</v>
      </c>
      <c r="U26" s="34">
        <f t="shared" si="18"/>
        <v>5.5</v>
      </c>
      <c r="V26" s="34">
        <f t="shared" si="18"/>
        <v>102</v>
      </c>
      <c r="W26" s="34">
        <f t="shared" si="18"/>
        <v>2.5</v>
      </c>
      <c r="X26" s="34">
        <f t="shared" si="18"/>
        <v>0</v>
      </c>
      <c r="Y26" s="34">
        <f t="shared" si="18"/>
        <v>3</v>
      </c>
      <c r="Z26" s="34">
        <f t="shared" si="18"/>
        <v>0</v>
      </c>
      <c r="AA26" s="34">
        <f t="shared" si="18"/>
        <v>1</v>
      </c>
      <c r="AB26" s="34">
        <f t="shared" si="18"/>
        <v>0</v>
      </c>
      <c r="AC26" s="34">
        <f t="shared" si="18"/>
        <v>702.5</v>
      </c>
      <c r="AD26" s="34">
        <f t="shared" si="18"/>
        <v>0.5</v>
      </c>
      <c r="AE26" s="31">
        <f t="shared" si="18"/>
        <v>301.5</v>
      </c>
      <c r="AF26" s="31">
        <f t="shared" si="18"/>
        <v>1004</v>
      </c>
    </row>
    <row r="27" spans="2:32" ht="23.1" customHeight="1" x14ac:dyDescent="0.25">
      <c r="B27" s="23" t="s">
        <v>54</v>
      </c>
      <c r="C27" s="49">
        <f>AVERAGE('22.07 Munyonyo-Kibuye'!C27,'23.07 Munyonyo-Kibuye'!C27,'24.07 Munyonyo-Kibuye'!C27,'25.07 Munyonyo-Kibuye'!C27,'26.07 Munyonyo-Kibuye-24h'!C27,'27.07 Munyonyo-Kibuye-24h'!C27,'28.07 Munyonyo-Kibuye'!C27)</f>
        <v>22</v>
      </c>
      <c r="D27" s="49">
        <f>AVERAGE('22.07 Munyonyo-Kibuye'!D27,'23.07 Munyonyo-Kibuye'!D27,'24.07 Munyonyo-Kibuye'!D27,'25.07 Munyonyo-Kibuye'!D27,'26.07 Munyonyo-Kibuye-24h'!D27,'27.07 Munyonyo-Kibuye-24h'!D27,'28.07 Munyonyo-Kibuye'!D27)</f>
        <v>9.7142857142857135</v>
      </c>
      <c r="E27" s="49">
        <f>AVERAGE('22.07 Munyonyo-Kibuye'!E27,'23.07 Munyonyo-Kibuye'!E27,'24.07 Munyonyo-Kibuye'!E27,'25.07 Munyonyo-Kibuye'!E27,'26.07 Munyonyo-Kibuye-24h'!E27,'27.07 Munyonyo-Kibuye-24h'!E27,'28.07 Munyonyo-Kibuye'!E27)</f>
        <v>2.1428571428571428</v>
      </c>
      <c r="F27" s="49">
        <f>AVERAGE('22.07 Munyonyo-Kibuye'!F27,'23.07 Munyonyo-Kibuye'!F27,'24.07 Munyonyo-Kibuye'!F27,'25.07 Munyonyo-Kibuye'!F27,'26.07 Munyonyo-Kibuye-24h'!F27,'27.07 Munyonyo-Kibuye-24h'!F27,'28.07 Munyonyo-Kibuye'!F27)</f>
        <v>27.714285714285715</v>
      </c>
      <c r="G27" s="49">
        <f>AVERAGE('22.07 Munyonyo-Kibuye'!G27,'23.07 Munyonyo-Kibuye'!G27,'24.07 Munyonyo-Kibuye'!G27,'25.07 Munyonyo-Kibuye'!G27,'26.07 Munyonyo-Kibuye-24h'!G27,'27.07 Munyonyo-Kibuye-24h'!G27,'28.07 Munyonyo-Kibuye'!G27)</f>
        <v>0.2857142857142857</v>
      </c>
      <c r="H27" s="49">
        <f>AVERAGE('22.07 Munyonyo-Kibuye'!H27,'23.07 Munyonyo-Kibuye'!H27,'24.07 Munyonyo-Kibuye'!H27,'25.07 Munyonyo-Kibuye'!H27,'26.07 Munyonyo-Kibuye-24h'!H27,'27.07 Munyonyo-Kibuye-24h'!H27,'28.07 Munyonyo-Kibuye'!H27)</f>
        <v>0</v>
      </c>
      <c r="I27" s="49">
        <f>AVERAGE('22.07 Munyonyo-Kibuye'!I27,'23.07 Munyonyo-Kibuye'!I27,'24.07 Munyonyo-Kibuye'!I27,'25.07 Munyonyo-Kibuye'!I27,'26.07 Munyonyo-Kibuye-24h'!I27,'27.07 Munyonyo-Kibuye-24h'!I27,'28.07 Munyonyo-Kibuye'!I27)</f>
        <v>2.4285714285714284</v>
      </c>
      <c r="J27" s="49">
        <f>AVERAGE('22.07 Munyonyo-Kibuye'!J27,'23.07 Munyonyo-Kibuye'!J27,'24.07 Munyonyo-Kibuye'!J27,'25.07 Munyonyo-Kibuye'!J27,'26.07 Munyonyo-Kibuye-24h'!J27,'27.07 Munyonyo-Kibuye-24h'!J27,'28.07 Munyonyo-Kibuye'!J27)</f>
        <v>0.2857142857142857</v>
      </c>
      <c r="K27" s="49">
        <f>AVERAGE('22.07 Munyonyo-Kibuye'!K27,'23.07 Munyonyo-Kibuye'!K27,'24.07 Munyonyo-Kibuye'!K27,'25.07 Munyonyo-Kibuye'!K27,'26.07 Munyonyo-Kibuye-24h'!K27,'27.07 Munyonyo-Kibuye-24h'!K27,'28.07 Munyonyo-Kibuye'!K27)</f>
        <v>0</v>
      </c>
      <c r="L27" s="49">
        <f>AVERAGE('22.07 Munyonyo-Kibuye'!L27,'23.07 Munyonyo-Kibuye'!L27,'24.07 Munyonyo-Kibuye'!L27,'25.07 Munyonyo-Kibuye'!L27,'26.07 Munyonyo-Kibuye-24h'!L27,'27.07 Munyonyo-Kibuye-24h'!L27,'28.07 Munyonyo-Kibuye'!L27)</f>
        <v>0</v>
      </c>
      <c r="M27" s="49">
        <f>AVERAGE('22.07 Munyonyo-Kibuye'!M27,'23.07 Munyonyo-Kibuye'!M27,'24.07 Munyonyo-Kibuye'!M27,'25.07 Munyonyo-Kibuye'!M27,'26.07 Munyonyo-Kibuye-24h'!M27,'27.07 Munyonyo-Kibuye-24h'!M27,'28.07 Munyonyo-Kibuye'!M27)</f>
        <v>144.14285714285714</v>
      </c>
      <c r="N27" s="49">
        <f>AVERAGE('22.07 Munyonyo-Kibuye'!N27,'23.07 Munyonyo-Kibuye'!N27,'24.07 Munyonyo-Kibuye'!N27,'25.07 Munyonyo-Kibuye'!N27,'26.07 Munyonyo-Kibuye-24h'!N27,'27.07 Munyonyo-Kibuye-24h'!N27,'28.07 Munyonyo-Kibuye'!N27)</f>
        <v>0</v>
      </c>
      <c r="O27" s="15">
        <f t="shared" si="0"/>
        <v>64.571428571428584</v>
      </c>
      <c r="P27" s="15">
        <f t="shared" si="1"/>
        <v>208.71428571428572</v>
      </c>
      <c r="R27" s="1" t="s">
        <v>151</v>
      </c>
      <c r="S27" s="34">
        <f>SUM(C78:C81)</f>
        <v>72.5</v>
      </c>
      <c r="T27" s="34">
        <f t="shared" ref="T27:AF27" si="19">SUM(D78:D81)</f>
        <v>30</v>
      </c>
      <c r="U27" s="34">
        <f t="shared" si="19"/>
        <v>8</v>
      </c>
      <c r="V27" s="34">
        <f t="shared" si="19"/>
        <v>29.5</v>
      </c>
      <c r="W27" s="34">
        <f t="shared" si="19"/>
        <v>0</v>
      </c>
      <c r="X27" s="34">
        <f t="shared" si="19"/>
        <v>0</v>
      </c>
      <c r="Y27" s="34">
        <f t="shared" si="19"/>
        <v>3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605</v>
      </c>
      <c r="AD27" s="34">
        <f t="shared" si="19"/>
        <v>0</v>
      </c>
      <c r="AE27" s="31">
        <f t="shared" si="19"/>
        <v>143</v>
      </c>
      <c r="AF27" s="31">
        <f t="shared" si="19"/>
        <v>748</v>
      </c>
    </row>
    <row r="28" spans="2:32" ht="23.1" customHeight="1" x14ac:dyDescent="0.25">
      <c r="B28" s="23" t="s">
        <v>55</v>
      </c>
      <c r="C28" s="49">
        <f>AVERAGE('22.07 Munyonyo-Kibuye'!C28,'23.07 Munyonyo-Kibuye'!C28,'24.07 Munyonyo-Kibuye'!C28,'25.07 Munyonyo-Kibuye'!C28,'26.07 Munyonyo-Kibuye-24h'!C28,'27.07 Munyonyo-Kibuye-24h'!C28,'28.07 Munyonyo-Kibuye'!C28)</f>
        <v>21.857142857142858</v>
      </c>
      <c r="D28" s="49">
        <f>AVERAGE('22.07 Munyonyo-Kibuye'!D28,'23.07 Munyonyo-Kibuye'!D28,'24.07 Munyonyo-Kibuye'!D28,'25.07 Munyonyo-Kibuye'!D28,'26.07 Munyonyo-Kibuye-24h'!D28,'27.07 Munyonyo-Kibuye-24h'!D28,'28.07 Munyonyo-Kibuye'!D28)</f>
        <v>11</v>
      </c>
      <c r="E28" s="49">
        <f>AVERAGE('22.07 Munyonyo-Kibuye'!E28,'23.07 Munyonyo-Kibuye'!E28,'24.07 Munyonyo-Kibuye'!E28,'25.07 Munyonyo-Kibuye'!E28,'26.07 Munyonyo-Kibuye-24h'!E28,'27.07 Munyonyo-Kibuye-24h'!E28,'28.07 Munyonyo-Kibuye'!E28)</f>
        <v>4.1428571428571432</v>
      </c>
      <c r="F28" s="49">
        <f>AVERAGE('22.07 Munyonyo-Kibuye'!F28,'23.07 Munyonyo-Kibuye'!F28,'24.07 Munyonyo-Kibuye'!F28,'25.07 Munyonyo-Kibuye'!F28,'26.07 Munyonyo-Kibuye-24h'!F28,'27.07 Munyonyo-Kibuye-24h'!F28,'28.07 Munyonyo-Kibuye'!F28)</f>
        <v>29.571428571428573</v>
      </c>
      <c r="G28" s="49">
        <f>AVERAGE('22.07 Munyonyo-Kibuye'!G28,'23.07 Munyonyo-Kibuye'!G28,'24.07 Munyonyo-Kibuye'!G28,'25.07 Munyonyo-Kibuye'!G28,'26.07 Munyonyo-Kibuye-24h'!G28,'27.07 Munyonyo-Kibuye-24h'!G28,'28.07 Munyonyo-Kibuye'!G28)</f>
        <v>0.14285714285714285</v>
      </c>
      <c r="H28" s="49">
        <f>AVERAGE('22.07 Munyonyo-Kibuye'!H28,'23.07 Munyonyo-Kibuye'!H28,'24.07 Munyonyo-Kibuye'!H28,'25.07 Munyonyo-Kibuye'!H28,'26.07 Munyonyo-Kibuye-24h'!H28,'27.07 Munyonyo-Kibuye-24h'!H28,'28.07 Munyonyo-Kibuye'!H28)</f>
        <v>0</v>
      </c>
      <c r="I28" s="49">
        <f>AVERAGE('22.07 Munyonyo-Kibuye'!I28,'23.07 Munyonyo-Kibuye'!I28,'24.07 Munyonyo-Kibuye'!I28,'25.07 Munyonyo-Kibuye'!I28,'26.07 Munyonyo-Kibuye-24h'!I28,'27.07 Munyonyo-Kibuye-24h'!I28,'28.07 Munyonyo-Kibuye'!I28)</f>
        <v>2.5714285714285716</v>
      </c>
      <c r="J28" s="49">
        <f>AVERAGE('22.07 Munyonyo-Kibuye'!J28,'23.07 Munyonyo-Kibuye'!J28,'24.07 Munyonyo-Kibuye'!J28,'25.07 Munyonyo-Kibuye'!J28,'26.07 Munyonyo-Kibuye-24h'!J28,'27.07 Munyonyo-Kibuye-24h'!J28,'28.07 Munyonyo-Kibuye'!J28)</f>
        <v>0.42857142857142855</v>
      </c>
      <c r="K28" s="49">
        <f>AVERAGE('22.07 Munyonyo-Kibuye'!K28,'23.07 Munyonyo-Kibuye'!K28,'24.07 Munyonyo-Kibuye'!K28,'25.07 Munyonyo-Kibuye'!K28,'26.07 Munyonyo-Kibuye-24h'!K28,'27.07 Munyonyo-Kibuye-24h'!K28,'28.07 Munyonyo-Kibuye'!K28)</f>
        <v>0</v>
      </c>
      <c r="L28" s="49">
        <f>AVERAGE('22.07 Munyonyo-Kibuye'!L28,'23.07 Munyonyo-Kibuye'!L28,'24.07 Munyonyo-Kibuye'!L28,'25.07 Munyonyo-Kibuye'!L28,'26.07 Munyonyo-Kibuye-24h'!L28,'27.07 Munyonyo-Kibuye-24h'!L28,'28.07 Munyonyo-Kibuye'!L28)</f>
        <v>0</v>
      </c>
      <c r="M28" s="49">
        <f>AVERAGE('22.07 Munyonyo-Kibuye'!M28,'23.07 Munyonyo-Kibuye'!M28,'24.07 Munyonyo-Kibuye'!M28,'25.07 Munyonyo-Kibuye'!M28,'26.07 Munyonyo-Kibuye-24h'!M28,'27.07 Munyonyo-Kibuye-24h'!M28,'28.07 Munyonyo-Kibuye'!M28)</f>
        <v>141.85714285714286</v>
      </c>
      <c r="N28" s="49">
        <f>AVERAGE('22.07 Munyonyo-Kibuye'!N28,'23.07 Munyonyo-Kibuye'!N28,'24.07 Munyonyo-Kibuye'!N28,'25.07 Munyonyo-Kibuye'!N28,'26.07 Munyonyo-Kibuye-24h'!N28,'27.07 Munyonyo-Kibuye-24h'!N28,'28.07 Munyonyo-Kibuye'!N28)</f>
        <v>0</v>
      </c>
      <c r="O28" s="15">
        <f t="shared" si="0"/>
        <v>69.714285714285722</v>
      </c>
      <c r="P28" s="15">
        <f t="shared" si="1"/>
        <v>211.57142857142858</v>
      </c>
      <c r="R28" s="1" t="s">
        <v>152</v>
      </c>
      <c r="S28" s="34">
        <f>SUM(C82:C85)</f>
        <v>59.5</v>
      </c>
      <c r="T28" s="34">
        <f t="shared" ref="T28:AF28" si="20">SUM(D82:D85)</f>
        <v>25.5</v>
      </c>
      <c r="U28" s="34">
        <f t="shared" si="20"/>
        <v>2</v>
      </c>
      <c r="V28" s="34">
        <f t="shared" si="20"/>
        <v>10</v>
      </c>
      <c r="W28" s="34">
        <f t="shared" si="20"/>
        <v>0</v>
      </c>
      <c r="X28" s="34">
        <f t="shared" si="20"/>
        <v>0</v>
      </c>
      <c r="Y28" s="34">
        <f t="shared" si="20"/>
        <v>3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312.5</v>
      </c>
      <c r="AD28" s="34">
        <f t="shared" si="20"/>
        <v>0</v>
      </c>
      <c r="AE28" s="31">
        <f t="shared" si="20"/>
        <v>101</v>
      </c>
      <c r="AF28" s="31">
        <f t="shared" si="20"/>
        <v>413.5</v>
      </c>
    </row>
    <row r="29" spans="2:32" ht="23.1" customHeight="1" x14ac:dyDescent="0.25">
      <c r="B29" s="23" t="s">
        <v>56</v>
      </c>
      <c r="C29" s="49">
        <f>AVERAGE('22.07 Munyonyo-Kibuye'!C29,'23.07 Munyonyo-Kibuye'!C29,'24.07 Munyonyo-Kibuye'!C29,'25.07 Munyonyo-Kibuye'!C29,'26.07 Munyonyo-Kibuye-24h'!C29,'27.07 Munyonyo-Kibuye-24h'!C29,'28.07 Munyonyo-Kibuye'!C29)</f>
        <v>18.857142857142858</v>
      </c>
      <c r="D29" s="49">
        <f>AVERAGE('22.07 Munyonyo-Kibuye'!D29,'23.07 Munyonyo-Kibuye'!D29,'24.07 Munyonyo-Kibuye'!D29,'25.07 Munyonyo-Kibuye'!D29,'26.07 Munyonyo-Kibuye-24h'!D29,'27.07 Munyonyo-Kibuye-24h'!D29,'28.07 Munyonyo-Kibuye'!D29)</f>
        <v>14</v>
      </c>
      <c r="E29" s="49">
        <f>AVERAGE('22.07 Munyonyo-Kibuye'!E29,'23.07 Munyonyo-Kibuye'!E29,'24.07 Munyonyo-Kibuye'!E29,'25.07 Munyonyo-Kibuye'!E29,'26.07 Munyonyo-Kibuye-24h'!E29,'27.07 Munyonyo-Kibuye-24h'!E29,'28.07 Munyonyo-Kibuye'!E29)</f>
        <v>3.1428571428571428</v>
      </c>
      <c r="F29" s="49">
        <f>AVERAGE('22.07 Munyonyo-Kibuye'!F29,'23.07 Munyonyo-Kibuye'!F29,'24.07 Munyonyo-Kibuye'!F29,'25.07 Munyonyo-Kibuye'!F29,'26.07 Munyonyo-Kibuye-24h'!F29,'27.07 Munyonyo-Kibuye-24h'!F29,'28.07 Munyonyo-Kibuye'!F29)</f>
        <v>26.571428571428573</v>
      </c>
      <c r="G29" s="49">
        <f>AVERAGE('22.07 Munyonyo-Kibuye'!G29,'23.07 Munyonyo-Kibuye'!G29,'24.07 Munyonyo-Kibuye'!G29,'25.07 Munyonyo-Kibuye'!G29,'26.07 Munyonyo-Kibuye-24h'!G29,'27.07 Munyonyo-Kibuye-24h'!G29,'28.07 Munyonyo-Kibuye'!G29)</f>
        <v>0.14285714285714285</v>
      </c>
      <c r="H29" s="49">
        <f>AVERAGE('22.07 Munyonyo-Kibuye'!H29,'23.07 Munyonyo-Kibuye'!H29,'24.07 Munyonyo-Kibuye'!H29,'25.07 Munyonyo-Kibuye'!H29,'26.07 Munyonyo-Kibuye-24h'!H29,'27.07 Munyonyo-Kibuye-24h'!H29,'28.07 Munyonyo-Kibuye'!H29)</f>
        <v>0</v>
      </c>
      <c r="I29" s="49">
        <f>AVERAGE('22.07 Munyonyo-Kibuye'!I29,'23.07 Munyonyo-Kibuye'!I29,'24.07 Munyonyo-Kibuye'!I29,'25.07 Munyonyo-Kibuye'!I29,'26.07 Munyonyo-Kibuye-24h'!I29,'27.07 Munyonyo-Kibuye-24h'!I29,'28.07 Munyonyo-Kibuye'!I29)</f>
        <v>4.5714285714285712</v>
      </c>
      <c r="J29" s="49">
        <f>AVERAGE('22.07 Munyonyo-Kibuye'!J29,'23.07 Munyonyo-Kibuye'!J29,'24.07 Munyonyo-Kibuye'!J29,'25.07 Munyonyo-Kibuye'!J29,'26.07 Munyonyo-Kibuye-24h'!J29,'27.07 Munyonyo-Kibuye-24h'!J29,'28.07 Munyonyo-Kibuye'!J29)</f>
        <v>0.7142857142857143</v>
      </c>
      <c r="K29" s="49">
        <f>AVERAGE('22.07 Munyonyo-Kibuye'!K29,'23.07 Munyonyo-Kibuye'!K29,'24.07 Munyonyo-Kibuye'!K29,'25.07 Munyonyo-Kibuye'!K29,'26.07 Munyonyo-Kibuye-24h'!K29,'27.07 Munyonyo-Kibuye-24h'!K29,'28.07 Munyonyo-Kibuye'!K29)</f>
        <v>0</v>
      </c>
      <c r="L29" s="49">
        <f>AVERAGE('22.07 Munyonyo-Kibuye'!L29,'23.07 Munyonyo-Kibuye'!L29,'24.07 Munyonyo-Kibuye'!L29,'25.07 Munyonyo-Kibuye'!L29,'26.07 Munyonyo-Kibuye-24h'!L29,'27.07 Munyonyo-Kibuye-24h'!L29,'28.07 Munyonyo-Kibuye'!L29)</f>
        <v>0</v>
      </c>
      <c r="M29" s="49">
        <f>AVERAGE('22.07 Munyonyo-Kibuye'!M29,'23.07 Munyonyo-Kibuye'!M29,'24.07 Munyonyo-Kibuye'!M29,'25.07 Munyonyo-Kibuye'!M29,'26.07 Munyonyo-Kibuye-24h'!M29,'27.07 Munyonyo-Kibuye-24h'!M29,'28.07 Munyonyo-Kibuye'!M29)</f>
        <v>138.14285714285714</v>
      </c>
      <c r="N29" s="49">
        <f>AVERAGE('22.07 Munyonyo-Kibuye'!N29,'23.07 Munyonyo-Kibuye'!N29,'24.07 Munyonyo-Kibuye'!N29,'25.07 Munyonyo-Kibuye'!N29,'26.07 Munyonyo-Kibuye-24h'!N29,'27.07 Munyonyo-Kibuye-24h'!N29,'28.07 Munyonyo-Kibuye'!N29)</f>
        <v>0</v>
      </c>
      <c r="O29" s="15">
        <f t="shared" si="0"/>
        <v>68.000000000000014</v>
      </c>
      <c r="P29" s="15">
        <f t="shared" si="1"/>
        <v>206.14285714285717</v>
      </c>
      <c r="R29" s="1" t="s">
        <v>153</v>
      </c>
      <c r="S29" s="34">
        <f>SUM(C86:C89)</f>
        <v>34</v>
      </c>
      <c r="T29" s="34">
        <f t="shared" ref="T29:AF29" si="21">SUM(D86:D89)</f>
        <v>8.5</v>
      </c>
      <c r="U29" s="34">
        <f t="shared" si="21"/>
        <v>0.5</v>
      </c>
      <c r="V29" s="34">
        <f t="shared" si="21"/>
        <v>2.5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1</v>
      </c>
      <c r="AA29" s="34">
        <f t="shared" si="21"/>
        <v>0.5</v>
      </c>
      <c r="AB29" s="34">
        <f t="shared" si="21"/>
        <v>0</v>
      </c>
      <c r="AC29" s="34">
        <f t="shared" si="21"/>
        <v>247</v>
      </c>
      <c r="AD29" s="34">
        <f t="shared" si="21"/>
        <v>0</v>
      </c>
      <c r="AE29" s="31">
        <f t="shared" si="21"/>
        <v>50</v>
      </c>
      <c r="AF29" s="31">
        <f t="shared" si="21"/>
        <v>297</v>
      </c>
    </row>
    <row r="30" spans="2:32" ht="23.1" customHeight="1" x14ac:dyDescent="0.25">
      <c r="B30" s="23" t="s">
        <v>57</v>
      </c>
      <c r="C30" s="49">
        <f>AVERAGE('22.07 Munyonyo-Kibuye'!C30,'23.07 Munyonyo-Kibuye'!C30,'24.07 Munyonyo-Kibuye'!C30,'25.07 Munyonyo-Kibuye'!C30,'26.07 Munyonyo-Kibuye-24h'!C30,'27.07 Munyonyo-Kibuye-24h'!C30,'28.07 Munyonyo-Kibuye'!C30)</f>
        <v>22.285714285714285</v>
      </c>
      <c r="D30" s="49">
        <f>AVERAGE('22.07 Munyonyo-Kibuye'!D30,'23.07 Munyonyo-Kibuye'!D30,'24.07 Munyonyo-Kibuye'!D30,'25.07 Munyonyo-Kibuye'!D30,'26.07 Munyonyo-Kibuye-24h'!D30,'27.07 Munyonyo-Kibuye-24h'!D30,'28.07 Munyonyo-Kibuye'!D30)</f>
        <v>12.142857142857142</v>
      </c>
      <c r="E30" s="49">
        <f>AVERAGE('22.07 Munyonyo-Kibuye'!E30,'23.07 Munyonyo-Kibuye'!E30,'24.07 Munyonyo-Kibuye'!E30,'25.07 Munyonyo-Kibuye'!E30,'26.07 Munyonyo-Kibuye-24h'!E30,'27.07 Munyonyo-Kibuye-24h'!E30,'28.07 Munyonyo-Kibuye'!E30)</f>
        <v>3.4285714285714284</v>
      </c>
      <c r="F30" s="49">
        <f>AVERAGE('22.07 Munyonyo-Kibuye'!F30,'23.07 Munyonyo-Kibuye'!F30,'24.07 Munyonyo-Kibuye'!F30,'25.07 Munyonyo-Kibuye'!F30,'26.07 Munyonyo-Kibuye-24h'!F30,'27.07 Munyonyo-Kibuye-24h'!F30,'28.07 Munyonyo-Kibuye'!F30)</f>
        <v>27.285714285714285</v>
      </c>
      <c r="G30" s="49">
        <f>AVERAGE('22.07 Munyonyo-Kibuye'!G30,'23.07 Munyonyo-Kibuye'!G30,'24.07 Munyonyo-Kibuye'!G30,'25.07 Munyonyo-Kibuye'!G30,'26.07 Munyonyo-Kibuye-24h'!G30,'27.07 Munyonyo-Kibuye-24h'!G30,'28.07 Munyonyo-Kibuye'!G30)</f>
        <v>0.14285714285714285</v>
      </c>
      <c r="H30" s="49">
        <f>AVERAGE('22.07 Munyonyo-Kibuye'!H30,'23.07 Munyonyo-Kibuye'!H30,'24.07 Munyonyo-Kibuye'!H30,'25.07 Munyonyo-Kibuye'!H30,'26.07 Munyonyo-Kibuye-24h'!H30,'27.07 Munyonyo-Kibuye-24h'!H30,'28.07 Munyonyo-Kibuye'!H30)</f>
        <v>0</v>
      </c>
      <c r="I30" s="49">
        <f>AVERAGE('22.07 Munyonyo-Kibuye'!I30,'23.07 Munyonyo-Kibuye'!I30,'24.07 Munyonyo-Kibuye'!I30,'25.07 Munyonyo-Kibuye'!I30,'26.07 Munyonyo-Kibuye-24h'!I30,'27.07 Munyonyo-Kibuye-24h'!I30,'28.07 Munyonyo-Kibuye'!I30)</f>
        <v>4</v>
      </c>
      <c r="J30" s="49">
        <f>AVERAGE('22.07 Munyonyo-Kibuye'!J30,'23.07 Munyonyo-Kibuye'!J30,'24.07 Munyonyo-Kibuye'!J30,'25.07 Munyonyo-Kibuye'!J30,'26.07 Munyonyo-Kibuye-24h'!J30,'27.07 Munyonyo-Kibuye-24h'!J30,'28.07 Munyonyo-Kibuye'!J30)</f>
        <v>0.5714285714285714</v>
      </c>
      <c r="K30" s="49">
        <f>AVERAGE('22.07 Munyonyo-Kibuye'!K30,'23.07 Munyonyo-Kibuye'!K30,'24.07 Munyonyo-Kibuye'!K30,'25.07 Munyonyo-Kibuye'!K30,'26.07 Munyonyo-Kibuye-24h'!K30,'27.07 Munyonyo-Kibuye-24h'!K30,'28.07 Munyonyo-Kibuye'!K30)</f>
        <v>0.14285714285714285</v>
      </c>
      <c r="L30" s="49">
        <f>AVERAGE('22.07 Munyonyo-Kibuye'!L30,'23.07 Munyonyo-Kibuye'!L30,'24.07 Munyonyo-Kibuye'!L30,'25.07 Munyonyo-Kibuye'!L30,'26.07 Munyonyo-Kibuye-24h'!L30,'27.07 Munyonyo-Kibuye-24h'!L30,'28.07 Munyonyo-Kibuye'!L30)</f>
        <v>0</v>
      </c>
      <c r="M30" s="49">
        <f>AVERAGE('22.07 Munyonyo-Kibuye'!M30,'23.07 Munyonyo-Kibuye'!M30,'24.07 Munyonyo-Kibuye'!M30,'25.07 Munyonyo-Kibuye'!M30,'26.07 Munyonyo-Kibuye-24h'!M30,'27.07 Munyonyo-Kibuye-24h'!M30,'28.07 Munyonyo-Kibuye'!M30)</f>
        <v>144</v>
      </c>
      <c r="N30" s="49">
        <f>AVERAGE('22.07 Munyonyo-Kibuye'!N30,'23.07 Munyonyo-Kibuye'!N30,'24.07 Munyonyo-Kibuye'!N30,'25.07 Munyonyo-Kibuye'!N30,'26.07 Munyonyo-Kibuye-24h'!N30,'27.07 Munyonyo-Kibuye-24h'!N30,'28.07 Munyonyo-Kibuye'!N30)</f>
        <v>0</v>
      </c>
      <c r="O30" s="15">
        <f t="shared" si="0"/>
        <v>69.999999999999986</v>
      </c>
      <c r="P30" s="15">
        <f t="shared" si="1"/>
        <v>214</v>
      </c>
      <c r="R30" s="1" t="s">
        <v>154</v>
      </c>
      <c r="S30" s="34">
        <f>SUM(C90:C93)</f>
        <v>24.5</v>
      </c>
      <c r="T30" s="34">
        <f t="shared" ref="T30:AF30" si="22">SUM(D90:D93)</f>
        <v>4</v>
      </c>
      <c r="U30" s="34">
        <f t="shared" si="22"/>
        <v>0.5</v>
      </c>
      <c r="V30" s="34">
        <f t="shared" si="22"/>
        <v>3</v>
      </c>
      <c r="W30" s="34">
        <f t="shared" si="22"/>
        <v>0</v>
      </c>
      <c r="X30" s="34">
        <f t="shared" si="22"/>
        <v>0</v>
      </c>
      <c r="Y30" s="34">
        <f t="shared" si="22"/>
        <v>1.5</v>
      </c>
      <c r="Z30" s="34">
        <f t="shared" si="22"/>
        <v>0.5</v>
      </c>
      <c r="AA30" s="34">
        <f t="shared" si="22"/>
        <v>6</v>
      </c>
      <c r="AB30" s="34">
        <f t="shared" si="22"/>
        <v>0</v>
      </c>
      <c r="AC30" s="34">
        <f t="shared" si="22"/>
        <v>281</v>
      </c>
      <c r="AD30" s="34">
        <f t="shared" si="22"/>
        <v>0</v>
      </c>
      <c r="AE30" s="31">
        <f t="shared" si="22"/>
        <v>40</v>
      </c>
      <c r="AF30" s="31">
        <f t="shared" si="22"/>
        <v>321</v>
      </c>
    </row>
    <row r="31" spans="2:32" ht="23.1" customHeight="1" x14ac:dyDescent="0.25">
      <c r="B31" s="24" t="s">
        <v>58</v>
      </c>
      <c r="C31" s="49">
        <f>AVERAGE('22.07 Munyonyo-Kibuye'!C31,'23.07 Munyonyo-Kibuye'!C31,'24.07 Munyonyo-Kibuye'!C31,'25.07 Munyonyo-Kibuye'!C31,'26.07 Munyonyo-Kibuye-24h'!C31,'27.07 Munyonyo-Kibuye-24h'!C31,'28.07 Munyonyo-Kibuye'!C31)</f>
        <v>19.571428571428573</v>
      </c>
      <c r="D31" s="49">
        <f>AVERAGE('22.07 Munyonyo-Kibuye'!D31,'23.07 Munyonyo-Kibuye'!D31,'24.07 Munyonyo-Kibuye'!D31,'25.07 Munyonyo-Kibuye'!D31,'26.07 Munyonyo-Kibuye-24h'!D31,'27.07 Munyonyo-Kibuye-24h'!D31,'28.07 Munyonyo-Kibuye'!D31)</f>
        <v>10.571428571428571</v>
      </c>
      <c r="E31" s="49">
        <f>AVERAGE('22.07 Munyonyo-Kibuye'!E31,'23.07 Munyonyo-Kibuye'!E31,'24.07 Munyonyo-Kibuye'!E31,'25.07 Munyonyo-Kibuye'!E31,'26.07 Munyonyo-Kibuye-24h'!E31,'27.07 Munyonyo-Kibuye-24h'!E31,'28.07 Munyonyo-Kibuye'!E31)</f>
        <v>4</v>
      </c>
      <c r="F31" s="49">
        <f>AVERAGE('22.07 Munyonyo-Kibuye'!F31,'23.07 Munyonyo-Kibuye'!F31,'24.07 Munyonyo-Kibuye'!F31,'25.07 Munyonyo-Kibuye'!F31,'26.07 Munyonyo-Kibuye-24h'!F31,'27.07 Munyonyo-Kibuye-24h'!F31,'28.07 Munyonyo-Kibuye'!F31)</f>
        <v>24.142857142857142</v>
      </c>
      <c r="G31" s="49">
        <f>AVERAGE('22.07 Munyonyo-Kibuye'!G31,'23.07 Munyonyo-Kibuye'!G31,'24.07 Munyonyo-Kibuye'!G31,'25.07 Munyonyo-Kibuye'!G31,'26.07 Munyonyo-Kibuye-24h'!G31,'27.07 Munyonyo-Kibuye-24h'!G31,'28.07 Munyonyo-Kibuye'!G31)</f>
        <v>0</v>
      </c>
      <c r="H31" s="49">
        <f>AVERAGE('22.07 Munyonyo-Kibuye'!H31,'23.07 Munyonyo-Kibuye'!H31,'24.07 Munyonyo-Kibuye'!H31,'25.07 Munyonyo-Kibuye'!H31,'26.07 Munyonyo-Kibuye-24h'!H31,'27.07 Munyonyo-Kibuye-24h'!H31,'28.07 Munyonyo-Kibuye'!H31)</f>
        <v>0</v>
      </c>
      <c r="I31" s="49">
        <f>AVERAGE('22.07 Munyonyo-Kibuye'!I31,'23.07 Munyonyo-Kibuye'!I31,'24.07 Munyonyo-Kibuye'!I31,'25.07 Munyonyo-Kibuye'!I31,'26.07 Munyonyo-Kibuye-24h'!I31,'27.07 Munyonyo-Kibuye-24h'!I31,'28.07 Munyonyo-Kibuye'!I31)</f>
        <v>3.8571428571428572</v>
      </c>
      <c r="J31" s="49">
        <f>AVERAGE('22.07 Munyonyo-Kibuye'!J31,'23.07 Munyonyo-Kibuye'!J31,'24.07 Munyonyo-Kibuye'!J31,'25.07 Munyonyo-Kibuye'!J31,'26.07 Munyonyo-Kibuye-24h'!J31,'27.07 Munyonyo-Kibuye-24h'!J31,'28.07 Munyonyo-Kibuye'!J31)</f>
        <v>0.5714285714285714</v>
      </c>
      <c r="K31" s="49">
        <f>AVERAGE('22.07 Munyonyo-Kibuye'!K31,'23.07 Munyonyo-Kibuye'!K31,'24.07 Munyonyo-Kibuye'!K31,'25.07 Munyonyo-Kibuye'!K31,'26.07 Munyonyo-Kibuye-24h'!K31,'27.07 Munyonyo-Kibuye-24h'!K31,'28.07 Munyonyo-Kibuye'!K31)</f>
        <v>0.14285714285714285</v>
      </c>
      <c r="L31" s="49">
        <f>AVERAGE('22.07 Munyonyo-Kibuye'!L31,'23.07 Munyonyo-Kibuye'!L31,'24.07 Munyonyo-Kibuye'!L31,'25.07 Munyonyo-Kibuye'!L31,'26.07 Munyonyo-Kibuye-24h'!L31,'27.07 Munyonyo-Kibuye-24h'!L31,'28.07 Munyonyo-Kibuye'!L31)</f>
        <v>0</v>
      </c>
      <c r="M31" s="49">
        <f>AVERAGE('22.07 Munyonyo-Kibuye'!M31,'23.07 Munyonyo-Kibuye'!M31,'24.07 Munyonyo-Kibuye'!M31,'25.07 Munyonyo-Kibuye'!M31,'26.07 Munyonyo-Kibuye-24h'!M31,'27.07 Munyonyo-Kibuye-24h'!M31,'28.07 Munyonyo-Kibuye'!M31)</f>
        <v>126.85714285714286</v>
      </c>
      <c r="N31" s="49">
        <f>AVERAGE('22.07 Munyonyo-Kibuye'!N31,'23.07 Munyonyo-Kibuye'!N31,'24.07 Munyonyo-Kibuye'!N31,'25.07 Munyonyo-Kibuye'!N31,'26.07 Munyonyo-Kibuye-24h'!N31,'27.07 Munyonyo-Kibuye-24h'!N31,'28.07 Munyonyo-Kibuye'!N31)</f>
        <v>0</v>
      </c>
      <c r="O31" s="15">
        <f t="shared" si="0"/>
        <v>62.857142857142861</v>
      </c>
      <c r="P31" s="15">
        <f t="shared" si="1"/>
        <v>189.71428571428572</v>
      </c>
      <c r="R31" s="1" t="s">
        <v>155</v>
      </c>
      <c r="S31" s="34">
        <f>SUM(C94:C97)</f>
        <v>22.5</v>
      </c>
      <c r="T31" s="34">
        <f t="shared" ref="T31:AF31" si="23">SUM(D94:D97)</f>
        <v>7</v>
      </c>
      <c r="U31" s="34">
        <f t="shared" si="23"/>
        <v>6.5</v>
      </c>
      <c r="V31" s="34">
        <f t="shared" si="23"/>
        <v>13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0.5</v>
      </c>
      <c r="AA31" s="34">
        <f t="shared" si="23"/>
        <v>0.5</v>
      </c>
      <c r="AB31" s="34">
        <f t="shared" si="23"/>
        <v>0</v>
      </c>
      <c r="AC31" s="34">
        <f t="shared" si="23"/>
        <v>184</v>
      </c>
      <c r="AD31" s="34">
        <f t="shared" si="23"/>
        <v>0</v>
      </c>
      <c r="AE31" s="31">
        <f t="shared" si="23"/>
        <v>51</v>
      </c>
      <c r="AF31" s="31">
        <f t="shared" si="23"/>
        <v>235</v>
      </c>
    </row>
    <row r="32" spans="2:32" ht="23.1" customHeight="1" x14ac:dyDescent="0.25">
      <c r="B32" s="24" t="s">
        <v>59</v>
      </c>
      <c r="C32" s="49">
        <f>AVERAGE('22.07 Munyonyo-Kibuye'!C32,'23.07 Munyonyo-Kibuye'!C32,'24.07 Munyonyo-Kibuye'!C32,'25.07 Munyonyo-Kibuye'!C32,'26.07 Munyonyo-Kibuye-24h'!C32,'27.07 Munyonyo-Kibuye-24h'!C32,'28.07 Munyonyo-Kibuye'!C32)</f>
        <v>19.714285714285715</v>
      </c>
      <c r="D32" s="49">
        <f>AVERAGE('22.07 Munyonyo-Kibuye'!D32,'23.07 Munyonyo-Kibuye'!D32,'24.07 Munyonyo-Kibuye'!D32,'25.07 Munyonyo-Kibuye'!D32,'26.07 Munyonyo-Kibuye-24h'!D32,'27.07 Munyonyo-Kibuye-24h'!D32,'28.07 Munyonyo-Kibuye'!D32)</f>
        <v>10.285714285714286</v>
      </c>
      <c r="E32" s="49">
        <f>AVERAGE('22.07 Munyonyo-Kibuye'!E32,'23.07 Munyonyo-Kibuye'!E32,'24.07 Munyonyo-Kibuye'!E32,'25.07 Munyonyo-Kibuye'!E32,'26.07 Munyonyo-Kibuye-24h'!E32,'27.07 Munyonyo-Kibuye-24h'!E32,'28.07 Munyonyo-Kibuye'!E32)</f>
        <v>2.4285714285714284</v>
      </c>
      <c r="F32" s="49">
        <f>AVERAGE('22.07 Munyonyo-Kibuye'!F32,'23.07 Munyonyo-Kibuye'!F32,'24.07 Munyonyo-Kibuye'!F32,'25.07 Munyonyo-Kibuye'!F32,'26.07 Munyonyo-Kibuye-24h'!F32,'27.07 Munyonyo-Kibuye-24h'!F32,'28.07 Munyonyo-Kibuye'!F32)</f>
        <v>23.857142857142858</v>
      </c>
      <c r="G32" s="49">
        <f>AVERAGE('22.07 Munyonyo-Kibuye'!G32,'23.07 Munyonyo-Kibuye'!G32,'24.07 Munyonyo-Kibuye'!G32,'25.07 Munyonyo-Kibuye'!G32,'26.07 Munyonyo-Kibuye-24h'!G32,'27.07 Munyonyo-Kibuye-24h'!G32,'28.07 Munyonyo-Kibuye'!G32)</f>
        <v>0.2857142857142857</v>
      </c>
      <c r="H32" s="49">
        <f>AVERAGE('22.07 Munyonyo-Kibuye'!H32,'23.07 Munyonyo-Kibuye'!H32,'24.07 Munyonyo-Kibuye'!H32,'25.07 Munyonyo-Kibuye'!H32,'26.07 Munyonyo-Kibuye-24h'!H32,'27.07 Munyonyo-Kibuye-24h'!H32,'28.07 Munyonyo-Kibuye'!H32)</f>
        <v>0.14285714285714285</v>
      </c>
      <c r="I32" s="49">
        <f>AVERAGE('22.07 Munyonyo-Kibuye'!I32,'23.07 Munyonyo-Kibuye'!I32,'24.07 Munyonyo-Kibuye'!I32,'25.07 Munyonyo-Kibuye'!I32,'26.07 Munyonyo-Kibuye-24h'!I32,'27.07 Munyonyo-Kibuye-24h'!I32,'28.07 Munyonyo-Kibuye'!I32)</f>
        <v>2.2857142857142856</v>
      </c>
      <c r="J32" s="49">
        <f>AVERAGE('22.07 Munyonyo-Kibuye'!J32,'23.07 Munyonyo-Kibuye'!J32,'24.07 Munyonyo-Kibuye'!J32,'25.07 Munyonyo-Kibuye'!J32,'26.07 Munyonyo-Kibuye-24h'!J32,'27.07 Munyonyo-Kibuye-24h'!J32,'28.07 Munyonyo-Kibuye'!J32)</f>
        <v>0.2857142857142857</v>
      </c>
      <c r="K32" s="49">
        <f>AVERAGE('22.07 Munyonyo-Kibuye'!K32,'23.07 Munyonyo-Kibuye'!K32,'24.07 Munyonyo-Kibuye'!K32,'25.07 Munyonyo-Kibuye'!K32,'26.07 Munyonyo-Kibuye-24h'!K32,'27.07 Munyonyo-Kibuye-24h'!K32,'28.07 Munyonyo-Kibuye'!K32)</f>
        <v>0.14285714285714285</v>
      </c>
      <c r="L32" s="49">
        <f>AVERAGE('22.07 Munyonyo-Kibuye'!L32,'23.07 Munyonyo-Kibuye'!L32,'24.07 Munyonyo-Kibuye'!L32,'25.07 Munyonyo-Kibuye'!L32,'26.07 Munyonyo-Kibuye-24h'!L32,'27.07 Munyonyo-Kibuye-24h'!L32,'28.07 Munyonyo-Kibuye'!L32)</f>
        <v>0</v>
      </c>
      <c r="M32" s="49">
        <f>AVERAGE('22.07 Munyonyo-Kibuye'!M32,'23.07 Munyonyo-Kibuye'!M32,'24.07 Munyonyo-Kibuye'!M32,'25.07 Munyonyo-Kibuye'!M32,'26.07 Munyonyo-Kibuye-24h'!M32,'27.07 Munyonyo-Kibuye-24h'!M32,'28.07 Munyonyo-Kibuye'!M32)</f>
        <v>125.85714285714286</v>
      </c>
      <c r="N32" s="49">
        <f>AVERAGE('22.07 Munyonyo-Kibuye'!N32,'23.07 Munyonyo-Kibuye'!N32,'24.07 Munyonyo-Kibuye'!N32,'25.07 Munyonyo-Kibuye'!N32,'26.07 Munyonyo-Kibuye-24h'!N32,'27.07 Munyonyo-Kibuye-24h'!N32,'28.07 Munyonyo-Kibuye'!N32)</f>
        <v>0</v>
      </c>
      <c r="O32" s="15">
        <f t="shared" si="0"/>
        <v>59.428571428571438</v>
      </c>
      <c r="P32" s="15">
        <f t="shared" si="1"/>
        <v>185.28571428571431</v>
      </c>
      <c r="R32" s="1" t="s">
        <v>156</v>
      </c>
      <c r="S32" s="34">
        <f>SUM(C98:C101)</f>
        <v>104</v>
      </c>
      <c r="T32" s="34">
        <f t="shared" ref="T32:AF32" si="24">SUM(D98:D101)</f>
        <v>13</v>
      </c>
      <c r="U32" s="34">
        <f t="shared" si="24"/>
        <v>9</v>
      </c>
      <c r="V32" s="34">
        <f t="shared" si="24"/>
        <v>131</v>
      </c>
      <c r="W32" s="34">
        <f t="shared" si="24"/>
        <v>2.5</v>
      </c>
      <c r="X32" s="34">
        <f t="shared" si="24"/>
        <v>0.5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0.5</v>
      </c>
      <c r="AC32" s="34">
        <f t="shared" si="24"/>
        <v>428.5</v>
      </c>
      <c r="AD32" s="34">
        <f t="shared" si="24"/>
        <v>0</v>
      </c>
      <c r="AE32" s="31">
        <f t="shared" si="24"/>
        <v>261.5</v>
      </c>
      <c r="AF32" s="31">
        <f t="shared" si="24"/>
        <v>690</v>
      </c>
    </row>
    <row r="33" spans="2:32" ht="23.1" customHeight="1" x14ac:dyDescent="0.25">
      <c r="B33" s="23" t="s">
        <v>60</v>
      </c>
      <c r="C33" s="49">
        <f>AVERAGE('22.07 Munyonyo-Kibuye'!C33,'23.07 Munyonyo-Kibuye'!C33,'24.07 Munyonyo-Kibuye'!C33,'25.07 Munyonyo-Kibuye'!C33,'26.07 Munyonyo-Kibuye-24h'!C33,'27.07 Munyonyo-Kibuye-24h'!C33,'28.07 Munyonyo-Kibuye'!C33)</f>
        <v>18.571428571428573</v>
      </c>
      <c r="D33" s="49">
        <f>AVERAGE('22.07 Munyonyo-Kibuye'!D33,'23.07 Munyonyo-Kibuye'!D33,'24.07 Munyonyo-Kibuye'!D33,'25.07 Munyonyo-Kibuye'!D33,'26.07 Munyonyo-Kibuye-24h'!D33,'27.07 Munyonyo-Kibuye-24h'!D33,'28.07 Munyonyo-Kibuye'!D33)</f>
        <v>10</v>
      </c>
      <c r="E33" s="49">
        <f>AVERAGE('22.07 Munyonyo-Kibuye'!E33,'23.07 Munyonyo-Kibuye'!E33,'24.07 Munyonyo-Kibuye'!E33,'25.07 Munyonyo-Kibuye'!E33,'26.07 Munyonyo-Kibuye-24h'!E33,'27.07 Munyonyo-Kibuye-24h'!E33,'28.07 Munyonyo-Kibuye'!E33)</f>
        <v>3.5714285714285716</v>
      </c>
      <c r="F33" s="49">
        <f>AVERAGE('22.07 Munyonyo-Kibuye'!F33,'23.07 Munyonyo-Kibuye'!F33,'24.07 Munyonyo-Kibuye'!F33,'25.07 Munyonyo-Kibuye'!F33,'26.07 Munyonyo-Kibuye-24h'!F33,'27.07 Munyonyo-Kibuye-24h'!F33,'28.07 Munyonyo-Kibuye'!F33)</f>
        <v>24</v>
      </c>
      <c r="G33" s="49">
        <f>AVERAGE('22.07 Munyonyo-Kibuye'!G33,'23.07 Munyonyo-Kibuye'!G33,'24.07 Munyonyo-Kibuye'!G33,'25.07 Munyonyo-Kibuye'!G33,'26.07 Munyonyo-Kibuye-24h'!G33,'27.07 Munyonyo-Kibuye-24h'!G33,'28.07 Munyonyo-Kibuye'!G33)</f>
        <v>0.2857142857142857</v>
      </c>
      <c r="H33" s="49">
        <f>AVERAGE('22.07 Munyonyo-Kibuye'!H33,'23.07 Munyonyo-Kibuye'!H33,'24.07 Munyonyo-Kibuye'!H33,'25.07 Munyonyo-Kibuye'!H33,'26.07 Munyonyo-Kibuye-24h'!H33,'27.07 Munyonyo-Kibuye-24h'!H33,'28.07 Munyonyo-Kibuye'!H33)</f>
        <v>0</v>
      </c>
      <c r="I33" s="49">
        <f>AVERAGE('22.07 Munyonyo-Kibuye'!I33,'23.07 Munyonyo-Kibuye'!I33,'24.07 Munyonyo-Kibuye'!I33,'25.07 Munyonyo-Kibuye'!I33,'26.07 Munyonyo-Kibuye-24h'!I33,'27.07 Munyonyo-Kibuye-24h'!I33,'28.07 Munyonyo-Kibuye'!I33)</f>
        <v>4.1428571428571432</v>
      </c>
      <c r="J33" s="49">
        <f>AVERAGE('22.07 Munyonyo-Kibuye'!J33,'23.07 Munyonyo-Kibuye'!J33,'24.07 Munyonyo-Kibuye'!J33,'25.07 Munyonyo-Kibuye'!J33,'26.07 Munyonyo-Kibuye-24h'!J33,'27.07 Munyonyo-Kibuye-24h'!J33,'28.07 Munyonyo-Kibuye'!J33)</f>
        <v>0.2857142857142857</v>
      </c>
      <c r="K33" s="49">
        <f>AVERAGE('22.07 Munyonyo-Kibuye'!K33,'23.07 Munyonyo-Kibuye'!K33,'24.07 Munyonyo-Kibuye'!K33,'25.07 Munyonyo-Kibuye'!K33,'26.07 Munyonyo-Kibuye-24h'!K33,'27.07 Munyonyo-Kibuye-24h'!K33,'28.07 Munyonyo-Kibuye'!K33)</f>
        <v>0.14285714285714285</v>
      </c>
      <c r="L33" s="49">
        <f>AVERAGE('22.07 Munyonyo-Kibuye'!L33,'23.07 Munyonyo-Kibuye'!L33,'24.07 Munyonyo-Kibuye'!L33,'25.07 Munyonyo-Kibuye'!L33,'26.07 Munyonyo-Kibuye-24h'!L33,'27.07 Munyonyo-Kibuye-24h'!L33,'28.07 Munyonyo-Kibuye'!L33)</f>
        <v>0.14285714285714285</v>
      </c>
      <c r="M33" s="49">
        <f>AVERAGE('22.07 Munyonyo-Kibuye'!M33,'23.07 Munyonyo-Kibuye'!M33,'24.07 Munyonyo-Kibuye'!M33,'25.07 Munyonyo-Kibuye'!M33,'26.07 Munyonyo-Kibuye-24h'!M33,'27.07 Munyonyo-Kibuye-24h'!M33,'28.07 Munyonyo-Kibuye'!M33)</f>
        <v>123</v>
      </c>
      <c r="N33" s="49">
        <f>AVERAGE('22.07 Munyonyo-Kibuye'!N33,'23.07 Munyonyo-Kibuye'!N33,'24.07 Munyonyo-Kibuye'!N33,'25.07 Munyonyo-Kibuye'!N33,'26.07 Munyonyo-Kibuye-24h'!N33,'27.07 Munyonyo-Kibuye-24h'!N33,'28.07 Munyonyo-Kibuye'!N33)</f>
        <v>0</v>
      </c>
      <c r="O33" s="15">
        <f t="shared" si="0"/>
        <v>61.142857142857153</v>
      </c>
      <c r="P33" s="15">
        <f t="shared" si="1"/>
        <v>184.14285714285717</v>
      </c>
      <c r="R33" s="1" t="s">
        <v>157</v>
      </c>
      <c r="S33" s="34">
        <f>SUM(C102:C105)</f>
        <v>245.5</v>
      </c>
      <c r="T33" s="34">
        <f t="shared" ref="T33:AF33" si="25">SUM(D102:D105)</f>
        <v>54</v>
      </c>
      <c r="U33" s="34">
        <f t="shared" si="25"/>
        <v>14.5</v>
      </c>
      <c r="V33" s="34">
        <f t="shared" si="25"/>
        <v>285</v>
      </c>
      <c r="W33" s="34">
        <f t="shared" si="25"/>
        <v>5.5</v>
      </c>
      <c r="X33" s="34">
        <f t="shared" si="25"/>
        <v>0.5</v>
      </c>
      <c r="Y33" s="34">
        <f t="shared" si="25"/>
        <v>10.5</v>
      </c>
      <c r="Z33" s="34">
        <f t="shared" si="25"/>
        <v>1</v>
      </c>
      <c r="AA33" s="34">
        <f t="shared" si="25"/>
        <v>1</v>
      </c>
      <c r="AB33" s="34">
        <f t="shared" si="25"/>
        <v>0</v>
      </c>
      <c r="AC33" s="34">
        <f t="shared" si="25"/>
        <v>546.5</v>
      </c>
      <c r="AD33" s="34">
        <f t="shared" si="25"/>
        <v>0</v>
      </c>
      <c r="AE33" s="31">
        <f t="shared" si="25"/>
        <v>617.5</v>
      </c>
      <c r="AF33" s="31">
        <f t="shared" si="25"/>
        <v>1164</v>
      </c>
    </row>
    <row r="34" spans="2:32" ht="23.1" customHeight="1" x14ac:dyDescent="0.25">
      <c r="B34" s="24" t="s">
        <v>61</v>
      </c>
      <c r="C34" s="49">
        <f>AVERAGE('22.07 Munyonyo-Kibuye'!C34,'23.07 Munyonyo-Kibuye'!C34,'24.07 Munyonyo-Kibuye'!C34,'25.07 Munyonyo-Kibuye'!C34,'26.07 Munyonyo-Kibuye-24h'!C34,'27.07 Munyonyo-Kibuye-24h'!C34,'28.07 Munyonyo-Kibuye'!C34)</f>
        <v>20.428571428571427</v>
      </c>
      <c r="D34" s="49">
        <f>AVERAGE('22.07 Munyonyo-Kibuye'!D34,'23.07 Munyonyo-Kibuye'!D34,'24.07 Munyonyo-Kibuye'!D34,'25.07 Munyonyo-Kibuye'!D34,'26.07 Munyonyo-Kibuye-24h'!D34,'27.07 Munyonyo-Kibuye-24h'!D34,'28.07 Munyonyo-Kibuye'!D34)</f>
        <v>13.571428571428571</v>
      </c>
      <c r="E34" s="49">
        <f>AVERAGE('22.07 Munyonyo-Kibuye'!E34,'23.07 Munyonyo-Kibuye'!E34,'24.07 Munyonyo-Kibuye'!E34,'25.07 Munyonyo-Kibuye'!E34,'26.07 Munyonyo-Kibuye-24h'!E34,'27.07 Munyonyo-Kibuye-24h'!E34,'28.07 Munyonyo-Kibuye'!E34)</f>
        <v>3.4285714285714284</v>
      </c>
      <c r="F34" s="49">
        <f>AVERAGE('22.07 Munyonyo-Kibuye'!F34,'23.07 Munyonyo-Kibuye'!F34,'24.07 Munyonyo-Kibuye'!F34,'25.07 Munyonyo-Kibuye'!F34,'26.07 Munyonyo-Kibuye-24h'!F34,'27.07 Munyonyo-Kibuye-24h'!F34,'28.07 Munyonyo-Kibuye'!F34)</f>
        <v>20.857142857142858</v>
      </c>
      <c r="G34" s="49">
        <f>AVERAGE('22.07 Munyonyo-Kibuye'!G34,'23.07 Munyonyo-Kibuye'!G34,'24.07 Munyonyo-Kibuye'!G34,'25.07 Munyonyo-Kibuye'!G34,'26.07 Munyonyo-Kibuye-24h'!G34,'27.07 Munyonyo-Kibuye-24h'!G34,'28.07 Munyonyo-Kibuye'!G34)</f>
        <v>0.2857142857142857</v>
      </c>
      <c r="H34" s="49">
        <f>AVERAGE('22.07 Munyonyo-Kibuye'!H34,'23.07 Munyonyo-Kibuye'!H34,'24.07 Munyonyo-Kibuye'!H34,'25.07 Munyonyo-Kibuye'!H34,'26.07 Munyonyo-Kibuye-24h'!H34,'27.07 Munyonyo-Kibuye-24h'!H34,'28.07 Munyonyo-Kibuye'!H34)</f>
        <v>0</v>
      </c>
      <c r="I34" s="49">
        <f>AVERAGE('22.07 Munyonyo-Kibuye'!I34,'23.07 Munyonyo-Kibuye'!I34,'24.07 Munyonyo-Kibuye'!I34,'25.07 Munyonyo-Kibuye'!I34,'26.07 Munyonyo-Kibuye-24h'!I34,'27.07 Munyonyo-Kibuye-24h'!I34,'28.07 Munyonyo-Kibuye'!I34)</f>
        <v>3.5714285714285716</v>
      </c>
      <c r="J34" s="49">
        <f>AVERAGE('22.07 Munyonyo-Kibuye'!J34,'23.07 Munyonyo-Kibuye'!J34,'24.07 Munyonyo-Kibuye'!J34,'25.07 Munyonyo-Kibuye'!J34,'26.07 Munyonyo-Kibuye-24h'!J34,'27.07 Munyonyo-Kibuye-24h'!J34,'28.07 Munyonyo-Kibuye'!J34)</f>
        <v>0.7142857142857143</v>
      </c>
      <c r="K34" s="49">
        <f>AVERAGE('22.07 Munyonyo-Kibuye'!K34,'23.07 Munyonyo-Kibuye'!K34,'24.07 Munyonyo-Kibuye'!K34,'25.07 Munyonyo-Kibuye'!K34,'26.07 Munyonyo-Kibuye-24h'!K34,'27.07 Munyonyo-Kibuye-24h'!K34,'28.07 Munyonyo-Kibuye'!K34)</f>
        <v>0.14285714285714285</v>
      </c>
      <c r="L34" s="49">
        <f>AVERAGE('22.07 Munyonyo-Kibuye'!L34,'23.07 Munyonyo-Kibuye'!L34,'24.07 Munyonyo-Kibuye'!L34,'25.07 Munyonyo-Kibuye'!L34,'26.07 Munyonyo-Kibuye-24h'!L34,'27.07 Munyonyo-Kibuye-24h'!L34,'28.07 Munyonyo-Kibuye'!L34)</f>
        <v>0</v>
      </c>
      <c r="M34" s="49">
        <f>AVERAGE('22.07 Munyonyo-Kibuye'!M34,'23.07 Munyonyo-Kibuye'!M34,'24.07 Munyonyo-Kibuye'!M34,'25.07 Munyonyo-Kibuye'!M34,'26.07 Munyonyo-Kibuye-24h'!M34,'27.07 Munyonyo-Kibuye-24h'!M34,'28.07 Munyonyo-Kibuye'!M34)</f>
        <v>129.42857142857142</v>
      </c>
      <c r="N34" s="49">
        <f>AVERAGE('22.07 Munyonyo-Kibuye'!N34,'23.07 Munyonyo-Kibuye'!N34,'24.07 Munyonyo-Kibuye'!N34,'25.07 Munyonyo-Kibuye'!N34,'26.07 Munyonyo-Kibuye-24h'!N34,'27.07 Munyonyo-Kibuye-24h'!N34,'28.07 Munyonyo-Kibuye'!N34)</f>
        <v>0</v>
      </c>
      <c r="O34" s="15">
        <f t="shared" si="0"/>
        <v>63.000000000000007</v>
      </c>
      <c r="P34" s="15">
        <f t="shared" si="1"/>
        <v>192.42857142857142</v>
      </c>
      <c r="R34" s="38" t="s">
        <v>90</v>
      </c>
      <c r="S34" s="39">
        <f t="shared" ref="S34:AF34" si="26">MAX(S10:S12)</f>
        <v>112.14285714285714</v>
      </c>
      <c r="T34" s="39">
        <f t="shared" si="26"/>
        <v>57.285714285714285</v>
      </c>
      <c r="U34" s="39">
        <f t="shared" si="26"/>
        <v>17.285714285714285</v>
      </c>
      <c r="V34" s="39">
        <f t="shared" si="26"/>
        <v>217.28571428571428</v>
      </c>
      <c r="W34" s="39">
        <f t="shared" si="26"/>
        <v>1.4285714285714286</v>
      </c>
      <c r="X34" s="39">
        <f t="shared" si="26"/>
        <v>0.2857142857142857</v>
      </c>
      <c r="Y34" s="39">
        <f t="shared" si="26"/>
        <v>14.285714285714286</v>
      </c>
      <c r="Z34" s="39">
        <f t="shared" si="26"/>
        <v>1.2857142857142856</v>
      </c>
      <c r="AA34" s="39">
        <f t="shared" si="26"/>
        <v>0.5714285714285714</v>
      </c>
      <c r="AB34" s="39">
        <f t="shared" si="26"/>
        <v>0.2857142857142857</v>
      </c>
      <c r="AC34" s="39">
        <f t="shared" si="26"/>
        <v>921.85714285714289</v>
      </c>
      <c r="AD34" s="39">
        <f t="shared" si="26"/>
        <v>0</v>
      </c>
      <c r="AE34" s="40">
        <f t="shared" si="26"/>
        <v>419.14285714285717</v>
      </c>
      <c r="AF34" s="40">
        <f t="shared" si="26"/>
        <v>1341</v>
      </c>
    </row>
    <row r="35" spans="2:32" ht="23.1" customHeight="1" x14ac:dyDescent="0.25">
      <c r="B35" s="24" t="s">
        <v>62</v>
      </c>
      <c r="C35" s="49">
        <f>AVERAGE('22.07 Munyonyo-Kibuye'!C35,'23.07 Munyonyo-Kibuye'!C35,'24.07 Munyonyo-Kibuye'!C35,'25.07 Munyonyo-Kibuye'!C35,'26.07 Munyonyo-Kibuye-24h'!C35,'27.07 Munyonyo-Kibuye-24h'!C35,'28.07 Munyonyo-Kibuye'!C35)</f>
        <v>18.571428571428573</v>
      </c>
      <c r="D35" s="49">
        <f>AVERAGE('22.07 Munyonyo-Kibuye'!D35,'23.07 Munyonyo-Kibuye'!D35,'24.07 Munyonyo-Kibuye'!D35,'25.07 Munyonyo-Kibuye'!D35,'26.07 Munyonyo-Kibuye-24h'!D35,'27.07 Munyonyo-Kibuye-24h'!D35,'28.07 Munyonyo-Kibuye'!D35)</f>
        <v>9.7142857142857135</v>
      </c>
      <c r="E35" s="49">
        <f>AVERAGE('22.07 Munyonyo-Kibuye'!E35,'23.07 Munyonyo-Kibuye'!E35,'24.07 Munyonyo-Kibuye'!E35,'25.07 Munyonyo-Kibuye'!E35,'26.07 Munyonyo-Kibuye-24h'!E35,'27.07 Munyonyo-Kibuye-24h'!E35,'28.07 Munyonyo-Kibuye'!E35)</f>
        <v>3.2857142857142856</v>
      </c>
      <c r="F35" s="49">
        <f>AVERAGE('22.07 Munyonyo-Kibuye'!F35,'23.07 Munyonyo-Kibuye'!F35,'24.07 Munyonyo-Kibuye'!F35,'25.07 Munyonyo-Kibuye'!F35,'26.07 Munyonyo-Kibuye-24h'!F35,'27.07 Munyonyo-Kibuye-24h'!F35,'28.07 Munyonyo-Kibuye'!F35)</f>
        <v>23.285714285714285</v>
      </c>
      <c r="G35" s="49">
        <f>AVERAGE('22.07 Munyonyo-Kibuye'!G35,'23.07 Munyonyo-Kibuye'!G35,'24.07 Munyonyo-Kibuye'!G35,'25.07 Munyonyo-Kibuye'!G35,'26.07 Munyonyo-Kibuye-24h'!G35,'27.07 Munyonyo-Kibuye-24h'!G35,'28.07 Munyonyo-Kibuye'!G35)</f>
        <v>0.14285714285714285</v>
      </c>
      <c r="H35" s="49">
        <f>AVERAGE('22.07 Munyonyo-Kibuye'!H35,'23.07 Munyonyo-Kibuye'!H35,'24.07 Munyonyo-Kibuye'!H35,'25.07 Munyonyo-Kibuye'!H35,'26.07 Munyonyo-Kibuye-24h'!H35,'27.07 Munyonyo-Kibuye-24h'!H35,'28.07 Munyonyo-Kibuye'!H35)</f>
        <v>0</v>
      </c>
      <c r="I35" s="49">
        <f>AVERAGE('22.07 Munyonyo-Kibuye'!I35,'23.07 Munyonyo-Kibuye'!I35,'24.07 Munyonyo-Kibuye'!I35,'25.07 Munyonyo-Kibuye'!I35,'26.07 Munyonyo-Kibuye-24h'!I35,'27.07 Munyonyo-Kibuye-24h'!I35,'28.07 Munyonyo-Kibuye'!I35)</f>
        <v>3.5714285714285716</v>
      </c>
      <c r="J35" s="49">
        <f>AVERAGE('22.07 Munyonyo-Kibuye'!J35,'23.07 Munyonyo-Kibuye'!J35,'24.07 Munyonyo-Kibuye'!J35,'25.07 Munyonyo-Kibuye'!J35,'26.07 Munyonyo-Kibuye-24h'!J35,'27.07 Munyonyo-Kibuye-24h'!J35,'28.07 Munyonyo-Kibuye'!J35)</f>
        <v>0.42857142857142855</v>
      </c>
      <c r="K35" s="49">
        <f>AVERAGE('22.07 Munyonyo-Kibuye'!K35,'23.07 Munyonyo-Kibuye'!K35,'24.07 Munyonyo-Kibuye'!K35,'25.07 Munyonyo-Kibuye'!K35,'26.07 Munyonyo-Kibuye-24h'!K35,'27.07 Munyonyo-Kibuye-24h'!K35,'28.07 Munyonyo-Kibuye'!K35)</f>
        <v>0</v>
      </c>
      <c r="L35" s="49">
        <f>AVERAGE('22.07 Munyonyo-Kibuye'!L35,'23.07 Munyonyo-Kibuye'!L35,'24.07 Munyonyo-Kibuye'!L35,'25.07 Munyonyo-Kibuye'!L35,'26.07 Munyonyo-Kibuye-24h'!L35,'27.07 Munyonyo-Kibuye-24h'!L35,'28.07 Munyonyo-Kibuye'!L35)</f>
        <v>0</v>
      </c>
      <c r="M35" s="49">
        <f>AVERAGE('22.07 Munyonyo-Kibuye'!M35,'23.07 Munyonyo-Kibuye'!M35,'24.07 Munyonyo-Kibuye'!M35,'25.07 Munyonyo-Kibuye'!M35,'26.07 Munyonyo-Kibuye-24h'!M35,'27.07 Munyonyo-Kibuye-24h'!M35,'28.07 Munyonyo-Kibuye'!M35)</f>
        <v>113.28571428571429</v>
      </c>
      <c r="N35" s="49">
        <f>AVERAGE('22.07 Munyonyo-Kibuye'!N35,'23.07 Munyonyo-Kibuye'!N35,'24.07 Munyonyo-Kibuye'!N35,'25.07 Munyonyo-Kibuye'!N35,'26.07 Munyonyo-Kibuye-24h'!N35,'27.07 Munyonyo-Kibuye-24h'!N35,'28.07 Munyonyo-Kibuye'!N35)</f>
        <v>0</v>
      </c>
      <c r="O35" s="15">
        <f t="shared" si="0"/>
        <v>59</v>
      </c>
      <c r="P35" s="15">
        <f t="shared" si="1"/>
        <v>172.28571428571428</v>
      </c>
      <c r="R35" s="38" t="s">
        <v>91</v>
      </c>
      <c r="S35" s="39">
        <f t="shared" ref="S35:AF35" si="27">MAX(S13:S18)</f>
        <v>100.14285714285714</v>
      </c>
      <c r="T35" s="39">
        <f t="shared" si="27"/>
        <v>54.857142857142861</v>
      </c>
      <c r="U35" s="39">
        <f t="shared" si="27"/>
        <v>17</v>
      </c>
      <c r="V35" s="39">
        <f t="shared" si="27"/>
        <v>147.14285714285714</v>
      </c>
      <c r="W35" s="39">
        <f t="shared" si="27"/>
        <v>1.2857142857142858</v>
      </c>
      <c r="X35" s="39">
        <f t="shared" si="27"/>
        <v>0.14285714285714285</v>
      </c>
      <c r="Y35" s="39">
        <f t="shared" si="27"/>
        <v>15.142857142857144</v>
      </c>
      <c r="Z35" s="39">
        <f t="shared" si="27"/>
        <v>2.2857142857142856</v>
      </c>
      <c r="AA35" s="39">
        <f t="shared" si="27"/>
        <v>0.5714285714285714</v>
      </c>
      <c r="AB35" s="39">
        <f t="shared" si="27"/>
        <v>0.5714285714285714</v>
      </c>
      <c r="AC35" s="39">
        <f t="shared" si="27"/>
        <v>659.85714285714289</v>
      </c>
      <c r="AD35" s="39">
        <f t="shared" si="27"/>
        <v>1.8571428571428572</v>
      </c>
      <c r="AE35" s="40">
        <f t="shared" si="27"/>
        <v>336.28571428571428</v>
      </c>
      <c r="AF35" s="40">
        <f t="shared" si="27"/>
        <v>996.14285714285711</v>
      </c>
    </row>
    <row r="36" spans="2:32" ht="23.1" customHeight="1" x14ac:dyDescent="0.25">
      <c r="B36" s="24" t="s">
        <v>63</v>
      </c>
      <c r="C36" s="49">
        <f>AVERAGE('22.07 Munyonyo-Kibuye'!C36,'23.07 Munyonyo-Kibuye'!C36,'24.07 Munyonyo-Kibuye'!C36,'25.07 Munyonyo-Kibuye'!C36,'26.07 Munyonyo-Kibuye-24h'!C36,'27.07 Munyonyo-Kibuye-24h'!C36,'28.07 Munyonyo-Kibuye'!C36)</f>
        <v>22.142857142857142</v>
      </c>
      <c r="D36" s="49">
        <f>AVERAGE('22.07 Munyonyo-Kibuye'!D36,'23.07 Munyonyo-Kibuye'!D36,'24.07 Munyonyo-Kibuye'!D36,'25.07 Munyonyo-Kibuye'!D36,'26.07 Munyonyo-Kibuye-24h'!D36,'27.07 Munyonyo-Kibuye-24h'!D36,'28.07 Munyonyo-Kibuye'!D36)</f>
        <v>12.857142857142858</v>
      </c>
      <c r="E36" s="49">
        <f>AVERAGE('22.07 Munyonyo-Kibuye'!E36,'23.07 Munyonyo-Kibuye'!E36,'24.07 Munyonyo-Kibuye'!E36,'25.07 Munyonyo-Kibuye'!E36,'26.07 Munyonyo-Kibuye-24h'!E36,'27.07 Munyonyo-Kibuye-24h'!E36,'28.07 Munyonyo-Kibuye'!E36)</f>
        <v>4.4285714285714288</v>
      </c>
      <c r="F36" s="49">
        <f>AVERAGE('22.07 Munyonyo-Kibuye'!F36,'23.07 Munyonyo-Kibuye'!F36,'24.07 Munyonyo-Kibuye'!F36,'25.07 Munyonyo-Kibuye'!F36,'26.07 Munyonyo-Kibuye-24h'!F36,'27.07 Munyonyo-Kibuye-24h'!F36,'28.07 Munyonyo-Kibuye'!F36)</f>
        <v>24.857142857142858</v>
      </c>
      <c r="G36" s="49">
        <f>AVERAGE('22.07 Munyonyo-Kibuye'!G36,'23.07 Munyonyo-Kibuye'!G36,'24.07 Munyonyo-Kibuye'!G36,'25.07 Munyonyo-Kibuye'!G36,'26.07 Munyonyo-Kibuye-24h'!G36,'27.07 Munyonyo-Kibuye-24h'!G36,'28.07 Munyonyo-Kibuye'!G36)</f>
        <v>0</v>
      </c>
      <c r="H36" s="49">
        <f>AVERAGE('22.07 Munyonyo-Kibuye'!H36,'23.07 Munyonyo-Kibuye'!H36,'24.07 Munyonyo-Kibuye'!H36,'25.07 Munyonyo-Kibuye'!H36,'26.07 Munyonyo-Kibuye-24h'!H36,'27.07 Munyonyo-Kibuye-24h'!H36,'28.07 Munyonyo-Kibuye'!H36)</f>
        <v>0</v>
      </c>
      <c r="I36" s="49">
        <f>AVERAGE('22.07 Munyonyo-Kibuye'!I36,'23.07 Munyonyo-Kibuye'!I36,'24.07 Munyonyo-Kibuye'!I36,'25.07 Munyonyo-Kibuye'!I36,'26.07 Munyonyo-Kibuye-24h'!I36,'27.07 Munyonyo-Kibuye-24h'!I36,'28.07 Munyonyo-Kibuye'!I36)</f>
        <v>5.4285714285714288</v>
      </c>
      <c r="J36" s="49">
        <f>AVERAGE('22.07 Munyonyo-Kibuye'!J36,'23.07 Munyonyo-Kibuye'!J36,'24.07 Munyonyo-Kibuye'!J36,'25.07 Munyonyo-Kibuye'!J36,'26.07 Munyonyo-Kibuye-24h'!J36,'27.07 Munyonyo-Kibuye-24h'!J36,'28.07 Munyonyo-Kibuye'!J36)</f>
        <v>0.7142857142857143</v>
      </c>
      <c r="K36" s="49">
        <f>AVERAGE('22.07 Munyonyo-Kibuye'!K36,'23.07 Munyonyo-Kibuye'!K36,'24.07 Munyonyo-Kibuye'!K36,'25.07 Munyonyo-Kibuye'!K36,'26.07 Munyonyo-Kibuye-24h'!K36,'27.07 Munyonyo-Kibuye-24h'!K36,'28.07 Munyonyo-Kibuye'!K36)</f>
        <v>0</v>
      </c>
      <c r="L36" s="49">
        <f>AVERAGE('22.07 Munyonyo-Kibuye'!L36,'23.07 Munyonyo-Kibuye'!L36,'24.07 Munyonyo-Kibuye'!L36,'25.07 Munyonyo-Kibuye'!L36,'26.07 Munyonyo-Kibuye-24h'!L36,'27.07 Munyonyo-Kibuye-24h'!L36,'28.07 Munyonyo-Kibuye'!L36)</f>
        <v>0</v>
      </c>
      <c r="M36" s="49">
        <f>AVERAGE('22.07 Munyonyo-Kibuye'!M36,'23.07 Munyonyo-Kibuye'!M36,'24.07 Munyonyo-Kibuye'!M36,'25.07 Munyonyo-Kibuye'!M36,'26.07 Munyonyo-Kibuye-24h'!M36,'27.07 Munyonyo-Kibuye-24h'!M36,'28.07 Munyonyo-Kibuye'!M36)</f>
        <v>124.14285714285714</v>
      </c>
      <c r="N36" s="49">
        <f>AVERAGE('22.07 Munyonyo-Kibuye'!N36,'23.07 Munyonyo-Kibuye'!N36,'24.07 Munyonyo-Kibuye'!N36,'25.07 Munyonyo-Kibuye'!N36,'26.07 Munyonyo-Kibuye-24h'!N36,'27.07 Munyonyo-Kibuye-24h'!N36,'28.07 Munyonyo-Kibuye'!N36)</f>
        <v>0</v>
      </c>
      <c r="O36" s="15">
        <f t="shared" si="0"/>
        <v>70.428571428571431</v>
      </c>
      <c r="P36" s="15">
        <f t="shared" si="1"/>
        <v>194.57142857142856</v>
      </c>
      <c r="R36" s="38" t="s">
        <v>92</v>
      </c>
      <c r="S36" s="39">
        <f t="shared" ref="S36:AF36" si="28">MAX(S19:S21)</f>
        <v>104.85714285714286</v>
      </c>
      <c r="T36" s="39">
        <f t="shared" si="28"/>
        <v>52.142857142857139</v>
      </c>
      <c r="U36" s="39">
        <f t="shared" si="28"/>
        <v>18.714285714285715</v>
      </c>
      <c r="V36" s="39">
        <f t="shared" si="28"/>
        <v>93.571428571428584</v>
      </c>
      <c r="W36" s="39">
        <f t="shared" si="28"/>
        <v>4.7142857142857135</v>
      </c>
      <c r="X36" s="39">
        <f t="shared" si="28"/>
        <v>3.5714285714285712</v>
      </c>
      <c r="Y36" s="39">
        <f t="shared" si="28"/>
        <v>15.285714285714285</v>
      </c>
      <c r="Z36" s="39">
        <f t="shared" si="28"/>
        <v>3.4285714285714288</v>
      </c>
      <c r="AA36" s="39">
        <f t="shared" si="28"/>
        <v>3.2857142857142856</v>
      </c>
      <c r="AB36" s="39">
        <f t="shared" si="28"/>
        <v>2.4285714285714284</v>
      </c>
      <c r="AC36" s="39">
        <f t="shared" si="28"/>
        <v>651.42857142857144</v>
      </c>
      <c r="AD36" s="39">
        <f t="shared" si="28"/>
        <v>0</v>
      </c>
      <c r="AE36" s="40">
        <f t="shared" si="28"/>
        <v>284.28571428571428</v>
      </c>
      <c r="AF36" s="40">
        <f t="shared" si="28"/>
        <v>904.28571428571433</v>
      </c>
    </row>
    <row r="37" spans="2:32" ht="23.1" customHeight="1" x14ac:dyDescent="0.25">
      <c r="B37" s="23" t="s">
        <v>64</v>
      </c>
      <c r="C37" s="49">
        <f>AVERAGE('22.07 Munyonyo-Kibuye'!C37,'23.07 Munyonyo-Kibuye'!C37,'24.07 Munyonyo-Kibuye'!C37,'25.07 Munyonyo-Kibuye'!C37,'26.07 Munyonyo-Kibuye-24h'!C37,'27.07 Munyonyo-Kibuye-24h'!C37,'28.07 Munyonyo-Kibuye'!C37)</f>
        <v>18.571428571428573</v>
      </c>
      <c r="D37" s="49">
        <f>AVERAGE('22.07 Munyonyo-Kibuye'!D37,'23.07 Munyonyo-Kibuye'!D37,'24.07 Munyonyo-Kibuye'!D37,'25.07 Munyonyo-Kibuye'!D37,'26.07 Munyonyo-Kibuye-24h'!D37,'27.07 Munyonyo-Kibuye-24h'!D37,'28.07 Munyonyo-Kibuye'!D37)</f>
        <v>10</v>
      </c>
      <c r="E37" s="49">
        <f>AVERAGE('22.07 Munyonyo-Kibuye'!E37,'23.07 Munyonyo-Kibuye'!E37,'24.07 Munyonyo-Kibuye'!E37,'25.07 Munyonyo-Kibuye'!E37,'26.07 Munyonyo-Kibuye-24h'!E37,'27.07 Munyonyo-Kibuye-24h'!E37,'28.07 Munyonyo-Kibuye'!E37)</f>
        <v>3.5714285714285716</v>
      </c>
      <c r="F37" s="49">
        <f>AVERAGE('22.07 Munyonyo-Kibuye'!F37,'23.07 Munyonyo-Kibuye'!F37,'24.07 Munyonyo-Kibuye'!F37,'25.07 Munyonyo-Kibuye'!F37,'26.07 Munyonyo-Kibuye-24h'!F37,'27.07 Munyonyo-Kibuye-24h'!F37,'28.07 Munyonyo-Kibuye'!F37)</f>
        <v>20.714285714285715</v>
      </c>
      <c r="G37" s="49">
        <f>AVERAGE('22.07 Munyonyo-Kibuye'!G37,'23.07 Munyonyo-Kibuye'!G37,'24.07 Munyonyo-Kibuye'!G37,'25.07 Munyonyo-Kibuye'!G37,'26.07 Munyonyo-Kibuye-24h'!G37,'27.07 Munyonyo-Kibuye-24h'!G37,'28.07 Munyonyo-Kibuye'!G37)</f>
        <v>0</v>
      </c>
      <c r="H37" s="49">
        <f>AVERAGE('22.07 Munyonyo-Kibuye'!H37,'23.07 Munyonyo-Kibuye'!H37,'24.07 Munyonyo-Kibuye'!H37,'25.07 Munyonyo-Kibuye'!H37,'26.07 Munyonyo-Kibuye-24h'!H37,'27.07 Munyonyo-Kibuye-24h'!H37,'28.07 Munyonyo-Kibuye'!H37)</f>
        <v>0</v>
      </c>
      <c r="I37" s="49">
        <f>AVERAGE('22.07 Munyonyo-Kibuye'!I37,'23.07 Munyonyo-Kibuye'!I37,'24.07 Munyonyo-Kibuye'!I37,'25.07 Munyonyo-Kibuye'!I37,'26.07 Munyonyo-Kibuye-24h'!I37,'27.07 Munyonyo-Kibuye-24h'!I37,'28.07 Munyonyo-Kibuye'!I37)</f>
        <v>2.5714285714285716</v>
      </c>
      <c r="J37" s="49">
        <f>AVERAGE('22.07 Munyonyo-Kibuye'!J37,'23.07 Munyonyo-Kibuye'!J37,'24.07 Munyonyo-Kibuye'!J37,'25.07 Munyonyo-Kibuye'!J37,'26.07 Munyonyo-Kibuye-24h'!J37,'27.07 Munyonyo-Kibuye-24h'!J37,'28.07 Munyonyo-Kibuye'!J37)</f>
        <v>0.42857142857142855</v>
      </c>
      <c r="K37" s="49">
        <f>AVERAGE('22.07 Munyonyo-Kibuye'!K37,'23.07 Munyonyo-Kibuye'!K37,'24.07 Munyonyo-Kibuye'!K37,'25.07 Munyonyo-Kibuye'!K37,'26.07 Munyonyo-Kibuye-24h'!K37,'27.07 Munyonyo-Kibuye-24h'!K37,'28.07 Munyonyo-Kibuye'!K37)</f>
        <v>0.14285714285714285</v>
      </c>
      <c r="L37" s="49">
        <f>AVERAGE('22.07 Munyonyo-Kibuye'!L37,'23.07 Munyonyo-Kibuye'!L37,'24.07 Munyonyo-Kibuye'!L37,'25.07 Munyonyo-Kibuye'!L37,'26.07 Munyonyo-Kibuye-24h'!L37,'27.07 Munyonyo-Kibuye-24h'!L37,'28.07 Munyonyo-Kibuye'!L37)</f>
        <v>0</v>
      </c>
      <c r="M37" s="49">
        <f>AVERAGE('22.07 Munyonyo-Kibuye'!M37,'23.07 Munyonyo-Kibuye'!M37,'24.07 Munyonyo-Kibuye'!M37,'25.07 Munyonyo-Kibuye'!M37,'26.07 Munyonyo-Kibuye-24h'!M37,'27.07 Munyonyo-Kibuye-24h'!M37,'28.07 Munyonyo-Kibuye'!M37)</f>
        <v>117</v>
      </c>
      <c r="N37" s="49">
        <f>AVERAGE('22.07 Munyonyo-Kibuye'!N37,'23.07 Munyonyo-Kibuye'!N37,'24.07 Munyonyo-Kibuye'!N37,'25.07 Munyonyo-Kibuye'!N37,'26.07 Munyonyo-Kibuye-24h'!N37,'27.07 Munyonyo-Kibuye-24h'!N37,'28.07 Munyonyo-Kibuye'!N37)</f>
        <v>1</v>
      </c>
      <c r="O37" s="15">
        <f t="shared" si="0"/>
        <v>57.000000000000007</v>
      </c>
      <c r="P37" s="15">
        <f t="shared" si="1"/>
        <v>174</v>
      </c>
      <c r="R37" s="37" t="s">
        <v>85</v>
      </c>
      <c r="S37" s="52">
        <f t="shared" ref="S37:AF37" si="29">SUM(S10:S12)</f>
        <v>314</v>
      </c>
      <c r="T37" s="53">
        <f t="shared" si="29"/>
        <v>158.14285714285714</v>
      </c>
      <c r="U37" s="53">
        <f t="shared" si="29"/>
        <v>44.714285714285708</v>
      </c>
      <c r="V37" s="53">
        <f t="shared" si="29"/>
        <v>572.14285714285711</v>
      </c>
      <c r="W37" s="53">
        <f t="shared" si="29"/>
        <v>3.5714285714285712</v>
      </c>
      <c r="X37" s="53">
        <f t="shared" si="29"/>
        <v>0.2857142857142857</v>
      </c>
      <c r="Y37" s="53">
        <f t="shared" si="29"/>
        <v>38.857142857142861</v>
      </c>
      <c r="Z37" s="53">
        <f t="shared" si="29"/>
        <v>3.714285714285714</v>
      </c>
      <c r="AA37" s="53">
        <f t="shared" si="29"/>
        <v>1.5714285714285714</v>
      </c>
      <c r="AB37" s="53">
        <f t="shared" si="29"/>
        <v>0.2857142857142857</v>
      </c>
      <c r="AC37" s="53">
        <f t="shared" si="29"/>
        <v>2426</v>
      </c>
      <c r="AD37" s="53">
        <f t="shared" si="29"/>
        <v>0</v>
      </c>
      <c r="AE37" s="54">
        <f t="shared" si="29"/>
        <v>1137.2857142857142</v>
      </c>
      <c r="AF37" s="54">
        <f t="shared" si="29"/>
        <v>3563.2857142857147</v>
      </c>
    </row>
    <row r="38" spans="2:32" ht="23.1" customHeight="1" x14ac:dyDescent="0.25">
      <c r="B38" s="24" t="s">
        <v>65</v>
      </c>
      <c r="C38" s="49">
        <f>AVERAGE('22.07 Munyonyo-Kibuye'!C38,'23.07 Munyonyo-Kibuye'!C38,'24.07 Munyonyo-Kibuye'!C38,'25.07 Munyonyo-Kibuye'!C38,'26.07 Munyonyo-Kibuye-24h'!C38,'27.07 Munyonyo-Kibuye-24h'!C38,'28.07 Munyonyo-Kibuye'!C38)</f>
        <v>19.714285714285715</v>
      </c>
      <c r="D38" s="49">
        <f>AVERAGE('22.07 Munyonyo-Kibuye'!D38,'23.07 Munyonyo-Kibuye'!D38,'24.07 Munyonyo-Kibuye'!D38,'25.07 Munyonyo-Kibuye'!D38,'26.07 Munyonyo-Kibuye-24h'!D38,'27.07 Munyonyo-Kibuye-24h'!D38,'28.07 Munyonyo-Kibuye'!D38)</f>
        <v>10.285714285714286</v>
      </c>
      <c r="E38" s="49">
        <f>AVERAGE('22.07 Munyonyo-Kibuye'!E38,'23.07 Munyonyo-Kibuye'!E38,'24.07 Munyonyo-Kibuye'!E38,'25.07 Munyonyo-Kibuye'!E38,'26.07 Munyonyo-Kibuye-24h'!E38,'27.07 Munyonyo-Kibuye-24h'!E38,'28.07 Munyonyo-Kibuye'!E38)</f>
        <v>3.7142857142857144</v>
      </c>
      <c r="F38" s="49">
        <f>AVERAGE('22.07 Munyonyo-Kibuye'!F38,'23.07 Munyonyo-Kibuye'!F38,'24.07 Munyonyo-Kibuye'!F38,'25.07 Munyonyo-Kibuye'!F38,'26.07 Munyonyo-Kibuye-24h'!F38,'27.07 Munyonyo-Kibuye-24h'!F38,'28.07 Munyonyo-Kibuye'!F38)</f>
        <v>19.714285714285715</v>
      </c>
      <c r="G38" s="49">
        <f>AVERAGE('22.07 Munyonyo-Kibuye'!G38,'23.07 Munyonyo-Kibuye'!G38,'24.07 Munyonyo-Kibuye'!G38,'25.07 Munyonyo-Kibuye'!G38,'26.07 Munyonyo-Kibuye-24h'!G38,'27.07 Munyonyo-Kibuye-24h'!G38,'28.07 Munyonyo-Kibuye'!G38)</f>
        <v>0</v>
      </c>
      <c r="H38" s="49">
        <f>AVERAGE('22.07 Munyonyo-Kibuye'!H38,'23.07 Munyonyo-Kibuye'!H38,'24.07 Munyonyo-Kibuye'!H38,'25.07 Munyonyo-Kibuye'!H38,'26.07 Munyonyo-Kibuye-24h'!H38,'27.07 Munyonyo-Kibuye-24h'!H38,'28.07 Munyonyo-Kibuye'!H38)</f>
        <v>0</v>
      </c>
      <c r="I38" s="49">
        <f>AVERAGE('22.07 Munyonyo-Kibuye'!I38,'23.07 Munyonyo-Kibuye'!I38,'24.07 Munyonyo-Kibuye'!I38,'25.07 Munyonyo-Kibuye'!I38,'26.07 Munyonyo-Kibuye-24h'!I38,'27.07 Munyonyo-Kibuye-24h'!I38,'28.07 Munyonyo-Kibuye'!I38)</f>
        <v>3.5714285714285716</v>
      </c>
      <c r="J38" s="49">
        <f>AVERAGE('22.07 Munyonyo-Kibuye'!J38,'23.07 Munyonyo-Kibuye'!J38,'24.07 Munyonyo-Kibuye'!J38,'25.07 Munyonyo-Kibuye'!J38,'26.07 Munyonyo-Kibuye-24h'!J38,'27.07 Munyonyo-Kibuye-24h'!J38,'28.07 Munyonyo-Kibuye'!J38)</f>
        <v>0.7142857142857143</v>
      </c>
      <c r="K38" s="49">
        <f>AVERAGE('22.07 Munyonyo-Kibuye'!K38,'23.07 Munyonyo-Kibuye'!K38,'24.07 Munyonyo-Kibuye'!K38,'25.07 Munyonyo-Kibuye'!K38,'26.07 Munyonyo-Kibuye-24h'!K38,'27.07 Munyonyo-Kibuye-24h'!K38,'28.07 Munyonyo-Kibuye'!K38)</f>
        <v>0.2857142857142857</v>
      </c>
      <c r="L38" s="49">
        <f>AVERAGE('22.07 Munyonyo-Kibuye'!L38,'23.07 Munyonyo-Kibuye'!L38,'24.07 Munyonyo-Kibuye'!L38,'25.07 Munyonyo-Kibuye'!L38,'26.07 Munyonyo-Kibuye-24h'!L38,'27.07 Munyonyo-Kibuye-24h'!L38,'28.07 Munyonyo-Kibuye'!L38)</f>
        <v>0</v>
      </c>
      <c r="M38" s="49">
        <f>AVERAGE('22.07 Munyonyo-Kibuye'!M38,'23.07 Munyonyo-Kibuye'!M38,'24.07 Munyonyo-Kibuye'!M38,'25.07 Munyonyo-Kibuye'!M38,'26.07 Munyonyo-Kibuye-24h'!M38,'27.07 Munyonyo-Kibuye-24h'!M38,'28.07 Munyonyo-Kibuye'!M38)</f>
        <v>116</v>
      </c>
      <c r="N38" s="49">
        <f>AVERAGE('22.07 Munyonyo-Kibuye'!N38,'23.07 Munyonyo-Kibuye'!N38,'24.07 Munyonyo-Kibuye'!N38,'25.07 Munyonyo-Kibuye'!N38,'26.07 Munyonyo-Kibuye-24h'!N38,'27.07 Munyonyo-Kibuye-24h'!N38,'28.07 Munyonyo-Kibuye'!N38)</f>
        <v>0</v>
      </c>
      <c r="O38" s="15">
        <f t="shared" si="0"/>
        <v>58</v>
      </c>
      <c r="P38" s="15">
        <f t="shared" si="1"/>
        <v>174</v>
      </c>
      <c r="R38" s="28" t="s">
        <v>86</v>
      </c>
      <c r="S38" s="53">
        <f t="shared" ref="S38:AF38" si="30">SUM(S13:S18)</f>
        <v>516.71428571428567</v>
      </c>
      <c r="T38" s="53">
        <f t="shared" si="30"/>
        <v>278.85714285714289</v>
      </c>
      <c r="U38" s="53">
        <f t="shared" si="30"/>
        <v>87.428571428571416</v>
      </c>
      <c r="V38" s="53">
        <f t="shared" si="30"/>
        <v>612.57142857142856</v>
      </c>
      <c r="W38" s="53">
        <f t="shared" si="30"/>
        <v>3.8571428571428568</v>
      </c>
      <c r="X38" s="53">
        <f t="shared" si="30"/>
        <v>0.2857142857142857</v>
      </c>
      <c r="Y38" s="53">
        <f t="shared" si="30"/>
        <v>83.428571428571431</v>
      </c>
      <c r="Z38" s="53">
        <f t="shared" si="30"/>
        <v>11.357142857142856</v>
      </c>
      <c r="AA38" s="53">
        <f t="shared" si="30"/>
        <v>2.1428571428571428</v>
      </c>
      <c r="AB38" s="53">
        <f t="shared" si="30"/>
        <v>0.8571428571428571</v>
      </c>
      <c r="AC38" s="53">
        <f t="shared" si="30"/>
        <v>3237.7142857142862</v>
      </c>
      <c r="AD38" s="53">
        <f t="shared" si="30"/>
        <v>2.8571428571428572</v>
      </c>
      <c r="AE38" s="54">
        <f t="shared" si="30"/>
        <v>1600.3571428571431</v>
      </c>
      <c r="AF38" s="54">
        <f t="shared" si="30"/>
        <v>4838.0714285714284</v>
      </c>
    </row>
    <row r="39" spans="2:32" ht="23.1" customHeight="1" x14ac:dyDescent="0.25">
      <c r="B39" s="24" t="s">
        <v>66</v>
      </c>
      <c r="C39" s="49">
        <f>AVERAGE('22.07 Munyonyo-Kibuye'!C39,'23.07 Munyonyo-Kibuye'!C39,'24.07 Munyonyo-Kibuye'!C39,'25.07 Munyonyo-Kibuye'!C39,'26.07 Munyonyo-Kibuye-24h'!C39,'27.07 Munyonyo-Kibuye-24h'!C39,'28.07 Munyonyo-Kibuye'!C39)</f>
        <v>22.285714285714285</v>
      </c>
      <c r="D39" s="49">
        <f>AVERAGE('22.07 Munyonyo-Kibuye'!D39,'23.07 Munyonyo-Kibuye'!D39,'24.07 Munyonyo-Kibuye'!D39,'25.07 Munyonyo-Kibuye'!D39,'26.07 Munyonyo-Kibuye-24h'!D39,'27.07 Munyonyo-Kibuye-24h'!D39,'28.07 Munyonyo-Kibuye'!D39)</f>
        <v>9.7142857142857135</v>
      </c>
      <c r="E39" s="49">
        <f>AVERAGE('22.07 Munyonyo-Kibuye'!E39,'23.07 Munyonyo-Kibuye'!E39,'24.07 Munyonyo-Kibuye'!E39,'25.07 Munyonyo-Kibuye'!E39,'26.07 Munyonyo-Kibuye-24h'!E39,'27.07 Munyonyo-Kibuye-24h'!E39,'28.07 Munyonyo-Kibuye'!E39)</f>
        <v>3</v>
      </c>
      <c r="F39" s="49">
        <f>AVERAGE('22.07 Munyonyo-Kibuye'!F39,'23.07 Munyonyo-Kibuye'!F39,'24.07 Munyonyo-Kibuye'!F39,'25.07 Munyonyo-Kibuye'!F39,'26.07 Munyonyo-Kibuye-24h'!F39,'27.07 Munyonyo-Kibuye-24h'!F39,'28.07 Munyonyo-Kibuye'!F39)</f>
        <v>19.714285714285715</v>
      </c>
      <c r="G39" s="49">
        <f>AVERAGE('22.07 Munyonyo-Kibuye'!G39,'23.07 Munyonyo-Kibuye'!G39,'24.07 Munyonyo-Kibuye'!G39,'25.07 Munyonyo-Kibuye'!G39,'26.07 Munyonyo-Kibuye-24h'!G39,'27.07 Munyonyo-Kibuye-24h'!G39,'28.07 Munyonyo-Kibuye'!G39)</f>
        <v>0</v>
      </c>
      <c r="H39" s="49">
        <f>AVERAGE('22.07 Munyonyo-Kibuye'!H39,'23.07 Munyonyo-Kibuye'!H39,'24.07 Munyonyo-Kibuye'!H39,'25.07 Munyonyo-Kibuye'!H39,'26.07 Munyonyo-Kibuye-24h'!H39,'27.07 Munyonyo-Kibuye-24h'!H39,'28.07 Munyonyo-Kibuye'!H39)</f>
        <v>0</v>
      </c>
      <c r="I39" s="49">
        <f>AVERAGE('22.07 Munyonyo-Kibuye'!I39,'23.07 Munyonyo-Kibuye'!I39,'24.07 Munyonyo-Kibuye'!I39,'25.07 Munyonyo-Kibuye'!I39,'26.07 Munyonyo-Kibuye-24h'!I39,'27.07 Munyonyo-Kibuye-24h'!I39,'28.07 Munyonyo-Kibuye'!I39)</f>
        <v>2.4285714285714284</v>
      </c>
      <c r="J39" s="49">
        <f>AVERAGE('22.07 Munyonyo-Kibuye'!J39,'23.07 Munyonyo-Kibuye'!J39,'24.07 Munyonyo-Kibuye'!J39,'25.07 Munyonyo-Kibuye'!J39,'26.07 Munyonyo-Kibuye-24h'!J39,'27.07 Munyonyo-Kibuye-24h'!J39,'28.07 Munyonyo-Kibuye'!J39)</f>
        <v>0</v>
      </c>
      <c r="K39" s="49">
        <f>AVERAGE('22.07 Munyonyo-Kibuye'!K39,'23.07 Munyonyo-Kibuye'!K39,'24.07 Munyonyo-Kibuye'!K39,'25.07 Munyonyo-Kibuye'!K39,'26.07 Munyonyo-Kibuye-24h'!K39,'27.07 Munyonyo-Kibuye-24h'!K39,'28.07 Munyonyo-Kibuye'!K39)</f>
        <v>0.14285714285714285</v>
      </c>
      <c r="L39" s="49">
        <f>AVERAGE('22.07 Munyonyo-Kibuye'!L39,'23.07 Munyonyo-Kibuye'!L39,'24.07 Munyonyo-Kibuye'!L39,'25.07 Munyonyo-Kibuye'!L39,'26.07 Munyonyo-Kibuye-24h'!L39,'27.07 Munyonyo-Kibuye-24h'!L39,'28.07 Munyonyo-Kibuye'!L39)</f>
        <v>0.14285714285714285</v>
      </c>
      <c r="M39" s="49">
        <f>AVERAGE('22.07 Munyonyo-Kibuye'!M39,'23.07 Munyonyo-Kibuye'!M39,'24.07 Munyonyo-Kibuye'!M39,'25.07 Munyonyo-Kibuye'!M39,'26.07 Munyonyo-Kibuye-24h'!M39,'27.07 Munyonyo-Kibuye-24h'!M39,'28.07 Munyonyo-Kibuye'!M39)</f>
        <v>135.42857142857142</v>
      </c>
      <c r="N39" s="49">
        <f>AVERAGE('22.07 Munyonyo-Kibuye'!N39,'23.07 Munyonyo-Kibuye'!N39,'24.07 Munyonyo-Kibuye'!N39,'25.07 Munyonyo-Kibuye'!N39,'26.07 Munyonyo-Kibuye-24h'!N39,'27.07 Munyonyo-Kibuye-24h'!N39,'28.07 Munyonyo-Kibuye'!N39)</f>
        <v>0</v>
      </c>
      <c r="O39" s="15">
        <f t="shared" si="0"/>
        <v>57.428571428571438</v>
      </c>
      <c r="P39" s="15">
        <f t="shared" si="1"/>
        <v>192.85714285714286</v>
      </c>
      <c r="R39" s="29" t="s">
        <v>87</v>
      </c>
      <c r="S39" s="53">
        <f t="shared" ref="S39:AF39" si="31">SUM(S19:S21)</f>
        <v>275.85714285714289</v>
      </c>
      <c r="T39" s="53">
        <f t="shared" si="31"/>
        <v>135.57142857142856</v>
      </c>
      <c r="U39" s="53">
        <f t="shared" si="31"/>
        <v>45.714285714285715</v>
      </c>
      <c r="V39" s="53">
        <f t="shared" si="31"/>
        <v>271.42857142857144</v>
      </c>
      <c r="W39" s="53">
        <f t="shared" si="31"/>
        <v>8.7142857142857135</v>
      </c>
      <c r="X39" s="53">
        <f t="shared" si="31"/>
        <v>3.714285714285714</v>
      </c>
      <c r="Y39" s="53">
        <f t="shared" si="31"/>
        <v>40</v>
      </c>
      <c r="Z39" s="53">
        <f t="shared" si="31"/>
        <v>5.5714285714285712</v>
      </c>
      <c r="AA39" s="53">
        <f t="shared" si="31"/>
        <v>4.4285714285714288</v>
      </c>
      <c r="AB39" s="53">
        <f t="shared" si="31"/>
        <v>3</v>
      </c>
      <c r="AC39" s="53">
        <f t="shared" si="31"/>
        <v>1886.4285714285711</v>
      </c>
      <c r="AD39" s="53">
        <f t="shared" si="31"/>
        <v>0</v>
      </c>
      <c r="AE39" s="54">
        <f t="shared" si="31"/>
        <v>794</v>
      </c>
      <c r="AF39" s="54">
        <f t="shared" si="31"/>
        <v>2680.4285714285716</v>
      </c>
    </row>
    <row r="40" spans="2:32" ht="23.1" customHeight="1" x14ac:dyDescent="0.25">
      <c r="B40" s="24" t="s">
        <v>67</v>
      </c>
      <c r="C40" s="49">
        <f>AVERAGE('22.07 Munyonyo-Kibuye'!C40,'23.07 Munyonyo-Kibuye'!C40,'24.07 Munyonyo-Kibuye'!C40,'25.07 Munyonyo-Kibuye'!C40,'26.07 Munyonyo-Kibuye-24h'!C40,'27.07 Munyonyo-Kibuye-24h'!C40,'28.07 Munyonyo-Kibuye'!C40)</f>
        <v>19.714285714285715</v>
      </c>
      <c r="D40" s="49">
        <f>AVERAGE('22.07 Munyonyo-Kibuye'!D40,'23.07 Munyonyo-Kibuye'!D40,'24.07 Munyonyo-Kibuye'!D40,'25.07 Munyonyo-Kibuye'!D40,'26.07 Munyonyo-Kibuye-24h'!D40,'27.07 Munyonyo-Kibuye-24h'!D40,'28.07 Munyonyo-Kibuye'!D40)</f>
        <v>18.857142857142858</v>
      </c>
      <c r="E40" s="49">
        <f>AVERAGE('22.07 Munyonyo-Kibuye'!E40,'23.07 Munyonyo-Kibuye'!E40,'24.07 Munyonyo-Kibuye'!E40,'25.07 Munyonyo-Kibuye'!E40,'26.07 Munyonyo-Kibuye-24h'!E40,'27.07 Munyonyo-Kibuye-24h'!E40,'28.07 Munyonyo-Kibuye'!E40)</f>
        <v>5.2857142857142856</v>
      </c>
      <c r="F40" s="49">
        <f>AVERAGE('22.07 Munyonyo-Kibuye'!F40,'23.07 Munyonyo-Kibuye'!F40,'24.07 Munyonyo-Kibuye'!F40,'25.07 Munyonyo-Kibuye'!F40,'26.07 Munyonyo-Kibuye-24h'!F40,'27.07 Munyonyo-Kibuye-24h'!F40,'28.07 Munyonyo-Kibuye'!F40)</f>
        <v>19.714285714285715</v>
      </c>
      <c r="G40" s="49">
        <f>AVERAGE('22.07 Munyonyo-Kibuye'!G40,'23.07 Munyonyo-Kibuye'!G40,'24.07 Munyonyo-Kibuye'!G40,'25.07 Munyonyo-Kibuye'!G40,'26.07 Munyonyo-Kibuye-24h'!G40,'27.07 Munyonyo-Kibuye-24h'!G40,'28.07 Munyonyo-Kibuye'!G40)</f>
        <v>0.2857142857142857</v>
      </c>
      <c r="H40" s="49">
        <f>AVERAGE('22.07 Munyonyo-Kibuye'!H40,'23.07 Munyonyo-Kibuye'!H40,'24.07 Munyonyo-Kibuye'!H40,'25.07 Munyonyo-Kibuye'!H40,'26.07 Munyonyo-Kibuye-24h'!H40,'27.07 Munyonyo-Kibuye-24h'!H40,'28.07 Munyonyo-Kibuye'!H40)</f>
        <v>0</v>
      </c>
      <c r="I40" s="49">
        <f>AVERAGE('22.07 Munyonyo-Kibuye'!I40,'23.07 Munyonyo-Kibuye'!I40,'24.07 Munyonyo-Kibuye'!I40,'25.07 Munyonyo-Kibuye'!I40,'26.07 Munyonyo-Kibuye-24h'!I40,'27.07 Munyonyo-Kibuye-24h'!I40,'28.07 Munyonyo-Kibuye'!I40)</f>
        <v>3.7142857142857144</v>
      </c>
      <c r="J40" s="49">
        <f>AVERAGE('22.07 Munyonyo-Kibuye'!J40,'23.07 Munyonyo-Kibuye'!J40,'24.07 Munyonyo-Kibuye'!J40,'25.07 Munyonyo-Kibuye'!J40,'26.07 Munyonyo-Kibuye-24h'!J40,'27.07 Munyonyo-Kibuye-24h'!J40,'28.07 Munyonyo-Kibuye'!J40)</f>
        <v>0.42857142857142855</v>
      </c>
      <c r="K40" s="49">
        <f>AVERAGE('22.07 Munyonyo-Kibuye'!K40,'23.07 Munyonyo-Kibuye'!K40,'24.07 Munyonyo-Kibuye'!K40,'25.07 Munyonyo-Kibuye'!K40,'26.07 Munyonyo-Kibuye-24h'!K40,'27.07 Munyonyo-Kibuye-24h'!K40,'28.07 Munyonyo-Kibuye'!K40)</f>
        <v>0.14285714285714285</v>
      </c>
      <c r="L40" s="49">
        <f>AVERAGE('22.07 Munyonyo-Kibuye'!L40,'23.07 Munyonyo-Kibuye'!L40,'24.07 Munyonyo-Kibuye'!L40,'25.07 Munyonyo-Kibuye'!L40,'26.07 Munyonyo-Kibuye-24h'!L40,'27.07 Munyonyo-Kibuye-24h'!L40,'28.07 Munyonyo-Kibuye'!L40)</f>
        <v>0</v>
      </c>
      <c r="M40" s="49">
        <f>AVERAGE('22.07 Munyonyo-Kibuye'!M40,'23.07 Munyonyo-Kibuye'!M40,'24.07 Munyonyo-Kibuye'!M40,'25.07 Munyonyo-Kibuye'!M40,'26.07 Munyonyo-Kibuye-24h'!M40,'27.07 Munyonyo-Kibuye-24h'!M40,'28.07 Munyonyo-Kibuye'!M40)</f>
        <v>127.14285714285714</v>
      </c>
      <c r="N40" s="49">
        <f>AVERAGE('22.07 Munyonyo-Kibuye'!N40,'23.07 Munyonyo-Kibuye'!N40,'24.07 Munyonyo-Kibuye'!N40,'25.07 Munyonyo-Kibuye'!N40,'26.07 Munyonyo-Kibuye-24h'!N40,'27.07 Munyonyo-Kibuye-24h'!N40,'28.07 Munyonyo-Kibuye'!N40)</f>
        <v>0</v>
      </c>
      <c r="O40" s="15">
        <f t="shared" si="0"/>
        <v>68.142857142857139</v>
      </c>
      <c r="P40" s="15">
        <f t="shared" si="1"/>
        <v>195.28571428571428</v>
      </c>
      <c r="R40" s="5" t="s">
        <v>17</v>
      </c>
      <c r="S40" s="53">
        <f t="shared" ref="S40:AF40" si="32">SUM(S10:S21)</f>
        <v>1106.5714285714287</v>
      </c>
      <c r="T40" s="53">
        <f t="shared" si="32"/>
        <v>572.57142857142856</v>
      </c>
      <c r="U40" s="53">
        <f t="shared" si="32"/>
        <v>177.85714285714286</v>
      </c>
      <c r="V40" s="53">
        <f t="shared" si="32"/>
        <v>1456.1428571428573</v>
      </c>
      <c r="W40" s="53">
        <f t="shared" si="32"/>
        <v>16.142857142857139</v>
      </c>
      <c r="X40" s="53">
        <f t="shared" si="32"/>
        <v>4.2857142857142856</v>
      </c>
      <c r="Y40" s="53">
        <f t="shared" si="32"/>
        <v>162.28571428571431</v>
      </c>
      <c r="Z40" s="53">
        <f t="shared" si="32"/>
        <v>20.642857142857146</v>
      </c>
      <c r="AA40" s="53">
        <f t="shared" si="32"/>
        <v>8.1428571428571423</v>
      </c>
      <c r="AB40" s="53">
        <f t="shared" si="32"/>
        <v>4.1428571428571423</v>
      </c>
      <c r="AC40" s="53">
        <f t="shared" si="32"/>
        <v>7550.1428571428578</v>
      </c>
      <c r="AD40" s="53">
        <f t="shared" si="32"/>
        <v>2.8571428571428572</v>
      </c>
      <c r="AE40" s="54">
        <f t="shared" si="32"/>
        <v>3531.6428571428564</v>
      </c>
      <c r="AF40" s="54">
        <f t="shared" si="32"/>
        <v>11081.785714285714</v>
      </c>
    </row>
    <row r="41" spans="2:32" ht="23.1" customHeight="1" x14ac:dyDescent="0.25">
      <c r="B41" s="23" t="s">
        <v>68</v>
      </c>
      <c r="C41" s="49">
        <f>AVERAGE('22.07 Munyonyo-Kibuye'!C41,'23.07 Munyonyo-Kibuye'!C41,'24.07 Munyonyo-Kibuye'!C41,'25.07 Munyonyo-Kibuye'!C41,'26.07 Munyonyo-Kibuye-24h'!C41,'27.07 Munyonyo-Kibuye-24h'!C41,'28.07 Munyonyo-Kibuye'!C41)</f>
        <v>22.142857142857142</v>
      </c>
      <c r="D41" s="49">
        <f>AVERAGE('22.07 Munyonyo-Kibuye'!D41,'23.07 Munyonyo-Kibuye'!D41,'24.07 Munyonyo-Kibuye'!D41,'25.07 Munyonyo-Kibuye'!D41,'26.07 Munyonyo-Kibuye-24h'!D41,'27.07 Munyonyo-Kibuye-24h'!D41,'28.07 Munyonyo-Kibuye'!D41)</f>
        <v>8.1428571428571423</v>
      </c>
      <c r="E41" s="49">
        <f>AVERAGE('22.07 Munyonyo-Kibuye'!E41,'23.07 Munyonyo-Kibuye'!E41,'24.07 Munyonyo-Kibuye'!E41,'25.07 Munyonyo-Kibuye'!E41,'26.07 Munyonyo-Kibuye-24h'!E41,'27.07 Munyonyo-Kibuye-24h'!E41,'28.07 Munyonyo-Kibuye'!E41)</f>
        <v>5</v>
      </c>
      <c r="F41" s="49">
        <f>AVERAGE('22.07 Munyonyo-Kibuye'!F41,'23.07 Munyonyo-Kibuye'!F41,'24.07 Munyonyo-Kibuye'!F41,'25.07 Munyonyo-Kibuye'!F41,'26.07 Munyonyo-Kibuye-24h'!F41,'27.07 Munyonyo-Kibuye-24h'!F41,'28.07 Munyonyo-Kibuye'!F41)</f>
        <v>18.857142857142858</v>
      </c>
      <c r="G41" s="49">
        <f>AVERAGE('22.07 Munyonyo-Kibuye'!G41,'23.07 Munyonyo-Kibuye'!G41,'24.07 Munyonyo-Kibuye'!G41,'25.07 Munyonyo-Kibuye'!G41,'26.07 Munyonyo-Kibuye-24h'!G41,'27.07 Munyonyo-Kibuye-24h'!G41,'28.07 Munyonyo-Kibuye'!G41)</f>
        <v>0</v>
      </c>
      <c r="H41" s="49">
        <f>AVERAGE('22.07 Munyonyo-Kibuye'!H41,'23.07 Munyonyo-Kibuye'!H41,'24.07 Munyonyo-Kibuye'!H41,'25.07 Munyonyo-Kibuye'!H41,'26.07 Munyonyo-Kibuye-24h'!H41,'27.07 Munyonyo-Kibuye-24h'!H41,'28.07 Munyonyo-Kibuye'!H41)</f>
        <v>0</v>
      </c>
      <c r="I41" s="49">
        <f>AVERAGE('22.07 Munyonyo-Kibuye'!I41,'23.07 Munyonyo-Kibuye'!I41,'24.07 Munyonyo-Kibuye'!I41,'25.07 Munyonyo-Kibuye'!I41,'26.07 Munyonyo-Kibuye-24h'!I41,'27.07 Munyonyo-Kibuye-24h'!I41,'28.07 Munyonyo-Kibuye'!I41)</f>
        <v>2.5714285714285716</v>
      </c>
      <c r="J41" s="49">
        <f>AVERAGE('22.07 Munyonyo-Kibuye'!J41,'23.07 Munyonyo-Kibuye'!J41,'24.07 Munyonyo-Kibuye'!J41,'25.07 Munyonyo-Kibuye'!J41,'26.07 Munyonyo-Kibuye-24h'!J41,'27.07 Munyonyo-Kibuye-24h'!J41,'28.07 Munyonyo-Kibuye'!J41)</f>
        <v>0.2857142857142857</v>
      </c>
      <c r="K41" s="49">
        <f>AVERAGE('22.07 Munyonyo-Kibuye'!K41,'23.07 Munyonyo-Kibuye'!K41,'24.07 Munyonyo-Kibuye'!K41,'25.07 Munyonyo-Kibuye'!K41,'26.07 Munyonyo-Kibuye-24h'!K41,'27.07 Munyonyo-Kibuye-24h'!K41,'28.07 Munyonyo-Kibuye'!K41)</f>
        <v>0</v>
      </c>
      <c r="L41" s="49">
        <f>AVERAGE('22.07 Munyonyo-Kibuye'!L41,'23.07 Munyonyo-Kibuye'!L41,'24.07 Munyonyo-Kibuye'!L41,'25.07 Munyonyo-Kibuye'!L41,'26.07 Munyonyo-Kibuye-24h'!L41,'27.07 Munyonyo-Kibuye-24h'!L41,'28.07 Munyonyo-Kibuye'!L41)</f>
        <v>0</v>
      </c>
      <c r="M41" s="49">
        <f>AVERAGE('22.07 Munyonyo-Kibuye'!M41,'23.07 Munyonyo-Kibuye'!M41,'24.07 Munyonyo-Kibuye'!M41,'25.07 Munyonyo-Kibuye'!M41,'26.07 Munyonyo-Kibuye-24h'!M41,'27.07 Munyonyo-Kibuye-24h'!M41,'28.07 Munyonyo-Kibuye'!M41)</f>
        <v>115.14285714285714</v>
      </c>
      <c r="N41" s="49">
        <f>AVERAGE('22.07 Munyonyo-Kibuye'!N41,'23.07 Munyonyo-Kibuye'!N41,'24.07 Munyonyo-Kibuye'!N41,'25.07 Munyonyo-Kibuye'!N41,'26.07 Munyonyo-Kibuye-24h'!N41,'27.07 Munyonyo-Kibuye-24h'!N41,'28.07 Munyonyo-Kibuye'!N41)</f>
        <v>0</v>
      </c>
      <c r="O41" s="15">
        <f t="shared" si="0"/>
        <v>56.999999999999993</v>
      </c>
      <c r="P41" s="15">
        <f t="shared" si="1"/>
        <v>172.14285714285714</v>
      </c>
      <c r="R41" s="5" t="s">
        <v>178</v>
      </c>
      <c r="S41" s="53">
        <f>SUM(S10:S33)</f>
        <v>2555.5714285714284</v>
      </c>
      <c r="T41" s="53">
        <f t="shared" ref="T41:AD41" si="33">SUM(T10:T33)</f>
        <v>1054.0714285714284</v>
      </c>
      <c r="U41" s="53">
        <f t="shared" si="33"/>
        <v>277.35714285714289</v>
      </c>
      <c r="V41" s="53">
        <f t="shared" si="33"/>
        <v>2999.1428571428573</v>
      </c>
      <c r="W41" s="53">
        <f t="shared" si="33"/>
        <v>34.642857142857139</v>
      </c>
      <c r="X41" s="53">
        <f t="shared" si="33"/>
        <v>7.7857142857142856</v>
      </c>
      <c r="Y41" s="53">
        <f t="shared" si="33"/>
        <v>212.78571428571431</v>
      </c>
      <c r="Z41" s="53">
        <f t="shared" si="33"/>
        <v>27.142857142857146</v>
      </c>
      <c r="AA41" s="53">
        <f t="shared" si="33"/>
        <v>19.642857142857142</v>
      </c>
      <c r="AB41" s="53">
        <f t="shared" si="33"/>
        <v>4.6428571428571423</v>
      </c>
      <c r="AC41" s="53">
        <f t="shared" si="33"/>
        <v>14604.142857142859</v>
      </c>
      <c r="AD41" s="53">
        <f t="shared" si="33"/>
        <v>3.3571428571428572</v>
      </c>
      <c r="AE41" s="54">
        <f>SUM(AE10:AE33)</f>
        <v>7196.1428571428569</v>
      </c>
      <c r="AF41" s="54">
        <f>SUM(AF10:AF33)</f>
        <v>21800.285714285714</v>
      </c>
    </row>
    <row r="42" spans="2:32" ht="23.1" customHeight="1" x14ac:dyDescent="0.25">
      <c r="B42" s="24" t="s">
        <v>69</v>
      </c>
      <c r="C42" s="49">
        <f>AVERAGE('22.07 Munyonyo-Kibuye'!C42,'23.07 Munyonyo-Kibuye'!C42,'24.07 Munyonyo-Kibuye'!C42,'25.07 Munyonyo-Kibuye'!C42,'26.07 Munyonyo-Kibuye-24h'!C42,'27.07 Munyonyo-Kibuye-24h'!C42,'28.07 Munyonyo-Kibuye'!C42)</f>
        <v>21.428571428571427</v>
      </c>
      <c r="D42" s="49">
        <f>AVERAGE('22.07 Munyonyo-Kibuye'!D42,'23.07 Munyonyo-Kibuye'!D42,'24.07 Munyonyo-Kibuye'!D42,'25.07 Munyonyo-Kibuye'!D42,'26.07 Munyonyo-Kibuye-24h'!D42,'27.07 Munyonyo-Kibuye-24h'!D42,'28.07 Munyonyo-Kibuye'!D42)</f>
        <v>8.7142857142857135</v>
      </c>
      <c r="E42" s="49">
        <f>AVERAGE('22.07 Munyonyo-Kibuye'!E42,'23.07 Munyonyo-Kibuye'!E42,'24.07 Munyonyo-Kibuye'!E42,'25.07 Munyonyo-Kibuye'!E42,'26.07 Munyonyo-Kibuye-24h'!E42,'27.07 Munyonyo-Kibuye-24h'!E42,'28.07 Munyonyo-Kibuye'!E42)</f>
        <v>3.2857142857142856</v>
      </c>
      <c r="F42" s="49">
        <f>AVERAGE('22.07 Munyonyo-Kibuye'!F42,'23.07 Munyonyo-Kibuye'!F42,'24.07 Munyonyo-Kibuye'!F42,'25.07 Munyonyo-Kibuye'!F42,'26.07 Munyonyo-Kibuye-24h'!F42,'27.07 Munyonyo-Kibuye-24h'!F42,'28.07 Munyonyo-Kibuye'!F42)</f>
        <v>22.571428571428573</v>
      </c>
      <c r="G42" s="49">
        <f>AVERAGE('22.07 Munyonyo-Kibuye'!G42,'23.07 Munyonyo-Kibuye'!G42,'24.07 Munyonyo-Kibuye'!G42,'25.07 Munyonyo-Kibuye'!G42,'26.07 Munyonyo-Kibuye-24h'!G42,'27.07 Munyonyo-Kibuye-24h'!G42,'28.07 Munyonyo-Kibuye'!G42)</f>
        <v>0.14285714285714285</v>
      </c>
      <c r="H42" s="49">
        <f>AVERAGE('22.07 Munyonyo-Kibuye'!H42,'23.07 Munyonyo-Kibuye'!H42,'24.07 Munyonyo-Kibuye'!H42,'25.07 Munyonyo-Kibuye'!H42,'26.07 Munyonyo-Kibuye-24h'!H42,'27.07 Munyonyo-Kibuye-24h'!H42,'28.07 Munyonyo-Kibuye'!H42)</f>
        <v>0</v>
      </c>
      <c r="I42" s="49">
        <f>AVERAGE('22.07 Munyonyo-Kibuye'!I42,'23.07 Munyonyo-Kibuye'!I42,'24.07 Munyonyo-Kibuye'!I42,'25.07 Munyonyo-Kibuye'!I42,'26.07 Munyonyo-Kibuye-24h'!I42,'27.07 Munyonyo-Kibuye-24h'!I42,'28.07 Munyonyo-Kibuye'!I42)</f>
        <v>2.7142857142857144</v>
      </c>
      <c r="J42" s="49">
        <f>AVERAGE('22.07 Munyonyo-Kibuye'!J42,'23.07 Munyonyo-Kibuye'!J42,'24.07 Munyonyo-Kibuye'!J42,'25.07 Munyonyo-Kibuye'!J42,'26.07 Munyonyo-Kibuye-24h'!J42,'27.07 Munyonyo-Kibuye-24h'!J42,'28.07 Munyonyo-Kibuye'!J42)</f>
        <v>0.2857142857142857</v>
      </c>
      <c r="K42" s="49">
        <f>AVERAGE('22.07 Munyonyo-Kibuye'!K42,'23.07 Munyonyo-Kibuye'!K42,'24.07 Munyonyo-Kibuye'!K42,'25.07 Munyonyo-Kibuye'!K42,'26.07 Munyonyo-Kibuye-24h'!K42,'27.07 Munyonyo-Kibuye-24h'!K42,'28.07 Munyonyo-Kibuye'!K42)</f>
        <v>0</v>
      </c>
      <c r="L42" s="49">
        <f>AVERAGE('22.07 Munyonyo-Kibuye'!L42,'23.07 Munyonyo-Kibuye'!L42,'24.07 Munyonyo-Kibuye'!L42,'25.07 Munyonyo-Kibuye'!L42,'26.07 Munyonyo-Kibuye-24h'!L42,'27.07 Munyonyo-Kibuye-24h'!L42,'28.07 Munyonyo-Kibuye'!L42)</f>
        <v>0.14285714285714285</v>
      </c>
      <c r="M42" s="49">
        <f>AVERAGE('22.07 Munyonyo-Kibuye'!M42,'23.07 Munyonyo-Kibuye'!M42,'24.07 Munyonyo-Kibuye'!M42,'25.07 Munyonyo-Kibuye'!M42,'26.07 Munyonyo-Kibuye-24h'!M42,'27.07 Munyonyo-Kibuye-24h'!M42,'28.07 Munyonyo-Kibuye'!M42)</f>
        <v>119.14285714285714</v>
      </c>
      <c r="N42" s="49">
        <f>AVERAGE('22.07 Munyonyo-Kibuye'!N42,'23.07 Munyonyo-Kibuye'!N42,'24.07 Munyonyo-Kibuye'!N42,'25.07 Munyonyo-Kibuye'!N42,'26.07 Munyonyo-Kibuye-24h'!N42,'27.07 Munyonyo-Kibuye-24h'!N42,'28.07 Munyonyo-Kibuye'!N42)</f>
        <v>0</v>
      </c>
      <c r="O42" s="15">
        <f t="shared" si="0"/>
        <v>59.285714285714292</v>
      </c>
      <c r="P42" s="15">
        <f t="shared" si="1"/>
        <v>178.42857142857144</v>
      </c>
      <c r="R42" s="5" t="s">
        <v>160</v>
      </c>
      <c r="S42" s="48">
        <f>S41/S40</f>
        <v>2.3094500387296666</v>
      </c>
      <c r="T42" s="48">
        <f t="shared" ref="T42:AF42" si="34">T41/T40</f>
        <v>1.840943113772455</v>
      </c>
      <c r="U42" s="48">
        <f t="shared" si="34"/>
        <v>1.5594377510040163</v>
      </c>
      <c r="V42" s="48">
        <f t="shared" si="34"/>
        <v>2.0596487785735307</v>
      </c>
      <c r="W42" s="48">
        <f t="shared" si="34"/>
        <v>2.1460176991150446</v>
      </c>
      <c r="X42" s="48">
        <f t="shared" si="34"/>
        <v>1.8166666666666667</v>
      </c>
      <c r="Y42" s="48">
        <f t="shared" si="34"/>
        <v>1.3111795774647887</v>
      </c>
      <c r="Z42" s="48">
        <f t="shared" si="34"/>
        <v>1.314878892733564</v>
      </c>
      <c r="AA42" s="48">
        <f t="shared" si="34"/>
        <v>2.4122807017543861</v>
      </c>
      <c r="AB42" s="48">
        <f t="shared" si="34"/>
        <v>1.1206896551724137</v>
      </c>
      <c r="AC42" s="48">
        <f t="shared" si="34"/>
        <v>1.9342869576734594</v>
      </c>
      <c r="AD42" s="48">
        <f t="shared" si="34"/>
        <v>1.175</v>
      </c>
      <c r="AE42" s="51">
        <f t="shared" si="34"/>
        <v>2.0376190765123479</v>
      </c>
      <c r="AF42" s="51">
        <f t="shared" si="34"/>
        <v>1.9672177640272004</v>
      </c>
    </row>
    <row r="43" spans="2:32" ht="23.1" customHeight="1" x14ac:dyDescent="0.25">
      <c r="B43" s="23" t="s">
        <v>70</v>
      </c>
      <c r="C43" s="49">
        <f>AVERAGE('22.07 Munyonyo-Kibuye'!C43,'23.07 Munyonyo-Kibuye'!C43,'24.07 Munyonyo-Kibuye'!C43,'25.07 Munyonyo-Kibuye'!C43,'26.07 Munyonyo-Kibuye-24h'!C43,'27.07 Munyonyo-Kibuye-24h'!C43,'28.07 Munyonyo-Kibuye'!C43)</f>
        <v>18.428571428571427</v>
      </c>
      <c r="D43" s="49">
        <f>AVERAGE('22.07 Munyonyo-Kibuye'!D43,'23.07 Munyonyo-Kibuye'!D43,'24.07 Munyonyo-Kibuye'!D43,'25.07 Munyonyo-Kibuye'!D43,'26.07 Munyonyo-Kibuye-24h'!D43,'27.07 Munyonyo-Kibuye-24h'!D43,'28.07 Munyonyo-Kibuye'!D43)</f>
        <v>10.714285714285714</v>
      </c>
      <c r="E43" s="49">
        <f>AVERAGE('22.07 Munyonyo-Kibuye'!E43,'23.07 Munyonyo-Kibuye'!E43,'24.07 Munyonyo-Kibuye'!E43,'25.07 Munyonyo-Kibuye'!E43,'26.07 Munyonyo-Kibuye-24h'!E43,'27.07 Munyonyo-Kibuye-24h'!E43,'28.07 Munyonyo-Kibuye'!E43)</f>
        <v>3.8571428571428572</v>
      </c>
      <c r="F43" s="49">
        <f>AVERAGE('22.07 Munyonyo-Kibuye'!F43,'23.07 Munyonyo-Kibuye'!F43,'24.07 Munyonyo-Kibuye'!F43,'25.07 Munyonyo-Kibuye'!F43,'26.07 Munyonyo-Kibuye-24h'!F43,'27.07 Munyonyo-Kibuye-24h'!F43,'28.07 Munyonyo-Kibuye'!F43)</f>
        <v>20.857142857142858</v>
      </c>
      <c r="G43" s="49">
        <f>AVERAGE('22.07 Munyonyo-Kibuye'!G43,'23.07 Munyonyo-Kibuye'!G43,'24.07 Munyonyo-Kibuye'!G43,'25.07 Munyonyo-Kibuye'!G43,'26.07 Munyonyo-Kibuye-24h'!G43,'27.07 Munyonyo-Kibuye-24h'!G43,'28.07 Munyonyo-Kibuye'!G43)</f>
        <v>0</v>
      </c>
      <c r="H43" s="49">
        <f>AVERAGE('22.07 Munyonyo-Kibuye'!H43,'23.07 Munyonyo-Kibuye'!H43,'24.07 Munyonyo-Kibuye'!H43,'25.07 Munyonyo-Kibuye'!H43,'26.07 Munyonyo-Kibuye-24h'!H43,'27.07 Munyonyo-Kibuye-24h'!H43,'28.07 Munyonyo-Kibuye'!H43)</f>
        <v>0</v>
      </c>
      <c r="I43" s="49">
        <f>AVERAGE('22.07 Munyonyo-Kibuye'!I43,'23.07 Munyonyo-Kibuye'!I43,'24.07 Munyonyo-Kibuye'!I43,'25.07 Munyonyo-Kibuye'!I43,'26.07 Munyonyo-Kibuye-24h'!I43,'27.07 Munyonyo-Kibuye-24h'!I43,'28.07 Munyonyo-Kibuye'!I43)</f>
        <v>3.7142857142857144</v>
      </c>
      <c r="J43" s="49">
        <f>AVERAGE('22.07 Munyonyo-Kibuye'!J43,'23.07 Munyonyo-Kibuye'!J43,'24.07 Munyonyo-Kibuye'!J43,'25.07 Munyonyo-Kibuye'!J43,'26.07 Munyonyo-Kibuye-24h'!J43,'27.07 Munyonyo-Kibuye-24h'!J43,'28.07 Munyonyo-Kibuye'!J43)</f>
        <v>0.8571428571428571</v>
      </c>
      <c r="K43" s="49">
        <f>AVERAGE('22.07 Munyonyo-Kibuye'!K43,'23.07 Munyonyo-Kibuye'!K43,'24.07 Munyonyo-Kibuye'!K43,'25.07 Munyonyo-Kibuye'!K43,'26.07 Munyonyo-Kibuye-24h'!K43,'27.07 Munyonyo-Kibuye-24h'!K43,'28.07 Munyonyo-Kibuye'!K43)</f>
        <v>0</v>
      </c>
      <c r="L43" s="49">
        <f>AVERAGE('22.07 Munyonyo-Kibuye'!L43,'23.07 Munyonyo-Kibuye'!L43,'24.07 Munyonyo-Kibuye'!L43,'25.07 Munyonyo-Kibuye'!L43,'26.07 Munyonyo-Kibuye-24h'!L43,'27.07 Munyonyo-Kibuye-24h'!L43,'28.07 Munyonyo-Kibuye'!L43)</f>
        <v>0.2857142857142857</v>
      </c>
      <c r="M43" s="49">
        <f>AVERAGE('22.07 Munyonyo-Kibuye'!M43,'23.07 Munyonyo-Kibuye'!M43,'24.07 Munyonyo-Kibuye'!M43,'25.07 Munyonyo-Kibuye'!M43,'26.07 Munyonyo-Kibuye-24h'!M43,'27.07 Munyonyo-Kibuye-24h'!M43,'28.07 Munyonyo-Kibuye'!M43)</f>
        <v>122.28571428571429</v>
      </c>
      <c r="N43" s="49">
        <f>AVERAGE('22.07 Munyonyo-Kibuye'!N43,'23.07 Munyonyo-Kibuye'!N43,'24.07 Munyonyo-Kibuye'!N43,'25.07 Munyonyo-Kibuye'!N43,'26.07 Munyonyo-Kibuye-24h'!N43,'27.07 Munyonyo-Kibuye-24h'!N43,'28.07 Munyonyo-Kibuye'!N43)</f>
        <v>0</v>
      </c>
      <c r="O43" s="15">
        <f t="shared" si="0"/>
        <v>58.714285714285701</v>
      </c>
      <c r="P43" s="15">
        <f t="shared" si="1"/>
        <v>181</v>
      </c>
    </row>
    <row r="44" spans="2:32" ht="23.1" customHeight="1" x14ac:dyDescent="0.25">
      <c r="B44" s="25" t="s">
        <v>71</v>
      </c>
      <c r="C44" s="49">
        <f>AVERAGE('22.07 Munyonyo-Kibuye'!C44,'23.07 Munyonyo-Kibuye'!C44,'24.07 Munyonyo-Kibuye'!C44,'25.07 Munyonyo-Kibuye'!C44,'26.07 Munyonyo-Kibuye-24h'!C44,'27.07 Munyonyo-Kibuye-24h'!C44,'28.07 Munyonyo-Kibuye'!C44)</f>
        <v>19.714285714285715</v>
      </c>
      <c r="D44" s="49">
        <f>AVERAGE('22.07 Munyonyo-Kibuye'!D44,'23.07 Munyonyo-Kibuye'!D44,'24.07 Munyonyo-Kibuye'!D44,'25.07 Munyonyo-Kibuye'!D44,'26.07 Munyonyo-Kibuye-24h'!D44,'27.07 Munyonyo-Kibuye-24h'!D44,'28.07 Munyonyo-Kibuye'!D44)</f>
        <v>11.428571428571429</v>
      </c>
      <c r="E44" s="49">
        <f>AVERAGE('22.07 Munyonyo-Kibuye'!E44,'23.07 Munyonyo-Kibuye'!E44,'24.07 Munyonyo-Kibuye'!E44,'25.07 Munyonyo-Kibuye'!E44,'26.07 Munyonyo-Kibuye-24h'!E44,'27.07 Munyonyo-Kibuye-24h'!E44,'28.07 Munyonyo-Kibuye'!E44)</f>
        <v>3</v>
      </c>
      <c r="F44" s="49">
        <f>AVERAGE('22.07 Munyonyo-Kibuye'!F44,'23.07 Munyonyo-Kibuye'!F44,'24.07 Munyonyo-Kibuye'!F44,'25.07 Munyonyo-Kibuye'!F44,'26.07 Munyonyo-Kibuye-24h'!F44,'27.07 Munyonyo-Kibuye-24h'!F44,'28.07 Munyonyo-Kibuye'!F44)</f>
        <v>19.142857142857142</v>
      </c>
      <c r="G44" s="49">
        <f>AVERAGE('22.07 Munyonyo-Kibuye'!G44,'23.07 Munyonyo-Kibuye'!G44,'24.07 Munyonyo-Kibuye'!G44,'25.07 Munyonyo-Kibuye'!G44,'26.07 Munyonyo-Kibuye-24h'!G44,'27.07 Munyonyo-Kibuye-24h'!G44,'28.07 Munyonyo-Kibuye'!G44)</f>
        <v>0.2857142857142857</v>
      </c>
      <c r="H44" s="49">
        <f>AVERAGE('22.07 Munyonyo-Kibuye'!H44,'23.07 Munyonyo-Kibuye'!H44,'24.07 Munyonyo-Kibuye'!H44,'25.07 Munyonyo-Kibuye'!H44,'26.07 Munyonyo-Kibuye-24h'!H44,'27.07 Munyonyo-Kibuye-24h'!H44,'28.07 Munyonyo-Kibuye'!H44)</f>
        <v>0</v>
      </c>
      <c r="I44" s="49">
        <f>AVERAGE('22.07 Munyonyo-Kibuye'!I44,'23.07 Munyonyo-Kibuye'!I44,'24.07 Munyonyo-Kibuye'!I44,'25.07 Munyonyo-Kibuye'!I44,'26.07 Munyonyo-Kibuye-24h'!I44,'27.07 Munyonyo-Kibuye-24h'!I44,'28.07 Munyonyo-Kibuye'!I44)</f>
        <v>4.1428571428571432</v>
      </c>
      <c r="J44" s="49">
        <f>AVERAGE('22.07 Munyonyo-Kibuye'!J44,'23.07 Munyonyo-Kibuye'!J44,'24.07 Munyonyo-Kibuye'!J44,'25.07 Munyonyo-Kibuye'!J44,'26.07 Munyonyo-Kibuye-24h'!J44,'27.07 Munyonyo-Kibuye-24h'!J44,'28.07 Munyonyo-Kibuye'!J44)</f>
        <v>0.5714285714285714</v>
      </c>
      <c r="K44" s="49">
        <f>AVERAGE('22.07 Munyonyo-Kibuye'!K44,'23.07 Munyonyo-Kibuye'!K44,'24.07 Munyonyo-Kibuye'!K44,'25.07 Munyonyo-Kibuye'!K44,'26.07 Munyonyo-Kibuye-24h'!K44,'27.07 Munyonyo-Kibuye-24h'!K44,'28.07 Munyonyo-Kibuye'!K44)</f>
        <v>0.14285714285714285</v>
      </c>
      <c r="L44" s="49">
        <f>AVERAGE('22.07 Munyonyo-Kibuye'!L44,'23.07 Munyonyo-Kibuye'!L44,'24.07 Munyonyo-Kibuye'!L44,'25.07 Munyonyo-Kibuye'!L44,'26.07 Munyonyo-Kibuye-24h'!L44,'27.07 Munyonyo-Kibuye-24h'!L44,'28.07 Munyonyo-Kibuye'!L44)</f>
        <v>0</v>
      </c>
      <c r="M44" s="49">
        <f>AVERAGE('22.07 Munyonyo-Kibuye'!M44,'23.07 Munyonyo-Kibuye'!M44,'24.07 Munyonyo-Kibuye'!M44,'25.07 Munyonyo-Kibuye'!M44,'26.07 Munyonyo-Kibuye-24h'!M44,'27.07 Munyonyo-Kibuye-24h'!M44,'28.07 Munyonyo-Kibuye'!M44)</f>
        <v>125</v>
      </c>
      <c r="N44" s="49">
        <f>AVERAGE('22.07 Munyonyo-Kibuye'!N44,'23.07 Munyonyo-Kibuye'!N44,'24.07 Munyonyo-Kibuye'!N44,'25.07 Munyonyo-Kibuye'!N44,'26.07 Munyonyo-Kibuye-24h'!N44,'27.07 Munyonyo-Kibuye-24h'!N44,'28.07 Munyonyo-Kibuye'!N44)</f>
        <v>0</v>
      </c>
      <c r="O44" s="15">
        <f t="shared" si="0"/>
        <v>58.428571428571438</v>
      </c>
      <c r="P44" s="15">
        <f t="shared" si="1"/>
        <v>183.42857142857144</v>
      </c>
    </row>
    <row r="45" spans="2:32" ht="23.1" customHeight="1" x14ac:dyDescent="0.25">
      <c r="B45" s="23" t="s">
        <v>72</v>
      </c>
      <c r="C45" s="49">
        <f>AVERAGE('22.07 Munyonyo-Kibuye'!C45,'23.07 Munyonyo-Kibuye'!C45,'24.07 Munyonyo-Kibuye'!C45,'25.07 Munyonyo-Kibuye'!C45,'26.07 Munyonyo-Kibuye-24h'!C45,'27.07 Munyonyo-Kibuye-24h'!C45,'28.07 Munyonyo-Kibuye'!C45)</f>
        <v>26.571428571428573</v>
      </c>
      <c r="D45" s="49">
        <f>AVERAGE('22.07 Munyonyo-Kibuye'!D45,'23.07 Munyonyo-Kibuye'!D45,'24.07 Munyonyo-Kibuye'!D45,'25.07 Munyonyo-Kibuye'!D45,'26.07 Munyonyo-Kibuye-24h'!D45,'27.07 Munyonyo-Kibuye-24h'!D45,'28.07 Munyonyo-Kibuye'!D45)</f>
        <v>10.428571428571429</v>
      </c>
      <c r="E45" s="49">
        <f>AVERAGE('22.07 Munyonyo-Kibuye'!E45,'23.07 Munyonyo-Kibuye'!E45,'24.07 Munyonyo-Kibuye'!E45,'25.07 Munyonyo-Kibuye'!E45,'26.07 Munyonyo-Kibuye-24h'!E45,'27.07 Munyonyo-Kibuye-24h'!E45,'28.07 Munyonyo-Kibuye'!E45)</f>
        <v>4.1428571428571432</v>
      </c>
      <c r="F45" s="49">
        <f>AVERAGE('22.07 Munyonyo-Kibuye'!F45,'23.07 Munyonyo-Kibuye'!F45,'24.07 Munyonyo-Kibuye'!F45,'25.07 Munyonyo-Kibuye'!F45,'26.07 Munyonyo-Kibuye-24h'!F45,'27.07 Munyonyo-Kibuye-24h'!F45,'28.07 Munyonyo-Kibuye'!F45)</f>
        <v>20.142857142857142</v>
      </c>
      <c r="G45" s="49">
        <f>AVERAGE('22.07 Munyonyo-Kibuye'!G45,'23.07 Munyonyo-Kibuye'!G45,'24.07 Munyonyo-Kibuye'!G45,'25.07 Munyonyo-Kibuye'!G45,'26.07 Munyonyo-Kibuye-24h'!G45,'27.07 Munyonyo-Kibuye-24h'!G45,'28.07 Munyonyo-Kibuye'!G45)</f>
        <v>0.14285714285714285</v>
      </c>
      <c r="H45" s="49">
        <f>AVERAGE('22.07 Munyonyo-Kibuye'!H45,'23.07 Munyonyo-Kibuye'!H45,'24.07 Munyonyo-Kibuye'!H45,'25.07 Munyonyo-Kibuye'!H45,'26.07 Munyonyo-Kibuye-24h'!H45,'27.07 Munyonyo-Kibuye-24h'!H45,'28.07 Munyonyo-Kibuye'!H45)</f>
        <v>0</v>
      </c>
      <c r="I45" s="49">
        <f>AVERAGE('22.07 Munyonyo-Kibuye'!I45,'23.07 Munyonyo-Kibuye'!I45,'24.07 Munyonyo-Kibuye'!I45,'25.07 Munyonyo-Kibuye'!I45,'26.07 Munyonyo-Kibuye-24h'!I45,'27.07 Munyonyo-Kibuye-24h'!I45,'28.07 Munyonyo-Kibuye'!I45)</f>
        <v>3.4285714285714284</v>
      </c>
      <c r="J45" s="49">
        <f>AVERAGE('22.07 Munyonyo-Kibuye'!J45,'23.07 Munyonyo-Kibuye'!J45,'24.07 Munyonyo-Kibuye'!J45,'25.07 Munyonyo-Kibuye'!J45,'26.07 Munyonyo-Kibuye-24h'!J45,'27.07 Munyonyo-Kibuye-24h'!J45,'28.07 Munyonyo-Kibuye'!J45)</f>
        <v>0.14285714285714285</v>
      </c>
      <c r="K45" s="49">
        <f>AVERAGE('22.07 Munyonyo-Kibuye'!K45,'23.07 Munyonyo-Kibuye'!K45,'24.07 Munyonyo-Kibuye'!K45,'25.07 Munyonyo-Kibuye'!K45,'26.07 Munyonyo-Kibuye-24h'!K45,'27.07 Munyonyo-Kibuye-24h'!K45,'28.07 Munyonyo-Kibuye'!K45)</f>
        <v>0.2857142857142857</v>
      </c>
      <c r="L45" s="49">
        <f>AVERAGE('22.07 Munyonyo-Kibuye'!L45,'23.07 Munyonyo-Kibuye'!L45,'24.07 Munyonyo-Kibuye'!L45,'25.07 Munyonyo-Kibuye'!L45,'26.07 Munyonyo-Kibuye-24h'!L45,'27.07 Munyonyo-Kibuye-24h'!L45,'28.07 Munyonyo-Kibuye'!L45)</f>
        <v>0.14285714285714285</v>
      </c>
      <c r="M45" s="49">
        <f>AVERAGE('22.07 Munyonyo-Kibuye'!M45,'23.07 Munyonyo-Kibuye'!M45,'24.07 Munyonyo-Kibuye'!M45,'25.07 Munyonyo-Kibuye'!M45,'26.07 Munyonyo-Kibuye-24h'!M45,'27.07 Munyonyo-Kibuye-24h'!M45,'28.07 Munyonyo-Kibuye'!M45)</f>
        <v>139.28571428571428</v>
      </c>
      <c r="N45" s="49">
        <f>AVERAGE('22.07 Munyonyo-Kibuye'!N45,'23.07 Munyonyo-Kibuye'!N45,'24.07 Munyonyo-Kibuye'!N45,'25.07 Munyonyo-Kibuye'!N45,'26.07 Munyonyo-Kibuye-24h'!N45,'27.07 Munyonyo-Kibuye-24h'!N45,'28.07 Munyonyo-Kibuye'!N45)</f>
        <v>0</v>
      </c>
      <c r="O45" s="15">
        <f t="shared" si="0"/>
        <v>65.428571428571431</v>
      </c>
      <c r="P45" s="15">
        <f t="shared" si="1"/>
        <v>204.71428571428572</v>
      </c>
    </row>
    <row r="46" spans="2:32" ht="23.1" customHeight="1" x14ac:dyDescent="0.25">
      <c r="B46" s="24" t="s">
        <v>73</v>
      </c>
      <c r="C46" s="49">
        <f>AVERAGE('22.07 Munyonyo-Kibuye'!C46,'23.07 Munyonyo-Kibuye'!C46,'24.07 Munyonyo-Kibuye'!C46,'25.07 Munyonyo-Kibuye'!C46,'26.07 Munyonyo-Kibuye-24h'!C46,'27.07 Munyonyo-Kibuye-24h'!C46,'28.07 Munyonyo-Kibuye'!C46)</f>
        <v>26.285714285714285</v>
      </c>
      <c r="D46" s="49">
        <f>AVERAGE('22.07 Munyonyo-Kibuye'!D46,'23.07 Munyonyo-Kibuye'!D46,'24.07 Munyonyo-Kibuye'!D46,'25.07 Munyonyo-Kibuye'!D46,'26.07 Munyonyo-Kibuye-24h'!D46,'27.07 Munyonyo-Kibuye-24h'!D46,'28.07 Munyonyo-Kibuye'!D46)</f>
        <v>12</v>
      </c>
      <c r="E46" s="49">
        <f>AVERAGE('22.07 Munyonyo-Kibuye'!E46,'23.07 Munyonyo-Kibuye'!E46,'24.07 Munyonyo-Kibuye'!E46,'25.07 Munyonyo-Kibuye'!E46,'26.07 Munyonyo-Kibuye-24h'!E46,'27.07 Munyonyo-Kibuye-24h'!E46,'28.07 Munyonyo-Kibuye'!E46)</f>
        <v>4.8571428571428568</v>
      </c>
      <c r="F46" s="49">
        <f>AVERAGE('22.07 Munyonyo-Kibuye'!F46,'23.07 Munyonyo-Kibuye'!F46,'24.07 Munyonyo-Kibuye'!F46,'25.07 Munyonyo-Kibuye'!F46,'26.07 Munyonyo-Kibuye-24h'!F46,'27.07 Munyonyo-Kibuye-24h'!F46,'28.07 Munyonyo-Kibuye'!F46)</f>
        <v>23.285714285714285</v>
      </c>
      <c r="G46" s="49">
        <f>AVERAGE('22.07 Munyonyo-Kibuye'!G46,'23.07 Munyonyo-Kibuye'!G46,'24.07 Munyonyo-Kibuye'!G46,'25.07 Munyonyo-Kibuye'!G46,'26.07 Munyonyo-Kibuye-24h'!G46,'27.07 Munyonyo-Kibuye-24h'!G46,'28.07 Munyonyo-Kibuye'!G46)</f>
        <v>0.42857142857142855</v>
      </c>
      <c r="H46" s="49">
        <f>AVERAGE('22.07 Munyonyo-Kibuye'!H46,'23.07 Munyonyo-Kibuye'!H46,'24.07 Munyonyo-Kibuye'!H46,'25.07 Munyonyo-Kibuye'!H46,'26.07 Munyonyo-Kibuye-24h'!H46,'27.07 Munyonyo-Kibuye-24h'!H46,'28.07 Munyonyo-Kibuye'!H46)</f>
        <v>0</v>
      </c>
      <c r="I46" s="49">
        <f>AVERAGE('22.07 Munyonyo-Kibuye'!I46,'23.07 Munyonyo-Kibuye'!I46,'24.07 Munyonyo-Kibuye'!I46,'25.07 Munyonyo-Kibuye'!I46,'26.07 Munyonyo-Kibuye-24h'!I46,'27.07 Munyonyo-Kibuye-24h'!I46,'28.07 Munyonyo-Kibuye'!I46)</f>
        <v>4.5714285714285712</v>
      </c>
      <c r="J46" s="49">
        <f>AVERAGE('22.07 Munyonyo-Kibuye'!J46,'23.07 Munyonyo-Kibuye'!J46,'24.07 Munyonyo-Kibuye'!J46,'25.07 Munyonyo-Kibuye'!J46,'26.07 Munyonyo-Kibuye-24h'!J46,'27.07 Munyonyo-Kibuye-24h'!J46,'28.07 Munyonyo-Kibuye'!J46)</f>
        <v>0.2857142857142857</v>
      </c>
      <c r="K46" s="49">
        <f>AVERAGE('22.07 Munyonyo-Kibuye'!K46,'23.07 Munyonyo-Kibuye'!K46,'24.07 Munyonyo-Kibuye'!K46,'25.07 Munyonyo-Kibuye'!K46,'26.07 Munyonyo-Kibuye-24h'!K46,'27.07 Munyonyo-Kibuye-24h'!K46,'28.07 Munyonyo-Kibuye'!K46)</f>
        <v>0.14285714285714285</v>
      </c>
      <c r="L46" s="49">
        <f>AVERAGE('22.07 Munyonyo-Kibuye'!L46,'23.07 Munyonyo-Kibuye'!L46,'24.07 Munyonyo-Kibuye'!L46,'25.07 Munyonyo-Kibuye'!L46,'26.07 Munyonyo-Kibuye-24h'!L46,'27.07 Munyonyo-Kibuye-24h'!L46,'28.07 Munyonyo-Kibuye'!L46)</f>
        <v>0</v>
      </c>
      <c r="M46" s="49">
        <f>AVERAGE('22.07 Munyonyo-Kibuye'!M46,'23.07 Munyonyo-Kibuye'!M46,'24.07 Munyonyo-Kibuye'!M46,'25.07 Munyonyo-Kibuye'!M46,'26.07 Munyonyo-Kibuye-24h'!M46,'27.07 Munyonyo-Kibuye-24h'!M46,'28.07 Munyonyo-Kibuye'!M46)</f>
        <v>144.42857142857142</v>
      </c>
      <c r="N46" s="49">
        <f>AVERAGE('22.07 Munyonyo-Kibuye'!N46,'23.07 Munyonyo-Kibuye'!N46,'24.07 Munyonyo-Kibuye'!N46,'25.07 Munyonyo-Kibuye'!N46,'26.07 Munyonyo-Kibuye-24h'!N46,'27.07 Munyonyo-Kibuye-24h'!N46,'28.07 Munyonyo-Kibuye'!N46)</f>
        <v>0</v>
      </c>
      <c r="O46" s="15">
        <f t="shared" si="0"/>
        <v>71.857142857142847</v>
      </c>
      <c r="P46" s="15">
        <f t="shared" si="1"/>
        <v>216.28571428571428</v>
      </c>
      <c r="R46" s="8"/>
      <c r="T46"/>
    </row>
    <row r="47" spans="2:32" ht="23.1" customHeight="1" x14ac:dyDescent="0.25">
      <c r="B47" s="24" t="s">
        <v>74</v>
      </c>
      <c r="C47" s="49">
        <f>AVERAGE('22.07 Munyonyo-Kibuye'!C47,'23.07 Munyonyo-Kibuye'!C47,'24.07 Munyonyo-Kibuye'!C47,'25.07 Munyonyo-Kibuye'!C47,'26.07 Munyonyo-Kibuye-24h'!C47,'27.07 Munyonyo-Kibuye-24h'!C47,'28.07 Munyonyo-Kibuye'!C47)</f>
        <v>30.142857142857142</v>
      </c>
      <c r="D47" s="49">
        <f>AVERAGE('22.07 Munyonyo-Kibuye'!D47,'23.07 Munyonyo-Kibuye'!D47,'24.07 Munyonyo-Kibuye'!D47,'25.07 Munyonyo-Kibuye'!D47,'26.07 Munyonyo-Kibuye-24h'!D47,'27.07 Munyonyo-Kibuye-24h'!D47,'28.07 Munyonyo-Kibuye'!D47)</f>
        <v>15.285714285714286</v>
      </c>
      <c r="E47" s="49">
        <f>AVERAGE('22.07 Munyonyo-Kibuye'!E47,'23.07 Munyonyo-Kibuye'!E47,'24.07 Munyonyo-Kibuye'!E47,'25.07 Munyonyo-Kibuye'!E47,'26.07 Munyonyo-Kibuye-24h'!E47,'27.07 Munyonyo-Kibuye-24h'!E47,'28.07 Munyonyo-Kibuye'!E47)</f>
        <v>5.1428571428571432</v>
      </c>
      <c r="F47" s="49">
        <f>AVERAGE('22.07 Munyonyo-Kibuye'!F47,'23.07 Munyonyo-Kibuye'!F47,'24.07 Munyonyo-Kibuye'!F47,'25.07 Munyonyo-Kibuye'!F47,'26.07 Munyonyo-Kibuye-24h'!F47,'27.07 Munyonyo-Kibuye-24h'!F47,'28.07 Munyonyo-Kibuye'!F47)</f>
        <v>24.857142857142858</v>
      </c>
      <c r="G47" s="49">
        <f>AVERAGE('22.07 Munyonyo-Kibuye'!G47,'23.07 Munyonyo-Kibuye'!G47,'24.07 Munyonyo-Kibuye'!G47,'25.07 Munyonyo-Kibuye'!G47,'26.07 Munyonyo-Kibuye-24h'!G47,'27.07 Munyonyo-Kibuye-24h'!G47,'28.07 Munyonyo-Kibuye'!G47)</f>
        <v>0.7142857142857143</v>
      </c>
      <c r="H47" s="49">
        <f>AVERAGE('22.07 Munyonyo-Kibuye'!H47,'23.07 Munyonyo-Kibuye'!H47,'24.07 Munyonyo-Kibuye'!H47,'25.07 Munyonyo-Kibuye'!H47,'26.07 Munyonyo-Kibuye-24h'!H47,'27.07 Munyonyo-Kibuye-24h'!H47,'28.07 Munyonyo-Kibuye'!H47)</f>
        <v>0</v>
      </c>
      <c r="I47" s="49">
        <f>AVERAGE('22.07 Munyonyo-Kibuye'!I47,'23.07 Munyonyo-Kibuye'!I47,'24.07 Munyonyo-Kibuye'!I47,'25.07 Munyonyo-Kibuye'!I47,'26.07 Munyonyo-Kibuye-24h'!I47,'27.07 Munyonyo-Kibuye-24h'!I47,'28.07 Munyonyo-Kibuye'!I47)</f>
        <v>4.1428571428571432</v>
      </c>
      <c r="J47" s="49">
        <f>AVERAGE('22.07 Munyonyo-Kibuye'!J47,'23.07 Munyonyo-Kibuye'!J47,'24.07 Munyonyo-Kibuye'!J47,'25.07 Munyonyo-Kibuye'!J47,'26.07 Munyonyo-Kibuye-24h'!J47,'27.07 Munyonyo-Kibuye-24h'!J47,'28.07 Munyonyo-Kibuye'!J47)</f>
        <v>0.2857142857142857</v>
      </c>
      <c r="K47" s="49">
        <f>AVERAGE('22.07 Munyonyo-Kibuye'!K47,'23.07 Munyonyo-Kibuye'!K47,'24.07 Munyonyo-Kibuye'!K47,'25.07 Munyonyo-Kibuye'!K47,'26.07 Munyonyo-Kibuye-24h'!K47,'27.07 Munyonyo-Kibuye-24h'!K47,'28.07 Munyonyo-Kibuye'!K47)</f>
        <v>0.14285714285714285</v>
      </c>
      <c r="L47" s="49">
        <f>AVERAGE('22.07 Munyonyo-Kibuye'!L47,'23.07 Munyonyo-Kibuye'!L47,'24.07 Munyonyo-Kibuye'!L47,'25.07 Munyonyo-Kibuye'!L47,'26.07 Munyonyo-Kibuye-24h'!L47,'27.07 Munyonyo-Kibuye-24h'!L47,'28.07 Munyonyo-Kibuye'!L47)</f>
        <v>0</v>
      </c>
      <c r="M47" s="49">
        <f>AVERAGE('22.07 Munyonyo-Kibuye'!M47,'23.07 Munyonyo-Kibuye'!M47,'24.07 Munyonyo-Kibuye'!M47,'25.07 Munyonyo-Kibuye'!M47,'26.07 Munyonyo-Kibuye-24h'!M47,'27.07 Munyonyo-Kibuye-24h'!M47,'28.07 Munyonyo-Kibuye'!M47)</f>
        <v>170.28571428571428</v>
      </c>
      <c r="N47" s="49">
        <f>AVERAGE('22.07 Munyonyo-Kibuye'!N47,'23.07 Munyonyo-Kibuye'!N47,'24.07 Munyonyo-Kibuye'!N47,'25.07 Munyonyo-Kibuye'!N47,'26.07 Munyonyo-Kibuye-24h'!N47,'27.07 Munyonyo-Kibuye-24h'!N47,'28.07 Munyonyo-Kibuye'!N47)</f>
        <v>0</v>
      </c>
      <c r="O47" s="15">
        <f t="shared" si="0"/>
        <v>80.714285714285708</v>
      </c>
      <c r="P47" s="15">
        <f t="shared" si="1"/>
        <v>251</v>
      </c>
      <c r="R47" s="8"/>
      <c r="T47"/>
    </row>
    <row r="48" spans="2:32" ht="23.1" customHeight="1" x14ac:dyDescent="0.25">
      <c r="B48" s="24" t="s">
        <v>75</v>
      </c>
      <c r="C48" s="49">
        <f>AVERAGE('22.07 Munyonyo-Kibuye'!C48,'23.07 Munyonyo-Kibuye'!C48,'24.07 Munyonyo-Kibuye'!C48,'25.07 Munyonyo-Kibuye'!C48,'26.07 Munyonyo-Kibuye-24h'!C48,'27.07 Munyonyo-Kibuye-24h'!C48,'28.07 Munyonyo-Kibuye'!C48)</f>
        <v>27</v>
      </c>
      <c r="D48" s="49">
        <f>AVERAGE('22.07 Munyonyo-Kibuye'!D48,'23.07 Munyonyo-Kibuye'!D48,'24.07 Munyonyo-Kibuye'!D48,'25.07 Munyonyo-Kibuye'!D48,'26.07 Munyonyo-Kibuye-24h'!D48,'27.07 Munyonyo-Kibuye-24h'!D48,'28.07 Munyonyo-Kibuye'!D48)</f>
        <v>10.571428571428571</v>
      </c>
      <c r="E48" s="49">
        <f>AVERAGE('22.07 Munyonyo-Kibuye'!E48,'23.07 Munyonyo-Kibuye'!E48,'24.07 Munyonyo-Kibuye'!E48,'25.07 Munyonyo-Kibuye'!E48,'26.07 Munyonyo-Kibuye-24h'!E48,'27.07 Munyonyo-Kibuye-24h'!E48,'28.07 Munyonyo-Kibuye'!E48)</f>
        <v>5</v>
      </c>
      <c r="F48" s="49">
        <f>AVERAGE('22.07 Munyonyo-Kibuye'!F48,'23.07 Munyonyo-Kibuye'!F48,'24.07 Munyonyo-Kibuye'!F48,'25.07 Munyonyo-Kibuye'!F48,'26.07 Munyonyo-Kibuye-24h'!F48,'27.07 Munyonyo-Kibuye-24h'!F48,'28.07 Munyonyo-Kibuye'!F48)</f>
        <v>21.428571428571427</v>
      </c>
      <c r="G48" s="49">
        <f>AVERAGE('22.07 Munyonyo-Kibuye'!G48,'23.07 Munyonyo-Kibuye'!G48,'24.07 Munyonyo-Kibuye'!G48,'25.07 Munyonyo-Kibuye'!G48,'26.07 Munyonyo-Kibuye-24h'!G48,'27.07 Munyonyo-Kibuye-24h'!G48,'28.07 Munyonyo-Kibuye'!G48)</f>
        <v>0.5714285714285714</v>
      </c>
      <c r="H48" s="49">
        <f>AVERAGE('22.07 Munyonyo-Kibuye'!H48,'23.07 Munyonyo-Kibuye'!H48,'24.07 Munyonyo-Kibuye'!H48,'25.07 Munyonyo-Kibuye'!H48,'26.07 Munyonyo-Kibuye-24h'!H48,'27.07 Munyonyo-Kibuye-24h'!H48,'28.07 Munyonyo-Kibuye'!H48)</f>
        <v>0</v>
      </c>
      <c r="I48" s="49">
        <f>AVERAGE('22.07 Munyonyo-Kibuye'!I48,'23.07 Munyonyo-Kibuye'!I48,'24.07 Munyonyo-Kibuye'!I48,'25.07 Munyonyo-Kibuye'!I48,'26.07 Munyonyo-Kibuye-24h'!I48,'27.07 Munyonyo-Kibuye-24h'!I48,'28.07 Munyonyo-Kibuye'!I48)</f>
        <v>4.2857142857142856</v>
      </c>
      <c r="J48" s="49">
        <f>AVERAGE('22.07 Munyonyo-Kibuye'!J48,'23.07 Munyonyo-Kibuye'!J48,'24.07 Munyonyo-Kibuye'!J48,'25.07 Munyonyo-Kibuye'!J48,'26.07 Munyonyo-Kibuye-24h'!J48,'27.07 Munyonyo-Kibuye-24h'!J48,'28.07 Munyonyo-Kibuye'!J48)</f>
        <v>0.14285714285714285</v>
      </c>
      <c r="K48" s="49">
        <f>AVERAGE('22.07 Munyonyo-Kibuye'!K48,'23.07 Munyonyo-Kibuye'!K48,'24.07 Munyonyo-Kibuye'!K48,'25.07 Munyonyo-Kibuye'!K48,'26.07 Munyonyo-Kibuye-24h'!K48,'27.07 Munyonyo-Kibuye-24h'!K48,'28.07 Munyonyo-Kibuye'!K48)</f>
        <v>0.2857142857142857</v>
      </c>
      <c r="L48" s="49">
        <f>AVERAGE('22.07 Munyonyo-Kibuye'!L48,'23.07 Munyonyo-Kibuye'!L48,'24.07 Munyonyo-Kibuye'!L48,'25.07 Munyonyo-Kibuye'!L48,'26.07 Munyonyo-Kibuye-24h'!L48,'27.07 Munyonyo-Kibuye-24h'!L48,'28.07 Munyonyo-Kibuye'!L48)</f>
        <v>0.14285714285714285</v>
      </c>
      <c r="M48" s="49">
        <f>AVERAGE('22.07 Munyonyo-Kibuye'!M48,'23.07 Munyonyo-Kibuye'!M48,'24.07 Munyonyo-Kibuye'!M48,'25.07 Munyonyo-Kibuye'!M48,'26.07 Munyonyo-Kibuye-24h'!M48,'27.07 Munyonyo-Kibuye-24h'!M48,'28.07 Munyonyo-Kibuye'!M48)</f>
        <v>155.71428571428572</v>
      </c>
      <c r="N48" s="49">
        <f>AVERAGE('22.07 Munyonyo-Kibuye'!N48,'23.07 Munyonyo-Kibuye'!N48,'24.07 Munyonyo-Kibuye'!N48,'25.07 Munyonyo-Kibuye'!N48,'26.07 Munyonyo-Kibuye-24h'!N48,'27.07 Munyonyo-Kibuye-24h'!N48,'28.07 Munyonyo-Kibuye'!N48)</f>
        <v>0</v>
      </c>
      <c r="O48" s="15">
        <f t="shared" si="0"/>
        <v>69.428571428571431</v>
      </c>
      <c r="P48" s="15">
        <f t="shared" si="1"/>
        <v>225.14285714285717</v>
      </c>
      <c r="R48" s="8"/>
      <c r="T48"/>
    </row>
    <row r="49" spans="2:20" ht="23.1" customHeight="1" x14ac:dyDescent="0.25">
      <c r="B49" s="23" t="s">
        <v>76</v>
      </c>
      <c r="C49" s="49">
        <f>AVERAGE('22.07 Munyonyo-Kibuye'!C49,'23.07 Munyonyo-Kibuye'!C49,'24.07 Munyonyo-Kibuye'!C49,'25.07 Munyonyo-Kibuye'!C49,'26.07 Munyonyo-Kibuye-24h'!C49,'27.07 Munyonyo-Kibuye-24h'!C49,'28.07 Munyonyo-Kibuye'!C49)</f>
        <v>21.428571428571427</v>
      </c>
      <c r="D49" s="49">
        <f>AVERAGE('22.07 Munyonyo-Kibuye'!D49,'23.07 Munyonyo-Kibuye'!D49,'24.07 Munyonyo-Kibuye'!D49,'25.07 Munyonyo-Kibuye'!D49,'26.07 Munyonyo-Kibuye-24h'!D49,'27.07 Munyonyo-Kibuye-24h'!D49,'28.07 Munyonyo-Kibuye'!D49)</f>
        <v>14.285714285714286</v>
      </c>
      <c r="E49" s="49">
        <f>AVERAGE('22.07 Munyonyo-Kibuye'!E49,'23.07 Munyonyo-Kibuye'!E49,'24.07 Munyonyo-Kibuye'!E49,'25.07 Munyonyo-Kibuye'!E49,'26.07 Munyonyo-Kibuye-24h'!E49,'27.07 Munyonyo-Kibuye-24h'!E49,'28.07 Munyonyo-Kibuye'!E49)</f>
        <v>3.7142857142857144</v>
      </c>
      <c r="F49" s="49">
        <f>AVERAGE('22.07 Munyonyo-Kibuye'!F49,'23.07 Munyonyo-Kibuye'!F49,'24.07 Munyonyo-Kibuye'!F49,'25.07 Munyonyo-Kibuye'!F49,'26.07 Munyonyo-Kibuye-24h'!F49,'27.07 Munyonyo-Kibuye-24h'!F49,'28.07 Munyonyo-Kibuye'!F49)</f>
        <v>19.571428571428573</v>
      </c>
      <c r="G49" s="49">
        <f>AVERAGE('22.07 Munyonyo-Kibuye'!G49,'23.07 Munyonyo-Kibuye'!G49,'24.07 Munyonyo-Kibuye'!G49,'25.07 Munyonyo-Kibuye'!G49,'26.07 Munyonyo-Kibuye-24h'!G49,'27.07 Munyonyo-Kibuye-24h'!G49,'28.07 Munyonyo-Kibuye'!G49)</f>
        <v>0.7142857142857143</v>
      </c>
      <c r="H49" s="49">
        <f>AVERAGE('22.07 Munyonyo-Kibuye'!H49,'23.07 Munyonyo-Kibuye'!H49,'24.07 Munyonyo-Kibuye'!H49,'25.07 Munyonyo-Kibuye'!H49,'26.07 Munyonyo-Kibuye-24h'!H49,'27.07 Munyonyo-Kibuye-24h'!H49,'28.07 Munyonyo-Kibuye'!H49)</f>
        <v>0</v>
      </c>
      <c r="I49" s="49">
        <f>AVERAGE('22.07 Munyonyo-Kibuye'!I49,'23.07 Munyonyo-Kibuye'!I49,'24.07 Munyonyo-Kibuye'!I49,'25.07 Munyonyo-Kibuye'!I49,'26.07 Munyonyo-Kibuye-24h'!I49,'27.07 Munyonyo-Kibuye-24h'!I49,'28.07 Munyonyo-Kibuye'!I49)</f>
        <v>2.2857142857142856</v>
      </c>
      <c r="J49" s="49">
        <f>AVERAGE('22.07 Munyonyo-Kibuye'!J49,'23.07 Munyonyo-Kibuye'!J49,'24.07 Munyonyo-Kibuye'!J49,'25.07 Munyonyo-Kibuye'!J49,'26.07 Munyonyo-Kibuye-24h'!J49,'27.07 Munyonyo-Kibuye-24h'!J49,'28.07 Munyonyo-Kibuye'!J49)</f>
        <v>0.14285714285714285</v>
      </c>
      <c r="K49" s="49">
        <f>AVERAGE('22.07 Munyonyo-Kibuye'!K49,'23.07 Munyonyo-Kibuye'!K49,'24.07 Munyonyo-Kibuye'!K49,'25.07 Munyonyo-Kibuye'!K49,'26.07 Munyonyo-Kibuye-24h'!K49,'27.07 Munyonyo-Kibuye-24h'!K49,'28.07 Munyonyo-Kibuye'!K49)</f>
        <v>0</v>
      </c>
      <c r="L49" s="49">
        <f>AVERAGE('22.07 Munyonyo-Kibuye'!L49,'23.07 Munyonyo-Kibuye'!L49,'24.07 Munyonyo-Kibuye'!L49,'25.07 Munyonyo-Kibuye'!L49,'26.07 Munyonyo-Kibuye-24h'!L49,'27.07 Munyonyo-Kibuye-24h'!L49,'28.07 Munyonyo-Kibuye'!L49)</f>
        <v>0.14285714285714285</v>
      </c>
      <c r="M49" s="49">
        <f>AVERAGE('22.07 Munyonyo-Kibuye'!M49,'23.07 Munyonyo-Kibuye'!M49,'24.07 Munyonyo-Kibuye'!M49,'25.07 Munyonyo-Kibuye'!M49,'26.07 Munyonyo-Kibuye-24h'!M49,'27.07 Munyonyo-Kibuye-24h'!M49,'28.07 Munyonyo-Kibuye'!M49)</f>
        <v>141</v>
      </c>
      <c r="N49" s="49">
        <f>AVERAGE('22.07 Munyonyo-Kibuye'!N49,'23.07 Munyonyo-Kibuye'!N49,'24.07 Munyonyo-Kibuye'!N49,'25.07 Munyonyo-Kibuye'!N49,'26.07 Munyonyo-Kibuye-24h'!N49,'27.07 Munyonyo-Kibuye-24h'!N49,'28.07 Munyonyo-Kibuye'!N49)</f>
        <v>0</v>
      </c>
      <c r="O49" s="15">
        <f t="shared" si="0"/>
        <v>62.285714285714292</v>
      </c>
      <c r="P49" s="15">
        <f t="shared" si="1"/>
        <v>203.28571428571428</v>
      </c>
      <c r="R49" s="8"/>
      <c r="T49"/>
    </row>
    <row r="50" spans="2:20" ht="23.1" customHeight="1" x14ac:dyDescent="0.25">
      <c r="B50" s="24" t="s">
        <v>77</v>
      </c>
      <c r="C50" s="49">
        <f>AVERAGE('22.07 Munyonyo-Kibuye'!C50,'23.07 Munyonyo-Kibuye'!C50,'24.07 Munyonyo-Kibuye'!C50,'25.07 Munyonyo-Kibuye'!C50,'26.07 Munyonyo-Kibuye-24h'!C50,'27.07 Munyonyo-Kibuye-24h'!C50,'28.07 Munyonyo-Kibuye'!C50)</f>
        <v>21.857142857142858</v>
      </c>
      <c r="D50" s="49">
        <f>AVERAGE('22.07 Munyonyo-Kibuye'!D50,'23.07 Munyonyo-Kibuye'!D50,'24.07 Munyonyo-Kibuye'!D50,'25.07 Munyonyo-Kibuye'!D50,'26.07 Munyonyo-Kibuye-24h'!D50,'27.07 Munyonyo-Kibuye-24h'!D50,'28.07 Munyonyo-Kibuye'!D50)</f>
        <v>12.285714285714286</v>
      </c>
      <c r="E50" s="49">
        <f>AVERAGE('22.07 Munyonyo-Kibuye'!E50,'23.07 Munyonyo-Kibuye'!E50,'24.07 Munyonyo-Kibuye'!E50,'25.07 Munyonyo-Kibuye'!E50,'26.07 Munyonyo-Kibuye-24h'!E50,'27.07 Munyonyo-Kibuye-24h'!E50,'28.07 Munyonyo-Kibuye'!E50)</f>
        <v>3.1428571428571428</v>
      </c>
      <c r="F50" s="49">
        <f>AVERAGE('22.07 Munyonyo-Kibuye'!F50,'23.07 Munyonyo-Kibuye'!F50,'24.07 Munyonyo-Kibuye'!F50,'25.07 Munyonyo-Kibuye'!F50,'26.07 Munyonyo-Kibuye-24h'!F50,'27.07 Munyonyo-Kibuye-24h'!F50,'28.07 Munyonyo-Kibuye'!F50)</f>
        <v>21.428571428571427</v>
      </c>
      <c r="G50" s="49">
        <f>AVERAGE('22.07 Munyonyo-Kibuye'!G50,'23.07 Munyonyo-Kibuye'!G50,'24.07 Munyonyo-Kibuye'!G50,'25.07 Munyonyo-Kibuye'!G50,'26.07 Munyonyo-Kibuye-24h'!G50,'27.07 Munyonyo-Kibuye-24h'!G50,'28.07 Munyonyo-Kibuye'!G50)</f>
        <v>0.42857142857142855</v>
      </c>
      <c r="H50" s="49">
        <f>AVERAGE('22.07 Munyonyo-Kibuye'!H50,'23.07 Munyonyo-Kibuye'!H50,'24.07 Munyonyo-Kibuye'!H50,'25.07 Munyonyo-Kibuye'!H50,'26.07 Munyonyo-Kibuye-24h'!H50,'27.07 Munyonyo-Kibuye-24h'!H50,'28.07 Munyonyo-Kibuye'!H50)</f>
        <v>0</v>
      </c>
      <c r="I50" s="49">
        <f>AVERAGE('22.07 Munyonyo-Kibuye'!I50,'23.07 Munyonyo-Kibuye'!I50,'24.07 Munyonyo-Kibuye'!I50,'25.07 Munyonyo-Kibuye'!I50,'26.07 Munyonyo-Kibuye-24h'!I50,'27.07 Munyonyo-Kibuye-24h'!I50,'28.07 Munyonyo-Kibuye'!I50)</f>
        <v>3</v>
      </c>
      <c r="J50" s="49">
        <f>AVERAGE('22.07 Munyonyo-Kibuye'!J50,'23.07 Munyonyo-Kibuye'!J50,'24.07 Munyonyo-Kibuye'!J50,'25.07 Munyonyo-Kibuye'!J50,'26.07 Munyonyo-Kibuye-24h'!J50,'27.07 Munyonyo-Kibuye-24h'!J50,'28.07 Munyonyo-Kibuye'!J50)</f>
        <v>0.42857142857142855</v>
      </c>
      <c r="K50" s="49">
        <f>AVERAGE('22.07 Munyonyo-Kibuye'!K50,'23.07 Munyonyo-Kibuye'!K50,'24.07 Munyonyo-Kibuye'!K50,'25.07 Munyonyo-Kibuye'!K50,'26.07 Munyonyo-Kibuye-24h'!K50,'27.07 Munyonyo-Kibuye-24h'!K50,'28.07 Munyonyo-Kibuye'!K50)</f>
        <v>0.2857142857142857</v>
      </c>
      <c r="L50" s="49">
        <f>AVERAGE('22.07 Munyonyo-Kibuye'!L50,'23.07 Munyonyo-Kibuye'!L50,'24.07 Munyonyo-Kibuye'!L50,'25.07 Munyonyo-Kibuye'!L50,'26.07 Munyonyo-Kibuye-24h'!L50,'27.07 Munyonyo-Kibuye-24h'!L50,'28.07 Munyonyo-Kibuye'!L50)</f>
        <v>0</v>
      </c>
      <c r="M50" s="49">
        <f>AVERAGE('22.07 Munyonyo-Kibuye'!M50,'23.07 Munyonyo-Kibuye'!M50,'24.07 Munyonyo-Kibuye'!M50,'25.07 Munyonyo-Kibuye'!M50,'26.07 Munyonyo-Kibuye-24h'!M50,'27.07 Munyonyo-Kibuye-24h'!M50,'28.07 Munyonyo-Kibuye'!M50)</f>
        <v>148.28571428571428</v>
      </c>
      <c r="N50" s="49">
        <f>AVERAGE('22.07 Munyonyo-Kibuye'!N50,'23.07 Munyonyo-Kibuye'!N50,'24.07 Munyonyo-Kibuye'!N50,'25.07 Munyonyo-Kibuye'!N50,'26.07 Munyonyo-Kibuye-24h'!N50,'27.07 Munyonyo-Kibuye-24h'!N50,'28.07 Munyonyo-Kibuye'!N50)</f>
        <v>0</v>
      </c>
      <c r="O50" s="15">
        <f t="shared" si="0"/>
        <v>62.857142857142868</v>
      </c>
      <c r="P50" s="15">
        <f t="shared" si="1"/>
        <v>211.14285714285714</v>
      </c>
      <c r="R50" s="8"/>
      <c r="T50"/>
    </row>
    <row r="51" spans="2:20" ht="23.1" customHeight="1" x14ac:dyDescent="0.25">
      <c r="B51" s="24" t="s">
        <v>78</v>
      </c>
      <c r="C51" s="49">
        <f>AVERAGE('22.07 Munyonyo-Kibuye'!C51,'23.07 Munyonyo-Kibuye'!C51,'24.07 Munyonyo-Kibuye'!C51,'25.07 Munyonyo-Kibuye'!C51,'26.07 Munyonyo-Kibuye-24h'!C51,'27.07 Munyonyo-Kibuye-24h'!C51,'28.07 Munyonyo-Kibuye'!C51)</f>
        <v>25.428571428571427</v>
      </c>
      <c r="D51" s="49">
        <f>AVERAGE('22.07 Munyonyo-Kibuye'!D51,'23.07 Munyonyo-Kibuye'!D51,'24.07 Munyonyo-Kibuye'!D51,'25.07 Munyonyo-Kibuye'!D51,'26.07 Munyonyo-Kibuye-24h'!D51,'27.07 Munyonyo-Kibuye-24h'!D51,'28.07 Munyonyo-Kibuye'!D51)</f>
        <v>9.5714285714285712</v>
      </c>
      <c r="E51" s="49">
        <f>AVERAGE('22.07 Munyonyo-Kibuye'!E51,'23.07 Munyonyo-Kibuye'!E51,'24.07 Munyonyo-Kibuye'!E51,'25.07 Munyonyo-Kibuye'!E51,'26.07 Munyonyo-Kibuye-24h'!E51,'27.07 Munyonyo-Kibuye-24h'!E51,'28.07 Munyonyo-Kibuye'!E51)</f>
        <v>3</v>
      </c>
      <c r="F51" s="49">
        <f>AVERAGE('22.07 Munyonyo-Kibuye'!F51,'23.07 Munyonyo-Kibuye'!F51,'24.07 Munyonyo-Kibuye'!F51,'25.07 Munyonyo-Kibuye'!F51,'26.07 Munyonyo-Kibuye-24h'!F51,'27.07 Munyonyo-Kibuye-24h'!F51,'28.07 Munyonyo-Kibuye'!F51)</f>
        <v>23.285714285714285</v>
      </c>
      <c r="G51" s="49">
        <f>AVERAGE('22.07 Munyonyo-Kibuye'!G51,'23.07 Munyonyo-Kibuye'!G51,'24.07 Munyonyo-Kibuye'!G51,'25.07 Munyonyo-Kibuye'!G51,'26.07 Munyonyo-Kibuye-24h'!G51,'27.07 Munyonyo-Kibuye-24h'!G51,'28.07 Munyonyo-Kibuye'!G51)</f>
        <v>0.14285714285714285</v>
      </c>
      <c r="H51" s="49">
        <f>AVERAGE('22.07 Munyonyo-Kibuye'!H51,'23.07 Munyonyo-Kibuye'!H51,'24.07 Munyonyo-Kibuye'!H51,'25.07 Munyonyo-Kibuye'!H51,'26.07 Munyonyo-Kibuye-24h'!H51,'27.07 Munyonyo-Kibuye-24h'!H51,'28.07 Munyonyo-Kibuye'!H51)</f>
        <v>0</v>
      </c>
      <c r="I51" s="49">
        <f>AVERAGE('22.07 Munyonyo-Kibuye'!I51,'23.07 Munyonyo-Kibuye'!I51,'24.07 Munyonyo-Kibuye'!I51,'25.07 Munyonyo-Kibuye'!I51,'26.07 Munyonyo-Kibuye-24h'!I51,'27.07 Munyonyo-Kibuye-24h'!I51,'28.07 Munyonyo-Kibuye'!I51)</f>
        <v>2.8571428571428572</v>
      </c>
      <c r="J51" s="49">
        <f>AVERAGE('22.07 Munyonyo-Kibuye'!J51,'23.07 Munyonyo-Kibuye'!J51,'24.07 Munyonyo-Kibuye'!J51,'25.07 Munyonyo-Kibuye'!J51,'26.07 Munyonyo-Kibuye-24h'!J51,'27.07 Munyonyo-Kibuye-24h'!J51,'28.07 Munyonyo-Kibuye'!J51)</f>
        <v>0.2857142857142857</v>
      </c>
      <c r="K51" s="49">
        <f>AVERAGE('22.07 Munyonyo-Kibuye'!K51,'23.07 Munyonyo-Kibuye'!K51,'24.07 Munyonyo-Kibuye'!K51,'25.07 Munyonyo-Kibuye'!K51,'26.07 Munyonyo-Kibuye-24h'!K51,'27.07 Munyonyo-Kibuye-24h'!K51,'28.07 Munyonyo-Kibuye'!K51)</f>
        <v>0</v>
      </c>
      <c r="L51" s="49">
        <f>AVERAGE('22.07 Munyonyo-Kibuye'!L51,'23.07 Munyonyo-Kibuye'!L51,'24.07 Munyonyo-Kibuye'!L51,'25.07 Munyonyo-Kibuye'!L51,'26.07 Munyonyo-Kibuye-24h'!L51,'27.07 Munyonyo-Kibuye-24h'!L51,'28.07 Munyonyo-Kibuye'!L51)</f>
        <v>0.14285714285714285</v>
      </c>
      <c r="M51" s="49">
        <f>AVERAGE('22.07 Munyonyo-Kibuye'!M51,'23.07 Munyonyo-Kibuye'!M51,'24.07 Munyonyo-Kibuye'!M51,'25.07 Munyonyo-Kibuye'!M51,'26.07 Munyonyo-Kibuye-24h'!M51,'27.07 Munyonyo-Kibuye-24h'!M51,'28.07 Munyonyo-Kibuye'!M51)</f>
        <v>184.14285714285714</v>
      </c>
      <c r="N51" s="49">
        <f>AVERAGE('22.07 Munyonyo-Kibuye'!N51,'23.07 Munyonyo-Kibuye'!N51,'24.07 Munyonyo-Kibuye'!N51,'25.07 Munyonyo-Kibuye'!N51,'26.07 Munyonyo-Kibuye-24h'!N51,'27.07 Munyonyo-Kibuye-24h'!N51,'28.07 Munyonyo-Kibuye'!N51)</f>
        <v>0</v>
      </c>
      <c r="O51" s="15">
        <f t="shared" si="0"/>
        <v>64.714285714285722</v>
      </c>
      <c r="P51" s="15">
        <f t="shared" si="1"/>
        <v>248.85714285714286</v>
      </c>
      <c r="R51" s="8"/>
      <c r="T51"/>
    </row>
    <row r="52" spans="2:20" ht="23.1" customHeight="1" x14ac:dyDescent="0.25">
      <c r="B52" s="24" t="s">
        <v>79</v>
      </c>
      <c r="C52" s="49">
        <f>AVERAGE('22.07 Munyonyo-Kibuye'!C52,'23.07 Munyonyo-Kibuye'!C52,'24.07 Munyonyo-Kibuye'!C52,'25.07 Munyonyo-Kibuye'!C52,'26.07 Munyonyo-Kibuye-24h'!C52,'27.07 Munyonyo-Kibuye-24h'!C52,'28.07 Munyonyo-Kibuye'!C52)</f>
        <v>25.285714285714285</v>
      </c>
      <c r="D52" s="49">
        <f>AVERAGE('22.07 Munyonyo-Kibuye'!D52,'23.07 Munyonyo-Kibuye'!D52,'24.07 Munyonyo-Kibuye'!D52,'25.07 Munyonyo-Kibuye'!D52,'26.07 Munyonyo-Kibuye-24h'!D52,'27.07 Munyonyo-Kibuye-24h'!D52,'28.07 Munyonyo-Kibuye'!D52)</f>
        <v>11.571428571428571</v>
      </c>
      <c r="E52" s="49">
        <f>AVERAGE('22.07 Munyonyo-Kibuye'!E52,'23.07 Munyonyo-Kibuye'!E52,'24.07 Munyonyo-Kibuye'!E52,'25.07 Munyonyo-Kibuye'!E52,'26.07 Munyonyo-Kibuye-24h'!E52,'27.07 Munyonyo-Kibuye-24h'!E52,'28.07 Munyonyo-Kibuye'!E52)</f>
        <v>3.2857142857142856</v>
      </c>
      <c r="F52" s="49">
        <f>AVERAGE('22.07 Munyonyo-Kibuye'!F52,'23.07 Munyonyo-Kibuye'!F52,'24.07 Munyonyo-Kibuye'!F52,'25.07 Munyonyo-Kibuye'!F52,'26.07 Munyonyo-Kibuye-24h'!F52,'27.07 Munyonyo-Kibuye-24h'!F52,'28.07 Munyonyo-Kibuye'!F52)</f>
        <v>21.285714285714285</v>
      </c>
      <c r="G52" s="49">
        <f>AVERAGE('22.07 Munyonyo-Kibuye'!G52,'23.07 Munyonyo-Kibuye'!G52,'24.07 Munyonyo-Kibuye'!G52,'25.07 Munyonyo-Kibuye'!G52,'26.07 Munyonyo-Kibuye-24h'!G52,'27.07 Munyonyo-Kibuye-24h'!G52,'28.07 Munyonyo-Kibuye'!G52)</f>
        <v>0.5714285714285714</v>
      </c>
      <c r="H52" s="49">
        <f>AVERAGE('22.07 Munyonyo-Kibuye'!H52,'23.07 Munyonyo-Kibuye'!H52,'24.07 Munyonyo-Kibuye'!H52,'25.07 Munyonyo-Kibuye'!H52,'26.07 Munyonyo-Kibuye-24h'!H52,'27.07 Munyonyo-Kibuye-24h'!H52,'28.07 Munyonyo-Kibuye'!H52)</f>
        <v>0</v>
      </c>
      <c r="I52" s="49">
        <f>AVERAGE('22.07 Munyonyo-Kibuye'!I52,'23.07 Munyonyo-Kibuye'!I52,'24.07 Munyonyo-Kibuye'!I52,'25.07 Munyonyo-Kibuye'!I52,'26.07 Munyonyo-Kibuye-24h'!I52,'27.07 Munyonyo-Kibuye-24h'!I52,'28.07 Munyonyo-Kibuye'!I52)</f>
        <v>3.2857142857142856</v>
      </c>
      <c r="J52" s="49">
        <f>AVERAGE('22.07 Munyonyo-Kibuye'!J52,'23.07 Munyonyo-Kibuye'!J52,'24.07 Munyonyo-Kibuye'!J52,'25.07 Munyonyo-Kibuye'!J52,'26.07 Munyonyo-Kibuye-24h'!J52,'27.07 Munyonyo-Kibuye-24h'!J52,'28.07 Munyonyo-Kibuye'!J52)</f>
        <v>0.14285714285714285</v>
      </c>
      <c r="K52" s="49">
        <f>AVERAGE('22.07 Munyonyo-Kibuye'!K52,'23.07 Munyonyo-Kibuye'!K52,'24.07 Munyonyo-Kibuye'!K52,'25.07 Munyonyo-Kibuye'!K52,'26.07 Munyonyo-Kibuye-24h'!K52,'27.07 Munyonyo-Kibuye-24h'!K52,'28.07 Munyonyo-Kibuye'!K52)</f>
        <v>0.14285714285714285</v>
      </c>
      <c r="L52" s="49">
        <f>AVERAGE('22.07 Munyonyo-Kibuye'!L52,'23.07 Munyonyo-Kibuye'!L52,'24.07 Munyonyo-Kibuye'!L52,'25.07 Munyonyo-Kibuye'!L52,'26.07 Munyonyo-Kibuye-24h'!L52,'27.07 Munyonyo-Kibuye-24h'!L52,'28.07 Munyonyo-Kibuye'!L52)</f>
        <v>0</v>
      </c>
      <c r="M52" s="49">
        <f>AVERAGE('22.07 Munyonyo-Kibuye'!M52,'23.07 Munyonyo-Kibuye'!M52,'24.07 Munyonyo-Kibuye'!M52,'25.07 Munyonyo-Kibuye'!M52,'26.07 Munyonyo-Kibuye-24h'!M52,'27.07 Munyonyo-Kibuye-24h'!M52,'28.07 Munyonyo-Kibuye'!M52)</f>
        <v>157.28571428571428</v>
      </c>
      <c r="N52" s="49">
        <f>AVERAGE('22.07 Munyonyo-Kibuye'!N52,'23.07 Munyonyo-Kibuye'!N52,'24.07 Munyonyo-Kibuye'!N52,'25.07 Munyonyo-Kibuye'!N52,'26.07 Munyonyo-Kibuye-24h'!N52,'27.07 Munyonyo-Kibuye-24h'!N52,'28.07 Munyonyo-Kibuye'!N52)</f>
        <v>0</v>
      </c>
      <c r="O52" s="15">
        <f t="shared" si="0"/>
        <v>65.571428571428555</v>
      </c>
      <c r="P52" s="15">
        <f t="shared" si="1"/>
        <v>222.85714285714283</v>
      </c>
      <c r="R52" s="8"/>
      <c r="T52"/>
    </row>
    <row r="53" spans="2:20" ht="23.1" customHeight="1" x14ac:dyDescent="0.25">
      <c r="B53" s="23" t="s">
        <v>80</v>
      </c>
      <c r="C53" s="49">
        <f>AVERAGE('22.07 Munyonyo-Kibuye'!C53,'23.07 Munyonyo-Kibuye'!C53,'24.07 Munyonyo-Kibuye'!C53,'25.07 Munyonyo-Kibuye'!C53,'26.07 Munyonyo-Kibuye-24h'!C53,'27.07 Munyonyo-Kibuye-24h'!C53,'28.07 Munyonyo-Kibuye'!C53)</f>
        <v>19.714285714285715</v>
      </c>
      <c r="D53" s="49">
        <f>AVERAGE('22.07 Munyonyo-Kibuye'!D53,'23.07 Munyonyo-Kibuye'!D53,'24.07 Munyonyo-Kibuye'!D53,'25.07 Munyonyo-Kibuye'!D53,'26.07 Munyonyo-Kibuye-24h'!D53,'27.07 Munyonyo-Kibuye-24h'!D53,'28.07 Munyonyo-Kibuye'!D53)</f>
        <v>9.4285714285714288</v>
      </c>
      <c r="E53" s="49">
        <f>AVERAGE('22.07 Munyonyo-Kibuye'!E53,'23.07 Munyonyo-Kibuye'!E53,'24.07 Munyonyo-Kibuye'!E53,'25.07 Munyonyo-Kibuye'!E53,'26.07 Munyonyo-Kibuye-24h'!E53,'27.07 Munyonyo-Kibuye-24h'!E53,'28.07 Munyonyo-Kibuye'!E53)</f>
        <v>3.7142857142857144</v>
      </c>
      <c r="F53" s="49">
        <f>AVERAGE('22.07 Munyonyo-Kibuye'!F53,'23.07 Munyonyo-Kibuye'!F53,'24.07 Munyonyo-Kibuye'!F53,'25.07 Munyonyo-Kibuye'!F53,'26.07 Munyonyo-Kibuye-24h'!F53,'27.07 Munyonyo-Kibuye-24h'!F53,'28.07 Munyonyo-Kibuye'!F53)</f>
        <v>22.714285714285715</v>
      </c>
      <c r="G53" s="49">
        <f>AVERAGE('22.07 Munyonyo-Kibuye'!G53,'23.07 Munyonyo-Kibuye'!G53,'24.07 Munyonyo-Kibuye'!G53,'25.07 Munyonyo-Kibuye'!G53,'26.07 Munyonyo-Kibuye-24h'!G53,'27.07 Munyonyo-Kibuye-24h'!G53,'28.07 Munyonyo-Kibuye'!G53)</f>
        <v>0.42857142857142855</v>
      </c>
      <c r="H53" s="49">
        <f>AVERAGE('22.07 Munyonyo-Kibuye'!H53,'23.07 Munyonyo-Kibuye'!H53,'24.07 Munyonyo-Kibuye'!H53,'25.07 Munyonyo-Kibuye'!H53,'26.07 Munyonyo-Kibuye-24h'!H53,'27.07 Munyonyo-Kibuye-24h'!H53,'28.07 Munyonyo-Kibuye'!H53)</f>
        <v>0.14285714285714285</v>
      </c>
      <c r="I53" s="49">
        <f>AVERAGE('22.07 Munyonyo-Kibuye'!I53,'23.07 Munyonyo-Kibuye'!I53,'24.07 Munyonyo-Kibuye'!I53,'25.07 Munyonyo-Kibuye'!I53,'26.07 Munyonyo-Kibuye-24h'!I53,'27.07 Munyonyo-Kibuye-24h'!I53,'28.07 Munyonyo-Kibuye'!I53)</f>
        <v>2.8571428571428572</v>
      </c>
      <c r="J53" s="49">
        <f>AVERAGE('22.07 Munyonyo-Kibuye'!J53,'23.07 Munyonyo-Kibuye'!J53,'24.07 Munyonyo-Kibuye'!J53,'25.07 Munyonyo-Kibuye'!J53,'26.07 Munyonyo-Kibuye-24h'!J53,'27.07 Munyonyo-Kibuye-24h'!J53,'28.07 Munyonyo-Kibuye'!J53)</f>
        <v>0.42857142857142855</v>
      </c>
      <c r="K53" s="49">
        <f>AVERAGE('22.07 Munyonyo-Kibuye'!K53,'23.07 Munyonyo-Kibuye'!K53,'24.07 Munyonyo-Kibuye'!K53,'25.07 Munyonyo-Kibuye'!K53,'26.07 Munyonyo-Kibuye-24h'!K53,'27.07 Munyonyo-Kibuye-24h'!K53,'28.07 Munyonyo-Kibuye'!K53)</f>
        <v>0.14285714285714285</v>
      </c>
      <c r="L53" s="49">
        <f>AVERAGE('22.07 Munyonyo-Kibuye'!L53,'23.07 Munyonyo-Kibuye'!L53,'24.07 Munyonyo-Kibuye'!L53,'25.07 Munyonyo-Kibuye'!L53,'26.07 Munyonyo-Kibuye-24h'!L53,'27.07 Munyonyo-Kibuye-24h'!L53,'28.07 Munyonyo-Kibuye'!L53)</f>
        <v>0.14285714285714285</v>
      </c>
      <c r="M53" s="49">
        <f>AVERAGE('22.07 Munyonyo-Kibuye'!M53,'23.07 Munyonyo-Kibuye'!M53,'24.07 Munyonyo-Kibuye'!M53,'25.07 Munyonyo-Kibuye'!M53,'26.07 Munyonyo-Kibuye-24h'!M53,'27.07 Munyonyo-Kibuye-24h'!M53,'28.07 Munyonyo-Kibuye'!M53)</f>
        <v>161.71428571428572</v>
      </c>
      <c r="N53" s="49">
        <f>AVERAGE('22.07 Munyonyo-Kibuye'!N53,'23.07 Munyonyo-Kibuye'!N53,'24.07 Munyonyo-Kibuye'!N53,'25.07 Munyonyo-Kibuye'!N53,'26.07 Munyonyo-Kibuye-24h'!N53,'27.07 Munyonyo-Kibuye-24h'!N53,'28.07 Munyonyo-Kibuye'!N53)</f>
        <v>0</v>
      </c>
      <c r="O53" s="15">
        <f t="shared" si="0"/>
        <v>59.71428571428573</v>
      </c>
      <c r="P53" s="15">
        <f t="shared" si="1"/>
        <v>221.42857142857144</v>
      </c>
      <c r="R53" s="8"/>
      <c r="T53"/>
    </row>
    <row r="54" spans="2:20" ht="23.1" customHeight="1" x14ac:dyDescent="0.25">
      <c r="B54" s="23" t="s">
        <v>81</v>
      </c>
      <c r="C54" s="49">
        <f>AVERAGE('22.07 Munyonyo-Kibuye'!C54,'23.07 Munyonyo-Kibuye'!C54,'24.07 Munyonyo-Kibuye'!C54,'25.07 Munyonyo-Kibuye'!C54,'26.07 Munyonyo-Kibuye-24h'!C54,'27.07 Munyonyo-Kibuye-24h'!C54,'28.07 Munyonyo-Kibuye'!C54)</f>
        <v>19.571428571428573</v>
      </c>
      <c r="D54" s="49">
        <f>AVERAGE('22.07 Munyonyo-Kibuye'!D54,'23.07 Munyonyo-Kibuye'!D54,'24.07 Munyonyo-Kibuye'!D54,'25.07 Munyonyo-Kibuye'!D54,'26.07 Munyonyo-Kibuye-24h'!D54,'27.07 Munyonyo-Kibuye-24h'!D54,'28.07 Munyonyo-Kibuye'!D54)</f>
        <v>10.714285714285714</v>
      </c>
      <c r="E54" s="49">
        <f>AVERAGE('22.07 Munyonyo-Kibuye'!E54,'23.07 Munyonyo-Kibuye'!E54,'24.07 Munyonyo-Kibuye'!E54,'25.07 Munyonyo-Kibuye'!E54,'26.07 Munyonyo-Kibuye-24h'!E54,'27.07 Munyonyo-Kibuye-24h'!E54,'28.07 Munyonyo-Kibuye'!E54)</f>
        <v>2.5714285714285716</v>
      </c>
      <c r="F54" s="49">
        <f>AVERAGE('22.07 Munyonyo-Kibuye'!F54,'23.07 Munyonyo-Kibuye'!F54,'24.07 Munyonyo-Kibuye'!F54,'25.07 Munyonyo-Kibuye'!F54,'26.07 Munyonyo-Kibuye-24h'!F54,'27.07 Munyonyo-Kibuye-24h'!F54,'28.07 Munyonyo-Kibuye'!F54)</f>
        <v>20.428571428571427</v>
      </c>
      <c r="G54" s="49">
        <f>AVERAGE('22.07 Munyonyo-Kibuye'!G54,'23.07 Munyonyo-Kibuye'!G54,'24.07 Munyonyo-Kibuye'!G54,'25.07 Munyonyo-Kibuye'!G54,'26.07 Munyonyo-Kibuye-24h'!G54,'27.07 Munyonyo-Kibuye-24h'!G54,'28.07 Munyonyo-Kibuye'!G54)</f>
        <v>0.42857142857142855</v>
      </c>
      <c r="H54" s="49">
        <f>AVERAGE('22.07 Munyonyo-Kibuye'!H54,'23.07 Munyonyo-Kibuye'!H54,'24.07 Munyonyo-Kibuye'!H54,'25.07 Munyonyo-Kibuye'!H54,'26.07 Munyonyo-Kibuye-24h'!H54,'27.07 Munyonyo-Kibuye-24h'!H54,'28.07 Munyonyo-Kibuye'!H54)</f>
        <v>0.5714285714285714</v>
      </c>
      <c r="I54" s="49">
        <f>AVERAGE('22.07 Munyonyo-Kibuye'!I54,'23.07 Munyonyo-Kibuye'!I54,'24.07 Munyonyo-Kibuye'!I54,'25.07 Munyonyo-Kibuye'!I54,'26.07 Munyonyo-Kibuye-24h'!I54,'27.07 Munyonyo-Kibuye-24h'!I54,'28.07 Munyonyo-Kibuye'!I54)</f>
        <v>3.4285714285714284</v>
      </c>
      <c r="J54" s="49">
        <f>AVERAGE('22.07 Munyonyo-Kibuye'!J54,'23.07 Munyonyo-Kibuye'!J54,'24.07 Munyonyo-Kibuye'!J54,'25.07 Munyonyo-Kibuye'!J54,'26.07 Munyonyo-Kibuye-24h'!J54,'27.07 Munyonyo-Kibuye-24h'!J54,'28.07 Munyonyo-Kibuye'!J54)</f>
        <v>0.14285714285714285</v>
      </c>
      <c r="K54" s="49">
        <f>AVERAGE('22.07 Munyonyo-Kibuye'!K54,'23.07 Munyonyo-Kibuye'!K54,'24.07 Munyonyo-Kibuye'!K54,'25.07 Munyonyo-Kibuye'!K54,'26.07 Munyonyo-Kibuye-24h'!K54,'27.07 Munyonyo-Kibuye-24h'!K54,'28.07 Munyonyo-Kibuye'!K54)</f>
        <v>0.2857142857142857</v>
      </c>
      <c r="L54" s="49">
        <f>AVERAGE('22.07 Munyonyo-Kibuye'!L54,'23.07 Munyonyo-Kibuye'!L54,'24.07 Munyonyo-Kibuye'!L54,'25.07 Munyonyo-Kibuye'!L54,'26.07 Munyonyo-Kibuye-24h'!L54,'27.07 Munyonyo-Kibuye-24h'!L54,'28.07 Munyonyo-Kibuye'!L54)</f>
        <v>0.14285714285714285</v>
      </c>
      <c r="M54" s="49">
        <f>AVERAGE('22.07 Munyonyo-Kibuye'!M54,'23.07 Munyonyo-Kibuye'!M54,'24.07 Munyonyo-Kibuye'!M54,'25.07 Munyonyo-Kibuye'!M54,'26.07 Munyonyo-Kibuye-24h'!M54,'27.07 Munyonyo-Kibuye-24h'!M54,'28.07 Munyonyo-Kibuye'!M54)</f>
        <v>152.71428571428572</v>
      </c>
      <c r="N54" s="49">
        <f>AVERAGE('22.07 Munyonyo-Kibuye'!N54,'23.07 Munyonyo-Kibuye'!N54,'24.07 Munyonyo-Kibuye'!N54,'25.07 Munyonyo-Kibuye'!N54,'26.07 Munyonyo-Kibuye-24h'!N54,'27.07 Munyonyo-Kibuye-24h'!N54,'28.07 Munyonyo-Kibuye'!N54)</f>
        <v>0</v>
      </c>
      <c r="O54" s="15">
        <f t="shared" si="0"/>
        <v>58.285714285714285</v>
      </c>
      <c r="P54" s="15">
        <f t="shared" si="1"/>
        <v>211</v>
      </c>
      <c r="R54" s="8"/>
      <c r="T54"/>
    </row>
    <row r="55" spans="2:20" ht="23.1" customHeight="1" x14ac:dyDescent="0.25">
      <c r="B55" s="23" t="s">
        <v>82</v>
      </c>
      <c r="C55" s="49">
        <f>AVERAGE('22.07 Munyonyo-Kibuye'!C55,'23.07 Munyonyo-Kibuye'!C55,'24.07 Munyonyo-Kibuye'!C55,'25.07 Munyonyo-Kibuye'!C55,'26.07 Munyonyo-Kibuye-24h'!C55,'27.07 Munyonyo-Kibuye-24h'!C55,'28.07 Munyonyo-Kibuye'!C55)</f>
        <v>19.714285714285715</v>
      </c>
      <c r="D55" s="49">
        <f>AVERAGE('22.07 Munyonyo-Kibuye'!D55,'23.07 Munyonyo-Kibuye'!D55,'24.07 Munyonyo-Kibuye'!D55,'25.07 Munyonyo-Kibuye'!D55,'26.07 Munyonyo-Kibuye-24h'!D55,'27.07 Munyonyo-Kibuye-24h'!D55,'28.07 Munyonyo-Kibuye'!D55)</f>
        <v>12.142857142857142</v>
      </c>
      <c r="E55" s="49">
        <f>AVERAGE('22.07 Munyonyo-Kibuye'!E55,'23.07 Munyonyo-Kibuye'!E55,'24.07 Munyonyo-Kibuye'!E55,'25.07 Munyonyo-Kibuye'!E55,'26.07 Munyonyo-Kibuye-24h'!E55,'27.07 Munyonyo-Kibuye-24h'!E55,'28.07 Munyonyo-Kibuye'!E55)</f>
        <v>3.1428571428571428</v>
      </c>
      <c r="F55" s="49">
        <f>AVERAGE('22.07 Munyonyo-Kibuye'!F55,'23.07 Munyonyo-Kibuye'!F55,'24.07 Munyonyo-Kibuye'!F55,'25.07 Munyonyo-Kibuye'!F55,'26.07 Munyonyo-Kibuye-24h'!F55,'27.07 Munyonyo-Kibuye-24h'!F55,'28.07 Munyonyo-Kibuye'!F55)</f>
        <v>26</v>
      </c>
      <c r="G55" s="49">
        <f>AVERAGE('22.07 Munyonyo-Kibuye'!G55,'23.07 Munyonyo-Kibuye'!G55,'24.07 Munyonyo-Kibuye'!G55,'25.07 Munyonyo-Kibuye'!G55,'26.07 Munyonyo-Kibuye-24h'!G55,'27.07 Munyonyo-Kibuye-24h'!G55,'28.07 Munyonyo-Kibuye'!G55)</f>
        <v>0.2857142857142857</v>
      </c>
      <c r="H55" s="49">
        <f>AVERAGE('22.07 Munyonyo-Kibuye'!H55,'23.07 Munyonyo-Kibuye'!H55,'24.07 Munyonyo-Kibuye'!H55,'25.07 Munyonyo-Kibuye'!H55,'26.07 Munyonyo-Kibuye-24h'!H55,'27.07 Munyonyo-Kibuye-24h'!H55,'28.07 Munyonyo-Kibuye'!H55)</f>
        <v>0.14285714285714285</v>
      </c>
      <c r="I55" s="49">
        <f>AVERAGE('22.07 Munyonyo-Kibuye'!I55,'23.07 Munyonyo-Kibuye'!I55,'24.07 Munyonyo-Kibuye'!I55,'25.07 Munyonyo-Kibuye'!I55,'26.07 Munyonyo-Kibuye-24h'!I55,'27.07 Munyonyo-Kibuye-24h'!I55,'28.07 Munyonyo-Kibuye'!I55)</f>
        <v>3.1428571428571428</v>
      </c>
      <c r="J55" s="49">
        <f>AVERAGE('22.07 Munyonyo-Kibuye'!J55,'23.07 Munyonyo-Kibuye'!J55,'24.07 Munyonyo-Kibuye'!J55,'25.07 Munyonyo-Kibuye'!J55,'26.07 Munyonyo-Kibuye-24h'!J55,'27.07 Munyonyo-Kibuye-24h'!J55,'28.07 Munyonyo-Kibuye'!J55)</f>
        <v>0.42857142857142855</v>
      </c>
      <c r="K55" s="49">
        <f>AVERAGE('22.07 Munyonyo-Kibuye'!K55,'23.07 Munyonyo-Kibuye'!K55,'24.07 Munyonyo-Kibuye'!K55,'25.07 Munyonyo-Kibuye'!K55,'26.07 Munyonyo-Kibuye-24h'!K55,'27.07 Munyonyo-Kibuye-24h'!K55,'28.07 Munyonyo-Kibuye'!K55)</f>
        <v>0.14285714285714285</v>
      </c>
      <c r="L55" s="49">
        <f>AVERAGE('22.07 Munyonyo-Kibuye'!L55,'23.07 Munyonyo-Kibuye'!L55,'24.07 Munyonyo-Kibuye'!L55,'25.07 Munyonyo-Kibuye'!L55,'26.07 Munyonyo-Kibuye-24h'!L55,'27.07 Munyonyo-Kibuye-24h'!L55,'28.07 Munyonyo-Kibuye'!L55)</f>
        <v>0</v>
      </c>
      <c r="M55" s="49">
        <f>AVERAGE('22.07 Munyonyo-Kibuye'!M55,'23.07 Munyonyo-Kibuye'!M55,'24.07 Munyonyo-Kibuye'!M55,'25.07 Munyonyo-Kibuye'!M55,'26.07 Munyonyo-Kibuye-24h'!M55,'27.07 Munyonyo-Kibuye-24h'!M55,'28.07 Munyonyo-Kibuye'!M55)</f>
        <v>154.42857142857142</v>
      </c>
      <c r="N55" s="49">
        <f>AVERAGE('22.07 Munyonyo-Kibuye'!N55,'23.07 Munyonyo-Kibuye'!N55,'24.07 Munyonyo-Kibuye'!N55,'25.07 Munyonyo-Kibuye'!N55,'26.07 Munyonyo-Kibuye-24h'!N55,'27.07 Munyonyo-Kibuye-24h'!N55,'28.07 Munyonyo-Kibuye'!N55)</f>
        <v>0</v>
      </c>
      <c r="O55" s="15">
        <f t="shared" si="0"/>
        <v>65.142857142857139</v>
      </c>
      <c r="P55" s="15">
        <f t="shared" si="1"/>
        <v>219.57142857142856</v>
      </c>
      <c r="R55" s="8"/>
      <c r="T55"/>
    </row>
    <row r="56" spans="2:20" ht="23.1" customHeight="1" x14ac:dyDescent="0.25">
      <c r="B56" s="23" t="s">
        <v>83</v>
      </c>
      <c r="C56" s="49">
        <f>AVERAGE('22.07 Munyonyo-Kibuye'!C56,'23.07 Munyonyo-Kibuye'!C56,'24.07 Munyonyo-Kibuye'!C56,'25.07 Munyonyo-Kibuye'!C56,'26.07 Munyonyo-Kibuye-24h'!C56,'27.07 Munyonyo-Kibuye-24h'!C56,'28.07 Munyonyo-Kibuye'!C56)</f>
        <v>19.857142857142858</v>
      </c>
      <c r="D56" s="49">
        <f>AVERAGE('22.07 Munyonyo-Kibuye'!D56,'23.07 Munyonyo-Kibuye'!D56,'24.07 Munyonyo-Kibuye'!D56,'25.07 Munyonyo-Kibuye'!D56,'26.07 Munyonyo-Kibuye-24h'!D56,'27.07 Munyonyo-Kibuye-24h'!D56,'28.07 Munyonyo-Kibuye'!D56)</f>
        <v>8.7142857142857135</v>
      </c>
      <c r="E56" s="49">
        <f>AVERAGE('22.07 Munyonyo-Kibuye'!E56,'23.07 Munyonyo-Kibuye'!E56,'24.07 Munyonyo-Kibuye'!E56,'25.07 Munyonyo-Kibuye'!E56,'26.07 Munyonyo-Kibuye-24h'!E56,'27.07 Munyonyo-Kibuye-24h'!E56,'28.07 Munyonyo-Kibuye'!E56)</f>
        <v>2.7142857142857144</v>
      </c>
      <c r="F56" s="49">
        <f>AVERAGE('22.07 Munyonyo-Kibuye'!F56,'23.07 Munyonyo-Kibuye'!F56,'24.07 Munyonyo-Kibuye'!F56,'25.07 Munyonyo-Kibuye'!F56,'26.07 Munyonyo-Kibuye-24h'!F56,'27.07 Munyonyo-Kibuye-24h'!F56,'28.07 Munyonyo-Kibuye'!F56)</f>
        <v>22.285714285714285</v>
      </c>
      <c r="G56" s="49">
        <f>AVERAGE('22.07 Munyonyo-Kibuye'!G56,'23.07 Munyonyo-Kibuye'!G56,'24.07 Munyonyo-Kibuye'!G56,'25.07 Munyonyo-Kibuye'!G56,'26.07 Munyonyo-Kibuye-24h'!G56,'27.07 Munyonyo-Kibuye-24h'!G56,'28.07 Munyonyo-Kibuye'!G56)</f>
        <v>0.8571428571428571</v>
      </c>
      <c r="H56" s="49">
        <f>AVERAGE('22.07 Munyonyo-Kibuye'!H56,'23.07 Munyonyo-Kibuye'!H56,'24.07 Munyonyo-Kibuye'!H56,'25.07 Munyonyo-Kibuye'!H56,'26.07 Munyonyo-Kibuye-24h'!H56,'27.07 Munyonyo-Kibuye-24h'!H56,'28.07 Munyonyo-Kibuye'!H56)</f>
        <v>0.42857142857142855</v>
      </c>
      <c r="I56" s="49">
        <f>AVERAGE('22.07 Munyonyo-Kibuye'!I56,'23.07 Munyonyo-Kibuye'!I56,'24.07 Munyonyo-Kibuye'!I56,'25.07 Munyonyo-Kibuye'!I56,'26.07 Munyonyo-Kibuye-24h'!I56,'27.07 Munyonyo-Kibuye-24h'!I56,'28.07 Munyonyo-Kibuye'!I56)</f>
        <v>2.4285714285714284</v>
      </c>
      <c r="J56" s="49">
        <f>AVERAGE('22.07 Munyonyo-Kibuye'!J56,'23.07 Munyonyo-Kibuye'!J56,'24.07 Munyonyo-Kibuye'!J56,'25.07 Munyonyo-Kibuye'!J56,'26.07 Munyonyo-Kibuye-24h'!J56,'27.07 Munyonyo-Kibuye-24h'!J56,'28.07 Munyonyo-Kibuye'!J56)</f>
        <v>0.14285714285714285</v>
      </c>
      <c r="K56" s="49">
        <f>AVERAGE('22.07 Munyonyo-Kibuye'!K56,'23.07 Munyonyo-Kibuye'!K56,'24.07 Munyonyo-Kibuye'!K56,'25.07 Munyonyo-Kibuye'!K56,'26.07 Munyonyo-Kibuye-24h'!K56,'27.07 Munyonyo-Kibuye-24h'!K56,'28.07 Munyonyo-Kibuye'!K56)</f>
        <v>0.42857142857142855</v>
      </c>
      <c r="L56" s="49">
        <f>AVERAGE('22.07 Munyonyo-Kibuye'!L56,'23.07 Munyonyo-Kibuye'!L56,'24.07 Munyonyo-Kibuye'!L56,'25.07 Munyonyo-Kibuye'!L56,'26.07 Munyonyo-Kibuye-24h'!L56,'27.07 Munyonyo-Kibuye-24h'!L56,'28.07 Munyonyo-Kibuye'!L56)</f>
        <v>0</v>
      </c>
      <c r="M56" s="49">
        <f>AVERAGE('22.07 Munyonyo-Kibuye'!M56,'23.07 Munyonyo-Kibuye'!M56,'24.07 Munyonyo-Kibuye'!M56,'25.07 Munyonyo-Kibuye'!M56,'26.07 Munyonyo-Kibuye-24h'!M56,'27.07 Munyonyo-Kibuye-24h'!M56,'28.07 Munyonyo-Kibuye'!M56)</f>
        <v>146.71428571428572</v>
      </c>
      <c r="N56" s="49">
        <f>AVERAGE('22.07 Munyonyo-Kibuye'!N56,'23.07 Munyonyo-Kibuye'!N56,'24.07 Munyonyo-Kibuye'!N56,'25.07 Munyonyo-Kibuye'!N56,'26.07 Munyonyo-Kibuye-24h'!N56,'27.07 Munyonyo-Kibuye-24h'!N56,'28.07 Munyonyo-Kibuye'!N56)</f>
        <v>0</v>
      </c>
      <c r="O56" s="15">
        <f t="shared" si="0"/>
        <v>57.857142857142861</v>
      </c>
      <c r="P56" s="15">
        <f t="shared" si="1"/>
        <v>204.57142857142858</v>
      </c>
      <c r="R56" s="8"/>
      <c r="T56"/>
    </row>
    <row r="57" spans="2:20" ht="23.1" customHeight="1" x14ac:dyDescent="0.25">
      <c r="B57" s="23" t="s">
        <v>84</v>
      </c>
      <c r="C57" s="49">
        <f>AVERAGE('22.07 Munyonyo-Kibuye'!C57,'23.07 Munyonyo-Kibuye'!C57,'24.07 Munyonyo-Kibuye'!C57,'25.07 Munyonyo-Kibuye'!C57,'26.07 Munyonyo-Kibuye-24h'!C57,'27.07 Munyonyo-Kibuye-24h'!C57,'28.07 Munyonyo-Kibuye'!C57)</f>
        <v>19.571428571428573</v>
      </c>
      <c r="D57" s="49">
        <f>AVERAGE('22.07 Munyonyo-Kibuye'!D57,'23.07 Munyonyo-Kibuye'!D57,'24.07 Munyonyo-Kibuye'!D57,'25.07 Munyonyo-Kibuye'!D57,'26.07 Munyonyo-Kibuye-24h'!D57,'27.07 Munyonyo-Kibuye-24h'!D57,'28.07 Munyonyo-Kibuye'!D57)</f>
        <v>9</v>
      </c>
      <c r="E57" s="49">
        <f>AVERAGE('22.07 Munyonyo-Kibuye'!E57,'23.07 Munyonyo-Kibuye'!E57,'24.07 Munyonyo-Kibuye'!E57,'25.07 Munyonyo-Kibuye'!E57,'26.07 Munyonyo-Kibuye-24h'!E57,'27.07 Munyonyo-Kibuye-24h'!E57,'28.07 Munyonyo-Kibuye'!E57)</f>
        <v>5.4285714285714288</v>
      </c>
      <c r="F57" s="49">
        <f>AVERAGE('22.07 Munyonyo-Kibuye'!F57,'23.07 Munyonyo-Kibuye'!F57,'24.07 Munyonyo-Kibuye'!F57,'25.07 Munyonyo-Kibuye'!F57,'26.07 Munyonyo-Kibuye-24h'!F57,'27.07 Munyonyo-Kibuye-24h'!F57,'28.07 Munyonyo-Kibuye'!F57)</f>
        <v>24.857142857142858</v>
      </c>
      <c r="G57" s="49">
        <f>AVERAGE('22.07 Munyonyo-Kibuye'!G57,'23.07 Munyonyo-Kibuye'!G57,'24.07 Munyonyo-Kibuye'!G57,'25.07 Munyonyo-Kibuye'!G57,'26.07 Munyonyo-Kibuye-24h'!G57,'27.07 Munyonyo-Kibuye-24h'!G57,'28.07 Munyonyo-Kibuye'!G57)</f>
        <v>3.1428571428571428</v>
      </c>
      <c r="H57" s="49">
        <f>AVERAGE('22.07 Munyonyo-Kibuye'!H57,'23.07 Munyonyo-Kibuye'!H57,'24.07 Munyonyo-Kibuye'!H57,'25.07 Munyonyo-Kibuye'!H57,'26.07 Munyonyo-Kibuye-24h'!H57,'27.07 Munyonyo-Kibuye-24h'!H57,'28.07 Munyonyo-Kibuye'!H57)</f>
        <v>2.4285714285714284</v>
      </c>
      <c r="I57" s="49">
        <f>AVERAGE('22.07 Munyonyo-Kibuye'!I57,'23.07 Munyonyo-Kibuye'!I57,'24.07 Munyonyo-Kibuye'!I57,'25.07 Munyonyo-Kibuye'!I57,'26.07 Munyonyo-Kibuye-24h'!I57,'27.07 Munyonyo-Kibuye-24h'!I57,'28.07 Munyonyo-Kibuye'!I57)</f>
        <v>3.7142857142857144</v>
      </c>
      <c r="J57" s="49">
        <f>AVERAGE('22.07 Munyonyo-Kibuye'!J57,'23.07 Munyonyo-Kibuye'!J57,'24.07 Munyonyo-Kibuye'!J57,'25.07 Munyonyo-Kibuye'!J57,'26.07 Munyonyo-Kibuye-24h'!J57,'27.07 Munyonyo-Kibuye-24h'!J57,'28.07 Munyonyo-Kibuye'!J57)</f>
        <v>2.7142857142857144</v>
      </c>
      <c r="K57" s="49">
        <f>AVERAGE('22.07 Munyonyo-Kibuye'!K57,'23.07 Munyonyo-Kibuye'!K57,'24.07 Munyonyo-Kibuye'!K57,'25.07 Munyonyo-Kibuye'!K57,'26.07 Munyonyo-Kibuye-24h'!K57,'27.07 Munyonyo-Kibuye-24h'!K57,'28.07 Munyonyo-Kibuye'!K57)</f>
        <v>2.4285714285714284</v>
      </c>
      <c r="L57" s="49">
        <f>AVERAGE('22.07 Munyonyo-Kibuye'!L57,'23.07 Munyonyo-Kibuye'!L57,'24.07 Munyonyo-Kibuye'!L57,'25.07 Munyonyo-Kibuye'!L57,'26.07 Munyonyo-Kibuye-24h'!L57,'27.07 Munyonyo-Kibuye-24h'!L57,'28.07 Munyonyo-Kibuye'!L57)</f>
        <v>2.2857142857142856</v>
      </c>
      <c r="M57" s="49">
        <f>AVERAGE('22.07 Munyonyo-Kibuye'!M57,'23.07 Munyonyo-Kibuye'!M57,'24.07 Munyonyo-Kibuye'!M57,'25.07 Munyonyo-Kibuye'!M57,'26.07 Munyonyo-Kibuye-24h'!M57,'27.07 Munyonyo-Kibuye-24h'!M57,'28.07 Munyonyo-Kibuye'!M57)</f>
        <v>169.71428571428572</v>
      </c>
      <c r="N57" s="49">
        <f>AVERAGE('22.07 Munyonyo-Kibuye'!N57,'23.07 Munyonyo-Kibuye'!N57,'24.07 Munyonyo-Kibuye'!N57,'25.07 Munyonyo-Kibuye'!N57,'26.07 Munyonyo-Kibuye-24h'!N57,'27.07 Munyonyo-Kibuye-24h'!N57,'28.07 Munyonyo-Kibuye'!N57)</f>
        <v>0</v>
      </c>
      <c r="O57" s="15">
        <f t="shared" si="0"/>
        <v>75.571428571428569</v>
      </c>
      <c r="P57" s="15">
        <f t="shared" si="1"/>
        <v>245.28571428571428</v>
      </c>
      <c r="R57" s="8"/>
      <c r="T57"/>
    </row>
    <row r="58" spans="2:20" ht="23.1" customHeight="1" x14ac:dyDescent="0.25">
      <c r="B58" s="23" t="s">
        <v>99</v>
      </c>
      <c r="C58" s="49">
        <f>AVERAGE('26.07 Munyonyo-Kibuye-24h'!C58,'27.07 Munyonyo-Kibuye-24h'!C58)</f>
        <v>24.5</v>
      </c>
      <c r="D58" s="49">
        <f>AVERAGE('26.07 Munyonyo-Kibuye-24h'!D58,'27.07 Munyonyo-Kibuye-24h'!D58)</f>
        <v>9.5</v>
      </c>
      <c r="E58" s="49">
        <f>AVERAGE('26.07 Munyonyo-Kibuye-24h'!E58,'27.07 Munyonyo-Kibuye-24h'!E58)</f>
        <v>5.5</v>
      </c>
      <c r="F58" s="49">
        <f>AVERAGE('26.07 Munyonyo-Kibuye-24h'!F58,'27.07 Munyonyo-Kibuye-24h'!F58)</f>
        <v>27.5</v>
      </c>
      <c r="G58" s="49">
        <f>AVERAGE('26.07 Munyonyo-Kibuye-24h'!G58,'27.07 Munyonyo-Kibuye-24h'!G58)</f>
        <v>1</v>
      </c>
      <c r="H58" s="49">
        <f>AVERAGE('26.07 Munyonyo-Kibuye-24h'!H58,'27.07 Munyonyo-Kibuye-24h'!H58)</f>
        <v>0.5</v>
      </c>
      <c r="I58" s="49">
        <f>AVERAGE('26.07 Munyonyo-Kibuye-24h'!I58,'27.07 Munyonyo-Kibuye-24h'!I58)</f>
        <v>1.5</v>
      </c>
      <c r="J58" s="49">
        <f>AVERAGE('26.07 Munyonyo-Kibuye-24h'!J58,'27.07 Munyonyo-Kibuye-24h'!J58)</f>
        <v>0</v>
      </c>
      <c r="K58" s="49">
        <f>AVERAGE('26.07 Munyonyo-Kibuye-24h'!K58,'27.07 Munyonyo-Kibuye-24h'!K58)</f>
        <v>0</v>
      </c>
      <c r="L58" s="49">
        <f>AVERAGE('26.07 Munyonyo-Kibuye-24h'!L58,'27.07 Munyonyo-Kibuye-24h'!L58)</f>
        <v>0</v>
      </c>
      <c r="M58" s="49">
        <f>AVERAGE('26.07 Munyonyo-Kibuye-24h'!M58,'27.07 Munyonyo-Kibuye-24h'!M58)</f>
        <v>174</v>
      </c>
      <c r="N58" s="49">
        <f>AVERAGE('26.07 Munyonyo-Kibuye-24h'!N58,'27.07 Munyonyo-Kibuye-24h'!N58)</f>
        <v>0</v>
      </c>
      <c r="O58" s="15">
        <f t="shared" ref="O58:O105" si="35">SUM(C58:L58,N58)</f>
        <v>70</v>
      </c>
      <c r="P58" s="15">
        <f t="shared" ref="P58:P105" si="36">SUM(C58:N58)</f>
        <v>244</v>
      </c>
      <c r="R58" s="8"/>
      <c r="T58"/>
    </row>
    <row r="59" spans="2:20" ht="23.1" customHeight="1" x14ac:dyDescent="0.25">
      <c r="B59" s="23" t="s">
        <v>100</v>
      </c>
      <c r="C59" s="49">
        <f>AVERAGE('26.07 Munyonyo-Kibuye-24h'!C59,'27.07 Munyonyo-Kibuye-24h'!C59)</f>
        <v>18.5</v>
      </c>
      <c r="D59" s="49">
        <f>AVERAGE('26.07 Munyonyo-Kibuye-24h'!D59,'27.07 Munyonyo-Kibuye-24h'!D59)</f>
        <v>7.5</v>
      </c>
      <c r="E59" s="49">
        <f>AVERAGE('26.07 Munyonyo-Kibuye-24h'!E59,'27.07 Munyonyo-Kibuye-24h'!E59)</f>
        <v>1.5</v>
      </c>
      <c r="F59" s="49">
        <f>AVERAGE('26.07 Munyonyo-Kibuye-24h'!F59,'27.07 Munyonyo-Kibuye-24h'!F59)</f>
        <v>27.5</v>
      </c>
      <c r="G59" s="49">
        <f>AVERAGE('26.07 Munyonyo-Kibuye-24h'!G59,'27.07 Munyonyo-Kibuye-24h'!G59)</f>
        <v>0.5</v>
      </c>
      <c r="H59" s="49">
        <f>AVERAGE('26.07 Munyonyo-Kibuye-24h'!H59,'27.07 Munyonyo-Kibuye-24h'!H59)</f>
        <v>0</v>
      </c>
      <c r="I59" s="49">
        <f>AVERAGE('26.07 Munyonyo-Kibuye-24h'!I59,'27.07 Munyonyo-Kibuye-24h'!I59)</f>
        <v>1.5</v>
      </c>
      <c r="J59" s="49">
        <f>AVERAGE('26.07 Munyonyo-Kibuye-24h'!J59,'27.07 Munyonyo-Kibuye-24h'!J59)</f>
        <v>0</v>
      </c>
      <c r="K59" s="49">
        <f>AVERAGE('26.07 Munyonyo-Kibuye-24h'!K59,'27.07 Munyonyo-Kibuye-24h'!K59)</f>
        <v>0</v>
      </c>
      <c r="L59" s="49">
        <f>AVERAGE('26.07 Munyonyo-Kibuye-24h'!L59,'27.07 Munyonyo-Kibuye-24h'!L59)</f>
        <v>0</v>
      </c>
      <c r="M59" s="49">
        <f>AVERAGE('26.07 Munyonyo-Kibuye-24h'!M59,'27.07 Munyonyo-Kibuye-24h'!M59)</f>
        <v>207.5</v>
      </c>
      <c r="N59" s="49">
        <f>AVERAGE('26.07 Munyonyo-Kibuye-24h'!N59,'27.07 Munyonyo-Kibuye-24h'!N59)</f>
        <v>0</v>
      </c>
      <c r="O59" s="15">
        <f t="shared" si="35"/>
        <v>57</v>
      </c>
      <c r="P59" s="15">
        <f t="shared" si="36"/>
        <v>264.5</v>
      </c>
      <c r="R59" s="8"/>
      <c r="T59"/>
    </row>
    <row r="60" spans="2:20" ht="23.1" customHeight="1" x14ac:dyDescent="0.25">
      <c r="B60" s="23" t="s">
        <v>101</v>
      </c>
      <c r="C60" s="49">
        <f>AVERAGE('26.07 Munyonyo-Kibuye-24h'!C60,'27.07 Munyonyo-Kibuye-24h'!C60)</f>
        <v>34</v>
      </c>
      <c r="D60" s="49">
        <f>AVERAGE('26.07 Munyonyo-Kibuye-24h'!D60,'27.07 Munyonyo-Kibuye-24h'!D60)</f>
        <v>11.5</v>
      </c>
      <c r="E60" s="49">
        <f>AVERAGE('26.07 Munyonyo-Kibuye-24h'!E60,'27.07 Munyonyo-Kibuye-24h'!E60)</f>
        <v>2</v>
      </c>
      <c r="F60" s="49">
        <f>AVERAGE('26.07 Munyonyo-Kibuye-24h'!F60,'27.07 Munyonyo-Kibuye-24h'!F60)</f>
        <v>69.5</v>
      </c>
      <c r="G60" s="49">
        <f>AVERAGE('26.07 Munyonyo-Kibuye-24h'!G60,'27.07 Munyonyo-Kibuye-24h'!G60)</f>
        <v>0</v>
      </c>
      <c r="H60" s="49">
        <f>AVERAGE('26.07 Munyonyo-Kibuye-24h'!H60,'27.07 Munyonyo-Kibuye-24h'!H60)</f>
        <v>2</v>
      </c>
      <c r="I60" s="49">
        <f>AVERAGE('26.07 Munyonyo-Kibuye-24h'!I60,'27.07 Munyonyo-Kibuye-24h'!I60)</f>
        <v>1.5</v>
      </c>
      <c r="J60" s="49">
        <f>AVERAGE('26.07 Munyonyo-Kibuye-24h'!J60,'27.07 Munyonyo-Kibuye-24h'!J60)</f>
        <v>0.5</v>
      </c>
      <c r="K60" s="49">
        <f>AVERAGE('26.07 Munyonyo-Kibuye-24h'!K60,'27.07 Munyonyo-Kibuye-24h'!K60)</f>
        <v>0</v>
      </c>
      <c r="L60" s="49">
        <f>AVERAGE('26.07 Munyonyo-Kibuye-24h'!L60,'27.07 Munyonyo-Kibuye-24h'!L60)</f>
        <v>0</v>
      </c>
      <c r="M60" s="49">
        <f>AVERAGE('26.07 Munyonyo-Kibuye-24h'!M60,'27.07 Munyonyo-Kibuye-24h'!M60)</f>
        <v>267.5</v>
      </c>
      <c r="N60" s="49">
        <f>AVERAGE('26.07 Munyonyo-Kibuye-24h'!N60,'27.07 Munyonyo-Kibuye-24h'!N60)</f>
        <v>0</v>
      </c>
      <c r="O60" s="15">
        <f t="shared" si="35"/>
        <v>121</v>
      </c>
      <c r="P60" s="15">
        <f t="shared" si="36"/>
        <v>388.5</v>
      </c>
      <c r="R60" s="8"/>
      <c r="T60"/>
    </row>
    <row r="61" spans="2:20" ht="23.1" customHeight="1" x14ac:dyDescent="0.25">
      <c r="B61" s="23" t="s">
        <v>102</v>
      </c>
      <c r="C61" s="49">
        <f>AVERAGE('26.07 Munyonyo-Kibuye-24h'!C61,'27.07 Munyonyo-Kibuye-24h'!C61)</f>
        <v>59.5</v>
      </c>
      <c r="D61" s="49">
        <f>AVERAGE('26.07 Munyonyo-Kibuye-24h'!D61,'27.07 Munyonyo-Kibuye-24h'!D61)</f>
        <v>10.5</v>
      </c>
      <c r="E61" s="49">
        <f>AVERAGE('26.07 Munyonyo-Kibuye-24h'!E61,'27.07 Munyonyo-Kibuye-24h'!E61)</f>
        <v>3</v>
      </c>
      <c r="F61" s="49">
        <f>AVERAGE('26.07 Munyonyo-Kibuye-24h'!F61,'27.07 Munyonyo-Kibuye-24h'!F61)</f>
        <v>90.5</v>
      </c>
      <c r="G61" s="49">
        <f>AVERAGE('26.07 Munyonyo-Kibuye-24h'!G61,'27.07 Munyonyo-Kibuye-24h'!G61)</f>
        <v>0</v>
      </c>
      <c r="H61" s="49">
        <f>AVERAGE('26.07 Munyonyo-Kibuye-24h'!H61,'27.07 Munyonyo-Kibuye-24h'!H61)</f>
        <v>0</v>
      </c>
      <c r="I61" s="49">
        <f>AVERAGE('26.07 Munyonyo-Kibuye-24h'!I61,'27.07 Munyonyo-Kibuye-24h'!I61)</f>
        <v>4.5</v>
      </c>
      <c r="J61" s="49">
        <f>AVERAGE('26.07 Munyonyo-Kibuye-24h'!J61,'27.07 Munyonyo-Kibuye-24h'!J61)</f>
        <v>0</v>
      </c>
      <c r="K61" s="49">
        <f>AVERAGE('26.07 Munyonyo-Kibuye-24h'!K61,'27.07 Munyonyo-Kibuye-24h'!K61)</f>
        <v>0</v>
      </c>
      <c r="L61" s="49">
        <f>AVERAGE('26.07 Munyonyo-Kibuye-24h'!L61,'27.07 Munyonyo-Kibuye-24h'!L61)</f>
        <v>0</v>
      </c>
      <c r="M61" s="49">
        <f>AVERAGE('26.07 Munyonyo-Kibuye-24h'!M61,'27.07 Munyonyo-Kibuye-24h'!M61)</f>
        <v>267.5</v>
      </c>
      <c r="N61" s="49">
        <f>AVERAGE('26.07 Munyonyo-Kibuye-24h'!N61,'27.07 Munyonyo-Kibuye-24h'!N61)</f>
        <v>0</v>
      </c>
      <c r="O61" s="15">
        <f t="shared" si="35"/>
        <v>168</v>
      </c>
      <c r="P61" s="15">
        <f t="shared" si="36"/>
        <v>435.5</v>
      </c>
      <c r="R61" s="8"/>
      <c r="T61"/>
    </row>
    <row r="62" spans="2:20" ht="23.1" customHeight="1" x14ac:dyDescent="0.25">
      <c r="B62" s="23" t="s">
        <v>107</v>
      </c>
      <c r="C62" s="49">
        <f>AVERAGE('26.07 Munyonyo-Kibuye-24h'!C62,'27.07 Munyonyo-Kibuye-24h'!C62)</f>
        <v>45.5</v>
      </c>
      <c r="D62" s="49">
        <f>AVERAGE('26.07 Munyonyo-Kibuye-24h'!D62,'27.07 Munyonyo-Kibuye-24h'!D62)</f>
        <v>5</v>
      </c>
      <c r="E62" s="49">
        <f>AVERAGE('26.07 Munyonyo-Kibuye-24h'!E62,'27.07 Munyonyo-Kibuye-24h'!E62)</f>
        <v>3.5</v>
      </c>
      <c r="F62" s="49">
        <f>AVERAGE('26.07 Munyonyo-Kibuye-24h'!F62,'27.07 Munyonyo-Kibuye-24h'!F62)</f>
        <v>68.5</v>
      </c>
      <c r="G62" s="49">
        <f>AVERAGE('26.07 Munyonyo-Kibuye-24h'!G62,'27.07 Munyonyo-Kibuye-24h'!G62)</f>
        <v>1</v>
      </c>
      <c r="H62" s="49">
        <f>AVERAGE('26.07 Munyonyo-Kibuye-24h'!H62,'27.07 Munyonyo-Kibuye-24h'!H62)</f>
        <v>0</v>
      </c>
      <c r="I62" s="49">
        <f>AVERAGE('26.07 Munyonyo-Kibuye-24h'!I62,'27.07 Munyonyo-Kibuye-24h'!I62)</f>
        <v>4</v>
      </c>
      <c r="J62" s="49">
        <f>AVERAGE('26.07 Munyonyo-Kibuye-24h'!J62,'27.07 Munyonyo-Kibuye-24h'!J62)</f>
        <v>1</v>
      </c>
      <c r="K62" s="49">
        <f>AVERAGE('26.07 Munyonyo-Kibuye-24h'!K62,'27.07 Munyonyo-Kibuye-24h'!K62)</f>
        <v>0</v>
      </c>
      <c r="L62" s="49">
        <f>AVERAGE('26.07 Munyonyo-Kibuye-24h'!L62,'27.07 Munyonyo-Kibuye-24h'!L62)</f>
        <v>0</v>
      </c>
      <c r="M62" s="49">
        <f>AVERAGE('26.07 Munyonyo-Kibuye-24h'!M62,'27.07 Munyonyo-Kibuye-24h'!M62)</f>
        <v>198</v>
      </c>
      <c r="N62" s="49">
        <f>AVERAGE('26.07 Munyonyo-Kibuye-24h'!N62,'27.07 Munyonyo-Kibuye-24h'!N62)</f>
        <v>0</v>
      </c>
      <c r="O62" s="15">
        <f t="shared" si="35"/>
        <v>128.5</v>
      </c>
      <c r="P62" s="15">
        <f t="shared" si="36"/>
        <v>326.5</v>
      </c>
      <c r="R62" s="8"/>
      <c r="T62"/>
    </row>
    <row r="63" spans="2:20" ht="23.1" customHeight="1" x14ac:dyDescent="0.25">
      <c r="B63" s="23" t="s">
        <v>108</v>
      </c>
      <c r="C63" s="49">
        <f>AVERAGE('26.07 Munyonyo-Kibuye-24h'!C63,'27.07 Munyonyo-Kibuye-24h'!C63)</f>
        <v>52</v>
      </c>
      <c r="D63" s="49">
        <f>AVERAGE('26.07 Munyonyo-Kibuye-24h'!D63,'27.07 Munyonyo-Kibuye-24h'!D63)</f>
        <v>26</v>
      </c>
      <c r="E63" s="49">
        <f>AVERAGE('26.07 Munyonyo-Kibuye-24h'!E63,'27.07 Munyonyo-Kibuye-24h'!E63)</f>
        <v>4</v>
      </c>
      <c r="F63" s="49">
        <f>AVERAGE('26.07 Munyonyo-Kibuye-24h'!F63,'27.07 Munyonyo-Kibuye-24h'!F63)</f>
        <v>105</v>
      </c>
      <c r="G63" s="49">
        <f>AVERAGE('26.07 Munyonyo-Kibuye-24h'!G63,'27.07 Munyonyo-Kibuye-24h'!G63)</f>
        <v>1</v>
      </c>
      <c r="H63" s="49">
        <f>AVERAGE('26.07 Munyonyo-Kibuye-24h'!H63,'27.07 Munyonyo-Kibuye-24h'!H63)</f>
        <v>0</v>
      </c>
      <c r="I63" s="49">
        <f>AVERAGE('26.07 Munyonyo-Kibuye-24h'!I63,'27.07 Munyonyo-Kibuye-24h'!I63)</f>
        <v>4.5</v>
      </c>
      <c r="J63" s="49">
        <f>AVERAGE('26.07 Munyonyo-Kibuye-24h'!J63,'27.07 Munyonyo-Kibuye-24h'!J63)</f>
        <v>1</v>
      </c>
      <c r="K63" s="49">
        <f>AVERAGE('26.07 Munyonyo-Kibuye-24h'!K63,'27.07 Munyonyo-Kibuye-24h'!K63)</f>
        <v>0</v>
      </c>
      <c r="L63" s="49">
        <f>AVERAGE('26.07 Munyonyo-Kibuye-24h'!L63,'27.07 Munyonyo-Kibuye-24h'!L63)</f>
        <v>0</v>
      </c>
      <c r="M63" s="49">
        <f>AVERAGE('26.07 Munyonyo-Kibuye-24h'!M63,'27.07 Munyonyo-Kibuye-24h'!M63)</f>
        <v>285</v>
      </c>
      <c r="N63" s="49">
        <f>AVERAGE('26.07 Munyonyo-Kibuye-24h'!N63,'27.07 Munyonyo-Kibuye-24h'!N63)</f>
        <v>0</v>
      </c>
      <c r="O63" s="15">
        <f t="shared" si="35"/>
        <v>193.5</v>
      </c>
      <c r="P63" s="15">
        <f t="shared" si="36"/>
        <v>478.5</v>
      </c>
      <c r="R63" s="8"/>
      <c r="T63"/>
    </row>
    <row r="64" spans="2:20" ht="23.1" customHeight="1" x14ac:dyDescent="0.25">
      <c r="B64" s="23" t="s">
        <v>109</v>
      </c>
      <c r="C64" s="49">
        <f>AVERAGE('26.07 Munyonyo-Kibuye-24h'!C64,'27.07 Munyonyo-Kibuye-24h'!C64)</f>
        <v>61</v>
      </c>
      <c r="D64" s="49">
        <f>AVERAGE('26.07 Munyonyo-Kibuye-24h'!D64,'27.07 Munyonyo-Kibuye-24h'!D64)</f>
        <v>18.5</v>
      </c>
      <c r="E64" s="49">
        <f>AVERAGE('26.07 Munyonyo-Kibuye-24h'!E64,'27.07 Munyonyo-Kibuye-24h'!E64)</f>
        <v>6</v>
      </c>
      <c r="F64" s="49">
        <f>AVERAGE('26.07 Munyonyo-Kibuye-24h'!F64,'27.07 Munyonyo-Kibuye-24h'!F64)</f>
        <v>74.5</v>
      </c>
      <c r="G64" s="49">
        <f>AVERAGE('26.07 Munyonyo-Kibuye-24h'!G64,'27.07 Munyonyo-Kibuye-24h'!G64)</f>
        <v>0.5</v>
      </c>
      <c r="H64" s="49">
        <f>AVERAGE('26.07 Munyonyo-Kibuye-24h'!H64,'27.07 Munyonyo-Kibuye-24h'!H64)</f>
        <v>0</v>
      </c>
      <c r="I64" s="49">
        <f>AVERAGE('26.07 Munyonyo-Kibuye-24h'!I64,'27.07 Munyonyo-Kibuye-24h'!I64)</f>
        <v>0</v>
      </c>
      <c r="J64" s="49">
        <f>AVERAGE('26.07 Munyonyo-Kibuye-24h'!J64,'27.07 Munyonyo-Kibuye-24h'!J64)</f>
        <v>0</v>
      </c>
      <c r="K64" s="49">
        <f>AVERAGE('26.07 Munyonyo-Kibuye-24h'!K64,'27.07 Munyonyo-Kibuye-24h'!K64)</f>
        <v>0</v>
      </c>
      <c r="L64" s="49">
        <f>AVERAGE('26.07 Munyonyo-Kibuye-24h'!L64,'27.07 Munyonyo-Kibuye-24h'!L64)</f>
        <v>0</v>
      </c>
      <c r="M64" s="49">
        <f>AVERAGE('26.07 Munyonyo-Kibuye-24h'!M64,'27.07 Munyonyo-Kibuye-24h'!M64)</f>
        <v>257.5</v>
      </c>
      <c r="N64" s="49">
        <f>AVERAGE('26.07 Munyonyo-Kibuye-24h'!N64,'27.07 Munyonyo-Kibuye-24h'!N64)</f>
        <v>0</v>
      </c>
      <c r="O64" s="15">
        <f t="shared" si="35"/>
        <v>160.5</v>
      </c>
      <c r="P64" s="15">
        <f t="shared" si="36"/>
        <v>418</v>
      </c>
      <c r="R64" s="8"/>
      <c r="T64"/>
    </row>
    <row r="65" spans="2:20" ht="23.1" customHeight="1" x14ac:dyDescent="0.25">
      <c r="B65" s="23" t="s">
        <v>158</v>
      </c>
      <c r="C65" s="49">
        <f>AVERAGE('26.07 Munyonyo-Kibuye-24h'!C65,'27.07 Munyonyo-Kibuye-24h'!C65)</f>
        <v>46</v>
      </c>
      <c r="D65" s="49">
        <f>AVERAGE('26.07 Munyonyo-Kibuye-24h'!D65,'27.07 Munyonyo-Kibuye-24h'!D65)</f>
        <v>43</v>
      </c>
      <c r="E65" s="49">
        <f>AVERAGE('26.07 Munyonyo-Kibuye-24h'!E65,'27.07 Munyonyo-Kibuye-24h'!E65)</f>
        <v>2.5</v>
      </c>
      <c r="F65" s="49">
        <f>AVERAGE('26.07 Munyonyo-Kibuye-24h'!F65,'27.07 Munyonyo-Kibuye-24h'!F65)</f>
        <v>94.5</v>
      </c>
      <c r="G65" s="49">
        <f>AVERAGE('26.07 Munyonyo-Kibuye-24h'!G65,'27.07 Munyonyo-Kibuye-24h'!G65)</f>
        <v>1</v>
      </c>
      <c r="H65" s="49">
        <f>AVERAGE('26.07 Munyonyo-Kibuye-24h'!H65,'27.07 Munyonyo-Kibuye-24h'!H65)</f>
        <v>0</v>
      </c>
      <c r="I65" s="49">
        <f>AVERAGE('26.07 Munyonyo-Kibuye-24h'!I65,'27.07 Munyonyo-Kibuye-24h'!I65)</f>
        <v>0.5</v>
      </c>
      <c r="J65" s="49">
        <f>AVERAGE('26.07 Munyonyo-Kibuye-24h'!J65,'27.07 Munyonyo-Kibuye-24h'!J65)</f>
        <v>0</v>
      </c>
      <c r="K65" s="49">
        <f>AVERAGE('26.07 Munyonyo-Kibuye-24h'!K65,'27.07 Munyonyo-Kibuye-24h'!K65)</f>
        <v>0</v>
      </c>
      <c r="L65" s="49">
        <f>AVERAGE('26.07 Munyonyo-Kibuye-24h'!L65,'27.07 Munyonyo-Kibuye-24h'!L65)</f>
        <v>0</v>
      </c>
      <c r="M65" s="49">
        <f>AVERAGE('26.07 Munyonyo-Kibuye-24h'!M65,'27.07 Munyonyo-Kibuye-24h'!M65)</f>
        <v>260</v>
      </c>
      <c r="N65" s="49">
        <f>AVERAGE('26.07 Munyonyo-Kibuye-24h'!N65,'27.07 Munyonyo-Kibuye-24h'!N65)</f>
        <v>0</v>
      </c>
      <c r="O65" s="15">
        <f t="shared" si="35"/>
        <v>187.5</v>
      </c>
      <c r="P65" s="15">
        <f t="shared" si="36"/>
        <v>447.5</v>
      </c>
      <c r="R65" s="8"/>
      <c r="T65"/>
    </row>
    <row r="66" spans="2:20" ht="23.1" customHeight="1" x14ac:dyDescent="0.25">
      <c r="B66" s="23" t="s">
        <v>103</v>
      </c>
      <c r="C66" s="49">
        <f>AVERAGE('26.07 Munyonyo-Kibuye-24h'!C66,'27.07 Munyonyo-Kibuye-24h'!C66)</f>
        <v>58.5</v>
      </c>
      <c r="D66" s="49">
        <f>AVERAGE('26.07 Munyonyo-Kibuye-24h'!D66,'27.07 Munyonyo-Kibuye-24h'!D66)</f>
        <v>17</v>
      </c>
      <c r="E66" s="49">
        <f>AVERAGE('26.07 Munyonyo-Kibuye-24h'!E66,'27.07 Munyonyo-Kibuye-24h'!E66)</f>
        <v>2</v>
      </c>
      <c r="F66" s="49">
        <f>AVERAGE('26.07 Munyonyo-Kibuye-24h'!F66,'27.07 Munyonyo-Kibuye-24h'!F66)</f>
        <v>22</v>
      </c>
      <c r="G66" s="49">
        <f>AVERAGE('26.07 Munyonyo-Kibuye-24h'!G66,'27.07 Munyonyo-Kibuye-24h'!G66)</f>
        <v>0.5</v>
      </c>
      <c r="H66" s="49">
        <f>AVERAGE('26.07 Munyonyo-Kibuye-24h'!H66,'27.07 Munyonyo-Kibuye-24h'!H66)</f>
        <v>0</v>
      </c>
      <c r="I66" s="49">
        <f>AVERAGE('26.07 Munyonyo-Kibuye-24h'!I66,'27.07 Munyonyo-Kibuye-24h'!I66)</f>
        <v>0</v>
      </c>
      <c r="J66" s="49">
        <f>AVERAGE('26.07 Munyonyo-Kibuye-24h'!J66,'27.07 Munyonyo-Kibuye-24h'!J66)</f>
        <v>0</v>
      </c>
      <c r="K66" s="49">
        <f>AVERAGE('26.07 Munyonyo-Kibuye-24h'!K66,'27.07 Munyonyo-Kibuye-24h'!K66)</f>
        <v>0.5</v>
      </c>
      <c r="L66" s="49">
        <f>AVERAGE('26.07 Munyonyo-Kibuye-24h'!L66,'27.07 Munyonyo-Kibuye-24h'!L66)</f>
        <v>0</v>
      </c>
      <c r="M66" s="49">
        <f>AVERAGE('26.07 Munyonyo-Kibuye-24h'!M66,'27.07 Munyonyo-Kibuye-24h'!M66)</f>
        <v>280</v>
      </c>
      <c r="N66" s="49">
        <f>AVERAGE('26.07 Munyonyo-Kibuye-24h'!N66,'27.07 Munyonyo-Kibuye-24h'!N66)</f>
        <v>0</v>
      </c>
      <c r="O66" s="15">
        <f t="shared" si="35"/>
        <v>100.5</v>
      </c>
      <c r="P66" s="15">
        <f t="shared" si="36"/>
        <v>380.5</v>
      </c>
      <c r="R66" s="8"/>
      <c r="T66"/>
    </row>
    <row r="67" spans="2:20" ht="23.1" customHeight="1" x14ac:dyDescent="0.25">
      <c r="B67" s="23" t="s">
        <v>104</v>
      </c>
      <c r="C67" s="49">
        <f>AVERAGE('26.07 Munyonyo-Kibuye-24h'!C67,'27.07 Munyonyo-Kibuye-24h'!C67)</f>
        <v>65.5</v>
      </c>
      <c r="D67" s="49">
        <f>AVERAGE('26.07 Munyonyo-Kibuye-24h'!D67,'27.07 Munyonyo-Kibuye-24h'!D67)</f>
        <v>15</v>
      </c>
      <c r="E67" s="49">
        <f>AVERAGE('26.07 Munyonyo-Kibuye-24h'!E67,'27.07 Munyonyo-Kibuye-24h'!E67)</f>
        <v>9</v>
      </c>
      <c r="F67" s="49">
        <f>AVERAGE('26.07 Munyonyo-Kibuye-24h'!F67,'27.07 Munyonyo-Kibuye-24h'!F67)</f>
        <v>81</v>
      </c>
      <c r="G67" s="49">
        <f>AVERAGE('26.07 Munyonyo-Kibuye-24h'!G67,'27.07 Munyonyo-Kibuye-24h'!G67)</f>
        <v>1</v>
      </c>
      <c r="H67" s="49">
        <f>AVERAGE('26.07 Munyonyo-Kibuye-24h'!H67,'27.07 Munyonyo-Kibuye-24h'!H67)</f>
        <v>0</v>
      </c>
      <c r="I67" s="49">
        <f>AVERAGE('26.07 Munyonyo-Kibuye-24h'!I67,'27.07 Munyonyo-Kibuye-24h'!I67)</f>
        <v>1.5</v>
      </c>
      <c r="J67" s="49">
        <f>AVERAGE('26.07 Munyonyo-Kibuye-24h'!J67,'27.07 Munyonyo-Kibuye-24h'!J67)</f>
        <v>0</v>
      </c>
      <c r="K67" s="49">
        <f>AVERAGE('26.07 Munyonyo-Kibuye-24h'!K67,'27.07 Munyonyo-Kibuye-24h'!K67)</f>
        <v>0.5</v>
      </c>
      <c r="L67" s="49">
        <f>AVERAGE('26.07 Munyonyo-Kibuye-24h'!L67,'27.07 Munyonyo-Kibuye-24h'!L67)</f>
        <v>0</v>
      </c>
      <c r="M67" s="49">
        <f>AVERAGE('26.07 Munyonyo-Kibuye-24h'!M67,'27.07 Munyonyo-Kibuye-24h'!M67)</f>
        <v>230</v>
      </c>
      <c r="N67" s="49">
        <f>AVERAGE('26.07 Munyonyo-Kibuye-24h'!N67,'27.07 Munyonyo-Kibuye-24h'!N67)</f>
        <v>0</v>
      </c>
      <c r="O67" s="15">
        <f t="shared" si="35"/>
        <v>173.5</v>
      </c>
      <c r="P67" s="15">
        <f t="shared" si="36"/>
        <v>403.5</v>
      </c>
      <c r="R67" s="8"/>
      <c r="T67"/>
    </row>
    <row r="68" spans="2:20" ht="23.1" customHeight="1" x14ac:dyDescent="0.25">
      <c r="B68" s="23" t="s">
        <v>105</v>
      </c>
      <c r="C68" s="49">
        <f>AVERAGE('26.07 Munyonyo-Kibuye-24h'!C68,'27.07 Munyonyo-Kibuye-24h'!C68)</f>
        <v>46</v>
      </c>
      <c r="D68" s="49">
        <f>AVERAGE('26.07 Munyonyo-Kibuye-24h'!D68,'27.07 Munyonyo-Kibuye-24h'!D68)</f>
        <v>30</v>
      </c>
      <c r="E68" s="49">
        <f>AVERAGE('26.07 Munyonyo-Kibuye-24h'!E68,'27.07 Munyonyo-Kibuye-24h'!E68)</f>
        <v>2.5</v>
      </c>
      <c r="F68" s="49">
        <f>AVERAGE('26.07 Munyonyo-Kibuye-24h'!F68,'27.07 Munyonyo-Kibuye-24h'!F68)</f>
        <v>60</v>
      </c>
      <c r="G68" s="49">
        <f>AVERAGE('26.07 Munyonyo-Kibuye-24h'!G68,'27.07 Munyonyo-Kibuye-24h'!G68)</f>
        <v>0.5</v>
      </c>
      <c r="H68" s="49">
        <f>AVERAGE('26.07 Munyonyo-Kibuye-24h'!H68,'27.07 Munyonyo-Kibuye-24h'!H68)</f>
        <v>0</v>
      </c>
      <c r="I68" s="49">
        <f>AVERAGE('26.07 Munyonyo-Kibuye-24h'!I68,'27.07 Munyonyo-Kibuye-24h'!I68)</f>
        <v>2</v>
      </c>
      <c r="J68" s="49">
        <f>AVERAGE('26.07 Munyonyo-Kibuye-24h'!J68,'27.07 Munyonyo-Kibuye-24h'!J68)</f>
        <v>0</v>
      </c>
      <c r="K68" s="49">
        <f>AVERAGE('26.07 Munyonyo-Kibuye-24h'!K68,'27.07 Munyonyo-Kibuye-24h'!K68)</f>
        <v>0.5</v>
      </c>
      <c r="L68" s="49">
        <f>AVERAGE('26.07 Munyonyo-Kibuye-24h'!L68,'27.07 Munyonyo-Kibuye-24h'!L68)</f>
        <v>0</v>
      </c>
      <c r="M68" s="49">
        <f>AVERAGE('26.07 Munyonyo-Kibuye-24h'!M68,'27.07 Munyonyo-Kibuye-24h'!M68)</f>
        <v>260</v>
      </c>
      <c r="N68" s="49">
        <f>AVERAGE('26.07 Munyonyo-Kibuye-24h'!N68,'27.07 Munyonyo-Kibuye-24h'!N68)</f>
        <v>0</v>
      </c>
      <c r="O68" s="15">
        <f t="shared" si="35"/>
        <v>141.5</v>
      </c>
      <c r="P68" s="15">
        <f t="shared" si="36"/>
        <v>401.5</v>
      </c>
      <c r="R68" s="8"/>
      <c r="T68"/>
    </row>
    <row r="69" spans="2:20" ht="23.1" customHeight="1" x14ac:dyDescent="0.25">
      <c r="B69" s="23" t="s">
        <v>106</v>
      </c>
      <c r="C69" s="49">
        <f>AVERAGE('26.07 Munyonyo-Kibuye-24h'!C69,'27.07 Munyonyo-Kibuye-24h'!C69)</f>
        <v>37</v>
      </c>
      <c r="D69" s="49">
        <f>AVERAGE('26.07 Munyonyo-Kibuye-24h'!D69,'27.07 Munyonyo-Kibuye-24h'!D69)</f>
        <v>19.5</v>
      </c>
      <c r="E69" s="49">
        <f>AVERAGE('26.07 Munyonyo-Kibuye-24h'!E69,'27.07 Munyonyo-Kibuye-24h'!E69)</f>
        <v>2</v>
      </c>
      <c r="F69" s="49">
        <f>AVERAGE('26.07 Munyonyo-Kibuye-24h'!F69,'27.07 Munyonyo-Kibuye-24h'!F69)</f>
        <v>68.5</v>
      </c>
      <c r="G69" s="49">
        <f>AVERAGE('26.07 Munyonyo-Kibuye-24h'!G69,'27.07 Munyonyo-Kibuye-24h'!G69)</f>
        <v>0.5</v>
      </c>
      <c r="H69" s="49">
        <f>AVERAGE('26.07 Munyonyo-Kibuye-24h'!H69,'27.07 Munyonyo-Kibuye-24h'!H69)</f>
        <v>0</v>
      </c>
      <c r="I69" s="49">
        <f>AVERAGE('26.07 Munyonyo-Kibuye-24h'!I69,'27.07 Munyonyo-Kibuye-24h'!I69)</f>
        <v>0.5</v>
      </c>
      <c r="J69" s="49">
        <f>AVERAGE('26.07 Munyonyo-Kibuye-24h'!J69,'27.07 Munyonyo-Kibuye-24h'!J69)</f>
        <v>0</v>
      </c>
      <c r="K69" s="49">
        <f>AVERAGE('26.07 Munyonyo-Kibuye-24h'!K69,'27.07 Munyonyo-Kibuye-24h'!K69)</f>
        <v>0</v>
      </c>
      <c r="L69" s="49">
        <f>AVERAGE('26.07 Munyonyo-Kibuye-24h'!L69,'27.07 Munyonyo-Kibuye-24h'!L69)</f>
        <v>0</v>
      </c>
      <c r="M69" s="49">
        <f>AVERAGE('26.07 Munyonyo-Kibuye-24h'!M69,'27.07 Munyonyo-Kibuye-24h'!M69)</f>
        <v>230</v>
      </c>
      <c r="N69" s="49">
        <f>AVERAGE('26.07 Munyonyo-Kibuye-24h'!N69,'27.07 Munyonyo-Kibuye-24h'!N69)</f>
        <v>0</v>
      </c>
      <c r="O69" s="15">
        <f t="shared" si="35"/>
        <v>128</v>
      </c>
      <c r="P69" s="15">
        <f t="shared" si="36"/>
        <v>358</v>
      </c>
      <c r="R69" s="8"/>
      <c r="T69"/>
    </row>
    <row r="70" spans="2:20" ht="23.1" customHeight="1" x14ac:dyDescent="0.25">
      <c r="B70" s="23" t="s">
        <v>110</v>
      </c>
      <c r="C70" s="49">
        <f>AVERAGE('26.07 Munyonyo-Kibuye-24h'!C70,'27.07 Munyonyo-Kibuye-24h'!C70)</f>
        <v>75.5</v>
      </c>
      <c r="D70" s="49">
        <f>AVERAGE('26.07 Munyonyo-Kibuye-24h'!D70,'27.07 Munyonyo-Kibuye-24h'!D70)</f>
        <v>33.5</v>
      </c>
      <c r="E70" s="49">
        <f>AVERAGE('26.07 Munyonyo-Kibuye-24h'!E70,'27.07 Munyonyo-Kibuye-24h'!E70)</f>
        <v>2</v>
      </c>
      <c r="F70" s="49">
        <f>AVERAGE('26.07 Munyonyo-Kibuye-24h'!F70,'27.07 Munyonyo-Kibuye-24h'!F70)</f>
        <v>78</v>
      </c>
      <c r="G70" s="49">
        <f>AVERAGE('26.07 Munyonyo-Kibuye-24h'!G70,'27.07 Munyonyo-Kibuye-24h'!G70)</f>
        <v>0</v>
      </c>
      <c r="H70" s="49">
        <f>AVERAGE('26.07 Munyonyo-Kibuye-24h'!H70,'27.07 Munyonyo-Kibuye-24h'!H70)</f>
        <v>0</v>
      </c>
      <c r="I70" s="49">
        <f>AVERAGE('26.07 Munyonyo-Kibuye-24h'!I70,'27.07 Munyonyo-Kibuye-24h'!I70)</f>
        <v>0</v>
      </c>
      <c r="J70" s="49">
        <f>AVERAGE('26.07 Munyonyo-Kibuye-24h'!J70,'27.07 Munyonyo-Kibuye-24h'!J70)</f>
        <v>0</v>
      </c>
      <c r="K70" s="49">
        <f>AVERAGE('26.07 Munyonyo-Kibuye-24h'!K70,'27.07 Munyonyo-Kibuye-24h'!K70)</f>
        <v>0.5</v>
      </c>
      <c r="L70" s="49">
        <f>AVERAGE('26.07 Munyonyo-Kibuye-24h'!L70,'27.07 Munyonyo-Kibuye-24h'!L70)</f>
        <v>0</v>
      </c>
      <c r="M70" s="49">
        <f>AVERAGE('26.07 Munyonyo-Kibuye-24h'!M70,'27.07 Munyonyo-Kibuye-24h'!M70)</f>
        <v>195.5</v>
      </c>
      <c r="N70" s="49">
        <f>AVERAGE('26.07 Munyonyo-Kibuye-24h'!N70,'27.07 Munyonyo-Kibuye-24h'!N70)</f>
        <v>0</v>
      </c>
      <c r="O70" s="15">
        <f t="shared" si="35"/>
        <v>189.5</v>
      </c>
      <c r="P70" s="15">
        <f t="shared" si="36"/>
        <v>385</v>
      </c>
      <c r="R70" s="8"/>
      <c r="T70"/>
    </row>
    <row r="71" spans="2:20" ht="23.1" customHeight="1" x14ac:dyDescent="0.25">
      <c r="B71" s="23" t="s">
        <v>111</v>
      </c>
      <c r="C71" s="49">
        <f>AVERAGE('26.07 Munyonyo-Kibuye-24h'!C71,'27.07 Munyonyo-Kibuye-24h'!C71)</f>
        <v>52</v>
      </c>
      <c r="D71" s="49">
        <f>AVERAGE('26.07 Munyonyo-Kibuye-24h'!D71,'27.07 Munyonyo-Kibuye-24h'!D71)</f>
        <v>14</v>
      </c>
      <c r="E71" s="49">
        <f>AVERAGE('26.07 Munyonyo-Kibuye-24h'!E71,'27.07 Munyonyo-Kibuye-24h'!E71)</f>
        <v>2</v>
      </c>
      <c r="F71" s="49">
        <f>AVERAGE('26.07 Munyonyo-Kibuye-24h'!F71,'27.07 Munyonyo-Kibuye-24h'!F71)</f>
        <v>35</v>
      </c>
      <c r="G71" s="49">
        <f>AVERAGE('26.07 Munyonyo-Kibuye-24h'!G71,'27.07 Munyonyo-Kibuye-24h'!G71)</f>
        <v>0.5</v>
      </c>
      <c r="H71" s="49">
        <f>AVERAGE('26.07 Munyonyo-Kibuye-24h'!H71,'27.07 Munyonyo-Kibuye-24h'!H71)</f>
        <v>0</v>
      </c>
      <c r="I71" s="49">
        <f>AVERAGE('26.07 Munyonyo-Kibuye-24h'!I71,'27.07 Munyonyo-Kibuye-24h'!I71)</f>
        <v>2</v>
      </c>
      <c r="J71" s="49">
        <f>AVERAGE('26.07 Munyonyo-Kibuye-24h'!J71,'27.07 Munyonyo-Kibuye-24h'!J71)</f>
        <v>0</v>
      </c>
      <c r="K71" s="49">
        <f>AVERAGE('26.07 Munyonyo-Kibuye-24h'!K71,'27.07 Munyonyo-Kibuye-24h'!K71)</f>
        <v>0.5</v>
      </c>
      <c r="L71" s="49">
        <f>AVERAGE('26.07 Munyonyo-Kibuye-24h'!L71,'27.07 Munyonyo-Kibuye-24h'!L71)</f>
        <v>0</v>
      </c>
      <c r="M71" s="49">
        <f>AVERAGE('26.07 Munyonyo-Kibuye-24h'!M71,'27.07 Munyonyo-Kibuye-24h'!M71)</f>
        <v>296.5</v>
      </c>
      <c r="N71" s="49">
        <f>AVERAGE('26.07 Munyonyo-Kibuye-24h'!N71,'27.07 Munyonyo-Kibuye-24h'!N71)</f>
        <v>0</v>
      </c>
      <c r="O71" s="15">
        <f t="shared" si="35"/>
        <v>106</v>
      </c>
      <c r="P71" s="15">
        <f t="shared" si="36"/>
        <v>402.5</v>
      </c>
      <c r="R71" s="8"/>
      <c r="T71"/>
    </row>
    <row r="72" spans="2:20" ht="23.1" customHeight="1" x14ac:dyDescent="0.25">
      <c r="B72" s="23" t="s">
        <v>112</v>
      </c>
      <c r="C72" s="49">
        <f>AVERAGE('26.07 Munyonyo-Kibuye-24h'!C72,'27.07 Munyonyo-Kibuye-24h'!C72)</f>
        <v>44.5</v>
      </c>
      <c r="D72" s="49">
        <f>AVERAGE('26.07 Munyonyo-Kibuye-24h'!D72,'27.07 Munyonyo-Kibuye-24h'!D72)</f>
        <v>9.5</v>
      </c>
      <c r="E72" s="49">
        <f>AVERAGE('26.07 Munyonyo-Kibuye-24h'!E72,'27.07 Munyonyo-Kibuye-24h'!E72)</f>
        <v>1.5</v>
      </c>
      <c r="F72" s="49">
        <f>AVERAGE('26.07 Munyonyo-Kibuye-24h'!F72,'27.07 Munyonyo-Kibuye-24h'!F72)</f>
        <v>31.5</v>
      </c>
      <c r="G72" s="49">
        <f>AVERAGE('26.07 Munyonyo-Kibuye-24h'!G72,'27.07 Munyonyo-Kibuye-24h'!G72)</f>
        <v>0</v>
      </c>
      <c r="H72" s="49">
        <f>AVERAGE('26.07 Munyonyo-Kibuye-24h'!H72,'27.07 Munyonyo-Kibuye-24h'!H72)</f>
        <v>0</v>
      </c>
      <c r="I72" s="49">
        <f>AVERAGE('26.07 Munyonyo-Kibuye-24h'!I72,'27.07 Munyonyo-Kibuye-24h'!I72)</f>
        <v>0</v>
      </c>
      <c r="J72" s="49">
        <f>AVERAGE('26.07 Munyonyo-Kibuye-24h'!J72,'27.07 Munyonyo-Kibuye-24h'!J72)</f>
        <v>0</v>
      </c>
      <c r="K72" s="49">
        <f>AVERAGE('26.07 Munyonyo-Kibuye-24h'!K72,'27.07 Munyonyo-Kibuye-24h'!K72)</f>
        <v>0</v>
      </c>
      <c r="L72" s="49">
        <f>AVERAGE('26.07 Munyonyo-Kibuye-24h'!L72,'27.07 Munyonyo-Kibuye-24h'!L72)</f>
        <v>0</v>
      </c>
      <c r="M72" s="49">
        <f>AVERAGE('26.07 Munyonyo-Kibuye-24h'!M72,'27.07 Munyonyo-Kibuye-24h'!M72)</f>
        <v>198.5</v>
      </c>
      <c r="N72" s="49">
        <f>AVERAGE('26.07 Munyonyo-Kibuye-24h'!N72,'27.07 Munyonyo-Kibuye-24h'!N72)</f>
        <v>0</v>
      </c>
      <c r="O72" s="15">
        <f t="shared" si="35"/>
        <v>87</v>
      </c>
      <c r="P72" s="15">
        <f t="shared" si="36"/>
        <v>285.5</v>
      </c>
      <c r="R72" s="8"/>
      <c r="T72"/>
    </row>
    <row r="73" spans="2:20" ht="23.1" customHeight="1" x14ac:dyDescent="0.25">
      <c r="B73" s="23" t="s">
        <v>113</v>
      </c>
      <c r="C73" s="49">
        <f>AVERAGE('26.07 Munyonyo-Kibuye-24h'!C73,'27.07 Munyonyo-Kibuye-24h'!C73)</f>
        <v>40.5</v>
      </c>
      <c r="D73" s="49">
        <f>AVERAGE('26.07 Munyonyo-Kibuye-24h'!D73,'27.07 Munyonyo-Kibuye-24h'!D73)</f>
        <v>8.5</v>
      </c>
      <c r="E73" s="49">
        <f>AVERAGE('26.07 Munyonyo-Kibuye-24h'!E73,'27.07 Munyonyo-Kibuye-24h'!E73)</f>
        <v>4</v>
      </c>
      <c r="F73" s="49">
        <f>AVERAGE('26.07 Munyonyo-Kibuye-24h'!F73,'27.07 Munyonyo-Kibuye-24h'!F73)</f>
        <v>33.5</v>
      </c>
      <c r="G73" s="49">
        <f>AVERAGE('26.07 Munyonyo-Kibuye-24h'!G73,'27.07 Munyonyo-Kibuye-24h'!G73)</f>
        <v>0</v>
      </c>
      <c r="H73" s="49">
        <f>AVERAGE('26.07 Munyonyo-Kibuye-24h'!H73,'27.07 Munyonyo-Kibuye-24h'!H73)</f>
        <v>0</v>
      </c>
      <c r="I73" s="49">
        <f>AVERAGE('26.07 Munyonyo-Kibuye-24h'!I73,'27.07 Munyonyo-Kibuye-24h'!I73)</f>
        <v>0.5</v>
      </c>
      <c r="J73" s="49">
        <f>AVERAGE('26.07 Munyonyo-Kibuye-24h'!J73,'27.07 Munyonyo-Kibuye-24h'!J73)</f>
        <v>0</v>
      </c>
      <c r="K73" s="49">
        <f>AVERAGE('26.07 Munyonyo-Kibuye-24h'!K73,'27.07 Munyonyo-Kibuye-24h'!K73)</f>
        <v>0</v>
      </c>
      <c r="L73" s="49">
        <f>AVERAGE('26.07 Munyonyo-Kibuye-24h'!L73,'27.07 Munyonyo-Kibuye-24h'!L73)</f>
        <v>0</v>
      </c>
      <c r="M73" s="49">
        <f>AVERAGE('26.07 Munyonyo-Kibuye-24h'!M73,'27.07 Munyonyo-Kibuye-24h'!M73)</f>
        <v>139.5</v>
      </c>
      <c r="N73" s="49">
        <f>AVERAGE('26.07 Munyonyo-Kibuye-24h'!N73,'27.07 Munyonyo-Kibuye-24h'!N73)</f>
        <v>0</v>
      </c>
      <c r="O73" s="15">
        <f t="shared" si="35"/>
        <v>87</v>
      </c>
      <c r="P73" s="15">
        <f t="shared" si="36"/>
        <v>226.5</v>
      </c>
      <c r="R73" s="8"/>
      <c r="T73"/>
    </row>
    <row r="74" spans="2:20" ht="23.1" customHeight="1" x14ac:dyDescent="0.25">
      <c r="B74" s="23" t="s">
        <v>114</v>
      </c>
      <c r="C74" s="49">
        <f>AVERAGE('26.07 Munyonyo-Kibuye-24h'!C74,'27.07 Munyonyo-Kibuye-24h'!C74)</f>
        <v>19</v>
      </c>
      <c r="D74" s="49">
        <f>AVERAGE('26.07 Munyonyo-Kibuye-24h'!D74,'27.07 Munyonyo-Kibuye-24h'!D74)</f>
        <v>9</v>
      </c>
      <c r="E74" s="49">
        <f>AVERAGE('26.07 Munyonyo-Kibuye-24h'!E74,'27.07 Munyonyo-Kibuye-24h'!E74)</f>
        <v>0.5</v>
      </c>
      <c r="F74" s="49">
        <f>AVERAGE('26.07 Munyonyo-Kibuye-24h'!F74,'27.07 Munyonyo-Kibuye-24h'!F74)</f>
        <v>32</v>
      </c>
      <c r="G74" s="49">
        <f>AVERAGE('26.07 Munyonyo-Kibuye-24h'!G74,'27.07 Munyonyo-Kibuye-24h'!G74)</f>
        <v>0.5</v>
      </c>
      <c r="H74" s="49">
        <f>AVERAGE('26.07 Munyonyo-Kibuye-24h'!H74,'27.07 Munyonyo-Kibuye-24h'!H74)</f>
        <v>0</v>
      </c>
      <c r="I74" s="49">
        <f>AVERAGE('26.07 Munyonyo-Kibuye-24h'!I74,'27.07 Munyonyo-Kibuye-24h'!I74)</f>
        <v>0</v>
      </c>
      <c r="J74" s="49">
        <f>AVERAGE('26.07 Munyonyo-Kibuye-24h'!J74,'27.07 Munyonyo-Kibuye-24h'!J74)</f>
        <v>0</v>
      </c>
      <c r="K74" s="49">
        <f>AVERAGE('26.07 Munyonyo-Kibuye-24h'!K74,'27.07 Munyonyo-Kibuye-24h'!K74)</f>
        <v>0.5</v>
      </c>
      <c r="L74" s="49">
        <f>AVERAGE('26.07 Munyonyo-Kibuye-24h'!L74,'27.07 Munyonyo-Kibuye-24h'!L74)</f>
        <v>0</v>
      </c>
      <c r="M74" s="49">
        <f>AVERAGE('26.07 Munyonyo-Kibuye-24h'!M74,'27.07 Munyonyo-Kibuye-24h'!M74)</f>
        <v>154</v>
      </c>
      <c r="N74" s="49">
        <f>AVERAGE('26.07 Munyonyo-Kibuye-24h'!N74,'27.07 Munyonyo-Kibuye-24h'!N74)</f>
        <v>0.5</v>
      </c>
      <c r="O74" s="15">
        <f t="shared" si="35"/>
        <v>62</v>
      </c>
      <c r="P74" s="15">
        <f t="shared" si="36"/>
        <v>216</v>
      </c>
      <c r="R74" s="8"/>
      <c r="T74"/>
    </row>
    <row r="75" spans="2:20" ht="23.1" customHeight="1" x14ac:dyDescent="0.25">
      <c r="B75" s="23" t="s">
        <v>115</v>
      </c>
      <c r="C75" s="49">
        <f>AVERAGE('26.07 Munyonyo-Kibuye-24h'!C75,'27.07 Munyonyo-Kibuye-24h'!C75)</f>
        <v>35</v>
      </c>
      <c r="D75" s="49">
        <f>AVERAGE('26.07 Munyonyo-Kibuye-24h'!D75,'27.07 Munyonyo-Kibuye-24h'!D75)</f>
        <v>25</v>
      </c>
      <c r="E75" s="49">
        <f>AVERAGE('26.07 Munyonyo-Kibuye-24h'!E75,'27.07 Munyonyo-Kibuye-24h'!E75)</f>
        <v>1.5</v>
      </c>
      <c r="F75" s="49">
        <f>AVERAGE('26.07 Munyonyo-Kibuye-24h'!F75,'27.07 Munyonyo-Kibuye-24h'!F75)</f>
        <v>32.5</v>
      </c>
      <c r="G75" s="49">
        <f>AVERAGE('26.07 Munyonyo-Kibuye-24h'!G75,'27.07 Munyonyo-Kibuye-24h'!G75)</f>
        <v>0.5</v>
      </c>
      <c r="H75" s="49">
        <f>AVERAGE('26.07 Munyonyo-Kibuye-24h'!H75,'27.07 Munyonyo-Kibuye-24h'!H75)</f>
        <v>0</v>
      </c>
      <c r="I75" s="49">
        <f>AVERAGE('26.07 Munyonyo-Kibuye-24h'!I75,'27.07 Munyonyo-Kibuye-24h'!I75)</f>
        <v>0.5</v>
      </c>
      <c r="J75" s="49">
        <f>AVERAGE('26.07 Munyonyo-Kibuye-24h'!J75,'27.07 Munyonyo-Kibuye-24h'!J75)</f>
        <v>0</v>
      </c>
      <c r="K75" s="49">
        <f>AVERAGE('26.07 Munyonyo-Kibuye-24h'!K75,'27.07 Munyonyo-Kibuye-24h'!K75)</f>
        <v>0</v>
      </c>
      <c r="L75" s="49">
        <f>AVERAGE('26.07 Munyonyo-Kibuye-24h'!L75,'27.07 Munyonyo-Kibuye-24h'!L75)</f>
        <v>0</v>
      </c>
      <c r="M75" s="49">
        <f>AVERAGE('26.07 Munyonyo-Kibuye-24h'!M75,'27.07 Munyonyo-Kibuye-24h'!M75)</f>
        <v>202</v>
      </c>
      <c r="N75" s="49">
        <f>AVERAGE('26.07 Munyonyo-Kibuye-24h'!N75,'27.07 Munyonyo-Kibuye-24h'!N75)</f>
        <v>0</v>
      </c>
      <c r="O75" s="15">
        <f t="shared" si="35"/>
        <v>95</v>
      </c>
      <c r="P75" s="15">
        <f t="shared" si="36"/>
        <v>297</v>
      </c>
      <c r="R75" s="8"/>
      <c r="T75"/>
    </row>
    <row r="76" spans="2:20" ht="23.1" customHeight="1" x14ac:dyDescent="0.25">
      <c r="B76" s="23" t="s">
        <v>116</v>
      </c>
      <c r="C76" s="49">
        <f>AVERAGE('26.07 Munyonyo-Kibuye-24h'!C76,'27.07 Munyonyo-Kibuye-24h'!C76)</f>
        <v>53.5</v>
      </c>
      <c r="D76" s="49">
        <f>AVERAGE('26.07 Munyonyo-Kibuye-24h'!D76,'27.07 Munyonyo-Kibuye-24h'!D76)</f>
        <v>18.5</v>
      </c>
      <c r="E76" s="49">
        <f>AVERAGE('26.07 Munyonyo-Kibuye-24h'!E76,'27.07 Munyonyo-Kibuye-24h'!E76)</f>
        <v>3</v>
      </c>
      <c r="F76" s="49">
        <f>AVERAGE('26.07 Munyonyo-Kibuye-24h'!F76,'27.07 Munyonyo-Kibuye-24h'!F76)</f>
        <v>23</v>
      </c>
      <c r="G76" s="49">
        <f>AVERAGE('26.07 Munyonyo-Kibuye-24h'!G76,'27.07 Munyonyo-Kibuye-24h'!G76)</f>
        <v>1</v>
      </c>
      <c r="H76" s="49">
        <f>AVERAGE('26.07 Munyonyo-Kibuye-24h'!H76,'27.07 Munyonyo-Kibuye-24h'!H76)</f>
        <v>0</v>
      </c>
      <c r="I76" s="49">
        <f>AVERAGE('26.07 Munyonyo-Kibuye-24h'!I76,'27.07 Munyonyo-Kibuye-24h'!I76)</f>
        <v>2</v>
      </c>
      <c r="J76" s="49">
        <f>AVERAGE('26.07 Munyonyo-Kibuye-24h'!J76,'27.07 Munyonyo-Kibuye-24h'!J76)</f>
        <v>0</v>
      </c>
      <c r="K76" s="49">
        <f>AVERAGE('26.07 Munyonyo-Kibuye-24h'!K76,'27.07 Munyonyo-Kibuye-24h'!K76)</f>
        <v>0.5</v>
      </c>
      <c r="L76" s="49">
        <f>AVERAGE('26.07 Munyonyo-Kibuye-24h'!L76,'27.07 Munyonyo-Kibuye-24h'!L76)</f>
        <v>0</v>
      </c>
      <c r="M76" s="49">
        <f>AVERAGE('26.07 Munyonyo-Kibuye-24h'!M76,'27.07 Munyonyo-Kibuye-24h'!M76)</f>
        <v>207.5</v>
      </c>
      <c r="N76" s="49">
        <f>AVERAGE('26.07 Munyonyo-Kibuye-24h'!N76,'27.07 Munyonyo-Kibuye-24h'!N76)</f>
        <v>0</v>
      </c>
      <c r="O76" s="15">
        <f t="shared" si="35"/>
        <v>101.5</v>
      </c>
      <c r="P76" s="15">
        <f t="shared" si="36"/>
        <v>309</v>
      </c>
      <c r="R76" s="8"/>
      <c r="T76"/>
    </row>
    <row r="77" spans="2:20" ht="23.1" customHeight="1" x14ac:dyDescent="0.25">
      <c r="B77" s="23" t="s">
        <v>117</v>
      </c>
      <c r="C77" s="49">
        <f>AVERAGE('26.07 Munyonyo-Kibuye-24h'!C77,'27.07 Munyonyo-Kibuye-24h'!C77)</f>
        <v>18.5</v>
      </c>
      <c r="D77" s="49">
        <f>AVERAGE('26.07 Munyonyo-Kibuye-24h'!D77,'27.07 Munyonyo-Kibuye-24h'!D77)</f>
        <v>8.5</v>
      </c>
      <c r="E77" s="49">
        <f>AVERAGE('26.07 Munyonyo-Kibuye-24h'!E77,'27.07 Munyonyo-Kibuye-24h'!E77)</f>
        <v>0.5</v>
      </c>
      <c r="F77" s="49">
        <f>AVERAGE('26.07 Munyonyo-Kibuye-24h'!F77,'27.07 Munyonyo-Kibuye-24h'!F77)</f>
        <v>14.5</v>
      </c>
      <c r="G77" s="49">
        <f>AVERAGE('26.07 Munyonyo-Kibuye-24h'!G77,'27.07 Munyonyo-Kibuye-24h'!G77)</f>
        <v>0.5</v>
      </c>
      <c r="H77" s="49">
        <f>AVERAGE('26.07 Munyonyo-Kibuye-24h'!H77,'27.07 Munyonyo-Kibuye-24h'!H77)</f>
        <v>0</v>
      </c>
      <c r="I77" s="49">
        <f>AVERAGE('26.07 Munyonyo-Kibuye-24h'!I77,'27.07 Munyonyo-Kibuye-24h'!I77)</f>
        <v>0.5</v>
      </c>
      <c r="J77" s="49">
        <f>AVERAGE('26.07 Munyonyo-Kibuye-24h'!J77,'27.07 Munyonyo-Kibuye-24h'!J77)</f>
        <v>0</v>
      </c>
      <c r="K77" s="49">
        <f>AVERAGE('26.07 Munyonyo-Kibuye-24h'!K77,'27.07 Munyonyo-Kibuye-24h'!K77)</f>
        <v>0</v>
      </c>
      <c r="L77" s="49">
        <f>AVERAGE('26.07 Munyonyo-Kibuye-24h'!L77,'27.07 Munyonyo-Kibuye-24h'!L77)</f>
        <v>0</v>
      </c>
      <c r="M77" s="49">
        <f>AVERAGE('26.07 Munyonyo-Kibuye-24h'!M77,'27.07 Munyonyo-Kibuye-24h'!M77)</f>
        <v>139</v>
      </c>
      <c r="N77" s="49">
        <f>AVERAGE('26.07 Munyonyo-Kibuye-24h'!N77,'27.07 Munyonyo-Kibuye-24h'!N77)</f>
        <v>0</v>
      </c>
      <c r="O77" s="15">
        <f t="shared" si="35"/>
        <v>43</v>
      </c>
      <c r="P77" s="15">
        <f t="shared" si="36"/>
        <v>182</v>
      </c>
      <c r="R77" s="8"/>
      <c r="T77"/>
    </row>
    <row r="78" spans="2:20" ht="23.1" customHeight="1" x14ac:dyDescent="0.25">
      <c r="B78" s="24" t="s">
        <v>118</v>
      </c>
      <c r="C78" s="49">
        <f>AVERAGE('26.07 Munyonyo-Kibuye-24h'!C78,'27.07 Munyonyo-Kibuye-24h'!C78)</f>
        <v>21.5</v>
      </c>
      <c r="D78" s="49">
        <f>AVERAGE('26.07 Munyonyo-Kibuye-24h'!D78,'27.07 Munyonyo-Kibuye-24h'!D78)</f>
        <v>7.5</v>
      </c>
      <c r="E78" s="49">
        <f>AVERAGE('26.07 Munyonyo-Kibuye-24h'!E78,'27.07 Munyonyo-Kibuye-24h'!E78)</f>
        <v>1.5</v>
      </c>
      <c r="F78" s="49">
        <f>AVERAGE('26.07 Munyonyo-Kibuye-24h'!F78,'27.07 Munyonyo-Kibuye-24h'!F78)</f>
        <v>15</v>
      </c>
      <c r="G78" s="49">
        <f>AVERAGE('26.07 Munyonyo-Kibuye-24h'!G78,'27.07 Munyonyo-Kibuye-24h'!G78)</f>
        <v>0</v>
      </c>
      <c r="H78" s="49">
        <f>AVERAGE('26.07 Munyonyo-Kibuye-24h'!H78,'27.07 Munyonyo-Kibuye-24h'!H78)</f>
        <v>0</v>
      </c>
      <c r="I78" s="49">
        <f>AVERAGE('26.07 Munyonyo-Kibuye-24h'!I78,'27.07 Munyonyo-Kibuye-24h'!I78)</f>
        <v>1</v>
      </c>
      <c r="J78" s="49">
        <f>AVERAGE('26.07 Munyonyo-Kibuye-24h'!J78,'27.07 Munyonyo-Kibuye-24h'!J78)</f>
        <v>0</v>
      </c>
      <c r="K78" s="49">
        <f>AVERAGE('26.07 Munyonyo-Kibuye-24h'!K78,'27.07 Munyonyo-Kibuye-24h'!K78)</f>
        <v>0</v>
      </c>
      <c r="L78" s="49">
        <f>AVERAGE('26.07 Munyonyo-Kibuye-24h'!L78,'27.07 Munyonyo-Kibuye-24h'!L78)</f>
        <v>0</v>
      </c>
      <c r="M78" s="49">
        <f>AVERAGE('26.07 Munyonyo-Kibuye-24h'!M78,'27.07 Munyonyo-Kibuye-24h'!M78)</f>
        <v>129.5</v>
      </c>
      <c r="N78" s="49">
        <f>AVERAGE('26.07 Munyonyo-Kibuye-24h'!N78,'27.07 Munyonyo-Kibuye-24h'!N78)</f>
        <v>0</v>
      </c>
      <c r="O78" s="15">
        <f t="shared" si="35"/>
        <v>46.5</v>
      </c>
      <c r="P78" s="15">
        <f t="shared" si="36"/>
        <v>176</v>
      </c>
      <c r="R78" s="8"/>
      <c r="T78"/>
    </row>
    <row r="79" spans="2:20" ht="23.1" customHeight="1" x14ac:dyDescent="0.25">
      <c r="B79" s="23" t="s">
        <v>119</v>
      </c>
      <c r="C79" s="49">
        <f>AVERAGE('26.07 Munyonyo-Kibuye-24h'!C79,'27.07 Munyonyo-Kibuye-24h'!C79)</f>
        <v>19</v>
      </c>
      <c r="D79" s="49">
        <f>AVERAGE('26.07 Munyonyo-Kibuye-24h'!D79,'27.07 Munyonyo-Kibuye-24h'!D79)</f>
        <v>11</v>
      </c>
      <c r="E79" s="49">
        <f>AVERAGE('26.07 Munyonyo-Kibuye-24h'!E79,'27.07 Munyonyo-Kibuye-24h'!E79)</f>
        <v>3</v>
      </c>
      <c r="F79" s="49">
        <f>AVERAGE('26.07 Munyonyo-Kibuye-24h'!F79,'27.07 Munyonyo-Kibuye-24h'!F79)</f>
        <v>4</v>
      </c>
      <c r="G79" s="49">
        <f>AVERAGE('26.07 Munyonyo-Kibuye-24h'!G79,'27.07 Munyonyo-Kibuye-24h'!G79)</f>
        <v>0</v>
      </c>
      <c r="H79" s="49">
        <f>AVERAGE('26.07 Munyonyo-Kibuye-24h'!H79,'27.07 Munyonyo-Kibuye-24h'!H79)</f>
        <v>0</v>
      </c>
      <c r="I79" s="49">
        <f>AVERAGE('26.07 Munyonyo-Kibuye-24h'!I79,'27.07 Munyonyo-Kibuye-24h'!I79)</f>
        <v>0.5</v>
      </c>
      <c r="J79" s="49">
        <f>AVERAGE('26.07 Munyonyo-Kibuye-24h'!J79,'27.07 Munyonyo-Kibuye-24h'!J79)</f>
        <v>0</v>
      </c>
      <c r="K79" s="49">
        <f>AVERAGE('26.07 Munyonyo-Kibuye-24h'!K79,'27.07 Munyonyo-Kibuye-24h'!K79)</f>
        <v>0</v>
      </c>
      <c r="L79" s="49">
        <f>AVERAGE('26.07 Munyonyo-Kibuye-24h'!L79,'27.07 Munyonyo-Kibuye-24h'!L79)</f>
        <v>0</v>
      </c>
      <c r="M79" s="49">
        <f>AVERAGE('26.07 Munyonyo-Kibuye-24h'!M79,'27.07 Munyonyo-Kibuye-24h'!M79)</f>
        <v>178.5</v>
      </c>
      <c r="N79" s="49">
        <f>AVERAGE('26.07 Munyonyo-Kibuye-24h'!N79,'27.07 Munyonyo-Kibuye-24h'!N79)</f>
        <v>0</v>
      </c>
      <c r="O79" s="15">
        <f t="shared" si="35"/>
        <v>37.5</v>
      </c>
      <c r="P79" s="15">
        <f t="shared" si="36"/>
        <v>216</v>
      </c>
      <c r="R79" s="8"/>
      <c r="T79"/>
    </row>
    <row r="80" spans="2:20" ht="23.1" customHeight="1" x14ac:dyDescent="0.25">
      <c r="B80" s="25" t="s">
        <v>120</v>
      </c>
      <c r="C80" s="49">
        <f>AVERAGE('26.07 Munyonyo-Kibuye-24h'!C80,'27.07 Munyonyo-Kibuye-24h'!C80)</f>
        <v>14</v>
      </c>
      <c r="D80" s="49">
        <f>AVERAGE('26.07 Munyonyo-Kibuye-24h'!D80,'27.07 Munyonyo-Kibuye-24h'!D80)</f>
        <v>6.5</v>
      </c>
      <c r="E80" s="49">
        <f>AVERAGE('26.07 Munyonyo-Kibuye-24h'!E80,'27.07 Munyonyo-Kibuye-24h'!E80)</f>
        <v>2</v>
      </c>
      <c r="F80" s="49">
        <f>AVERAGE('26.07 Munyonyo-Kibuye-24h'!F80,'27.07 Munyonyo-Kibuye-24h'!F80)</f>
        <v>5</v>
      </c>
      <c r="G80" s="49">
        <f>AVERAGE('26.07 Munyonyo-Kibuye-24h'!G80,'27.07 Munyonyo-Kibuye-24h'!G80)</f>
        <v>0</v>
      </c>
      <c r="H80" s="49">
        <f>AVERAGE('26.07 Munyonyo-Kibuye-24h'!H80,'27.07 Munyonyo-Kibuye-24h'!H80)</f>
        <v>0</v>
      </c>
      <c r="I80" s="49">
        <f>AVERAGE('26.07 Munyonyo-Kibuye-24h'!I80,'27.07 Munyonyo-Kibuye-24h'!I80)</f>
        <v>1</v>
      </c>
      <c r="J80" s="49">
        <f>AVERAGE('26.07 Munyonyo-Kibuye-24h'!J80,'27.07 Munyonyo-Kibuye-24h'!J80)</f>
        <v>0</v>
      </c>
      <c r="K80" s="49">
        <f>AVERAGE('26.07 Munyonyo-Kibuye-24h'!K80,'27.07 Munyonyo-Kibuye-24h'!K80)</f>
        <v>0</v>
      </c>
      <c r="L80" s="49">
        <f>AVERAGE('26.07 Munyonyo-Kibuye-24h'!L80,'27.07 Munyonyo-Kibuye-24h'!L80)</f>
        <v>0</v>
      </c>
      <c r="M80" s="49">
        <f>AVERAGE('26.07 Munyonyo-Kibuye-24h'!M80,'27.07 Munyonyo-Kibuye-24h'!M80)</f>
        <v>151.5</v>
      </c>
      <c r="N80" s="49">
        <f>AVERAGE('26.07 Munyonyo-Kibuye-24h'!N80,'27.07 Munyonyo-Kibuye-24h'!N80)</f>
        <v>0</v>
      </c>
      <c r="O80" s="15">
        <f t="shared" si="35"/>
        <v>28.5</v>
      </c>
      <c r="P80" s="15">
        <f t="shared" si="36"/>
        <v>180</v>
      </c>
      <c r="R80" s="8"/>
      <c r="T80"/>
    </row>
    <row r="81" spans="2:20" ht="23.1" customHeight="1" x14ac:dyDescent="0.25">
      <c r="B81" s="23" t="s">
        <v>121</v>
      </c>
      <c r="C81" s="49">
        <f>AVERAGE('26.07 Munyonyo-Kibuye-24h'!C81,'27.07 Munyonyo-Kibuye-24h'!C81)</f>
        <v>18</v>
      </c>
      <c r="D81" s="49">
        <f>AVERAGE('26.07 Munyonyo-Kibuye-24h'!D81,'27.07 Munyonyo-Kibuye-24h'!D81)</f>
        <v>5</v>
      </c>
      <c r="E81" s="49">
        <f>AVERAGE('26.07 Munyonyo-Kibuye-24h'!E81,'27.07 Munyonyo-Kibuye-24h'!E81)</f>
        <v>1.5</v>
      </c>
      <c r="F81" s="49">
        <f>AVERAGE('26.07 Munyonyo-Kibuye-24h'!F81,'27.07 Munyonyo-Kibuye-24h'!F81)</f>
        <v>5.5</v>
      </c>
      <c r="G81" s="49">
        <f>AVERAGE('26.07 Munyonyo-Kibuye-24h'!G81,'27.07 Munyonyo-Kibuye-24h'!G81)</f>
        <v>0</v>
      </c>
      <c r="H81" s="49">
        <f>AVERAGE('26.07 Munyonyo-Kibuye-24h'!H81,'27.07 Munyonyo-Kibuye-24h'!H81)</f>
        <v>0</v>
      </c>
      <c r="I81" s="49">
        <f>AVERAGE('26.07 Munyonyo-Kibuye-24h'!I81,'27.07 Munyonyo-Kibuye-24h'!I81)</f>
        <v>0.5</v>
      </c>
      <c r="J81" s="49">
        <f>AVERAGE('26.07 Munyonyo-Kibuye-24h'!J81,'27.07 Munyonyo-Kibuye-24h'!J81)</f>
        <v>0</v>
      </c>
      <c r="K81" s="49">
        <f>AVERAGE('26.07 Munyonyo-Kibuye-24h'!K81,'27.07 Munyonyo-Kibuye-24h'!K81)</f>
        <v>0</v>
      </c>
      <c r="L81" s="49">
        <f>AVERAGE('26.07 Munyonyo-Kibuye-24h'!L81,'27.07 Munyonyo-Kibuye-24h'!L81)</f>
        <v>0</v>
      </c>
      <c r="M81" s="49">
        <f>AVERAGE('26.07 Munyonyo-Kibuye-24h'!M81,'27.07 Munyonyo-Kibuye-24h'!M81)</f>
        <v>145.5</v>
      </c>
      <c r="N81" s="49">
        <f>AVERAGE('26.07 Munyonyo-Kibuye-24h'!N81,'27.07 Munyonyo-Kibuye-24h'!N81)</f>
        <v>0</v>
      </c>
      <c r="O81" s="15">
        <f t="shared" si="35"/>
        <v>30.5</v>
      </c>
      <c r="P81" s="15">
        <f t="shared" si="36"/>
        <v>176</v>
      </c>
      <c r="R81" s="8"/>
      <c r="T81"/>
    </row>
    <row r="82" spans="2:20" ht="23.1" customHeight="1" x14ac:dyDescent="0.25">
      <c r="B82" s="24" t="s">
        <v>122</v>
      </c>
      <c r="C82" s="49">
        <f>AVERAGE('26.07 Munyonyo-Kibuye-24h'!C82,'27.07 Munyonyo-Kibuye-24h'!C82)</f>
        <v>14</v>
      </c>
      <c r="D82" s="49">
        <f>AVERAGE('26.07 Munyonyo-Kibuye-24h'!D82,'27.07 Munyonyo-Kibuye-24h'!D82)</f>
        <v>7.5</v>
      </c>
      <c r="E82" s="49">
        <f>AVERAGE('26.07 Munyonyo-Kibuye-24h'!E82,'27.07 Munyonyo-Kibuye-24h'!E82)</f>
        <v>1</v>
      </c>
      <c r="F82" s="49">
        <f>AVERAGE('26.07 Munyonyo-Kibuye-24h'!F82,'27.07 Munyonyo-Kibuye-24h'!F82)</f>
        <v>4</v>
      </c>
      <c r="G82" s="49">
        <f>AVERAGE('26.07 Munyonyo-Kibuye-24h'!G82,'27.07 Munyonyo-Kibuye-24h'!G82)</f>
        <v>0</v>
      </c>
      <c r="H82" s="49">
        <f>AVERAGE('26.07 Munyonyo-Kibuye-24h'!H82,'27.07 Munyonyo-Kibuye-24h'!H82)</f>
        <v>0</v>
      </c>
      <c r="I82" s="49">
        <f>AVERAGE('26.07 Munyonyo-Kibuye-24h'!I82,'27.07 Munyonyo-Kibuye-24h'!I82)</f>
        <v>1</v>
      </c>
      <c r="J82" s="49">
        <f>AVERAGE('26.07 Munyonyo-Kibuye-24h'!J82,'27.07 Munyonyo-Kibuye-24h'!J82)</f>
        <v>0.5</v>
      </c>
      <c r="K82" s="49">
        <f>AVERAGE('26.07 Munyonyo-Kibuye-24h'!K82,'27.07 Munyonyo-Kibuye-24h'!K82)</f>
        <v>0</v>
      </c>
      <c r="L82" s="49">
        <f>AVERAGE('26.07 Munyonyo-Kibuye-24h'!L82,'27.07 Munyonyo-Kibuye-24h'!L82)</f>
        <v>0</v>
      </c>
      <c r="M82" s="49">
        <f>AVERAGE('26.07 Munyonyo-Kibuye-24h'!M82,'27.07 Munyonyo-Kibuye-24h'!M82)</f>
        <v>108</v>
      </c>
      <c r="N82" s="49">
        <f>AVERAGE('26.07 Munyonyo-Kibuye-24h'!N82,'27.07 Munyonyo-Kibuye-24h'!N82)</f>
        <v>0</v>
      </c>
      <c r="O82" s="15">
        <f t="shared" si="35"/>
        <v>28</v>
      </c>
      <c r="P82" s="15">
        <f t="shared" si="36"/>
        <v>136</v>
      </c>
      <c r="R82" s="8"/>
      <c r="T82"/>
    </row>
    <row r="83" spans="2:20" ht="23.1" customHeight="1" x14ac:dyDescent="0.25">
      <c r="B83" s="23" t="s">
        <v>123</v>
      </c>
      <c r="C83" s="49">
        <f>AVERAGE('26.07 Munyonyo-Kibuye-24h'!C83,'27.07 Munyonyo-Kibuye-24h'!C83)</f>
        <v>25.5</v>
      </c>
      <c r="D83" s="49">
        <f>AVERAGE('26.07 Munyonyo-Kibuye-24h'!D83,'27.07 Munyonyo-Kibuye-24h'!D83)</f>
        <v>11</v>
      </c>
      <c r="E83" s="49">
        <f>AVERAGE('26.07 Munyonyo-Kibuye-24h'!E83,'27.07 Munyonyo-Kibuye-24h'!E83)</f>
        <v>0.5</v>
      </c>
      <c r="F83" s="49">
        <f>AVERAGE('26.07 Munyonyo-Kibuye-24h'!F83,'27.07 Munyonyo-Kibuye-24h'!F83)</f>
        <v>4.5</v>
      </c>
      <c r="G83" s="49">
        <f>AVERAGE('26.07 Munyonyo-Kibuye-24h'!G83,'27.07 Munyonyo-Kibuye-24h'!G83)</f>
        <v>0</v>
      </c>
      <c r="H83" s="49">
        <f>AVERAGE('26.07 Munyonyo-Kibuye-24h'!H83,'27.07 Munyonyo-Kibuye-24h'!H83)</f>
        <v>0</v>
      </c>
      <c r="I83" s="49">
        <f>AVERAGE('26.07 Munyonyo-Kibuye-24h'!I83,'27.07 Munyonyo-Kibuye-24h'!I83)</f>
        <v>1</v>
      </c>
      <c r="J83" s="49">
        <f>AVERAGE('26.07 Munyonyo-Kibuye-24h'!J83,'27.07 Munyonyo-Kibuye-24h'!J83)</f>
        <v>0</v>
      </c>
      <c r="K83" s="49">
        <f>AVERAGE('26.07 Munyonyo-Kibuye-24h'!K83,'27.07 Munyonyo-Kibuye-24h'!K83)</f>
        <v>0</v>
      </c>
      <c r="L83" s="49">
        <f>AVERAGE('26.07 Munyonyo-Kibuye-24h'!L83,'27.07 Munyonyo-Kibuye-24h'!L83)</f>
        <v>0</v>
      </c>
      <c r="M83" s="49">
        <f>AVERAGE('26.07 Munyonyo-Kibuye-24h'!M83,'27.07 Munyonyo-Kibuye-24h'!M83)</f>
        <v>100</v>
      </c>
      <c r="N83" s="49">
        <f>AVERAGE('26.07 Munyonyo-Kibuye-24h'!N83,'27.07 Munyonyo-Kibuye-24h'!N83)</f>
        <v>0</v>
      </c>
      <c r="O83" s="15">
        <f t="shared" si="35"/>
        <v>42.5</v>
      </c>
      <c r="P83" s="15">
        <f t="shared" si="36"/>
        <v>142.5</v>
      </c>
      <c r="R83" s="8"/>
      <c r="T83"/>
    </row>
    <row r="84" spans="2:20" ht="23.1" customHeight="1" x14ac:dyDescent="0.25">
      <c r="B84" s="25" t="s">
        <v>124</v>
      </c>
      <c r="C84" s="49">
        <f>AVERAGE('26.07 Munyonyo-Kibuye-24h'!C84,'27.07 Munyonyo-Kibuye-24h'!C84)</f>
        <v>10.5</v>
      </c>
      <c r="D84" s="49">
        <f>AVERAGE('26.07 Munyonyo-Kibuye-24h'!D84,'27.07 Munyonyo-Kibuye-24h'!D84)</f>
        <v>4.5</v>
      </c>
      <c r="E84" s="49">
        <f>AVERAGE('26.07 Munyonyo-Kibuye-24h'!E84,'27.07 Munyonyo-Kibuye-24h'!E84)</f>
        <v>0</v>
      </c>
      <c r="F84" s="49">
        <f>AVERAGE('26.07 Munyonyo-Kibuye-24h'!F84,'27.07 Munyonyo-Kibuye-24h'!F84)</f>
        <v>1</v>
      </c>
      <c r="G84" s="49">
        <f>AVERAGE('26.07 Munyonyo-Kibuye-24h'!G84,'27.07 Munyonyo-Kibuye-24h'!G84)</f>
        <v>0</v>
      </c>
      <c r="H84" s="49">
        <f>AVERAGE('26.07 Munyonyo-Kibuye-24h'!H84,'27.07 Munyonyo-Kibuye-24h'!H84)</f>
        <v>0</v>
      </c>
      <c r="I84" s="49">
        <f>AVERAGE('26.07 Munyonyo-Kibuye-24h'!I84,'27.07 Munyonyo-Kibuye-24h'!I84)</f>
        <v>0.5</v>
      </c>
      <c r="J84" s="49">
        <f>AVERAGE('26.07 Munyonyo-Kibuye-24h'!J84,'27.07 Munyonyo-Kibuye-24h'!J84)</f>
        <v>0.5</v>
      </c>
      <c r="K84" s="49">
        <f>AVERAGE('26.07 Munyonyo-Kibuye-24h'!K84,'27.07 Munyonyo-Kibuye-24h'!K84)</f>
        <v>0</v>
      </c>
      <c r="L84" s="49">
        <f>AVERAGE('26.07 Munyonyo-Kibuye-24h'!L84,'27.07 Munyonyo-Kibuye-24h'!L84)</f>
        <v>0</v>
      </c>
      <c r="M84" s="49">
        <f>AVERAGE('26.07 Munyonyo-Kibuye-24h'!M84,'27.07 Munyonyo-Kibuye-24h'!M84)</f>
        <v>64</v>
      </c>
      <c r="N84" s="49">
        <f>AVERAGE('26.07 Munyonyo-Kibuye-24h'!N84,'27.07 Munyonyo-Kibuye-24h'!N84)</f>
        <v>0</v>
      </c>
      <c r="O84" s="15">
        <f t="shared" si="35"/>
        <v>17</v>
      </c>
      <c r="P84" s="15">
        <f t="shared" si="36"/>
        <v>81</v>
      </c>
      <c r="R84" s="8"/>
      <c r="T84"/>
    </row>
    <row r="85" spans="2:20" ht="23.1" customHeight="1" x14ac:dyDescent="0.25">
      <c r="B85" s="23" t="s">
        <v>125</v>
      </c>
      <c r="C85" s="49">
        <f>AVERAGE('26.07 Munyonyo-Kibuye-24h'!C85,'27.07 Munyonyo-Kibuye-24h'!C85)</f>
        <v>9.5</v>
      </c>
      <c r="D85" s="49">
        <f>AVERAGE('26.07 Munyonyo-Kibuye-24h'!D85,'27.07 Munyonyo-Kibuye-24h'!D85)</f>
        <v>2.5</v>
      </c>
      <c r="E85" s="49">
        <f>AVERAGE('26.07 Munyonyo-Kibuye-24h'!E85,'27.07 Munyonyo-Kibuye-24h'!E85)</f>
        <v>0.5</v>
      </c>
      <c r="F85" s="49">
        <f>AVERAGE('26.07 Munyonyo-Kibuye-24h'!F85,'27.07 Munyonyo-Kibuye-24h'!F85)</f>
        <v>0.5</v>
      </c>
      <c r="G85" s="49">
        <f>AVERAGE('26.07 Munyonyo-Kibuye-24h'!G85,'27.07 Munyonyo-Kibuye-24h'!G85)</f>
        <v>0</v>
      </c>
      <c r="H85" s="49">
        <f>AVERAGE('26.07 Munyonyo-Kibuye-24h'!H85,'27.07 Munyonyo-Kibuye-24h'!H85)</f>
        <v>0</v>
      </c>
      <c r="I85" s="49">
        <f>AVERAGE('26.07 Munyonyo-Kibuye-24h'!I85,'27.07 Munyonyo-Kibuye-24h'!I85)</f>
        <v>0.5</v>
      </c>
      <c r="J85" s="49">
        <f>AVERAGE('26.07 Munyonyo-Kibuye-24h'!J85,'27.07 Munyonyo-Kibuye-24h'!J85)</f>
        <v>0</v>
      </c>
      <c r="K85" s="49">
        <f>AVERAGE('26.07 Munyonyo-Kibuye-24h'!K85,'27.07 Munyonyo-Kibuye-24h'!K85)</f>
        <v>0</v>
      </c>
      <c r="L85" s="49">
        <f>AVERAGE('26.07 Munyonyo-Kibuye-24h'!L85,'27.07 Munyonyo-Kibuye-24h'!L85)</f>
        <v>0</v>
      </c>
      <c r="M85" s="49">
        <f>AVERAGE('26.07 Munyonyo-Kibuye-24h'!M85,'27.07 Munyonyo-Kibuye-24h'!M85)</f>
        <v>40.5</v>
      </c>
      <c r="N85" s="49">
        <f>AVERAGE('26.07 Munyonyo-Kibuye-24h'!N85,'27.07 Munyonyo-Kibuye-24h'!N85)</f>
        <v>0</v>
      </c>
      <c r="O85" s="15">
        <f t="shared" si="35"/>
        <v>13.5</v>
      </c>
      <c r="P85" s="15">
        <f t="shared" si="36"/>
        <v>54</v>
      </c>
      <c r="R85" s="8"/>
      <c r="T85"/>
    </row>
    <row r="86" spans="2:20" ht="23.1" customHeight="1" x14ac:dyDescent="0.25">
      <c r="B86" s="24" t="s">
        <v>126</v>
      </c>
      <c r="C86" s="49">
        <f>AVERAGE('26.07 Munyonyo-Kibuye-24h'!C86,'27.07 Munyonyo-Kibuye-24h'!C86)</f>
        <v>8</v>
      </c>
      <c r="D86" s="49">
        <f>AVERAGE('26.07 Munyonyo-Kibuye-24h'!D86,'27.07 Munyonyo-Kibuye-24h'!D86)</f>
        <v>1.5</v>
      </c>
      <c r="E86" s="49">
        <f>AVERAGE('26.07 Munyonyo-Kibuye-24h'!E86,'27.07 Munyonyo-Kibuye-24h'!E86)</f>
        <v>0</v>
      </c>
      <c r="F86" s="49">
        <f>AVERAGE('26.07 Munyonyo-Kibuye-24h'!F86,'27.07 Munyonyo-Kibuye-24h'!F86)</f>
        <v>1.5</v>
      </c>
      <c r="G86" s="49">
        <f>AVERAGE('26.07 Munyonyo-Kibuye-24h'!G86,'27.07 Munyonyo-Kibuye-24h'!G86)</f>
        <v>0</v>
      </c>
      <c r="H86" s="49">
        <f>AVERAGE('26.07 Munyonyo-Kibuye-24h'!H86,'27.07 Munyonyo-Kibuye-24h'!H86)</f>
        <v>0</v>
      </c>
      <c r="I86" s="49">
        <f>AVERAGE('26.07 Munyonyo-Kibuye-24h'!I86,'27.07 Munyonyo-Kibuye-24h'!I86)</f>
        <v>0</v>
      </c>
      <c r="J86" s="49">
        <f>AVERAGE('26.07 Munyonyo-Kibuye-24h'!J86,'27.07 Munyonyo-Kibuye-24h'!J86)</f>
        <v>0.5</v>
      </c>
      <c r="K86" s="49">
        <f>AVERAGE('26.07 Munyonyo-Kibuye-24h'!K86,'27.07 Munyonyo-Kibuye-24h'!K86)</f>
        <v>0.5</v>
      </c>
      <c r="L86" s="49">
        <f>AVERAGE('26.07 Munyonyo-Kibuye-24h'!L86,'27.07 Munyonyo-Kibuye-24h'!L86)</f>
        <v>0</v>
      </c>
      <c r="M86" s="49">
        <f>AVERAGE('26.07 Munyonyo-Kibuye-24h'!M86,'27.07 Munyonyo-Kibuye-24h'!M86)</f>
        <v>114</v>
      </c>
      <c r="N86" s="49">
        <f>AVERAGE('26.07 Munyonyo-Kibuye-24h'!N86,'27.07 Munyonyo-Kibuye-24h'!N86)</f>
        <v>0</v>
      </c>
      <c r="O86" s="15">
        <f t="shared" si="35"/>
        <v>12</v>
      </c>
      <c r="P86" s="15">
        <f t="shared" si="36"/>
        <v>126</v>
      </c>
      <c r="R86" s="8"/>
      <c r="T86"/>
    </row>
    <row r="87" spans="2:20" ht="23.1" customHeight="1" x14ac:dyDescent="0.25">
      <c r="B87" s="23" t="s">
        <v>127</v>
      </c>
      <c r="C87" s="49">
        <f>AVERAGE('26.07 Munyonyo-Kibuye-24h'!C87,'27.07 Munyonyo-Kibuye-24h'!C87)</f>
        <v>6.5</v>
      </c>
      <c r="D87" s="49">
        <f>AVERAGE('26.07 Munyonyo-Kibuye-24h'!D87,'27.07 Munyonyo-Kibuye-24h'!D87)</f>
        <v>5</v>
      </c>
      <c r="E87" s="49">
        <f>AVERAGE('26.07 Munyonyo-Kibuye-24h'!E87,'27.07 Munyonyo-Kibuye-24h'!E87)</f>
        <v>0.5</v>
      </c>
      <c r="F87" s="49">
        <f>AVERAGE('26.07 Munyonyo-Kibuye-24h'!F87,'27.07 Munyonyo-Kibuye-24h'!F87)</f>
        <v>1</v>
      </c>
      <c r="G87" s="49">
        <f>AVERAGE('26.07 Munyonyo-Kibuye-24h'!G87,'27.07 Munyonyo-Kibuye-24h'!G87)</f>
        <v>0</v>
      </c>
      <c r="H87" s="49">
        <f>AVERAGE('26.07 Munyonyo-Kibuye-24h'!H87,'27.07 Munyonyo-Kibuye-24h'!H87)</f>
        <v>0</v>
      </c>
      <c r="I87" s="49">
        <f>AVERAGE('26.07 Munyonyo-Kibuye-24h'!I87,'27.07 Munyonyo-Kibuye-24h'!I87)</f>
        <v>1.5</v>
      </c>
      <c r="J87" s="49">
        <f>AVERAGE('26.07 Munyonyo-Kibuye-24h'!J87,'27.07 Munyonyo-Kibuye-24h'!J87)</f>
        <v>0</v>
      </c>
      <c r="K87" s="49">
        <f>AVERAGE('26.07 Munyonyo-Kibuye-24h'!K87,'27.07 Munyonyo-Kibuye-24h'!K87)</f>
        <v>0</v>
      </c>
      <c r="L87" s="49">
        <f>AVERAGE('26.07 Munyonyo-Kibuye-24h'!L87,'27.07 Munyonyo-Kibuye-24h'!L87)</f>
        <v>0</v>
      </c>
      <c r="M87" s="49">
        <f>AVERAGE('26.07 Munyonyo-Kibuye-24h'!M87,'27.07 Munyonyo-Kibuye-24h'!M87)</f>
        <v>48</v>
      </c>
      <c r="N87" s="49">
        <f>AVERAGE('26.07 Munyonyo-Kibuye-24h'!N87,'27.07 Munyonyo-Kibuye-24h'!N87)</f>
        <v>0</v>
      </c>
      <c r="O87" s="15">
        <f t="shared" si="35"/>
        <v>14.5</v>
      </c>
      <c r="P87" s="15">
        <f t="shared" si="36"/>
        <v>62.5</v>
      </c>
      <c r="R87" s="8"/>
      <c r="T87"/>
    </row>
    <row r="88" spans="2:20" ht="23.1" customHeight="1" x14ac:dyDescent="0.25">
      <c r="B88" s="25" t="s">
        <v>128</v>
      </c>
      <c r="C88" s="49">
        <f>AVERAGE('26.07 Munyonyo-Kibuye-24h'!C88,'27.07 Munyonyo-Kibuye-24h'!C88)</f>
        <v>9</v>
      </c>
      <c r="D88" s="49">
        <f>AVERAGE('26.07 Munyonyo-Kibuye-24h'!D88,'27.07 Munyonyo-Kibuye-24h'!D88)</f>
        <v>1.5</v>
      </c>
      <c r="E88" s="49">
        <f>AVERAGE('26.07 Munyonyo-Kibuye-24h'!E88,'27.07 Munyonyo-Kibuye-24h'!E88)</f>
        <v>0</v>
      </c>
      <c r="F88" s="49">
        <f>AVERAGE('26.07 Munyonyo-Kibuye-24h'!F88,'27.07 Munyonyo-Kibuye-24h'!F88)</f>
        <v>0</v>
      </c>
      <c r="G88" s="49">
        <f>AVERAGE('26.07 Munyonyo-Kibuye-24h'!G88,'27.07 Munyonyo-Kibuye-24h'!G88)</f>
        <v>0</v>
      </c>
      <c r="H88" s="49">
        <f>AVERAGE('26.07 Munyonyo-Kibuye-24h'!H88,'27.07 Munyonyo-Kibuye-24h'!H88)</f>
        <v>0</v>
      </c>
      <c r="I88" s="49">
        <f>AVERAGE('26.07 Munyonyo-Kibuye-24h'!I88,'27.07 Munyonyo-Kibuye-24h'!I88)</f>
        <v>0.5</v>
      </c>
      <c r="J88" s="49">
        <f>AVERAGE('26.07 Munyonyo-Kibuye-24h'!J88,'27.07 Munyonyo-Kibuye-24h'!J88)</f>
        <v>0</v>
      </c>
      <c r="K88" s="49">
        <f>AVERAGE('26.07 Munyonyo-Kibuye-24h'!K88,'27.07 Munyonyo-Kibuye-24h'!K88)</f>
        <v>0</v>
      </c>
      <c r="L88" s="49">
        <f>AVERAGE('26.07 Munyonyo-Kibuye-24h'!L88,'27.07 Munyonyo-Kibuye-24h'!L88)</f>
        <v>0</v>
      </c>
      <c r="M88" s="49">
        <f>AVERAGE('26.07 Munyonyo-Kibuye-24h'!M88,'27.07 Munyonyo-Kibuye-24h'!M88)</f>
        <v>26.5</v>
      </c>
      <c r="N88" s="49">
        <f>AVERAGE('26.07 Munyonyo-Kibuye-24h'!N88,'27.07 Munyonyo-Kibuye-24h'!N88)</f>
        <v>0</v>
      </c>
      <c r="O88" s="15">
        <f t="shared" si="35"/>
        <v>11</v>
      </c>
      <c r="P88" s="15">
        <f t="shared" si="36"/>
        <v>37.5</v>
      </c>
      <c r="R88" s="8"/>
      <c r="T88"/>
    </row>
    <row r="89" spans="2:20" ht="23.1" customHeight="1" x14ac:dyDescent="0.25">
      <c r="B89" s="23" t="s">
        <v>129</v>
      </c>
      <c r="C89" s="49">
        <f>AVERAGE('26.07 Munyonyo-Kibuye-24h'!C89,'27.07 Munyonyo-Kibuye-24h'!C89)</f>
        <v>10.5</v>
      </c>
      <c r="D89" s="49">
        <f>AVERAGE('26.07 Munyonyo-Kibuye-24h'!D89,'27.07 Munyonyo-Kibuye-24h'!D89)</f>
        <v>0.5</v>
      </c>
      <c r="E89" s="49">
        <f>AVERAGE('26.07 Munyonyo-Kibuye-24h'!E89,'27.07 Munyonyo-Kibuye-24h'!E89)</f>
        <v>0</v>
      </c>
      <c r="F89" s="49">
        <f>AVERAGE('26.07 Munyonyo-Kibuye-24h'!F89,'27.07 Munyonyo-Kibuye-24h'!F89)</f>
        <v>0</v>
      </c>
      <c r="G89" s="49">
        <f>AVERAGE('26.07 Munyonyo-Kibuye-24h'!G89,'27.07 Munyonyo-Kibuye-24h'!G89)</f>
        <v>0</v>
      </c>
      <c r="H89" s="49">
        <f>AVERAGE('26.07 Munyonyo-Kibuye-24h'!H89,'27.07 Munyonyo-Kibuye-24h'!H89)</f>
        <v>0</v>
      </c>
      <c r="I89" s="49">
        <f>AVERAGE('26.07 Munyonyo-Kibuye-24h'!I89,'27.07 Munyonyo-Kibuye-24h'!I89)</f>
        <v>1</v>
      </c>
      <c r="J89" s="49">
        <f>AVERAGE('26.07 Munyonyo-Kibuye-24h'!J89,'27.07 Munyonyo-Kibuye-24h'!J89)</f>
        <v>0.5</v>
      </c>
      <c r="K89" s="49">
        <f>AVERAGE('26.07 Munyonyo-Kibuye-24h'!K89,'27.07 Munyonyo-Kibuye-24h'!K89)</f>
        <v>0</v>
      </c>
      <c r="L89" s="49">
        <f>AVERAGE('26.07 Munyonyo-Kibuye-24h'!L89,'27.07 Munyonyo-Kibuye-24h'!L89)</f>
        <v>0</v>
      </c>
      <c r="M89" s="49">
        <f>AVERAGE('26.07 Munyonyo-Kibuye-24h'!M89,'27.07 Munyonyo-Kibuye-24h'!M89)</f>
        <v>58.5</v>
      </c>
      <c r="N89" s="49">
        <f>AVERAGE('26.07 Munyonyo-Kibuye-24h'!N89,'27.07 Munyonyo-Kibuye-24h'!N89)</f>
        <v>0</v>
      </c>
      <c r="O89" s="15">
        <f t="shared" si="35"/>
        <v>12.5</v>
      </c>
      <c r="P89" s="15">
        <f t="shared" si="36"/>
        <v>71</v>
      </c>
      <c r="R89" s="8"/>
      <c r="T89"/>
    </row>
    <row r="90" spans="2:20" ht="23.1" customHeight="1" x14ac:dyDescent="0.25">
      <c r="B90" s="24" t="s">
        <v>130</v>
      </c>
      <c r="C90" s="49">
        <f>AVERAGE('26.07 Munyonyo-Kibuye-24h'!C90,'27.07 Munyonyo-Kibuye-24h'!C90)</f>
        <v>5.5</v>
      </c>
      <c r="D90" s="49">
        <f>AVERAGE('26.07 Munyonyo-Kibuye-24h'!D90,'27.07 Munyonyo-Kibuye-24h'!D90)</f>
        <v>2</v>
      </c>
      <c r="E90" s="49">
        <f>AVERAGE('26.07 Munyonyo-Kibuye-24h'!E90,'27.07 Munyonyo-Kibuye-24h'!E90)</f>
        <v>0</v>
      </c>
      <c r="F90" s="49">
        <f>AVERAGE('26.07 Munyonyo-Kibuye-24h'!F90,'27.07 Munyonyo-Kibuye-24h'!F90)</f>
        <v>1.5</v>
      </c>
      <c r="G90" s="49">
        <f>AVERAGE('26.07 Munyonyo-Kibuye-24h'!G90,'27.07 Munyonyo-Kibuye-24h'!G90)</f>
        <v>0</v>
      </c>
      <c r="H90" s="49">
        <f>AVERAGE('26.07 Munyonyo-Kibuye-24h'!H90,'27.07 Munyonyo-Kibuye-24h'!H90)</f>
        <v>0</v>
      </c>
      <c r="I90" s="49">
        <f>AVERAGE('26.07 Munyonyo-Kibuye-24h'!I90,'27.07 Munyonyo-Kibuye-24h'!I90)</f>
        <v>0</v>
      </c>
      <c r="J90" s="49">
        <f>AVERAGE('26.07 Munyonyo-Kibuye-24h'!J90,'27.07 Munyonyo-Kibuye-24h'!J90)</f>
        <v>0</v>
      </c>
      <c r="K90" s="49">
        <f>AVERAGE('26.07 Munyonyo-Kibuye-24h'!K90,'27.07 Munyonyo-Kibuye-24h'!K90)</f>
        <v>0</v>
      </c>
      <c r="L90" s="49">
        <f>AVERAGE('26.07 Munyonyo-Kibuye-24h'!L90,'27.07 Munyonyo-Kibuye-24h'!L90)</f>
        <v>0</v>
      </c>
      <c r="M90" s="49">
        <f>AVERAGE('26.07 Munyonyo-Kibuye-24h'!M90,'27.07 Munyonyo-Kibuye-24h'!M90)</f>
        <v>100</v>
      </c>
      <c r="N90" s="49">
        <f>AVERAGE('26.07 Munyonyo-Kibuye-24h'!N90,'27.07 Munyonyo-Kibuye-24h'!N90)</f>
        <v>0</v>
      </c>
      <c r="O90" s="15">
        <f t="shared" si="35"/>
        <v>9</v>
      </c>
      <c r="P90" s="15">
        <f t="shared" si="36"/>
        <v>109</v>
      </c>
      <c r="R90" s="8"/>
      <c r="T90"/>
    </row>
    <row r="91" spans="2:20" ht="23.1" customHeight="1" x14ac:dyDescent="0.25">
      <c r="B91" s="23" t="s">
        <v>131</v>
      </c>
      <c r="C91" s="49">
        <f>AVERAGE('26.07 Munyonyo-Kibuye-24h'!C91,'27.07 Munyonyo-Kibuye-24h'!C91)</f>
        <v>11.5</v>
      </c>
      <c r="D91" s="49">
        <f>AVERAGE('26.07 Munyonyo-Kibuye-24h'!D91,'27.07 Munyonyo-Kibuye-24h'!D91)</f>
        <v>1</v>
      </c>
      <c r="E91" s="49">
        <f>AVERAGE('26.07 Munyonyo-Kibuye-24h'!E91,'27.07 Munyonyo-Kibuye-24h'!E91)</f>
        <v>0</v>
      </c>
      <c r="F91" s="49">
        <f>AVERAGE('26.07 Munyonyo-Kibuye-24h'!F91,'27.07 Munyonyo-Kibuye-24h'!F91)</f>
        <v>0</v>
      </c>
      <c r="G91" s="49">
        <f>AVERAGE('26.07 Munyonyo-Kibuye-24h'!G91,'27.07 Munyonyo-Kibuye-24h'!G91)</f>
        <v>0</v>
      </c>
      <c r="H91" s="49">
        <f>AVERAGE('26.07 Munyonyo-Kibuye-24h'!H91,'27.07 Munyonyo-Kibuye-24h'!H91)</f>
        <v>0</v>
      </c>
      <c r="I91" s="49">
        <f>AVERAGE('26.07 Munyonyo-Kibuye-24h'!I91,'27.07 Munyonyo-Kibuye-24h'!I91)</f>
        <v>0.5</v>
      </c>
      <c r="J91" s="49">
        <f>AVERAGE('26.07 Munyonyo-Kibuye-24h'!J91,'27.07 Munyonyo-Kibuye-24h'!J91)</f>
        <v>0.5</v>
      </c>
      <c r="K91" s="49">
        <f>AVERAGE('26.07 Munyonyo-Kibuye-24h'!K91,'27.07 Munyonyo-Kibuye-24h'!K91)</f>
        <v>5</v>
      </c>
      <c r="L91" s="49">
        <f>AVERAGE('26.07 Munyonyo-Kibuye-24h'!L91,'27.07 Munyonyo-Kibuye-24h'!L91)</f>
        <v>0</v>
      </c>
      <c r="M91" s="49">
        <f>AVERAGE('26.07 Munyonyo-Kibuye-24h'!M91,'27.07 Munyonyo-Kibuye-24h'!M91)</f>
        <v>53.5</v>
      </c>
      <c r="N91" s="49">
        <f>AVERAGE('26.07 Munyonyo-Kibuye-24h'!N91,'27.07 Munyonyo-Kibuye-24h'!N91)</f>
        <v>0</v>
      </c>
      <c r="O91" s="15">
        <f t="shared" si="35"/>
        <v>18.5</v>
      </c>
      <c r="P91" s="15">
        <f t="shared" si="36"/>
        <v>72</v>
      </c>
      <c r="R91" s="8"/>
      <c r="T91"/>
    </row>
    <row r="92" spans="2:20" ht="23.1" customHeight="1" x14ac:dyDescent="0.25">
      <c r="B92" s="25" t="s">
        <v>132</v>
      </c>
      <c r="C92" s="49">
        <f>AVERAGE('26.07 Munyonyo-Kibuye-24h'!C92,'27.07 Munyonyo-Kibuye-24h'!C92)</f>
        <v>4.5</v>
      </c>
      <c r="D92" s="49">
        <f>AVERAGE('26.07 Munyonyo-Kibuye-24h'!D92,'27.07 Munyonyo-Kibuye-24h'!D92)</f>
        <v>0.5</v>
      </c>
      <c r="E92" s="49">
        <f>AVERAGE('26.07 Munyonyo-Kibuye-24h'!E92,'27.07 Munyonyo-Kibuye-24h'!E92)</f>
        <v>0.5</v>
      </c>
      <c r="F92" s="49">
        <f>AVERAGE('26.07 Munyonyo-Kibuye-24h'!F92,'27.07 Munyonyo-Kibuye-24h'!F92)</f>
        <v>0</v>
      </c>
      <c r="G92" s="49">
        <f>AVERAGE('26.07 Munyonyo-Kibuye-24h'!G92,'27.07 Munyonyo-Kibuye-24h'!G92)</f>
        <v>0</v>
      </c>
      <c r="H92" s="49">
        <f>AVERAGE('26.07 Munyonyo-Kibuye-24h'!H92,'27.07 Munyonyo-Kibuye-24h'!H92)</f>
        <v>0</v>
      </c>
      <c r="I92" s="49">
        <f>AVERAGE('26.07 Munyonyo-Kibuye-24h'!I92,'27.07 Munyonyo-Kibuye-24h'!I92)</f>
        <v>0</v>
      </c>
      <c r="J92" s="49">
        <f>AVERAGE('26.07 Munyonyo-Kibuye-24h'!J92,'27.07 Munyonyo-Kibuye-24h'!J92)</f>
        <v>0</v>
      </c>
      <c r="K92" s="49">
        <f>AVERAGE('26.07 Munyonyo-Kibuye-24h'!K92,'27.07 Munyonyo-Kibuye-24h'!K92)</f>
        <v>0.5</v>
      </c>
      <c r="L92" s="49">
        <f>AVERAGE('26.07 Munyonyo-Kibuye-24h'!L92,'27.07 Munyonyo-Kibuye-24h'!L92)</f>
        <v>0</v>
      </c>
      <c r="M92" s="49">
        <f>AVERAGE('26.07 Munyonyo-Kibuye-24h'!M92,'27.07 Munyonyo-Kibuye-24h'!M92)</f>
        <v>51.5</v>
      </c>
      <c r="N92" s="49">
        <f>AVERAGE('26.07 Munyonyo-Kibuye-24h'!N92,'27.07 Munyonyo-Kibuye-24h'!N92)</f>
        <v>0</v>
      </c>
      <c r="O92" s="15">
        <f t="shared" si="35"/>
        <v>6</v>
      </c>
      <c r="P92" s="15">
        <f t="shared" si="36"/>
        <v>57.5</v>
      </c>
      <c r="R92" s="8"/>
      <c r="T92"/>
    </row>
    <row r="93" spans="2:20" ht="23.1" customHeight="1" x14ac:dyDescent="0.25">
      <c r="B93" s="23" t="s">
        <v>133</v>
      </c>
      <c r="C93" s="49">
        <f>AVERAGE('26.07 Munyonyo-Kibuye-24h'!C93,'27.07 Munyonyo-Kibuye-24h'!C93)</f>
        <v>3</v>
      </c>
      <c r="D93" s="49">
        <f>AVERAGE('26.07 Munyonyo-Kibuye-24h'!D93,'27.07 Munyonyo-Kibuye-24h'!D93)</f>
        <v>0.5</v>
      </c>
      <c r="E93" s="49">
        <f>AVERAGE('26.07 Munyonyo-Kibuye-24h'!E93,'27.07 Munyonyo-Kibuye-24h'!E93)</f>
        <v>0</v>
      </c>
      <c r="F93" s="49">
        <f>AVERAGE('26.07 Munyonyo-Kibuye-24h'!F93,'27.07 Munyonyo-Kibuye-24h'!F93)</f>
        <v>1.5</v>
      </c>
      <c r="G93" s="49">
        <f>AVERAGE('26.07 Munyonyo-Kibuye-24h'!G93,'27.07 Munyonyo-Kibuye-24h'!G93)</f>
        <v>0</v>
      </c>
      <c r="H93" s="49">
        <f>AVERAGE('26.07 Munyonyo-Kibuye-24h'!H93,'27.07 Munyonyo-Kibuye-24h'!H93)</f>
        <v>0</v>
      </c>
      <c r="I93" s="49">
        <f>AVERAGE('26.07 Munyonyo-Kibuye-24h'!I93,'27.07 Munyonyo-Kibuye-24h'!I93)</f>
        <v>1</v>
      </c>
      <c r="J93" s="49">
        <f>AVERAGE('26.07 Munyonyo-Kibuye-24h'!J93,'27.07 Munyonyo-Kibuye-24h'!J93)</f>
        <v>0</v>
      </c>
      <c r="K93" s="49">
        <f>AVERAGE('26.07 Munyonyo-Kibuye-24h'!K93,'27.07 Munyonyo-Kibuye-24h'!K93)</f>
        <v>0.5</v>
      </c>
      <c r="L93" s="49">
        <f>AVERAGE('26.07 Munyonyo-Kibuye-24h'!L93,'27.07 Munyonyo-Kibuye-24h'!L93)</f>
        <v>0</v>
      </c>
      <c r="M93" s="49">
        <f>AVERAGE('26.07 Munyonyo-Kibuye-24h'!M93,'27.07 Munyonyo-Kibuye-24h'!M93)</f>
        <v>76</v>
      </c>
      <c r="N93" s="49">
        <f>AVERAGE('26.07 Munyonyo-Kibuye-24h'!N93,'27.07 Munyonyo-Kibuye-24h'!N93)</f>
        <v>0</v>
      </c>
      <c r="O93" s="15">
        <f t="shared" si="35"/>
        <v>6.5</v>
      </c>
      <c r="P93" s="15">
        <f t="shared" si="36"/>
        <v>82.5</v>
      </c>
      <c r="R93" s="8"/>
      <c r="T93"/>
    </row>
    <row r="94" spans="2:20" ht="23.1" customHeight="1" x14ac:dyDescent="0.25">
      <c r="B94" s="24" t="s">
        <v>134</v>
      </c>
      <c r="C94" s="49">
        <f>AVERAGE('26.07 Munyonyo-Kibuye-24h'!C94,'27.07 Munyonyo-Kibuye-24h'!C94)</f>
        <v>5</v>
      </c>
      <c r="D94" s="49">
        <f>AVERAGE('26.07 Munyonyo-Kibuye-24h'!D94,'27.07 Munyonyo-Kibuye-24h'!D94)</f>
        <v>1</v>
      </c>
      <c r="E94" s="49">
        <f>AVERAGE('26.07 Munyonyo-Kibuye-24h'!E94,'27.07 Munyonyo-Kibuye-24h'!E94)</f>
        <v>1</v>
      </c>
      <c r="F94" s="49">
        <f>AVERAGE('26.07 Munyonyo-Kibuye-24h'!F94,'27.07 Munyonyo-Kibuye-24h'!F94)</f>
        <v>2</v>
      </c>
      <c r="G94" s="49">
        <f>AVERAGE('26.07 Munyonyo-Kibuye-24h'!G94,'27.07 Munyonyo-Kibuye-24h'!G94)</f>
        <v>0</v>
      </c>
      <c r="H94" s="49">
        <f>AVERAGE('26.07 Munyonyo-Kibuye-24h'!H94,'27.07 Munyonyo-Kibuye-24h'!H94)</f>
        <v>0</v>
      </c>
      <c r="I94" s="49">
        <f>AVERAGE('26.07 Munyonyo-Kibuye-24h'!I94,'27.07 Munyonyo-Kibuye-24h'!I94)</f>
        <v>0.5</v>
      </c>
      <c r="J94" s="49">
        <f>AVERAGE('26.07 Munyonyo-Kibuye-24h'!J94,'27.07 Munyonyo-Kibuye-24h'!J94)</f>
        <v>0</v>
      </c>
      <c r="K94" s="49">
        <f>AVERAGE('26.07 Munyonyo-Kibuye-24h'!K94,'27.07 Munyonyo-Kibuye-24h'!K94)</f>
        <v>0</v>
      </c>
      <c r="L94" s="49">
        <f>AVERAGE('26.07 Munyonyo-Kibuye-24h'!L94,'27.07 Munyonyo-Kibuye-24h'!L94)</f>
        <v>0</v>
      </c>
      <c r="M94" s="49">
        <f>AVERAGE('26.07 Munyonyo-Kibuye-24h'!M94,'27.07 Munyonyo-Kibuye-24h'!M94)</f>
        <v>48.5</v>
      </c>
      <c r="N94" s="49">
        <f>AVERAGE('26.07 Munyonyo-Kibuye-24h'!N94,'27.07 Munyonyo-Kibuye-24h'!N94)</f>
        <v>0</v>
      </c>
      <c r="O94" s="15">
        <f t="shared" si="35"/>
        <v>9.5</v>
      </c>
      <c r="P94" s="15">
        <f t="shared" si="36"/>
        <v>58</v>
      </c>
      <c r="R94" s="8"/>
      <c r="T94"/>
    </row>
    <row r="95" spans="2:20" ht="23.1" customHeight="1" x14ac:dyDescent="0.25">
      <c r="B95" s="23" t="s">
        <v>135</v>
      </c>
      <c r="C95" s="49">
        <f>AVERAGE('26.07 Munyonyo-Kibuye-24h'!C95,'27.07 Munyonyo-Kibuye-24h'!C95)</f>
        <v>3.5</v>
      </c>
      <c r="D95" s="49">
        <f>AVERAGE('26.07 Munyonyo-Kibuye-24h'!D95,'27.07 Munyonyo-Kibuye-24h'!D95)</f>
        <v>0.5</v>
      </c>
      <c r="E95" s="49">
        <f>AVERAGE('26.07 Munyonyo-Kibuye-24h'!E95,'27.07 Munyonyo-Kibuye-24h'!E95)</f>
        <v>5</v>
      </c>
      <c r="F95" s="49">
        <f>AVERAGE('26.07 Munyonyo-Kibuye-24h'!F95,'27.07 Munyonyo-Kibuye-24h'!F95)</f>
        <v>0.5</v>
      </c>
      <c r="G95" s="49">
        <f>AVERAGE('26.07 Munyonyo-Kibuye-24h'!G95,'27.07 Munyonyo-Kibuye-24h'!G95)</f>
        <v>0</v>
      </c>
      <c r="H95" s="49">
        <f>AVERAGE('26.07 Munyonyo-Kibuye-24h'!H95,'27.07 Munyonyo-Kibuye-24h'!H95)</f>
        <v>0</v>
      </c>
      <c r="I95" s="49">
        <f>AVERAGE('26.07 Munyonyo-Kibuye-24h'!I95,'27.07 Munyonyo-Kibuye-24h'!I95)</f>
        <v>0</v>
      </c>
      <c r="J95" s="49">
        <f>AVERAGE('26.07 Munyonyo-Kibuye-24h'!J95,'27.07 Munyonyo-Kibuye-24h'!J95)</f>
        <v>0</v>
      </c>
      <c r="K95" s="49">
        <f>AVERAGE('26.07 Munyonyo-Kibuye-24h'!K95,'27.07 Munyonyo-Kibuye-24h'!K95)</f>
        <v>0</v>
      </c>
      <c r="L95" s="49">
        <f>AVERAGE('26.07 Munyonyo-Kibuye-24h'!L95,'27.07 Munyonyo-Kibuye-24h'!L95)</f>
        <v>0</v>
      </c>
      <c r="M95" s="49">
        <f>AVERAGE('26.07 Munyonyo-Kibuye-24h'!M95,'27.07 Munyonyo-Kibuye-24h'!M95)</f>
        <v>41.5</v>
      </c>
      <c r="N95" s="49">
        <f>AVERAGE('26.07 Munyonyo-Kibuye-24h'!N95,'27.07 Munyonyo-Kibuye-24h'!N95)</f>
        <v>0</v>
      </c>
      <c r="O95" s="15">
        <f t="shared" si="35"/>
        <v>9.5</v>
      </c>
      <c r="P95" s="15">
        <f t="shared" si="36"/>
        <v>51</v>
      </c>
      <c r="R95" s="8"/>
      <c r="T95"/>
    </row>
    <row r="96" spans="2:20" ht="23.1" customHeight="1" x14ac:dyDescent="0.25">
      <c r="B96" s="25" t="s">
        <v>136</v>
      </c>
      <c r="C96" s="49">
        <f>AVERAGE('26.07 Munyonyo-Kibuye-24h'!C96,'27.07 Munyonyo-Kibuye-24h'!C96)</f>
        <v>5.5</v>
      </c>
      <c r="D96" s="49">
        <f>AVERAGE('26.07 Munyonyo-Kibuye-24h'!D96,'27.07 Munyonyo-Kibuye-24h'!D96)</f>
        <v>3.5</v>
      </c>
      <c r="E96" s="49">
        <f>AVERAGE('26.07 Munyonyo-Kibuye-24h'!E96,'27.07 Munyonyo-Kibuye-24h'!E96)</f>
        <v>0</v>
      </c>
      <c r="F96" s="49">
        <f>AVERAGE('26.07 Munyonyo-Kibuye-24h'!F96,'27.07 Munyonyo-Kibuye-24h'!F96)</f>
        <v>5.5</v>
      </c>
      <c r="G96" s="49">
        <f>AVERAGE('26.07 Munyonyo-Kibuye-24h'!G96,'27.07 Munyonyo-Kibuye-24h'!G96)</f>
        <v>0</v>
      </c>
      <c r="H96" s="49">
        <f>AVERAGE('26.07 Munyonyo-Kibuye-24h'!H96,'27.07 Munyonyo-Kibuye-24h'!H96)</f>
        <v>0</v>
      </c>
      <c r="I96" s="49">
        <f>AVERAGE('26.07 Munyonyo-Kibuye-24h'!I96,'27.07 Munyonyo-Kibuye-24h'!I96)</f>
        <v>0</v>
      </c>
      <c r="J96" s="49">
        <f>AVERAGE('26.07 Munyonyo-Kibuye-24h'!J96,'27.07 Munyonyo-Kibuye-24h'!J96)</f>
        <v>0</v>
      </c>
      <c r="K96" s="49">
        <f>AVERAGE('26.07 Munyonyo-Kibuye-24h'!K96,'27.07 Munyonyo-Kibuye-24h'!K96)</f>
        <v>0</v>
      </c>
      <c r="L96" s="49">
        <f>AVERAGE('26.07 Munyonyo-Kibuye-24h'!L96,'27.07 Munyonyo-Kibuye-24h'!L96)</f>
        <v>0</v>
      </c>
      <c r="M96" s="49">
        <f>AVERAGE('26.07 Munyonyo-Kibuye-24h'!M96,'27.07 Munyonyo-Kibuye-24h'!M96)</f>
        <v>41</v>
      </c>
      <c r="N96" s="49">
        <f>AVERAGE('26.07 Munyonyo-Kibuye-24h'!N96,'27.07 Munyonyo-Kibuye-24h'!N96)</f>
        <v>0</v>
      </c>
      <c r="O96" s="15">
        <f t="shared" si="35"/>
        <v>14.5</v>
      </c>
      <c r="P96" s="15">
        <f t="shared" si="36"/>
        <v>55.5</v>
      </c>
      <c r="R96" s="8"/>
      <c r="T96"/>
    </row>
    <row r="97" spans="2:20" ht="23.1" customHeight="1" x14ac:dyDescent="0.25">
      <c r="B97" s="23" t="s">
        <v>137</v>
      </c>
      <c r="C97" s="49">
        <f>AVERAGE('26.07 Munyonyo-Kibuye-24h'!C97,'27.07 Munyonyo-Kibuye-24h'!C97)</f>
        <v>8.5</v>
      </c>
      <c r="D97" s="49">
        <f>AVERAGE('26.07 Munyonyo-Kibuye-24h'!D97,'27.07 Munyonyo-Kibuye-24h'!D97)</f>
        <v>2</v>
      </c>
      <c r="E97" s="49">
        <f>AVERAGE('26.07 Munyonyo-Kibuye-24h'!E97,'27.07 Munyonyo-Kibuye-24h'!E97)</f>
        <v>0.5</v>
      </c>
      <c r="F97" s="49">
        <f>AVERAGE('26.07 Munyonyo-Kibuye-24h'!F97,'27.07 Munyonyo-Kibuye-24h'!F97)</f>
        <v>5</v>
      </c>
      <c r="G97" s="49">
        <f>AVERAGE('26.07 Munyonyo-Kibuye-24h'!G97,'27.07 Munyonyo-Kibuye-24h'!G97)</f>
        <v>0</v>
      </c>
      <c r="H97" s="49">
        <f>AVERAGE('26.07 Munyonyo-Kibuye-24h'!H97,'27.07 Munyonyo-Kibuye-24h'!H97)</f>
        <v>0</v>
      </c>
      <c r="I97" s="49">
        <f>AVERAGE('26.07 Munyonyo-Kibuye-24h'!I97,'27.07 Munyonyo-Kibuye-24h'!I97)</f>
        <v>0.5</v>
      </c>
      <c r="J97" s="49">
        <f>AVERAGE('26.07 Munyonyo-Kibuye-24h'!J97,'27.07 Munyonyo-Kibuye-24h'!J97)</f>
        <v>0.5</v>
      </c>
      <c r="K97" s="49">
        <f>AVERAGE('26.07 Munyonyo-Kibuye-24h'!K97,'27.07 Munyonyo-Kibuye-24h'!K97)</f>
        <v>0.5</v>
      </c>
      <c r="L97" s="49">
        <f>AVERAGE('26.07 Munyonyo-Kibuye-24h'!L97,'27.07 Munyonyo-Kibuye-24h'!L97)</f>
        <v>0</v>
      </c>
      <c r="M97" s="49">
        <f>AVERAGE('26.07 Munyonyo-Kibuye-24h'!M97,'27.07 Munyonyo-Kibuye-24h'!M97)</f>
        <v>53</v>
      </c>
      <c r="N97" s="49">
        <f>AVERAGE('26.07 Munyonyo-Kibuye-24h'!N97,'27.07 Munyonyo-Kibuye-24h'!N97)</f>
        <v>0</v>
      </c>
      <c r="O97" s="15">
        <f t="shared" si="35"/>
        <v>17.5</v>
      </c>
      <c r="P97" s="15">
        <f t="shared" si="36"/>
        <v>70.5</v>
      </c>
      <c r="R97" s="8"/>
      <c r="T97"/>
    </row>
    <row r="98" spans="2:20" ht="23.1" customHeight="1" x14ac:dyDescent="0.25">
      <c r="B98" s="24" t="s">
        <v>138</v>
      </c>
      <c r="C98" s="49">
        <f>AVERAGE('26.07 Munyonyo-Kibuye-24h'!C98,'27.07 Munyonyo-Kibuye-24h'!C98)</f>
        <v>16.5</v>
      </c>
      <c r="D98" s="49">
        <f>AVERAGE('26.07 Munyonyo-Kibuye-24h'!D98,'27.07 Munyonyo-Kibuye-24h'!D98)</f>
        <v>0.5</v>
      </c>
      <c r="E98" s="49">
        <f>AVERAGE('26.07 Munyonyo-Kibuye-24h'!E98,'27.07 Munyonyo-Kibuye-24h'!E98)</f>
        <v>0</v>
      </c>
      <c r="F98" s="49">
        <f>AVERAGE('26.07 Munyonyo-Kibuye-24h'!F98,'27.07 Munyonyo-Kibuye-24h'!F98)</f>
        <v>15</v>
      </c>
      <c r="G98" s="49">
        <f>AVERAGE('26.07 Munyonyo-Kibuye-24h'!G98,'27.07 Munyonyo-Kibuye-24h'!G98)</f>
        <v>0.5</v>
      </c>
      <c r="H98" s="49">
        <f>AVERAGE('26.07 Munyonyo-Kibuye-24h'!H98,'27.07 Munyonyo-Kibuye-24h'!H98)</f>
        <v>0</v>
      </c>
      <c r="I98" s="49">
        <f>AVERAGE('26.07 Munyonyo-Kibuye-24h'!I98,'27.07 Munyonyo-Kibuye-24h'!I98)</f>
        <v>0.5</v>
      </c>
      <c r="J98" s="49">
        <f>AVERAGE('26.07 Munyonyo-Kibuye-24h'!J98,'27.07 Munyonyo-Kibuye-24h'!J98)</f>
        <v>0</v>
      </c>
      <c r="K98" s="49">
        <f>AVERAGE('26.07 Munyonyo-Kibuye-24h'!K98,'27.07 Munyonyo-Kibuye-24h'!K98)</f>
        <v>0</v>
      </c>
      <c r="L98" s="49">
        <f>AVERAGE('26.07 Munyonyo-Kibuye-24h'!L98,'27.07 Munyonyo-Kibuye-24h'!L98)</f>
        <v>0</v>
      </c>
      <c r="M98" s="49">
        <f>AVERAGE('26.07 Munyonyo-Kibuye-24h'!M98,'27.07 Munyonyo-Kibuye-24h'!M98)</f>
        <v>63.5</v>
      </c>
      <c r="N98" s="49">
        <f>AVERAGE('26.07 Munyonyo-Kibuye-24h'!N98,'27.07 Munyonyo-Kibuye-24h'!N98)</f>
        <v>0</v>
      </c>
      <c r="O98" s="15">
        <f t="shared" si="35"/>
        <v>33</v>
      </c>
      <c r="P98" s="15">
        <f t="shared" si="36"/>
        <v>96.5</v>
      </c>
      <c r="R98" s="8"/>
      <c r="T98"/>
    </row>
    <row r="99" spans="2:20" ht="23.1" customHeight="1" x14ac:dyDescent="0.25">
      <c r="B99" s="23" t="s">
        <v>139</v>
      </c>
      <c r="C99" s="49">
        <f>AVERAGE('26.07 Munyonyo-Kibuye-24h'!C99,'27.07 Munyonyo-Kibuye-24h'!C99)</f>
        <v>27</v>
      </c>
      <c r="D99" s="49">
        <f>AVERAGE('26.07 Munyonyo-Kibuye-24h'!D99,'27.07 Munyonyo-Kibuye-24h'!D99)</f>
        <v>9</v>
      </c>
      <c r="E99" s="49">
        <f>AVERAGE('26.07 Munyonyo-Kibuye-24h'!E99,'27.07 Munyonyo-Kibuye-24h'!E99)</f>
        <v>2</v>
      </c>
      <c r="F99" s="49">
        <f>AVERAGE('26.07 Munyonyo-Kibuye-24h'!F99,'27.07 Munyonyo-Kibuye-24h'!F99)</f>
        <v>43.5</v>
      </c>
      <c r="G99" s="49">
        <f>AVERAGE('26.07 Munyonyo-Kibuye-24h'!G99,'27.07 Munyonyo-Kibuye-24h'!G99)</f>
        <v>0.5</v>
      </c>
      <c r="H99" s="49">
        <f>AVERAGE('26.07 Munyonyo-Kibuye-24h'!H99,'27.07 Munyonyo-Kibuye-24h'!H99)</f>
        <v>0</v>
      </c>
      <c r="I99" s="49">
        <f>AVERAGE('26.07 Munyonyo-Kibuye-24h'!I99,'27.07 Munyonyo-Kibuye-24h'!I99)</f>
        <v>0.5</v>
      </c>
      <c r="J99" s="49">
        <f>AVERAGE('26.07 Munyonyo-Kibuye-24h'!J99,'27.07 Munyonyo-Kibuye-24h'!J99)</f>
        <v>0</v>
      </c>
      <c r="K99" s="49">
        <f>AVERAGE('26.07 Munyonyo-Kibuye-24h'!K99,'27.07 Munyonyo-Kibuye-24h'!K99)</f>
        <v>0</v>
      </c>
      <c r="L99" s="49">
        <f>AVERAGE('26.07 Munyonyo-Kibuye-24h'!L99,'27.07 Munyonyo-Kibuye-24h'!L99)</f>
        <v>0</v>
      </c>
      <c r="M99" s="49">
        <f>AVERAGE('26.07 Munyonyo-Kibuye-24h'!M99,'27.07 Munyonyo-Kibuye-24h'!M99)</f>
        <v>84.5</v>
      </c>
      <c r="N99" s="49">
        <f>AVERAGE('26.07 Munyonyo-Kibuye-24h'!N99,'27.07 Munyonyo-Kibuye-24h'!N99)</f>
        <v>0</v>
      </c>
      <c r="O99" s="15">
        <f t="shared" si="35"/>
        <v>82.5</v>
      </c>
      <c r="P99" s="15">
        <f t="shared" si="36"/>
        <v>167</v>
      </c>
      <c r="R99" s="8"/>
      <c r="T99"/>
    </row>
    <row r="100" spans="2:20" ht="23.1" customHeight="1" x14ac:dyDescent="0.25">
      <c r="B100" s="25" t="s">
        <v>140</v>
      </c>
      <c r="C100" s="49">
        <f>AVERAGE('26.07 Munyonyo-Kibuye-24h'!C100,'27.07 Munyonyo-Kibuye-24h'!C100)</f>
        <v>29</v>
      </c>
      <c r="D100" s="49">
        <f>AVERAGE('26.07 Munyonyo-Kibuye-24h'!D100,'27.07 Munyonyo-Kibuye-24h'!D100)</f>
        <v>2.5</v>
      </c>
      <c r="E100" s="49">
        <f>AVERAGE('26.07 Munyonyo-Kibuye-24h'!E100,'27.07 Munyonyo-Kibuye-24h'!E100)</f>
        <v>0.5</v>
      </c>
      <c r="F100" s="49">
        <f>AVERAGE('26.07 Munyonyo-Kibuye-24h'!F100,'27.07 Munyonyo-Kibuye-24h'!F100)</f>
        <v>31</v>
      </c>
      <c r="G100" s="49">
        <f>AVERAGE('26.07 Munyonyo-Kibuye-24h'!G100,'27.07 Munyonyo-Kibuye-24h'!G100)</f>
        <v>0</v>
      </c>
      <c r="H100" s="49">
        <f>AVERAGE('26.07 Munyonyo-Kibuye-24h'!H100,'27.07 Munyonyo-Kibuye-24h'!H100)</f>
        <v>0</v>
      </c>
      <c r="I100" s="49">
        <f>AVERAGE('26.07 Munyonyo-Kibuye-24h'!I100,'27.07 Munyonyo-Kibuye-24h'!I100)</f>
        <v>0</v>
      </c>
      <c r="J100" s="49">
        <f>AVERAGE('26.07 Munyonyo-Kibuye-24h'!J100,'27.07 Munyonyo-Kibuye-24h'!J100)</f>
        <v>0</v>
      </c>
      <c r="K100" s="49">
        <f>AVERAGE('26.07 Munyonyo-Kibuye-24h'!K100,'27.07 Munyonyo-Kibuye-24h'!K100)</f>
        <v>0</v>
      </c>
      <c r="L100" s="49">
        <f>AVERAGE('26.07 Munyonyo-Kibuye-24h'!L100,'27.07 Munyonyo-Kibuye-24h'!L100)</f>
        <v>0</v>
      </c>
      <c r="M100" s="49">
        <f>AVERAGE('26.07 Munyonyo-Kibuye-24h'!M100,'27.07 Munyonyo-Kibuye-24h'!M100)</f>
        <v>91.5</v>
      </c>
      <c r="N100" s="49">
        <f>AVERAGE('26.07 Munyonyo-Kibuye-24h'!N100,'27.07 Munyonyo-Kibuye-24h'!N100)</f>
        <v>0</v>
      </c>
      <c r="O100" s="15">
        <f t="shared" si="35"/>
        <v>63</v>
      </c>
      <c r="P100" s="15">
        <f t="shared" si="36"/>
        <v>154.5</v>
      </c>
      <c r="R100" s="8"/>
      <c r="T100"/>
    </row>
    <row r="101" spans="2:20" ht="23.1" customHeight="1" x14ac:dyDescent="0.25">
      <c r="B101" s="23" t="s">
        <v>141</v>
      </c>
      <c r="C101" s="49">
        <f>AVERAGE('26.07 Munyonyo-Kibuye-24h'!C101,'27.07 Munyonyo-Kibuye-24h'!C101)</f>
        <v>31.5</v>
      </c>
      <c r="D101" s="49">
        <f>AVERAGE('26.07 Munyonyo-Kibuye-24h'!D101,'27.07 Munyonyo-Kibuye-24h'!D101)</f>
        <v>1</v>
      </c>
      <c r="E101" s="49">
        <f>AVERAGE('26.07 Munyonyo-Kibuye-24h'!E101,'27.07 Munyonyo-Kibuye-24h'!E101)</f>
        <v>6.5</v>
      </c>
      <c r="F101" s="49">
        <f>AVERAGE('26.07 Munyonyo-Kibuye-24h'!F101,'27.07 Munyonyo-Kibuye-24h'!F101)</f>
        <v>41.5</v>
      </c>
      <c r="G101" s="49">
        <f>AVERAGE('26.07 Munyonyo-Kibuye-24h'!G101,'27.07 Munyonyo-Kibuye-24h'!G101)</f>
        <v>1.5</v>
      </c>
      <c r="H101" s="49">
        <f>AVERAGE('26.07 Munyonyo-Kibuye-24h'!H101,'27.07 Munyonyo-Kibuye-24h'!H101)</f>
        <v>0.5</v>
      </c>
      <c r="I101" s="49">
        <f>AVERAGE('26.07 Munyonyo-Kibuye-24h'!I101,'27.07 Munyonyo-Kibuye-24h'!I101)</f>
        <v>0</v>
      </c>
      <c r="J101" s="49">
        <f>AVERAGE('26.07 Munyonyo-Kibuye-24h'!J101,'27.07 Munyonyo-Kibuye-24h'!J101)</f>
        <v>0</v>
      </c>
      <c r="K101" s="49">
        <f>AVERAGE('26.07 Munyonyo-Kibuye-24h'!K101,'27.07 Munyonyo-Kibuye-24h'!K101)</f>
        <v>0</v>
      </c>
      <c r="L101" s="49">
        <f>AVERAGE('26.07 Munyonyo-Kibuye-24h'!L101,'27.07 Munyonyo-Kibuye-24h'!L101)</f>
        <v>0.5</v>
      </c>
      <c r="M101" s="49">
        <f>AVERAGE('26.07 Munyonyo-Kibuye-24h'!M101,'27.07 Munyonyo-Kibuye-24h'!M101)</f>
        <v>189</v>
      </c>
      <c r="N101" s="49">
        <f>AVERAGE('26.07 Munyonyo-Kibuye-24h'!N101,'27.07 Munyonyo-Kibuye-24h'!N101)</f>
        <v>0</v>
      </c>
      <c r="O101" s="15">
        <f t="shared" si="35"/>
        <v>83</v>
      </c>
      <c r="P101" s="15">
        <f t="shared" si="36"/>
        <v>272</v>
      </c>
      <c r="R101" s="8"/>
      <c r="T101"/>
    </row>
    <row r="102" spans="2:20" ht="23.1" customHeight="1" x14ac:dyDescent="0.25">
      <c r="B102" s="24" t="s">
        <v>142</v>
      </c>
      <c r="C102" s="49">
        <f>AVERAGE('26.07 Munyonyo-Kibuye-24h'!C102,'27.07 Munyonyo-Kibuye-24h'!C102)</f>
        <v>23.5</v>
      </c>
      <c r="D102" s="49">
        <f>AVERAGE('26.07 Munyonyo-Kibuye-24h'!D102,'27.07 Munyonyo-Kibuye-24h'!D102)</f>
        <v>5.5</v>
      </c>
      <c r="E102" s="49">
        <f>AVERAGE('26.07 Munyonyo-Kibuye-24h'!E102,'27.07 Munyonyo-Kibuye-24h'!E102)</f>
        <v>1.5</v>
      </c>
      <c r="F102" s="49">
        <f>AVERAGE('26.07 Munyonyo-Kibuye-24h'!F102,'27.07 Munyonyo-Kibuye-24h'!F102)</f>
        <v>39.5</v>
      </c>
      <c r="G102" s="49">
        <f>AVERAGE('26.07 Munyonyo-Kibuye-24h'!G102,'27.07 Munyonyo-Kibuye-24h'!G102)</f>
        <v>1.5</v>
      </c>
      <c r="H102" s="49">
        <f>AVERAGE('26.07 Munyonyo-Kibuye-24h'!H102,'27.07 Munyonyo-Kibuye-24h'!H102)</f>
        <v>0</v>
      </c>
      <c r="I102" s="49">
        <f>AVERAGE('26.07 Munyonyo-Kibuye-24h'!I102,'27.07 Munyonyo-Kibuye-24h'!I102)</f>
        <v>1.5</v>
      </c>
      <c r="J102" s="49">
        <f>AVERAGE('26.07 Munyonyo-Kibuye-24h'!J102,'27.07 Munyonyo-Kibuye-24h'!J102)</f>
        <v>0.5</v>
      </c>
      <c r="K102" s="49">
        <f>AVERAGE('26.07 Munyonyo-Kibuye-24h'!K102,'27.07 Munyonyo-Kibuye-24h'!K102)</f>
        <v>0</v>
      </c>
      <c r="L102" s="49">
        <f>AVERAGE('26.07 Munyonyo-Kibuye-24h'!L102,'27.07 Munyonyo-Kibuye-24h'!L102)</f>
        <v>0</v>
      </c>
      <c r="M102" s="49">
        <f>AVERAGE('26.07 Munyonyo-Kibuye-24h'!M102,'27.07 Munyonyo-Kibuye-24h'!M102)</f>
        <v>130.5</v>
      </c>
      <c r="N102" s="49">
        <f>AVERAGE('26.07 Munyonyo-Kibuye-24h'!N102,'27.07 Munyonyo-Kibuye-24h'!N102)</f>
        <v>0</v>
      </c>
      <c r="O102" s="15">
        <f t="shared" si="35"/>
        <v>73.5</v>
      </c>
      <c r="P102" s="15">
        <f t="shared" si="36"/>
        <v>204</v>
      </c>
      <c r="R102" s="8"/>
      <c r="T102"/>
    </row>
    <row r="103" spans="2:20" ht="23.1" customHeight="1" x14ac:dyDescent="0.25">
      <c r="B103" s="23" t="s">
        <v>143</v>
      </c>
      <c r="C103" s="49">
        <f>AVERAGE('26.07 Munyonyo-Kibuye-24h'!C103,'27.07 Munyonyo-Kibuye-24h'!C103)</f>
        <v>45</v>
      </c>
      <c r="D103" s="49">
        <f>AVERAGE('26.07 Munyonyo-Kibuye-24h'!D103,'27.07 Munyonyo-Kibuye-24h'!D103)</f>
        <v>8</v>
      </c>
      <c r="E103" s="49">
        <f>AVERAGE('26.07 Munyonyo-Kibuye-24h'!E103,'27.07 Munyonyo-Kibuye-24h'!E103)</f>
        <v>4.5</v>
      </c>
      <c r="F103" s="49">
        <f>AVERAGE('26.07 Munyonyo-Kibuye-24h'!F103,'27.07 Munyonyo-Kibuye-24h'!F103)</f>
        <v>54</v>
      </c>
      <c r="G103" s="49">
        <f>AVERAGE('26.07 Munyonyo-Kibuye-24h'!G103,'27.07 Munyonyo-Kibuye-24h'!G103)</f>
        <v>0</v>
      </c>
      <c r="H103" s="49">
        <f>AVERAGE('26.07 Munyonyo-Kibuye-24h'!H103,'27.07 Munyonyo-Kibuye-24h'!H103)</f>
        <v>0</v>
      </c>
      <c r="I103" s="49">
        <f>AVERAGE('26.07 Munyonyo-Kibuye-24h'!I103,'27.07 Munyonyo-Kibuye-24h'!I103)</f>
        <v>2</v>
      </c>
      <c r="J103" s="49">
        <f>AVERAGE('26.07 Munyonyo-Kibuye-24h'!J103,'27.07 Munyonyo-Kibuye-24h'!J103)</f>
        <v>0</v>
      </c>
      <c r="K103" s="49">
        <f>AVERAGE('26.07 Munyonyo-Kibuye-24h'!K103,'27.07 Munyonyo-Kibuye-24h'!K103)</f>
        <v>0</v>
      </c>
      <c r="L103" s="49">
        <f>AVERAGE('26.07 Munyonyo-Kibuye-24h'!L103,'27.07 Munyonyo-Kibuye-24h'!L103)</f>
        <v>0</v>
      </c>
      <c r="M103" s="49">
        <f>AVERAGE('26.07 Munyonyo-Kibuye-24h'!M103,'27.07 Munyonyo-Kibuye-24h'!M103)</f>
        <v>95.5</v>
      </c>
      <c r="N103" s="49">
        <f>AVERAGE('26.07 Munyonyo-Kibuye-24h'!N103,'27.07 Munyonyo-Kibuye-24h'!N103)</f>
        <v>0</v>
      </c>
      <c r="O103" s="15">
        <f t="shared" si="35"/>
        <v>113.5</v>
      </c>
      <c r="P103" s="15">
        <f t="shared" si="36"/>
        <v>209</v>
      </c>
      <c r="R103" s="8"/>
      <c r="T103"/>
    </row>
    <row r="104" spans="2:20" ht="23.1" customHeight="1" x14ac:dyDescent="0.25">
      <c r="B104" s="25" t="s">
        <v>144</v>
      </c>
      <c r="C104" s="49">
        <f>AVERAGE('26.07 Munyonyo-Kibuye-24h'!C104,'27.07 Munyonyo-Kibuye-24h'!C104)</f>
        <v>84</v>
      </c>
      <c r="D104" s="49">
        <f>AVERAGE('26.07 Munyonyo-Kibuye-24h'!D104,'27.07 Munyonyo-Kibuye-24h'!D104)</f>
        <v>21.5</v>
      </c>
      <c r="E104" s="49">
        <f>AVERAGE('26.07 Munyonyo-Kibuye-24h'!E104,'27.07 Munyonyo-Kibuye-24h'!E104)</f>
        <v>4</v>
      </c>
      <c r="F104" s="49">
        <f>AVERAGE('26.07 Munyonyo-Kibuye-24h'!F104,'27.07 Munyonyo-Kibuye-24h'!F104)</f>
        <v>123.5</v>
      </c>
      <c r="G104" s="49">
        <f>AVERAGE('26.07 Munyonyo-Kibuye-24h'!G104,'27.07 Munyonyo-Kibuye-24h'!G104)</f>
        <v>3</v>
      </c>
      <c r="H104" s="49">
        <f>AVERAGE('26.07 Munyonyo-Kibuye-24h'!H104,'27.07 Munyonyo-Kibuye-24h'!H104)</f>
        <v>0.5</v>
      </c>
      <c r="I104" s="49">
        <f>AVERAGE('26.07 Munyonyo-Kibuye-24h'!I104,'27.07 Munyonyo-Kibuye-24h'!I104)</f>
        <v>2.5</v>
      </c>
      <c r="J104" s="49">
        <f>AVERAGE('26.07 Munyonyo-Kibuye-24h'!J104,'27.07 Munyonyo-Kibuye-24h'!J104)</f>
        <v>0.5</v>
      </c>
      <c r="K104" s="49">
        <f>AVERAGE('26.07 Munyonyo-Kibuye-24h'!K104,'27.07 Munyonyo-Kibuye-24h'!K104)</f>
        <v>0</v>
      </c>
      <c r="L104" s="49">
        <f>AVERAGE('26.07 Munyonyo-Kibuye-24h'!L104,'27.07 Munyonyo-Kibuye-24h'!L104)</f>
        <v>0</v>
      </c>
      <c r="M104" s="49">
        <f>AVERAGE('26.07 Munyonyo-Kibuye-24h'!M104,'27.07 Munyonyo-Kibuye-24h'!M104)</f>
        <v>170</v>
      </c>
      <c r="N104" s="49">
        <f>AVERAGE('26.07 Munyonyo-Kibuye-24h'!N104,'27.07 Munyonyo-Kibuye-24h'!N104)</f>
        <v>0</v>
      </c>
      <c r="O104" s="15">
        <f t="shared" si="35"/>
        <v>239.5</v>
      </c>
      <c r="P104" s="15">
        <f t="shared" si="36"/>
        <v>409.5</v>
      </c>
      <c r="R104" s="8"/>
      <c r="T104"/>
    </row>
    <row r="105" spans="2:20" ht="23.1" customHeight="1" x14ac:dyDescent="0.25">
      <c r="B105" s="23" t="s">
        <v>145</v>
      </c>
      <c r="C105" s="49">
        <f>AVERAGE('26.07 Munyonyo-Kibuye-24h'!C105,'27.07 Munyonyo-Kibuye-24h'!C105)</f>
        <v>93</v>
      </c>
      <c r="D105" s="49">
        <f>AVERAGE('26.07 Munyonyo-Kibuye-24h'!D105,'27.07 Munyonyo-Kibuye-24h'!D105)</f>
        <v>19</v>
      </c>
      <c r="E105" s="49">
        <f>AVERAGE('26.07 Munyonyo-Kibuye-24h'!E105,'27.07 Munyonyo-Kibuye-24h'!E105)</f>
        <v>4.5</v>
      </c>
      <c r="F105" s="49">
        <f>AVERAGE('26.07 Munyonyo-Kibuye-24h'!F105,'27.07 Munyonyo-Kibuye-24h'!F105)</f>
        <v>68</v>
      </c>
      <c r="G105" s="49">
        <f>AVERAGE('26.07 Munyonyo-Kibuye-24h'!G105,'27.07 Munyonyo-Kibuye-24h'!G105)</f>
        <v>1</v>
      </c>
      <c r="H105" s="49">
        <f>AVERAGE('26.07 Munyonyo-Kibuye-24h'!H105,'27.07 Munyonyo-Kibuye-24h'!H105)</f>
        <v>0</v>
      </c>
      <c r="I105" s="49">
        <f>AVERAGE('26.07 Munyonyo-Kibuye-24h'!I105,'27.07 Munyonyo-Kibuye-24h'!I105)</f>
        <v>4.5</v>
      </c>
      <c r="J105" s="49">
        <f>AVERAGE('26.07 Munyonyo-Kibuye-24h'!J105,'27.07 Munyonyo-Kibuye-24h'!J105)</f>
        <v>0</v>
      </c>
      <c r="K105" s="49">
        <f>AVERAGE('26.07 Munyonyo-Kibuye-24h'!K105,'27.07 Munyonyo-Kibuye-24h'!K105)</f>
        <v>1</v>
      </c>
      <c r="L105" s="49">
        <f>AVERAGE('26.07 Munyonyo-Kibuye-24h'!L105,'27.07 Munyonyo-Kibuye-24h'!L105)</f>
        <v>0</v>
      </c>
      <c r="M105" s="49">
        <f>AVERAGE('26.07 Munyonyo-Kibuye-24h'!M105,'27.07 Munyonyo-Kibuye-24h'!M105)</f>
        <v>150.5</v>
      </c>
      <c r="N105" s="49">
        <f>AVERAGE('26.07 Munyonyo-Kibuye-24h'!N105,'27.07 Munyonyo-Kibuye-24h'!N105)</f>
        <v>0</v>
      </c>
      <c r="O105" s="15">
        <f t="shared" si="35"/>
        <v>191</v>
      </c>
      <c r="P105" s="15">
        <f t="shared" si="36"/>
        <v>341.5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2555.5714285714284</v>
      </c>
      <c r="D106" s="16">
        <f t="shared" ref="D106:P106" si="37">SUM(D10:D105)</f>
        <v>1054.0714285714284</v>
      </c>
      <c r="E106" s="16">
        <f t="shared" si="37"/>
        <v>277.35714285714289</v>
      </c>
      <c r="F106" s="16">
        <f t="shared" si="37"/>
        <v>2999.1428571428573</v>
      </c>
      <c r="G106" s="16">
        <f t="shared" si="37"/>
        <v>34.642857142857146</v>
      </c>
      <c r="H106" s="16">
        <f t="shared" si="37"/>
        <v>7.7857142857142856</v>
      </c>
      <c r="I106" s="16">
        <f t="shared" si="37"/>
        <v>212.78571428571425</v>
      </c>
      <c r="J106" s="16">
        <f t="shared" si="37"/>
        <v>27.142857142857139</v>
      </c>
      <c r="K106" s="16">
        <f t="shared" si="37"/>
        <v>19.642857142857142</v>
      </c>
      <c r="L106" s="16">
        <f t="shared" si="37"/>
        <v>4.6428571428571423</v>
      </c>
      <c r="M106" s="16">
        <f t="shared" si="37"/>
        <v>14604.142857142855</v>
      </c>
      <c r="N106" s="16">
        <f t="shared" si="37"/>
        <v>3.3571428571428572</v>
      </c>
      <c r="O106" s="16">
        <f t="shared" si="37"/>
        <v>7196.1428571428578</v>
      </c>
      <c r="P106" s="16">
        <f t="shared" si="37"/>
        <v>21800.28571428571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0.11722651079278124</v>
      </c>
      <c r="D107" s="43">
        <f t="shared" si="38"/>
        <v>4.8351266693752379E-2</v>
      </c>
      <c r="E107" s="43">
        <f t="shared" si="38"/>
        <v>1.2722637973290001E-2</v>
      </c>
      <c r="F107" s="43">
        <f t="shared" si="38"/>
        <v>0.13757355735835708</v>
      </c>
      <c r="G107" s="43">
        <f t="shared" si="38"/>
        <v>1.5891010602744398E-3</v>
      </c>
      <c r="H107" s="43">
        <f t="shared" si="38"/>
        <v>3.5713817643281222E-4</v>
      </c>
      <c r="I107" s="43">
        <f t="shared" si="38"/>
        <v>9.7606846568197014E-3</v>
      </c>
      <c r="J107" s="43">
        <f t="shared" si="38"/>
        <v>1.2450688719676021E-3</v>
      </c>
      <c r="K107" s="43">
        <f t="shared" si="38"/>
        <v>9.0103668366076474E-4</v>
      </c>
      <c r="L107" s="43">
        <f t="shared" si="38"/>
        <v>2.1297230704708984E-4</v>
      </c>
      <c r="M107" s="43">
        <f t="shared" si="38"/>
        <v>0.66990603006513683</v>
      </c>
      <c r="N107" s="43">
        <f t="shared" si="38"/>
        <v>1.5399536048020345E-4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0.35513072479304386</v>
      </c>
      <c r="D108" s="44">
        <f t="shared" ref="D108:N108" si="39">D106/$O$106</f>
        <v>0.1464772794949675</v>
      </c>
      <c r="E108" s="44">
        <f t="shared" si="39"/>
        <v>3.8542473150298774E-2</v>
      </c>
      <c r="F108" s="44">
        <f t="shared" si="39"/>
        <v>0.41677088916681554</v>
      </c>
      <c r="G108" s="44">
        <f t="shared" si="39"/>
        <v>4.8140869116391717E-3</v>
      </c>
      <c r="H108" s="44">
        <f t="shared" si="39"/>
        <v>1.0819288110694219E-3</v>
      </c>
      <c r="I108" s="44">
        <f t="shared" si="39"/>
        <v>2.9569412185099151E-2</v>
      </c>
      <c r="J108" s="44">
        <f t="shared" si="39"/>
        <v>3.7718619101502781E-3</v>
      </c>
      <c r="K108" s="44">
        <f t="shared" si="39"/>
        <v>2.7296369086613858E-3</v>
      </c>
      <c r="L108" s="44">
        <f t="shared" si="39"/>
        <v>6.4518690568360023E-4</v>
      </c>
      <c r="M108" s="44"/>
      <c r="N108" s="44">
        <f t="shared" si="39"/>
        <v>4.6651976257121866E-4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F1" zoomScale="60" workbookViewId="0">
      <selection activeCell="R9" sqref="R9:R3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28" width="10.7109375" customWidth="1"/>
    <col min="29" max="29" width="12.42578125" customWidth="1"/>
    <col min="30" max="31" width="10.7109375" customWidth="1"/>
    <col min="32" max="32" width="12.4257812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'28.07 Munyonyo-Kibuye'!C3:G3</f>
        <v>MCC - C1 - STN01A - SALAMA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170</v>
      </c>
      <c r="E5" s="67"/>
      <c r="F5" s="41" t="s">
        <v>1</v>
      </c>
      <c r="G5" s="64" t="str">
        <f>'Avg Week Munyonyo-Kibuye'!G5:H5</f>
        <v>Salama road 1A</v>
      </c>
      <c r="H5" s="65"/>
      <c r="I5" s="14"/>
      <c r="J5" s="2" t="s">
        <v>5</v>
      </c>
      <c r="K5" s="64" t="str">
        <f>'Avg Week Munyonyo-Kibuye'!K5:L5</f>
        <v>Gerald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8" t="s">
        <v>161</v>
      </c>
      <c r="E6" s="69"/>
      <c r="F6" s="2" t="s">
        <v>2</v>
      </c>
      <c r="G6" s="68" t="s">
        <v>161</v>
      </c>
      <c r="H6" s="69"/>
      <c r="J6" s="2" t="s">
        <v>21</v>
      </c>
      <c r="K6" s="64" t="str">
        <f>'Avg Week Munyonyo-Kibuye'!K6:L6</f>
        <v>Emma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Kibuye-Munyonyo'!C10+'Avg Week Munyonyo-Kibuye'!C10</f>
        <v>41.142857142857139</v>
      </c>
      <c r="D10" s="49">
        <f>'Avg Week Kibuye-Munyonyo'!D10+'Avg Week Munyonyo-Kibuye'!D10</f>
        <v>17.142857142857142</v>
      </c>
      <c r="E10" s="49">
        <f>'Avg Week Kibuye-Munyonyo'!E10+'Avg Week Munyonyo-Kibuye'!E10</f>
        <v>4.7142857142857144</v>
      </c>
      <c r="F10" s="49">
        <f>'Avg Week Kibuye-Munyonyo'!F10+'Avg Week Munyonyo-Kibuye'!F10</f>
        <v>91.285714285714292</v>
      </c>
      <c r="G10" s="49">
        <f>'Avg Week Kibuye-Munyonyo'!G10+'Avg Week Munyonyo-Kibuye'!G10</f>
        <v>0.8571428571428571</v>
      </c>
      <c r="H10" s="49">
        <f>'Avg Week Kibuye-Munyonyo'!H10+'Avg Week Munyonyo-Kibuye'!H10</f>
        <v>0</v>
      </c>
      <c r="I10" s="49">
        <f>'Avg Week Kibuye-Munyonyo'!I10+'Avg Week Munyonyo-Kibuye'!I10</f>
        <v>5</v>
      </c>
      <c r="J10" s="49">
        <f>'Avg Week Kibuye-Munyonyo'!J10+'Avg Week Munyonyo-Kibuye'!J10</f>
        <v>0.14285714285714285</v>
      </c>
      <c r="K10" s="49">
        <f>'Avg Week Kibuye-Munyonyo'!K10+'Avg Week Munyonyo-Kibuye'!K10</f>
        <v>0.71428571428571419</v>
      </c>
      <c r="L10" s="49">
        <f>'Avg Week Kibuye-Munyonyo'!L10+'Avg Week Munyonyo-Kibuye'!L10</f>
        <v>0</v>
      </c>
      <c r="M10" s="49">
        <f>'Avg Week Kibuye-Munyonyo'!M10+'Avg Week Munyonyo-Kibuye'!M10</f>
        <v>231.85714285714283</v>
      </c>
      <c r="N10" s="49">
        <f>'Avg Week Kibuye-Munyonyo'!N10+'Avg Week Munyonyo-Kibuye'!N10</f>
        <v>0</v>
      </c>
      <c r="O10" s="15">
        <f t="shared" ref="O10:O57" si="0">SUM(C10:L10,N10)</f>
        <v>161</v>
      </c>
      <c r="P10" s="15">
        <f t="shared" ref="P10:P57" si="1">SUM(C10:N10)</f>
        <v>392.85714285714283</v>
      </c>
      <c r="R10" s="1" t="s">
        <v>6</v>
      </c>
      <c r="S10" s="17">
        <f t="shared" ref="S10:AF10" si="2">SUM(C10:C13)</f>
        <v>131.71428571428572</v>
      </c>
      <c r="T10" s="17">
        <f t="shared" si="2"/>
        <v>64.428571428571416</v>
      </c>
      <c r="U10" s="17">
        <f t="shared" si="2"/>
        <v>15.428571428571427</v>
      </c>
      <c r="V10" s="17">
        <f t="shared" si="2"/>
        <v>380.85714285714289</v>
      </c>
      <c r="W10" s="17">
        <f t="shared" si="2"/>
        <v>3.4285714285714284</v>
      </c>
      <c r="X10" s="17">
        <f t="shared" si="2"/>
        <v>0.71428571428571419</v>
      </c>
      <c r="Y10" s="17">
        <f t="shared" si="2"/>
        <v>20.428571428571431</v>
      </c>
      <c r="Z10" s="17">
        <f t="shared" si="2"/>
        <v>2.714285714285714</v>
      </c>
      <c r="AA10" s="17">
        <f t="shared" si="2"/>
        <v>1.5714285714285714</v>
      </c>
      <c r="AB10" s="17">
        <f t="shared" si="2"/>
        <v>0</v>
      </c>
      <c r="AC10" s="17">
        <f t="shared" si="2"/>
        <v>1125.2857142857142</v>
      </c>
      <c r="AD10" s="17">
        <f t="shared" si="2"/>
        <v>0</v>
      </c>
      <c r="AE10" s="31">
        <f t="shared" si="2"/>
        <v>621.28571428571422</v>
      </c>
      <c r="AF10" s="31">
        <f t="shared" si="2"/>
        <v>1746.5714285714284</v>
      </c>
    </row>
    <row r="11" spans="2:32" s="6" customFormat="1" ht="23.1" customHeight="1" x14ac:dyDescent="0.25">
      <c r="B11" s="23" t="s">
        <v>38</v>
      </c>
      <c r="C11" s="49">
        <f>'Avg Week Kibuye-Munyonyo'!C11+'Avg Week Munyonyo-Kibuye'!C11</f>
        <v>28.857142857142858</v>
      </c>
      <c r="D11" s="49">
        <f>'Avg Week Kibuye-Munyonyo'!D11+'Avg Week Munyonyo-Kibuye'!D11</f>
        <v>17.571428571428569</v>
      </c>
      <c r="E11" s="49">
        <f>'Avg Week Kibuye-Munyonyo'!E11+'Avg Week Munyonyo-Kibuye'!E11</f>
        <v>3.5714285714285712</v>
      </c>
      <c r="F11" s="49">
        <f>'Avg Week Kibuye-Munyonyo'!F11+'Avg Week Munyonyo-Kibuye'!F11</f>
        <v>86.142857142857139</v>
      </c>
      <c r="G11" s="49">
        <f>'Avg Week Kibuye-Munyonyo'!G11+'Avg Week Munyonyo-Kibuye'!G11</f>
        <v>0.5714285714285714</v>
      </c>
      <c r="H11" s="49">
        <f>'Avg Week Kibuye-Munyonyo'!H11+'Avg Week Munyonyo-Kibuye'!H11</f>
        <v>0.2857142857142857</v>
      </c>
      <c r="I11" s="49">
        <f>'Avg Week Kibuye-Munyonyo'!I11+'Avg Week Munyonyo-Kibuye'!I11</f>
        <v>5.8571428571428577</v>
      </c>
      <c r="J11" s="49">
        <f>'Avg Week Kibuye-Munyonyo'!J11+'Avg Week Munyonyo-Kibuye'!J11</f>
        <v>1.2857142857142856</v>
      </c>
      <c r="K11" s="49">
        <f>'Avg Week Kibuye-Munyonyo'!K11+'Avg Week Munyonyo-Kibuye'!K11</f>
        <v>0.2857142857142857</v>
      </c>
      <c r="L11" s="49">
        <f>'Avg Week Kibuye-Munyonyo'!L11+'Avg Week Munyonyo-Kibuye'!L11</f>
        <v>0</v>
      </c>
      <c r="M11" s="49">
        <f>'Avg Week Kibuye-Munyonyo'!M11+'Avg Week Munyonyo-Kibuye'!M11</f>
        <v>259.85714285714289</v>
      </c>
      <c r="N11" s="49">
        <f>'Avg Week Kibuye-Munyonyo'!N11+'Avg Week Munyonyo-Kibuye'!N11</f>
        <v>0</v>
      </c>
      <c r="O11" s="15">
        <f t="shared" si="0"/>
        <v>144.42857142857142</v>
      </c>
      <c r="P11" s="15">
        <f t="shared" si="1"/>
        <v>404.28571428571433</v>
      </c>
      <c r="R11" s="1" t="s">
        <v>7</v>
      </c>
      <c r="S11" s="17">
        <f>SUM(C14:C17)</f>
        <v>154.42857142857144</v>
      </c>
      <c r="T11" s="17">
        <f t="shared" ref="T11:AF11" si="3">SUM(D14:D17)</f>
        <v>72.428571428571431</v>
      </c>
      <c r="U11" s="17">
        <f t="shared" si="3"/>
        <v>24.142857142857142</v>
      </c>
      <c r="V11" s="17">
        <f t="shared" si="3"/>
        <v>465.85714285714289</v>
      </c>
      <c r="W11" s="17">
        <f t="shared" si="3"/>
        <v>3.8571428571428568</v>
      </c>
      <c r="X11" s="17">
        <f t="shared" si="3"/>
        <v>0</v>
      </c>
      <c r="Y11" s="17">
        <f t="shared" si="3"/>
        <v>21.857142857142861</v>
      </c>
      <c r="Z11" s="17">
        <f t="shared" si="3"/>
        <v>4.5714285714285712</v>
      </c>
      <c r="AA11" s="17">
        <f t="shared" si="3"/>
        <v>1.2857142857142856</v>
      </c>
      <c r="AB11" s="17">
        <f t="shared" si="3"/>
        <v>0</v>
      </c>
      <c r="AC11" s="17">
        <f t="shared" si="3"/>
        <v>1525.2857142857142</v>
      </c>
      <c r="AD11" s="17">
        <f t="shared" si="3"/>
        <v>0.14285714285714285</v>
      </c>
      <c r="AE11" s="31">
        <f t="shared" si="3"/>
        <v>748.57142857142844</v>
      </c>
      <c r="AF11" s="31">
        <f t="shared" si="3"/>
        <v>2273.8571428571427</v>
      </c>
    </row>
    <row r="12" spans="2:32" ht="23.1" customHeight="1" x14ac:dyDescent="0.25">
      <c r="B12" s="23" t="s">
        <v>39</v>
      </c>
      <c r="C12" s="49">
        <f>'Avg Week Kibuye-Munyonyo'!C12+'Avg Week Munyonyo-Kibuye'!C12</f>
        <v>27.714285714285715</v>
      </c>
      <c r="D12" s="49">
        <f>'Avg Week Kibuye-Munyonyo'!D12+'Avg Week Munyonyo-Kibuye'!D12</f>
        <v>13.571428571428571</v>
      </c>
      <c r="E12" s="49">
        <f>'Avg Week Kibuye-Munyonyo'!E12+'Avg Week Munyonyo-Kibuye'!E12</f>
        <v>2.5714285714285716</v>
      </c>
      <c r="F12" s="49">
        <f>'Avg Week Kibuye-Munyonyo'!F12+'Avg Week Munyonyo-Kibuye'!F12</f>
        <v>91.571428571428569</v>
      </c>
      <c r="G12" s="49">
        <f>'Avg Week Kibuye-Munyonyo'!G12+'Avg Week Munyonyo-Kibuye'!G12</f>
        <v>1</v>
      </c>
      <c r="H12" s="49">
        <f>'Avg Week Kibuye-Munyonyo'!H12+'Avg Week Munyonyo-Kibuye'!H12</f>
        <v>0.2857142857142857</v>
      </c>
      <c r="I12" s="49">
        <f>'Avg Week Kibuye-Munyonyo'!I12+'Avg Week Munyonyo-Kibuye'!I12</f>
        <v>4.4285714285714288</v>
      </c>
      <c r="J12" s="49">
        <f>'Avg Week Kibuye-Munyonyo'!J12+'Avg Week Munyonyo-Kibuye'!J12</f>
        <v>0.8571428571428571</v>
      </c>
      <c r="K12" s="49">
        <f>'Avg Week Kibuye-Munyonyo'!K12+'Avg Week Munyonyo-Kibuye'!K12</f>
        <v>0.14285714285714285</v>
      </c>
      <c r="L12" s="49">
        <f>'Avg Week Kibuye-Munyonyo'!L12+'Avg Week Munyonyo-Kibuye'!L12</f>
        <v>0</v>
      </c>
      <c r="M12" s="49">
        <f>'Avg Week Kibuye-Munyonyo'!M12+'Avg Week Munyonyo-Kibuye'!M12</f>
        <v>292.71428571428572</v>
      </c>
      <c r="N12" s="49">
        <f>'Avg Week Kibuye-Munyonyo'!N12+'Avg Week Munyonyo-Kibuye'!N12</f>
        <v>0</v>
      </c>
      <c r="O12" s="15">
        <f t="shared" si="0"/>
        <v>142.14285714285711</v>
      </c>
      <c r="P12" s="15">
        <f t="shared" si="1"/>
        <v>434.85714285714283</v>
      </c>
      <c r="R12" s="1" t="s">
        <v>8</v>
      </c>
      <c r="S12" s="17">
        <f t="shared" ref="S12:AF12" si="4">SUM(C18:C21)</f>
        <v>158.28571428571428</v>
      </c>
      <c r="T12" s="17">
        <f t="shared" si="4"/>
        <v>81.571428571428569</v>
      </c>
      <c r="U12" s="17">
        <f t="shared" si="4"/>
        <v>24</v>
      </c>
      <c r="V12" s="17">
        <f t="shared" si="4"/>
        <v>365.71428571428572</v>
      </c>
      <c r="W12" s="17">
        <f t="shared" si="4"/>
        <v>1.7142857142857142</v>
      </c>
      <c r="X12" s="17">
        <f t="shared" si="4"/>
        <v>1</v>
      </c>
      <c r="Y12" s="17">
        <f t="shared" si="4"/>
        <v>21.142857142857142</v>
      </c>
      <c r="Z12" s="17">
        <f t="shared" si="4"/>
        <v>3.9999999999999996</v>
      </c>
      <c r="AA12" s="17">
        <f t="shared" si="4"/>
        <v>1</v>
      </c>
      <c r="AB12" s="17">
        <f t="shared" si="4"/>
        <v>0.2857142857142857</v>
      </c>
      <c r="AC12" s="17">
        <f t="shared" si="4"/>
        <v>1358.5714285714284</v>
      </c>
      <c r="AD12" s="17">
        <f t="shared" si="4"/>
        <v>0</v>
      </c>
      <c r="AE12" s="31">
        <f t="shared" si="4"/>
        <v>658.71428571428578</v>
      </c>
      <c r="AF12" s="31">
        <f t="shared" si="4"/>
        <v>2017.2857142857142</v>
      </c>
    </row>
    <row r="13" spans="2:32" ht="23.1" customHeight="1" x14ac:dyDescent="0.25">
      <c r="B13" s="23" t="s">
        <v>40</v>
      </c>
      <c r="C13" s="49">
        <f>'Avg Week Kibuye-Munyonyo'!C13+'Avg Week Munyonyo-Kibuye'!C13</f>
        <v>34</v>
      </c>
      <c r="D13" s="49">
        <f>'Avg Week Kibuye-Munyonyo'!D13+'Avg Week Munyonyo-Kibuye'!D13</f>
        <v>16.142857142857142</v>
      </c>
      <c r="E13" s="49">
        <f>'Avg Week Kibuye-Munyonyo'!E13+'Avg Week Munyonyo-Kibuye'!E13</f>
        <v>4.5714285714285712</v>
      </c>
      <c r="F13" s="49">
        <f>'Avg Week Kibuye-Munyonyo'!F13+'Avg Week Munyonyo-Kibuye'!F13</f>
        <v>111.85714285714286</v>
      </c>
      <c r="G13" s="49">
        <f>'Avg Week Kibuye-Munyonyo'!G13+'Avg Week Munyonyo-Kibuye'!G13</f>
        <v>1</v>
      </c>
      <c r="H13" s="49">
        <f>'Avg Week Kibuye-Munyonyo'!H13+'Avg Week Munyonyo-Kibuye'!H13</f>
        <v>0.14285714285714285</v>
      </c>
      <c r="I13" s="49">
        <f>'Avg Week Kibuye-Munyonyo'!I13+'Avg Week Munyonyo-Kibuye'!I13</f>
        <v>5.1428571428571432</v>
      </c>
      <c r="J13" s="49">
        <f>'Avg Week Kibuye-Munyonyo'!J13+'Avg Week Munyonyo-Kibuye'!J13</f>
        <v>0.42857142857142855</v>
      </c>
      <c r="K13" s="49">
        <f>'Avg Week Kibuye-Munyonyo'!K13+'Avg Week Munyonyo-Kibuye'!K13</f>
        <v>0.42857142857142855</v>
      </c>
      <c r="L13" s="49">
        <f>'Avg Week Kibuye-Munyonyo'!L13+'Avg Week Munyonyo-Kibuye'!L13</f>
        <v>0</v>
      </c>
      <c r="M13" s="49">
        <f>'Avg Week Kibuye-Munyonyo'!M13+'Avg Week Munyonyo-Kibuye'!M13</f>
        <v>340.85714285714283</v>
      </c>
      <c r="N13" s="49">
        <f>'Avg Week Kibuye-Munyonyo'!N13+'Avg Week Munyonyo-Kibuye'!N13</f>
        <v>0</v>
      </c>
      <c r="O13" s="15">
        <f t="shared" si="0"/>
        <v>173.71428571428567</v>
      </c>
      <c r="P13" s="15">
        <f t="shared" si="1"/>
        <v>514.57142857142844</v>
      </c>
      <c r="R13" s="1" t="s">
        <v>9</v>
      </c>
      <c r="S13" s="17">
        <f>SUM(C22:C25)</f>
        <v>152</v>
      </c>
      <c r="T13" s="17">
        <f t="shared" ref="T13:AF13" si="5">SUM(D22:D25)</f>
        <v>78.142857142857139</v>
      </c>
      <c r="U13" s="17">
        <f t="shared" si="5"/>
        <v>21.857142857142858</v>
      </c>
      <c r="V13" s="17">
        <f t="shared" si="5"/>
        <v>292.85714285714289</v>
      </c>
      <c r="W13" s="17">
        <f t="shared" si="5"/>
        <v>1.7142857142857142</v>
      </c>
      <c r="X13" s="17">
        <f t="shared" si="5"/>
        <v>0.42857142857142855</v>
      </c>
      <c r="Y13" s="17">
        <f t="shared" si="5"/>
        <v>25.714285714285715</v>
      </c>
      <c r="Z13" s="17">
        <f t="shared" si="5"/>
        <v>5</v>
      </c>
      <c r="AA13" s="17">
        <f t="shared" si="5"/>
        <v>2</v>
      </c>
      <c r="AB13" s="17">
        <f t="shared" si="5"/>
        <v>0</v>
      </c>
      <c r="AC13" s="17">
        <f t="shared" si="5"/>
        <v>1220.1428571428571</v>
      </c>
      <c r="AD13" s="17">
        <f t="shared" si="5"/>
        <v>1.8571428571428572</v>
      </c>
      <c r="AE13" s="31">
        <f t="shared" si="5"/>
        <v>581.57142857142844</v>
      </c>
      <c r="AF13" s="31">
        <f t="shared" si="5"/>
        <v>1801.7142857142858</v>
      </c>
    </row>
    <row r="14" spans="2:32" ht="23.1" customHeight="1" x14ac:dyDescent="0.25">
      <c r="B14" s="23" t="s">
        <v>41</v>
      </c>
      <c r="C14" s="49">
        <f>'Avg Week Kibuye-Munyonyo'!C14+'Avg Week Munyonyo-Kibuye'!C14</f>
        <v>38.428571428571431</v>
      </c>
      <c r="D14" s="49">
        <f>'Avg Week Kibuye-Munyonyo'!D14+'Avg Week Munyonyo-Kibuye'!D14</f>
        <v>19.142857142857142</v>
      </c>
      <c r="E14" s="49">
        <f>'Avg Week Kibuye-Munyonyo'!E14+'Avg Week Munyonyo-Kibuye'!E14</f>
        <v>5.5714285714285712</v>
      </c>
      <c r="F14" s="49">
        <f>'Avg Week Kibuye-Munyonyo'!F14+'Avg Week Munyonyo-Kibuye'!F14</f>
        <v>125.42857142857143</v>
      </c>
      <c r="G14" s="49">
        <f>'Avg Week Kibuye-Munyonyo'!G14+'Avg Week Munyonyo-Kibuye'!G14</f>
        <v>1.4285714285714284</v>
      </c>
      <c r="H14" s="49">
        <f>'Avg Week Kibuye-Munyonyo'!H14+'Avg Week Munyonyo-Kibuye'!H14</f>
        <v>0</v>
      </c>
      <c r="I14" s="49">
        <f>'Avg Week Kibuye-Munyonyo'!I14+'Avg Week Munyonyo-Kibuye'!I14</f>
        <v>6.4285714285714288</v>
      </c>
      <c r="J14" s="49">
        <f>'Avg Week Kibuye-Munyonyo'!J14+'Avg Week Munyonyo-Kibuye'!J14</f>
        <v>1.7142857142857142</v>
      </c>
      <c r="K14" s="49">
        <f>'Avg Week Kibuye-Munyonyo'!K14+'Avg Week Munyonyo-Kibuye'!K14</f>
        <v>0.2857142857142857</v>
      </c>
      <c r="L14" s="49">
        <f>'Avg Week Kibuye-Munyonyo'!L14+'Avg Week Munyonyo-Kibuye'!L14</f>
        <v>0</v>
      </c>
      <c r="M14" s="49">
        <f>'Avg Week Kibuye-Munyonyo'!M14+'Avg Week Munyonyo-Kibuye'!M14</f>
        <v>375.28571428571433</v>
      </c>
      <c r="N14" s="49">
        <f>'Avg Week Kibuye-Munyonyo'!N14+'Avg Week Munyonyo-Kibuye'!N14</f>
        <v>0.14285714285714285</v>
      </c>
      <c r="O14" s="15">
        <f t="shared" si="0"/>
        <v>198.57142857142853</v>
      </c>
      <c r="P14" s="15">
        <f t="shared" si="1"/>
        <v>573.85714285714289</v>
      </c>
      <c r="R14" s="1" t="s">
        <v>10</v>
      </c>
      <c r="S14" s="17">
        <f t="shared" ref="S14:AF14" si="6">SUM(C26:C29)</f>
        <v>154.28571428571428</v>
      </c>
      <c r="T14" s="17">
        <f t="shared" si="6"/>
        <v>74.285714285714292</v>
      </c>
      <c r="U14" s="17">
        <f t="shared" si="6"/>
        <v>23</v>
      </c>
      <c r="V14" s="17">
        <f t="shared" si="6"/>
        <v>237.14285714285717</v>
      </c>
      <c r="W14" s="17">
        <f t="shared" si="6"/>
        <v>0.5714285714285714</v>
      </c>
      <c r="X14" s="17">
        <f t="shared" si="6"/>
        <v>0</v>
      </c>
      <c r="Y14" s="17">
        <f t="shared" si="6"/>
        <v>27.571428571428569</v>
      </c>
      <c r="Z14" s="17">
        <f t="shared" si="6"/>
        <v>3.7857142857142856</v>
      </c>
      <c r="AA14" s="17">
        <f t="shared" si="6"/>
        <v>1.5714285714285712</v>
      </c>
      <c r="AB14" s="17">
        <f t="shared" si="6"/>
        <v>0</v>
      </c>
      <c r="AC14" s="17">
        <f t="shared" si="6"/>
        <v>1109.4285714285716</v>
      </c>
      <c r="AD14" s="17">
        <f t="shared" si="6"/>
        <v>0</v>
      </c>
      <c r="AE14" s="31">
        <f t="shared" si="6"/>
        <v>522.21428571428567</v>
      </c>
      <c r="AF14" s="31">
        <f t="shared" si="6"/>
        <v>1631.6428571428573</v>
      </c>
    </row>
    <row r="15" spans="2:32" ht="23.1" customHeight="1" x14ac:dyDescent="0.25">
      <c r="B15" s="23" t="s">
        <v>42</v>
      </c>
      <c r="C15" s="49">
        <f>'Avg Week Kibuye-Munyonyo'!C15+'Avg Week Munyonyo-Kibuye'!C15</f>
        <v>36.571428571428569</v>
      </c>
      <c r="D15" s="49">
        <f>'Avg Week Kibuye-Munyonyo'!D15+'Avg Week Munyonyo-Kibuye'!D15</f>
        <v>17.714285714285715</v>
      </c>
      <c r="E15" s="49">
        <f>'Avg Week Kibuye-Munyonyo'!E15+'Avg Week Munyonyo-Kibuye'!E15</f>
        <v>5.7142857142857144</v>
      </c>
      <c r="F15" s="49">
        <f>'Avg Week Kibuye-Munyonyo'!F15+'Avg Week Munyonyo-Kibuye'!F15</f>
        <v>114.85714285714286</v>
      </c>
      <c r="G15" s="49">
        <f>'Avg Week Kibuye-Munyonyo'!G15+'Avg Week Munyonyo-Kibuye'!G15</f>
        <v>0.8571428571428571</v>
      </c>
      <c r="H15" s="49">
        <f>'Avg Week Kibuye-Munyonyo'!H15+'Avg Week Munyonyo-Kibuye'!H15</f>
        <v>0</v>
      </c>
      <c r="I15" s="49">
        <f>'Avg Week Kibuye-Munyonyo'!I15+'Avg Week Munyonyo-Kibuye'!I15</f>
        <v>6</v>
      </c>
      <c r="J15" s="49">
        <f>'Avg Week Kibuye-Munyonyo'!J15+'Avg Week Munyonyo-Kibuye'!J15</f>
        <v>1.4285714285714284</v>
      </c>
      <c r="K15" s="49">
        <f>'Avg Week Kibuye-Munyonyo'!K15+'Avg Week Munyonyo-Kibuye'!K15</f>
        <v>0.14285714285714285</v>
      </c>
      <c r="L15" s="49">
        <f>'Avg Week Kibuye-Munyonyo'!L15+'Avg Week Munyonyo-Kibuye'!L15</f>
        <v>0</v>
      </c>
      <c r="M15" s="49">
        <f>'Avg Week Kibuye-Munyonyo'!M15+'Avg Week Munyonyo-Kibuye'!M15</f>
        <v>383.14285714285711</v>
      </c>
      <c r="N15" s="49">
        <f>'Avg Week Kibuye-Munyonyo'!N15+'Avg Week Munyonyo-Kibuye'!N15</f>
        <v>0</v>
      </c>
      <c r="O15" s="15">
        <f t="shared" si="0"/>
        <v>183.28571428571428</v>
      </c>
      <c r="P15" s="15">
        <f t="shared" si="1"/>
        <v>566.42857142857133</v>
      </c>
      <c r="R15" s="1" t="s">
        <v>11</v>
      </c>
      <c r="S15" s="17">
        <f t="shared" ref="S15:AF15" si="7">SUM(C30:C33)</f>
        <v>143.57142857142858</v>
      </c>
      <c r="T15" s="17">
        <f t="shared" si="7"/>
        <v>71.857142857142861</v>
      </c>
      <c r="U15" s="17">
        <f t="shared" si="7"/>
        <v>26.285714285714285</v>
      </c>
      <c r="V15" s="17">
        <f t="shared" si="7"/>
        <v>195.57142857142858</v>
      </c>
      <c r="W15" s="17">
        <f t="shared" si="7"/>
        <v>0.99999999999999989</v>
      </c>
      <c r="X15" s="17">
        <f t="shared" si="7"/>
        <v>0.14285714285714285</v>
      </c>
      <c r="Y15" s="17">
        <f t="shared" si="7"/>
        <v>25.857142857142858</v>
      </c>
      <c r="Z15" s="17">
        <f t="shared" si="7"/>
        <v>3.4285714285714288</v>
      </c>
      <c r="AA15" s="17">
        <f t="shared" si="7"/>
        <v>2.2857142857142856</v>
      </c>
      <c r="AB15" s="17">
        <f t="shared" si="7"/>
        <v>0.14285714285714285</v>
      </c>
      <c r="AC15" s="17">
        <f t="shared" si="7"/>
        <v>997</v>
      </c>
      <c r="AD15" s="17">
        <f t="shared" si="7"/>
        <v>0.14285714285714285</v>
      </c>
      <c r="AE15" s="31">
        <f t="shared" si="7"/>
        <v>470.28571428571433</v>
      </c>
      <c r="AF15" s="31">
        <f t="shared" si="7"/>
        <v>1467.2857142857142</v>
      </c>
    </row>
    <row r="16" spans="2:32" ht="23.1" customHeight="1" x14ac:dyDescent="0.25">
      <c r="B16" s="23" t="s">
        <v>43</v>
      </c>
      <c r="C16" s="49">
        <f>'Avg Week Kibuye-Munyonyo'!C16+'Avg Week Munyonyo-Kibuye'!C16</f>
        <v>41.428571428571431</v>
      </c>
      <c r="D16" s="49">
        <f>'Avg Week Kibuye-Munyonyo'!D16+'Avg Week Munyonyo-Kibuye'!D16</f>
        <v>18.571428571428569</v>
      </c>
      <c r="E16" s="49">
        <f>'Avg Week Kibuye-Munyonyo'!E16+'Avg Week Munyonyo-Kibuye'!E16</f>
        <v>6.1428571428571423</v>
      </c>
      <c r="F16" s="49">
        <f>'Avg Week Kibuye-Munyonyo'!F16+'Avg Week Munyonyo-Kibuye'!F16</f>
        <v>118.71428571428572</v>
      </c>
      <c r="G16" s="49">
        <f>'Avg Week Kibuye-Munyonyo'!G16+'Avg Week Munyonyo-Kibuye'!G16</f>
        <v>0.5714285714285714</v>
      </c>
      <c r="H16" s="49">
        <f>'Avg Week Kibuye-Munyonyo'!H16+'Avg Week Munyonyo-Kibuye'!H16</f>
        <v>0</v>
      </c>
      <c r="I16" s="49">
        <f>'Avg Week Kibuye-Munyonyo'!I16+'Avg Week Munyonyo-Kibuye'!I16</f>
        <v>5</v>
      </c>
      <c r="J16" s="49">
        <f>'Avg Week Kibuye-Munyonyo'!J16+'Avg Week Munyonyo-Kibuye'!J16</f>
        <v>0.42857142857142855</v>
      </c>
      <c r="K16" s="49">
        <f>'Avg Week Kibuye-Munyonyo'!K16+'Avg Week Munyonyo-Kibuye'!K16</f>
        <v>0.71428571428571419</v>
      </c>
      <c r="L16" s="49">
        <f>'Avg Week Kibuye-Munyonyo'!L16+'Avg Week Munyonyo-Kibuye'!L16</f>
        <v>0</v>
      </c>
      <c r="M16" s="49">
        <f>'Avg Week Kibuye-Munyonyo'!M16+'Avg Week Munyonyo-Kibuye'!M16</f>
        <v>399.28571428571433</v>
      </c>
      <c r="N16" s="49">
        <f>'Avg Week Kibuye-Munyonyo'!N16+'Avg Week Munyonyo-Kibuye'!N16</f>
        <v>0</v>
      </c>
      <c r="O16" s="15">
        <f t="shared" si="0"/>
        <v>191.57142857142858</v>
      </c>
      <c r="P16" s="15">
        <f t="shared" si="1"/>
        <v>590.85714285714289</v>
      </c>
      <c r="R16" s="1" t="s">
        <v>12</v>
      </c>
      <c r="S16" s="17">
        <f t="shared" ref="S16:AF16" si="8">SUM(C34:C37)</f>
        <v>158.14285714285717</v>
      </c>
      <c r="T16" s="17">
        <f t="shared" si="8"/>
        <v>77.714285714285708</v>
      </c>
      <c r="U16" s="17">
        <f t="shared" si="8"/>
        <v>26.142857142857146</v>
      </c>
      <c r="V16" s="17">
        <f t="shared" si="8"/>
        <v>182.85714285714289</v>
      </c>
      <c r="W16" s="17">
        <f t="shared" si="8"/>
        <v>1.714285714285714</v>
      </c>
      <c r="X16" s="17">
        <f t="shared" si="8"/>
        <v>0</v>
      </c>
      <c r="Y16" s="17">
        <f t="shared" si="8"/>
        <v>30</v>
      </c>
      <c r="Z16" s="17">
        <f t="shared" si="8"/>
        <v>3.8571428571428568</v>
      </c>
      <c r="AA16" s="17">
        <f t="shared" si="8"/>
        <v>1.857142857142857</v>
      </c>
      <c r="AB16" s="17">
        <f t="shared" si="8"/>
        <v>0.2857142857142857</v>
      </c>
      <c r="AC16" s="17">
        <f t="shared" si="8"/>
        <v>901.57142857142856</v>
      </c>
      <c r="AD16" s="17">
        <f t="shared" si="8"/>
        <v>1</v>
      </c>
      <c r="AE16" s="31">
        <f t="shared" si="8"/>
        <v>483.57142857142867</v>
      </c>
      <c r="AF16" s="31">
        <f t="shared" si="8"/>
        <v>1385.1428571428573</v>
      </c>
    </row>
    <row r="17" spans="2:32" ht="23.1" customHeight="1" x14ac:dyDescent="0.25">
      <c r="B17" s="23" t="s">
        <v>44</v>
      </c>
      <c r="C17" s="49">
        <f>'Avg Week Kibuye-Munyonyo'!C17+'Avg Week Munyonyo-Kibuye'!C17</f>
        <v>38</v>
      </c>
      <c r="D17" s="49">
        <f>'Avg Week Kibuye-Munyonyo'!D17+'Avg Week Munyonyo-Kibuye'!D17</f>
        <v>17</v>
      </c>
      <c r="E17" s="49">
        <f>'Avg Week Kibuye-Munyonyo'!E17+'Avg Week Munyonyo-Kibuye'!E17</f>
        <v>6.7142857142857144</v>
      </c>
      <c r="F17" s="49">
        <f>'Avg Week Kibuye-Munyonyo'!F17+'Avg Week Munyonyo-Kibuye'!F17</f>
        <v>106.85714285714286</v>
      </c>
      <c r="G17" s="49">
        <f>'Avg Week Kibuye-Munyonyo'!G17+'Avg Week Munyonyo-Kibuye'!G17</f>
        <v>1</v>
      </c>
      <c r="H17" s="49">
        <f>'Avg Week Kibuye-Munyonyo'!H17+'Avg Week Munyonyo-Kibuye'!H17</f>
        <v>0</v>
      </c>
      <c r="I17" s="49">
        <f>'Avg Week Kibuye-Munyonyo'!I17+'Avg Week Munyonyo-Kibuye'!I17</f>
        <v>4.4285714285714288</v>
      </c>
      <c r="J17" s="49">
        <f>'Avg Week Kibuye-Munyonyo'!J17+'Avg Week Munyonyo-Kibuye'!J17</f>
        <v>1</v>
      </c>
      <c r="K17" s="49">
        <f>'Avg Week Kibuye-Munyonyo'!K17+'Avg Week Munyonyo-Kibuye'!K17</f>
        <v>0.14285714285714285</v>
      </c>
      <c r="L17" s="49">
        <f>'Avg Week Kibuye-Munyonyo'!L17+'Avg Week Munyonyo-Kibuye'!L17</f>
        <v>0</v>
      </c>
      <c r="M17" s="49">
        <f>'Avg Week Kibuye-Munyonyo'!M17+'Avg Week Munyonyo-Kibuye'!M17</f>
        <v>367.57142857142856</v>
      </c>
      <c r="N17" s="49">
        <f>'Avg Week Kibuye-Munyonyo'!N17+'Avg Week Munyonyo-Kibuye'!N17</f>
        <v>0</v>
      </c>
      <c r="O17" s="15">
        <f t="shared" si="0"/>
        <v>175.14285714285714</v>
      </c>
      <c r="P17" s="15">
        <f t="shared" si="1"/>
        <v>542.71428571428567</v>
      </c>
      <c r="R17" s="1" t="s">
        <v>13</v>
      </c>
      <c r="S17" s="17">
        <f t="shared" ref="S17:AF17" si="9">SUM(C38:C41)</f>
        <v>178.71428571428572</v>
      </c>
      <c r="T17" s="17">
        <f t="shared" si="9"/>
        <v>83.428571428571431</v>
      </c>
      <c r="U17" s="17">
        <f t="shared" si="9"/>
        <v>27.857142857142858</v>
      </c>
      <c r="V17" s="17">
        <f t="shared" si="9"/>
        <v>158.71428571428572</v>
      </c>
      <c r="W17" s="17">
        <f t="shared" si="9"/>
        <v>4</v>
      </c>
      <c r="X17" s="17">
        <f t="shared" si="9"/>
        <v>0</v>
      </c>
      <c r="Y17" s="17">
        <f t="shared" si="9"/>
        <v>31.285714285714288</v>
      </c>
      <c r="Z17" s="17">
        <f t="shared" si="9"/>
        <v>2.2857142857142856</v>
      </c>
      <c r="AA17" s="17">
        <f t="shared" si="9"/>
        <v>1.857142857142857</v>
      </c>
      <c r="AB17" s="17">
        <f t="shared" si="9"/>
        <v>0.14285714285714285</v>
      </c>
      <c r="AC17" s="17">
        <f t="shared" si="9"/>
        <v>976</v>
      </c>
      <c r="AD17" s="17">
        <f t="shared" si="9"/>
        <v>0</v>
      </c>
      <c r="AE17" s="31">
        <f t="shared" si="9"/>
        <v>488.28571428571433</v>
      </c>
      <c r="AF17" s="31">
        <f t="shared" si="9"/>
        <v>1464.2857142857142</v>
      </c>
    </row>
    <row r="18" spans="2:32" ht="23.1" customHeight="1" x14ac:dyDescent="0.25">
      <c r="B18" s="23" t="s">
        <v>45</v>
      </c>
      <c r="C18" s="49">
        <f>'Avg Week Kibuye-Munyonyo'!C18+'Avg Week Munyonyo-Kibuye'!C18</f>
        <v>36.857142857142861</v>
      </c>
      <c r="D18" s="49">
        <f>'Avg Week Kibuye-Munyonyo'!D18+'Avg Week Munyonyo-Kibuye'!D18</f>
        <v>20</v>
      </c>
      <c r="E18" s="49">
        <f>'Avg Week Kibuye-Munyonyo'!E18+'Avg Week Munyonyo-Kibuye'!E18</f>
        <v>5.8571428571428568</v>
      </c>
      <c r="F18" s="49">
        <f>'Avg Week Kibuye-Munyonyo'!F18+'Avg Week Munyonyo-Kibuye'!F18</f>
        <v>94.428571428571416</v>
      </c>
      <c r="G18" s="49">
        <f>'Avg Week Kibuye-Munyonyo'!G18+'Avg Week Munyonyo-Kibuye'!G18</f>
        <v>0</v>
      </c>
      <c r="H18" s="49">
        <f>'Avg Week Kibuye-Munyonyo'!H18+'Avg Week Munyonyo-Kibuye'!H18</f>
        <v>0</v>
      </c>
      <c r="I18" s="49">
        <f>'Avg Week Kibuye-Munyonyo'!I18+'Avg Week Munyonyo-Kibuye'!I18</f>
        <v>4.1428571428571423</v>
      </c>
      <c r="J18" s="49">
        <f>'Avg Week Kibuye-Munyonyo'!J18+'Avg Week Munyonyo-Kibuye'!J18</f>
        <v>1.1428571428571428</v>
      </c>
      <c r="K18" s="49">
        <f>'Avg Week Kibuye-Munyonyo'!K18+'Avg Week Munyonyo-Kibuye'!K18</f>
        <v>0.14285714285714285</v>
      </c>
      <c r="L18" s="49">
        <f>'Avg Week Kibuye-Munyonyo'!L18+'Avg Week Munyonyo-Kibuye'!L18</f>
        <v>0.14285714285714285</v>
      </c>
      <c r="M18" s="49">
        <f>'Avg Week Kibuye-Munyonyo'!M18+'Avg Week Munyonyo-Kibuye'!M18</f>
        <v>348.14285714285711</v>
      </c>
      <c r="N18" s="49">
        <f>'Avg Week Kibuye-Munyonyo'!N18+'Avg Week Munyonyo-Kibuye'!N18</f>
        <v>0</v>
      </c>
      <c r="O18" s="15">
        <f t="shared" si="0"/>
        <v>162.71428571428569</v>
      </c>
      <c r="P18" s="15">
        <f t="shared" si="1"/>
        <v>510.85714285714278</v>
      </c>
      <c r="R18" s="1" t="s">
        <v>14</v>
      </c>
      <c r="S18" s="17">
        <f t="shared" ref="S18:AF18" si="10">SUM(C42:C45)</f>
        <v>191.71428571428572</v>
      </c>
      <c r="T18" s="17">
        <f t="shared" si="10"/>
        <v>86.714285714285722</v>
      </c>
      <c r="U18" s="17">
        <f t="shared" si="10"/>
        <v>25.571428571428573</v>
      </c>
      <c r="V18" s="17">
        <f t="shared" si="10"/>
        <v>163.28571428571431</v>
      </c>
      <c r="W18" s="17">
        <f t="shared" si="10"/>
        <v>1.1428571428571428</v>
      </c>
      <c r="X18" s="17">
        <f t="shared" si="10"/>
        <v>0</v>
      </c>
      <c r="Y18" s="17">
        <f t="shared" si="10"/>
        <v>30.571428571428573</v>
      </c>
      <c r="Z18" s="17">
        <f t="shared" si="10"/>
        <v>5.7142857142857144</v>
      </c>
      <c r="AA18" s="17">
        <f t="shared" si="10"/>
        <v>1.4285714285714284</v>
      </c>
      <c r="AB18" s="17">
        <f t="shared" si="10"/>
        <v>0.71428571428571419</v>
      </c>
      <c r="AC18" s="17">
        <f t="shared" si="10"/>
        <v>937.71428571428578</v>
      </c>
      <c r="AD18" s="17">
        <f t="shared" si="10"/>
        <v>0</v>
      </c>
      <c r="AE18" s="31">
        <f t="shared" si="10"/>
        <v>506.85714285714283</v>
      </c>
      <c r="AF18" s="31">
        <f t="shared" si="10"/>
        <v>1444.5714285714284</v>
      </c>
    </row>
    <row r="19" spans="2:32" ht="23.1" customHeight="1" x14ac:dyDescent="0.25">
      <c r="B19" s="23" t="s">
        <v>46</v>
      </c>
      <c r="C19" s="49">
        <f>'Avg Week Kibuye-Munyonyo'!C19+'Avg Week Munyonyo-Kibuye'!C19</f>
        <v>40.142857142857139</v>
      </c>
      <c r="D19" s="49">
        <f>'Avg Week Kibuye-Munyonyo'!D19+'Avg Week Munyonyo-Kibuye'!D19</f>
        <v>21.714285714285715</v>
      </c>
      <c r="E19" s="49">
        <f>'Avg Week Kibuye-Munyonyo'!E19+'Avg Week Munyonyo-Kibuye'!E19</f>
        <v>5.7142857142857144</v>
      </c>
      <c r="F19" s="49">
        <f>'Avg Week Kibuye-Munyonyo'!F19+'Avg Week Munyonyo-Kibuye'!F19</f>
        <v>105.42857142857142</v>
      </c>
      <c r="G19" s="49">
        <f>'Avg Week Kibuye-Munyonyo'!G19+'Avg Week Munyonyo-Kibuye'!G19</f>
        <v>0.71428571428571419</v>
      </c>
      <c r="H19" s="49">
        <f>'Avg Week Kibuye-Munyonyo'!H19+'Avg Week Munyonyo-Kibuye'!H19</f>
        <v>0</v>
      </c>
      <c r="I19" s="49">
        <f>'Avg Week Kibuye-Munyonyo'!I19+'Avg Week Munyonyo-Kibuye'!I19</f>
        <v>4.8571428571428577</v>
      </c>
      <c r="J19" s="49">
        <f>'Avg Week Kibuye-Munyonyo'!J19+'Avg Week Munyonyo-Kibuye'!J19</f>
        <v>0.71428571428571419</v>
      </c>
      <c r="K19" s="49">
        <f>'Avg Week Kibuye-Munyonyo'!K19+'Avg Week Munyonyo-Kibuye'!K19</f>
        <v>0.14285714285714285</v>
      </c>
      <c r="L19" s="49">
        <f>'Avg Week Kibuye-Munyonyo'!L19+'Avg Week Munyonyo-Kibuye'!L19</f>
        <v>0</v>
      </c>
      <c r="M19" s="49">
        <f>'Avg Week Kibuye-Munyonyo'!M19+'Avg Week Munyonyo-Kibuye'!M19</f>
        <v>349.28571428571428</v>
      </c>
      <c r="N19" s="49">
        <f>'Avg Week Kibuye-Munyonyo'!N19+'Avg Week Munyonyo-Kibuye'!N19</f>
        <v>0</v>
      </c>
      <c r="O19" s="15">
        <f t="shared" si="0"/>
        <v>179.42857142857144</v>
      </c>
      <c r="P19" s="15">
        <f t="shared" si="1"/>
        <v>528.71428571428578</v>
      </c>
      <c r="R19" s="1" t="s">
        <v>15</v>
      </c>
      <c r="S19" s="17">
        <f t="shared" ref="S19:AF19" si="11">SUM(C46:C49)</f>
        <v>228</v>
      </c>
      <c r="T19" s="17">
        <f t="shared" si="11"/>
        <v>114.42857142857144</v>
      </c>
      <c r="U19" s="17">
        <f t="shared" si="11"/>
        <v>34.285714285714285</v>
      </c>
      <c r="V19" s="17">
        <f t="shared" si="11"/>
        <v>192.28571428571428</v>
      </c>
      <c r="W19" s="17">
        <f t="shared" si="11"/>
        <v>4</v>
      </c>
      <c r="X19" s="17">
        <f t="shared" si="11"/>
        <v>0.14285714285714285</v>
      </c>
      <c r="Y19" s="17">
        <f t="shared" si="11"/>
        <v>34.142857142857146</v>
      </c>
      <c r="Z19" s="17">
        <f t="shared" si="11"/>
        <v>3.1428571428571423</v>
      </c>
      <c r="AA19" s="17">
        <f t="shared" si="11"/>
        <v>1.2857142857142856</v>
      </c>
      <c r="AB19" s="17">
        <f t="shared" si="11"/>
        <v>0.2857142857142857</v>
      </c>
      <c r="AC19" s="17">
        <f t="shared" si="11"/>
        <v>1089.8571428571429</v>
      </c>
      <c r="AD19" s="17">
        <f t="shared" si="11"/>
        <v>0</v>
      </c>
      <c r="AE19" s="31">
        <f t="shared" si="11"/>
        <v>611.99999999999989</v>
      </c>
      <c r="AF19" s="31">
        <f t="shared" si="11"/>
        <v>1701.8571428571427</v>
      </c>
    </row>
    <row r="20" spans="2:32" ht="23.1" customHeight="1" x14ac:dyDescent="0.25">
      <c r="B20" s="23" t="s">
        <v>47</v>
      </c>
      <c r="C20" s="49">
        <f>'Avg Week Kibuye-Munyonyo'!C20+'Avg Week Munyonyo-Kibuye'!C20</f>
        <v>43.142857142857139</v>
      </c>
      <c r="D20" s="49">
        <f>'Avg Week Kibuye-Munyonyo'!D20+'Avg Week Munyonyo-Kibuye'!D20</f>
        <v>21</v>
      </c>
      <c r="E20" s="49">
        <f>'Avg Week Kibuye-Munyonyo'!E20+'Avg Week Munyonyo-Kibuye'!E20</f>
        <v>5.5714285714285712</v>
      </c>
      <c r="F20" s="49">
        <f>'Avg Week Kibuye-Munyonyo'!F20+'Avg Week Munyonyo-Kibuye'!F20</f>
        <v>83.428571428571431</v>
      </c>
      <c r="G20" s="49">
        <f>'Avg Week Kibuye-Munyonyo'!G20+'Avg Week Munyonyo-Kibuye'!G20</f>
        <v>0.5714285714285714</v>
      </c>
      <c r="H20" s="49">
        <f>'Avg Week Kibuye-Munyonyo'!H20+'Avg Week Munyonyo-Kibuye'!H20</f>
        <v>0.8571428571428571</v>
      </c>
      <c r="I20" s="49">
        <f>'Avg Week Kibuye-Munyonyo'!I20+'Avg Week Munyonyo-Kibuye'!I20</f>
        <v>5.5714285714285712</v>
      </c>
      <c r="J20" s="49">
        <f>'Avg Week Kibuye-Munyonyo'!J20+'Avg Week Munyonyo-Kibuye'!J20</f>
        <v>0.8571428571428571</v>
      </c>
      <c r="K20" s="49">
        <f>'Avg Week Kibuye-Munyonyo'!K20+'Avg Week Munyonyo-Kibuye'!K20</f>
        <v>0.5714285714285714</v>
      </c>
      <c r="L20" s="49">
        <f>'Avg Week Kibuye-Munyonyo'!L20+'Avg Week Munyonyo-Kibuye'!L20</f>
        <v>0.14285714285714285</v>
      </c>
      <c r="M20" s="49">
        <f>'Avg Week Kibuye-Munyonyo'!M20+'Avg Week Munyonyo-Kibuye'!M20</f>
        <v>338.14285714285711</v>
      </c>
      <c r="N20" s="49">
        <f>'Avg Week Kibuye-Munyonyo'!N20+'Avg Week Munyonyo-Kibuye'!N20</f>
        <v>0</v>
      </c>
      <c r="O20" s="15">
        <f t="shared" si="0"/>
        <v>161.71428571428575</v>
      </c>
      <c r="P20" s="15">
        <f t="shared" si="1"/>
        <v>499.85714285714289</v>
      </c>
      <c r="R20" s="1" t="s">
        <v>16</v>
      </c>
      <c r="S20" s="17">
        <f t="shared" ref="S20:AF20" si="12">SUM(C50:C53)</f>
        <v>242.14285714285711</v>
      </c>
      <c r="T20" s="17">
        <f t="shared" si="12"/>
        <v>115.14285714285715</v>
      </c>
      <c r="U20" s="17">
        <f t="shared" si="12"/>
        <v>29.285714285714285</v>
      </c>
      <c r="V20" s="17">
        <f t="shared" si="12"/>
        <v>205.85714285714286</v>
      </c>
      <c r="W20" s="17">
        <f t="shared" si="12"/>
        <v>3.1428571428571432</v>
      </c>
      <c r="X20" s="17">
        <f t="shared" si="12"/>
        <v>0.85714285714285698</v>
      </c>
      <c r="Y20" s="17">
        <f t="shared" si="12"/>
        <v>29.571428571428573</v>
      </c>
      <c r="Z20" s="17">
        <f t="shared" si="12"/>
        <v>3</v>
      </c>
      <c r="AA20" s="17">
        <f t="shared" si="12"/>
        <v>0.8571428571428571</v>
      </c>
      <c r="AB20" s="17">
        <f t="shared" si="12"/>
        <v>0.2857142857142857</v>
      </c>
      <c r="AC20" s="17">
        <f t="shared" si="12"/>
        <v>1109.1428571428571</v>
      </c>
      <c r="AD20" s="17">
        <f t="shared" si="12"/>
        <v>0</v>
      </c>
      <c r="AE20" s="31">
        <f t="shared" si="12"/>
        <v>630.14285714285711</v>
      </c>
      <c r="AF20" s="31">
        <f t="shared" si="12"/>
        <v>1739.2857142857142</v>
      </c>
    </row>
    <row r="21" spans="2:32" ht="23.1" customHeight="1" x14ac:dyDescent="0.25">
      <c r="B21" s="23" t="s">
        <v>48</v>
      </c>
      <c r="C21" s="49">
        <f>'Avg Week Kibuye-Munyonyo'!C21+'Avg Week Munyonyo-Kibuye'!C21</f>
        <v>38.142857142857139</v>
      </c>
      <c r="D21" s="49">
        <f>'Avg Week Kibuye-Munyonyo'!D21+'Avg Week Munyonyo-Kibuye'!D21</f>
        <v>18.857142857142858</v>
      </c>
      <c r="E21" s="49">
        <f>'Avg Week Kibuye-Munyonyo'!E21+'Avg Week Munyonyo-Kibuye'!E21</f>
        <v>6.8571428571428577</v>
      </c>
      <c r="F21" s="49">
        <f>'Avg Week Kibuye-Munyonyo'!F21+'Avg Week Munyonyo-Kibuye'!F21</f>
        <v>82.428571428571431</v>
      </c>
      <c r="G21" s="49">
        <f>'Avg Week Kibuye-Munyonyo'!G21+'Avg Week Munyonyo-Kibuye'!G21</f>
        <v>0.42857142857142855</v>
      </c>
      <c r="H21" s="49">
        <f>'Avg Week Kibuye-Munyonyo'!H21+'Avg Week Munyonyo-Kibuye'!H21</f>
        <v>0.14285714285714285</v>
      </c>
      <c r="I21" s="49">
        <f>'Avg Week Kibuye-Munyonyo'!I21+'Avg Week Munyonyo-Kibuye'!I21</f>
        <v>6.5714285714285712</v>
      </c>
      <c r="J21" s="49">
        <f>'Avg Week Kibuye-Munyonyo'!J21+'Avg Week Munyonyo-Kibuye'!J21</f>
        <v>1.2857142857142856</v>
      </c>
      <c r="K21" s="49">
        <f>'Avg Week Kibuye-Munyonyo'!K21+'Avg Week Munyonyo-Kibuye'!K21</f>
        <v>0.14285714285714285</v>
      </c>
      <c r="L21" s="49">
        <f>'Avg Week Kibuye-Munyonyo'!L21+'Avg Week Munyonyo-Kibuye'!L21</f>
        <v>0</v>
      </c>
      <c r="M21" s="49">
        <f>'Avg Week Kibuye-Munyonyo'!M21+'Avg Week Munyonyo-Kibuye'!M21</f>
        <v>323</v>
      </c>
      <c r="N21" s="49">
        <f>'Avg Week Kibuye-Munyonyo'!N21+'Avg Week Munyonyo-Kibuye'!N21</f>
        <v>0</v>
      </c>
      <c r="O21" s="15">
        <f t="shared" si="0"/>
        <v>154.85714285714283</v>
      </c>
      <c r="P21" s="15">
        <f t="shared" si="1"/>
        <v>477.85714285714283</v>
      </c>
      <c r="R21" s="36" t="s">
        <v>20</v>
      </c>
      <c r="S21" s="34">
        <f t="shared" ref="S21:AF21" si="13">SUM(C54:C57)</f>
        <v>213.42857142857144</v>
      </c>
      <c r="T21" s="17">
        <f t="shared" si="13"/>
        <v>101.57142857142857</v>
      </c>
      <c r="U21" s="17">
        <f t="shared" si="13"/>
        <v>23.428571428571431</v>
      </c>
      <c r="V21" s="17">
        <f t="shared" si="13"/>
        <v>226</v>
      </c>
      <c r="W21" s="17">
        <f t="shared" si="13"/>
        <v>7.1428571428571423</v>
      </c>
      <c r="X21" s="17">
        <f t="shared" si="13"/>
        <v>3.714285714285714</v>
      </c>
      <c r="Y21" s="17">
        <f t="shared" si="13"/>
        <v>31</v>
      </c>
      <c r="Z21" s="17">
        <f t="shared" si="13"/>
        <v>4.5714285714285712</v>
      </c>
      <c r="AA21" s="17">
        <f t="shared" si="13"/>
        <v>4.1428571428571423</v>
      </c>
      <c r="AB21" s="17">
        <f t="shared" si="13"/>
        <v>2.4285714285714284</v>
      </c>
      <c r="AC21" s="17">
        <f t="shared" si="13"/>
        <v>1121.2857142857144</v>
      </c>
      <c r="AD21" s="17">
        <f t="shared" si="13"/>
        <v>0</v>
      </c>
      <c r="AE21" s="31">
        <f t="shared" si="13"/>
        <v>617.42857142857156</v>
      </c>
      <c r="AF21" s="31">
        <f t="shared" si="13"/>
        <v>1738.7142857142858</v>
      </c>
    </row>
    <row r="22" spans="2:32" ht="23.1" customHeight="1" x14ac:dyDescent="0.25">
      <c r="B22" s="23" t="s">
        <v>49</v>
      </c>
      <c r="C22" s="49">
        <f>'Avg Week Kibuye-Munyonyo'!C22+'Avg Week Munyonyo-Kibuye'!C22</f>
        <v>40.714285714285715</v>
      </c>
      <c r="D22" s="49">
        <f>'Avg Week Kibuye-Munyonyo'!D22+'Avg Week Munyonyo-Kibuye'!D22</f>
        <v>20</v>
      </c>
      <c r="E22" s="49">
        <f>'Avg Week Kibuye-Munyonyo'!E22+'Avg Week Munyonyo-Kibuye'!E22</f>
        <v>4.7142857142857144</v>
      </c>
      <c r="F22" s="49">
        <f>'Avg Week Kibuye-Munyonyo'!F22+'Avg Week Munyonyo-Kibuye'!F22</f>
        <v>73.142857142857139</v>
      </c>
      <c r="G22" s="49">
        <f>'Avg Week Kibuye-Munyonyo'!G22+'Avg Week Munyonyo-Kibuye'!G22</f>
        <v>0.2857142857142857</v>
      </c>
      <c r="H22" s="49">
        <f>'Avg Week Kibuye-Munyonyo'!H22+'Avg Week Munyonyo-Kibuye'!H22</f>
        <v>0.14285714285714285</v>
      </c>
      <c r="I22" s="49">
        <f>'Avg Week Kibuye-Munyonyo'!I22+'Avg Week Munyonyo-Kibuye'!I22</f>
        <v>7.7142857142857144</v>
      </c>
      <c r="J22" s="49">
        <f>'Avg Week Kibuye-Munyonyo'!J22+'Avg Week Munyonyo-Kibuye'!J22</f>
        <v>1.5714285714285714</v>
      </c>
      <c r="K22" s="49">
        <f>'Avg Week Kibuye-Munyonyo'!K22+'Avg Week Munyonyo-Kibuye'!K22</f>
        <v>0.42857142857142855</v>
      </c>
      <c r="L22" s="49">
        <f>'Avg Week Kibuye-Munyonyo'!L22+'Avg Week Munyonyo-Kibuye'!L22</f>
        <v>0</v>
      </c>
      <c r="M22" s="49">
        <f>'Avg Week Kibuye-Munyonyo'!M22+'Avg Week Munyonyo-Kibuye'!M22</f>
        <v>330</v>
      </c>
      <c r="N22" s="49">
        <f>'Avg Week Kibuye-Munyonyo'!N22+'Avg Week Munyonyo-Kibuye'!N22</f>
        <v>0</v>
      </c>
      <c r="O22" s="15">
        <f t="shared" si="0"/>
        <v>148.71428571428569</v>
      </c>
      <c r="P22" s="15">
        <f t="shared" si="1"/>
        <v>478.71428571428567</v>
      </c>
      <c r="R22" s="1" t="s">
        <v>146</v>
      </c>
      <c r="S22" s="34">
        <f>SUM(C58:C61)</f>
        <v>232.5</v>
      </c>
      <c r="T22" s="34">
        <f t="shared" ref="T22:AF22" si="14">SUM(D58:D61)</f>
        <v>74</v>
      </c>
      <c r="U22" s="34">
        <f t="shared" si="14"/>
        <v>32</v>
      </c>
      <c r="V22" s="34">
        <f t="shared" si="14"/>
        <v>371</v>
      </c>
      <c r="W22" s="34">
        <f t="shared" si="14"/>
        <v>2.5</v>
      </c>
      <c r="X22" s="34">
        <f t="shared" si="14"/>
        <v>3</v>
      </c>
      <c r="Y22" s="34">
        <f t="shared" si="14"/>
        <v>9</v>
      </c>
      <c r="Z22" s="34">
        <f t="shared" si="14"/>
        <v>4.5</v>
      </c>
      <c r="AA22" s="34">
        <f t="shared" si="14"/>
        <v>6.5</v>
      </c>
      <c r="AB22" s="34">
        <f t="shared" si="14"/>
        <v>0</v>
      </c>
      <c r="AC22" s="34">
        <f t="shared" si="14"/>
        <v>1224</v>
      </c>
      <c r="AD22" s="34">
        <f t="shared" si="14"/>
        <v>0</v>
      </c>
      <c r="AE22" s="31">
        <f t="shared" si="14"/>
        <v>735</v>
      </c>
      <c r="AF22" s="31">
        <f t="shared" si="14"/>
        <v>1959</v>
      </c>
    </row>
    <row r="23" spans="2:32" ht="23.1" customHeight="1" x14ac:dyDescent="0.25">
      <c r="B23" s="23" t="s">
        <v>50</v>
      </c>
      <c r="C23" s="49">
        <f>'Avg Week Kibuye-Munyonyo'!C23+'Avg Week Munyonyo-Kibuye'!C23</f>
        <v>36.285714285714285</v>
      </c>
      <c r="D23" s="49">
        <f>'Avg Week Kibuye-Munyonyo'!D23+'Avg Week Munyonyo-Kibuye'!D23</f>
        <v>19.285714285714285</v>
      </c>
      <c r="E23" s="49">
        <f>'Avg Week Kibuye-Munyonyo'!E23+'Avg Week Munyonyo-Kibuye'!E23</f>
        <v>6.4285714285714288</v>
      </c>
      <c r="F23" s="49">
        <f>'Avg Week Kibuye-Munyonyo'!F23+'Avg Week Munyonyo-Kibuye'!F23</f>
        <v>72.714285714285722</v>
      </c>
      <c r="G23" s="49">
        <f>'Avg Week Kibuye-Munyonyo'!G23+'Avg Week Munyonyo-Kibuye'!G23</f>
        <v>1</v>
      </c>
      <c r="H23" s="49">
        <f>'Avg Week Kibuye-Munyonyo'!H23+'Avg Week Munyonyo-Kibuye'!H23</f>
        <v>0.14285714285714285</v>
      </c>
      <c r="I23" s="49">
        <f>'Avg Week Kibuye-Munyonyo'!I23+'Avg Week Munyonyo-Kibuye'!I23</f>
        <v>5.8571428571428577</v>
      </c>
      <c r="J23" s="49">
        <f>'Avg Week Kibuye-Munyonyo'!J23+'Avg Week Munyonyo-Kibuye'!J23</f>
        <v>1.1428571428571428</v>
      </c>
      <c r="K23" s="49">
        <f>'Avg Week Kibuye-Munyonyo'!K23+'Avg Week Munyonyo-Kibuye'!K23</f>
        <v>0.7142857142857143</v>
      </c>
      <c r="L23" s="49">
        <f>'Avg Week Kibuye-Munyonyo'!L23+'Avg Week Munyonyo-Kibuye'!L23</f>
        <v>0</v>
      </c>
      <c r="M23" s="49">
        <f>'Avg Week Kibuye-Munyonyo'!M23+'Avg Week Munyonyo-Kibuye'!M23</f>
        <v>305.85714285714289</v>
      </c>
      <c r="N23" s="49">
        <f>'Avg Week Kibuye-Munyonyo'!N23+'Avg Week Munyonyo-Kibuye'!N23</f>
        <v>0</v>
      </c>
      <c r="O23" s="15">
        <f t="shared" si="0"/>
        <v>143.57142857142858</v>
      </c>
      <c r="P23" s="15">
        <f t="shared" si="1"/>
        <v>449.42857142857144</v>
      </c>
      <c r="R23" s="1" t="s">
        <v>147</v>
      </c>
      <c r="S23" s="34">
        <f>SUM(C62:C65)</f>
        <v>386.5</v>
      </c>
      <c r="T23" s="34">
        <f t="shared" ref="T23:AF23" si="15">SUM(D62:D65)</f>
        <v>137.5</v>
      </c>
      <c r="U23" s="34">
        <f t="shared" si="15"/>
        <v>35</v>
      </c>
      <c r="V23" s="34">
        <f t="shared" si="15"/>
        <v>493.5</v>
      </c>
      <c r="W23" s="34">
        <f t="shared" si="15"/>
        <v>5.5</v>
      </c>
      <c r="X23" s="34">
        <f t="shared" si="15"/>
        <v>0</v>
      </c>
      <c r="Y23" s="34">
        <f t="shared" si="15"/>
        <v>20.5</v>
      </c>
      <c r="Z23" s="34">
        <f t="shared" si="15"/>
        <v>4</v>
      </c>
      <c r="AA23" s="34">
        <f t="shared" si="15"/>
        <v>2</v>
      </c>
      <c r="AB23" s="34">
        <f t="shared" si="15"/>
        <v>0</v>
      </c>
      <c r="AC23" s="34">
        <f t="shared" si="15"/>
        <v>1478</v>
      </c>
      <c r="AD23" s="34">
        <f t="shared" si="15"/>
        <v>0</v>
      </c>
      <c r="AE23" s="31">
        <f t="shared" si="15"/>
        <v>1084.5</v>
      </c>
      <c r="AF23" s="31">
        <f t="shared" si="15"/>
        <v>2562.5</v>
      </c>
    </row>
    <row r="24" spans="2:32" ht="23.1" customHeight="1" x14ac:dyDescent="0.25">
      <c r="B24" s="23" t="s">
        <v>51</v>
      </c>
      <c r="C24" s="49">
        <f>'Avg Week Kibuye-Munyonyo'!C24+'Avg Week Munyonyo-Kibuye'!C24</f>
        <v>37.714285714285715</v>
      </c>
      <c r="D24" s="49">
        <f>'Avg Week Kibuye-Munyonyo'!D24+'Avg Week Munyonyo-Kibuye'!D24</f>
        <v>18.857142857142858</v>
      </c>
      <c r="E24" s="49">
        <f>'Avg Week Kibuye-Munyonyo'!E24+'Avg Week Munyonyo-Kibuye'!E24</f>
        <v>5.8571428571428577</v>
      </c>
      <c r="F24" s="49">
        <f>'Avg Week Kibuye-Munyonyo'!F24+'Avg Week Munyonyo-Kibuye'!F24</f>
        <v>77.857142857142861</v>
      </c>
      <c r="G24" s="49">
        <f>'Avg Week Kibuye-Munyonyo'!G24+'Avg Week Munyonyo-Kibuye'!G24</f>
        <v>0</v>
      </c>
      <c r="H24" s="49">
        <f>'Avg Week Kibuye-Munyonyo'!H24+'Avg Week Munyonyo-Kibuye'!H24</f>
        <v>0</v>
      </c>
      <c r="I24" s="49">
        <f>'Avg Week Kibuye-Munyonyo'!I24+'Avg Week Munyonyo-Kibuye'!I24</f>
        <v>6.4285714285714288</v>
      </c>
      <c r="J24" s="49">
        <f>'Avg Week Kibuye-Munyonyo'!J24+'Avg Week Munyonyo-Kibuye'!J24</f>
        <v>1.4285714285714284</v>
      </c>
      <c r="K24" s="49">
        <f>'Avg Week Kibuye-Munyonyo'!K24+'Avg Week Munyonyo-Kibuye'!K24</f>
        <v>0.42857142857142855</v>
      </c>
      <c r="L24" s="49">
        <f>'Avg Week Kibuye-Munyonyo'!L24+'Avg Week Munyonyo-Kibuye'!L24</f>
        <v>0</v>
      </c>
      <c r="M24" s="49">
        <f>'Avg Week Kibuye-Munyonyo'!M24+'Avg Week Munyonyo-Kibuye'!M24</f>
        <v>298.28571428571428</v>
      </c>
      <c r="N24" s="49">
        <f>'Avg Week Kibuye-Munyonyo'!N24+'Avg Week Munyonyo-Kibuye'!N24</f>
        <v>0</v>
      </c>
      <c r="O24" s="15">
        <f t="shared" si="0"/>
        <v>148.57142857142853</v>
      </c>
      <c r="P24" s="15">
        <f t="shared" si="1"/>
        <v>446.85714285714278</v>
      </c>
      <c r="R24" s="1" t="s">
        <v>148</v>
      </c>
      <c r="S24" s="34">
        <f>SUM(C66:C69)</f>
        <v>329</v>
      </c>
      <c r="T24" s="34">
        <f t="shared" ref="T24:AF24" si="16">SUM(D66:D69)</f>
        <v>115</v>
      </c>
      <c r="U24" s="34">
        <f t="shared" si="16"/>
        <v>26</v>
      </c>
      <c r="V24" s="34">
        <f t="shared" si="16"/>
        <v>373.5</v>
      </c>
      <c r="W24" s="34">
        <f t="shared" si="16"/>
        <v>2.5</v>
      </c>
      <c r="X24" s="34">
        <f t="shared" si="16"/>
        <v>0</v>
      </c>
      <c r="Y24" s="34">
        <f t="shared" si="16"/>
        <v>7.5</v>
      </c>
      <c r="Z24" s="34">
        <f t="shared" si="16"/>
        <v>4.5</v>
      </c>
      <c r="AA24" s="34">
        <f t="shared" si="16"/>
        <v>6</v>
      </c>
      <c r="AB24" s="34">
        <f t="shared" si="16"/>
        <v>0</v>
      </c>
      <c r="AC24" s="34">
        <f t="shared" si="16"/>
        <v>1356</v>
      </c>
      <c r="AD24" s="34">
        <f t="shared" si="16"/>
        <v>0.5</v>
      </c>
      <c r="AE24" s="31">
        <f t="shared" si="16"/>
        <v>864.5</v>
      </c>
      <c r="AF24" s="31">
        <f t="shared" si="16"/>
        <v>2220.5</v>
      </c>
    </row>
    <row r="25" spans="2:32" ht="23.1" customHeight="1" x14ac:dyDescent="0.25">
      <c r="B25" s="23" t="s">
        <v>52</v>
      </c>
      <c r="C25" s="49">
        <f>'Avg Week Kibuye-Munyonyo'!C25+'Avg Week Munyonyo-Kibuye'!C25</f>
        <v>37.285714285714285</v>
      </c>
      <c r="D25" s="49">
        <f>'Avg Week Kibuye-Munyonyo'!D25+'Avg Week Munyonyo-Kibuye'!D25</f>
        <v>20</v>
      </c>
      <c r="E25" s="49">
        <f>'Avg Week Kibuye-Munyonyo'!E25+'Avg Week Munyonyo-Kibuye'!E25</f>
        <v>4.8571428571428568</v>
      </c>
      <c r="F25" s="49">
        <f>'Avg Week Kibuye-Munyonyo'!F25+'Avg Week Munyonyo-Kibuye'!F25</f>
        <v>69.142857142857139</v>
      </c>
      <c r="G25" s="49">
        <f>'Avg Week Kibuye-Munyonyo'!G25+'Avg Week Munyonyo-Kibuye'!G25</f>
        <v>0.42857142857142855</v>
      </c>
      <c r="H25" s="49">
        <f>'Avg Week Kibuye-Munyonyo'!H25+'Avg Week Munyonyo-Kibuye'!H25</f>
        <v>0.14285714285714285</v>
      </c>
      <c r="I25" s="49">
        <f>'Avg Week Kibuye-Munyonyo'!I25+'Avg Week Munyonyo-Kibuye'!I25</f>
        <v>5.7142857142857144</v>
      </c>
      <c r="J25" s="49">
        <f>'Avg Week Kibuye-Munyonyo'!J25+'Avg Week Munyonyo-Kibuye'!J25</f>
        <v>0.85714285714285721</v>
      </c>
      <c r="K25" s="49">
        <f>'Avg Week Kibuye-Munyonyo'!K25+'Avg Week Munyonyo-Kibuye'!K25</f>
        <v>0.42857142857142855</v>
      </c>
      <c r="L25" s="49">
        <f>'Avg Week Kibuye-Munyonyo'!L25+'Avg Week Munyonyo-Kibuye'!L25</f>
        <v>0</v>
      </c>
      <c r="M25" s="49">
        <f>'Avg Week Kibuye-Munyonyo'!M25+'Avg Week Munyonyo-Kibuye'!M25</f>
        <v>286</v>
      </c>
      <c r="N25" s="49">
        <f>'Avg Week Kibuye-Munyonyo'!N25+'Avg Week Munyonyo-Kibuye'!N25</f>
        <v>1.8571428571428572</v>
      </c>
      <c r="O25" s="15">
        <f t="shared" si="0"/>
        <v>140.71428571428569</v>
      </c>
      <c r="P25" s="15">
        <f t="shared" si="1"/>
        <v>426.71428571428567</v>
      </c>
      <c r="R25" s="1" t="s">
        <v>149</v>
      </c>
      <c r="S25" s="34">
        <f>SUM(C70:C73)</f>
        <v>361.5</v>
      </c>
      <c r="T25" s="34">
        <f t="shared" ref="T25:AF25" si="17">SUM(D70:D73)</f>
        <v>94</v>
      </c>
      <c r="U25" s="34">
        <f t="shared" si="17"/>
        <v>15.5</v>
      </c>
      <c r="V25" s="34">
        <f t="shared" si="17"/>
        <v>302</v>
      </c>
      <c r="W25" s="34">
        <f t="shared" si="17"/>
        <v>1</v>
      </c>
      <c r="X25" s="34">
        <f t="shared" si="17"/>
        <v>0</v>
      </c>
      <c r="Y25" s="34">
        <f t="shared" si="17"/>
        <v>7</v>
      </c>
      <c r="Z25" s="34">
        <f t="shared" si="17"/>
        <v>2</v>
      </c>
      <c r="AA25" s="34">
        <f t="shared" si="17"/>
        <v>2.5</v>
      </c>
      <c r="AB25" s="34">
        <f t="shared" si="17"/>
        <v>0</v>
      </c>
      <c r="AC25" s="34">
        <f t="shared" si="17"/>
        <v>1082.5</v>
      </c>
      <c r="AD25" s="34">
        <f t="shared" si="17"/>
        <v>0</v>
      </c>
      <c r="AE25" s="31">
        <f t="shared" si="17"/>
        <v>785.5</v>
      </c>
      <c r="AF25" s="31">
        <f t="shared" si="17"/>
        <v>1868</v>
      </c>
    </row>
    <row r="26" spans="2:32" ht="23.1" customHeight="1" x14ac:dyDescent="0.25">
      <c r="B26" s="23" t="s">
        <v>53</v>
      </c>
      <c r="C26" s="49">
        <f>'Avg Week Kibuye-Munyonyo'!C26+'Avg Week Munyonyo-Kibuye'!C26</f>
        <v>43.142857142857139</v>
      </c>
      <c r="D26" s="49">
        <f>'Avg Week Kibuye-Munyonyo'!D26+'Avg Week Munyonyo-Kibuye'!D26</f>
        <v>20</v>
      </c>
      <c r="E26" s="49">
        <f>'Avg Week Kibuye-Munyonyo'!E26+'Avg Week Munyonyo-Kibuye'!E26</f>
        <v>6.7142857142857135</v>
      </c>
      <c r="F26" s="49">
        <f>'Avg Week Kibuye-Munyonyo'!F26+'Avg Week Munyonyo-Kibuye'!F26</f>
        <v>66</v>
      </c>
      <c r="G26" s="49">
        <f>'Avg Week Kibuye-Munyonyo'!G26+'Avg Week Munyonyo-Kibuye'!G26</f>
        <v>0</v>
      </c>
      <c r="H26" s="49">
        <f>'Avg Week Kibuye-Munyonyo'!H26+'Avg Week Munyonyo-Kibuye'!H26</f>
        <v>0</v>
      </c>
      <c r="I26" s="49">
        <f>'Avg Week Kibuye-Munyonyo'!I26+'Avg Week Munyonyo-Kibuye'!I26</f>
        <v>6</v>
      </c>
      <c r="J26" s="49">
        <f>'Avg Week Kibuye-Munyonyo'!J26+'Avg Week Munyonyo-Kibuye'!J26</f>
        <v>0.9285714285714286</v>
      </c>
      <c r="K26" s="49">
        <f>'Avg Week Kibuye-Munyonyo'!K26+'Avg Week Munyonyo-Kibuye'!K26</f>
        <v>0.5714285714285714</v>
      </c>
      <c r="L26" s="49">
        <f>'Avg Week Kibuye-Munyonyo'!L26+'Avg Week Munyonyo-Kibuye'!L26</f>
        <v>0</v>
      </c>
      <c r="M26" s="49">
        <f>'Avg Week Kibuye-Munyonyo'!M26+'Avg Week Munyonyo-Kibuye'!M26</f>
        <v>297.71428571428572</v>
      </c>
      <c r="N26" s="49">
        <f>'Avg Week Kibuye-Munyonyo'!N26+'Avg Week Munyonyo-Kibuye'!N26</f>
        <v>0</v>
      </c>
      <c r="O26" s="15">
        <f t="shared" si="0"/>
        <v>143.35714285714283</v>
      </c>
      <c r="P26" s="15">
        <f t="shared" si="1"/>
        <v>441.07142857142856</v>
      </c>
      <c r="R26" s="1" t="s">
        <v>150</v>
      </c>
      <c r="S26" s="34">
        <f>SUM(C74:C77)</f>
        <v>237</v>
      </c>
      <c r="T26" s="34">
        <f t="shared" ref="T26:AF26" si="18">SUM(D74:D77)</f>
        <v>73.5</v>
      </c>
      <c r="U26" s="34">
        <f t="shared" si="18"/>
        <v>9.5</v>
      </c>
      <c r="V26" s="34">
        <f t="shared" si="18"/>
        <v>182</v>
      </c>
      <c r="W26" s="34">
        <f t="shared" si="18"/>
        <v>3</v>
      </c>
      <c r="X26" s="34">
        <f t="shared" si="18"/>
        <v>0</v>
      </c>
      <c r="Y26" s="34">
        <f t="shared" si="18"/>
        <v>5.5</v>
      </c>
      <c r="Z26" s="34">
        <f t="shared" si="18"/>
        <v>3.5</v>
      </c>
      <c r="AA26" s="34">
        <f t="shared" si="18"/>
        <v>2</v>
      </c>
      <c r="AB26" s="34">
        <f t="shared" si="18"/>
        <v>0</v>
      </c>
      <c r="AC26" s="34">
        <f t="shared" si="18"/>
        <v>880</v>
      </c>
      <c r="AD26" s="34">
        <f t="shared" si="18"/>
        <v>0.5</v>
      </c>
      <c r="AE26" s="31">
        <f t="shared" si="18"/>
        <v>516.5</v>
      </c>
      <c r="AF26" s="31">
        <f t="shared" si="18"/>
        <v>1396.5</v>
      </c>
    </row>
    <row r="27" spans="2:32" ht="23.1" customHeight="1" x14ac:dyDescent="0.25">
      <c r="B27" s="23" t="s">
        <v>54</v>
      </c>
      <c r="C27" s="49">
        <f>'Avg Week Kibuye-Munyonyo'!C27+'Avg Week Munyonyo-Kibuye'!C27</f>
        <v>37.142857142857139</v>
      </c>
      <c r="D27" s="49">
        <f>'Avg Week Kibuye-Munyonyo'!D27+'Avg Week Munyonyo-Kibuye'!D27</f>
        <v>16.714285714285715</v>
      </c>
      <c r="E27" s="49">
        <f>'Avg Week Kibuye-Munyonyo'!E27+'Avg Week Munyonyo-Kibuye'!E27</f>
        <v>4.8571428571428577</v>
      </c>
      <c r="F27" s="49">
        <f>'Avg Week Kibuye-Munyonyo'!F27+'Avg Week Munyonyo-Kibuye'!F27</f>
        <v>62.714285714285715</v>
      </c>
      <c r="G27" s="49">
        <f>'Avg Week Kibuye-Munyonyo'!G27+'Avg Week Munyonyo-Kibuye'!G27</f>
        <v>0.2857142857142857</v>
      </c>
      <c r="H27" s="49">
        <f>'Avg Week Kibuye-Munyonyo'!H27+'Avg Week Munyonyo-Kibuye'!H27</f>
        <v>0</v>
      </c>
      <c r="I27" s="49">
        <f>'Avg Week Kibuye-Munyonyo'!I27+'Avg Week Munyonyo-Kibuye'!I27</f>
        <v>7.7142857142857135</v>
      </c>
      <c r="J27" s="49">
        <f>'Avg Week Kibuye-Munyonyo'!J27+'Avg Week Munyonyo-Kibuye'!J27</f>
        <v>0.71428571428571419</v>
      </c>
      <c r="K27" s="49">
        <f>'Avg Week Kibuye-Munyonyo'!K27+'Avg Week Munyonyo-Kibuye'!K27</f>
        <v>0.2857142857142857</v>
      </c>
      <c r="L27" s="49">
        <f>'Avg Week Kibuye-Munyonyo'!L27+'Avg Week Munyonyo-Kibuye'!L27</f>
        <v>0</v>
      </c>
      <c r="M27" s="49">
        <f>'Avg Week Kibuye-Munyonyo'!M27+'Avg Week Munyonyo-Kibuye'!M27</f>
        <v>272.28571428571428</v>
      </c>
      <c r="N27" s="49">
        <f>'Avg Week Kibuye-Munyonyo'!N27+'Avg Week Munyonyo-Kibuye'!N27</f>
        <v>0</v>
      </c>
      <c r="O27" s="15">
        <f t="shared" si="0"/>
        <v>130.42857142857142</v>
      </c>
      <c r="P27" s="15">
        <f t="shared" si="1"/>
        <v>402.71428571428567</v>
      </c>
      <c r="R27" s="1" t="s">
        <v>151</v>
      </c>
      <c r="S27" s="34">
        <f>SUM(C78:C81)</f>
        <v>182</v>
      </c>
      <c r="T27" s="34">
        <f t="shared" ref="T27:AF27" si="19">SUM(D78:D81)</f>
        <v>51.5</v>
      </c>
      <c r="U27" s="34">
        <f t="shared" si="19"/>
        <v>14.5</v>
      </c>
      <c r="V27" s="34">
        <f t="shared" si="19"/>
        <v>133.5</v>
      </c>
      <c r="W27" s="34">
        <f t="shared" si="19"/>
        <v>0</v>
      </c>
      <c r="X27" s="34">
        <f t="shared" si="19"/>
        <v>0</v>
      </c>
      <c r="Y27" s="34">
        <f t="shared" si="19"/>
        <v>5</v>
      </c>
      <c r="Z27" s="34">
        <f t="shared" si="19"/>
        <v>3.5</v>
      </c>
      <c r="AA27" s="34">
        <f t="shared" si="19"/>
        <v>0</v>
      </c>
      <c r="AB27" s="34">
        <f t="shared" si="19"/>
        <v>0</v>
      </c>
      <c r="AC27" s="34">
        <f t="shared" si="19"/>
        <v>764</v>
      </c>
      <c r="AD27" s="34">
        <f t="shared" si="19"/>
        <v>0</v>
      </c>
      <c r="AE27" s="31">
        <f t="shared" si="19"/>
        <v>390</v>
      </c>
      <c r="AF27" s="31">
        <f t="shared" si="19"/>
        <v>1154</v>
      </c>
    </row>
    <row r="28" spans="2:32" ht="23.1" customHeight="1" x14ac:dyDescent="0.25">
      <c r="B28" s="23" t="s">
        <v>55</v>
      </c>
      <c r="C28" s="49">
        <f>'Avg Week Kibuye-Munyonyo'!C28+'Avg Week Munyonyo-Kibuye'!C28</f>
        <v>36.571428571428569</v>
      </c>
      <c r="D28" s="49">
        <f>'Avg Week Kibuye-Munyonyo'!D28+'Avg Week Munyonyo-Kibuye'!D28</f>
        <v>17.428571428571431</v>
      </c>
      <c r="E28" s="49">
        <f>'Avg Week Kibuye-Munyonyo'!E28+'Avg Week Munyonyo-Kibuye'!E28</f>
        <v>5.2857142857142865</v>
      </c>
      <c r="F28" s="49">
        <f>'Avg Week Kibuye-Munyonyo'!F28+'Avg Week Munyonyo-Kibuye'!F28</f>
        <v>53.142857142857146</v>
      </c>
      <c r="G28" s="49">
        <f>'Avg Week Kibuye-Munyonyo'!G28+'Avg Week Munyonyo-Kibuye'!G28</f>
        <v>0.14285714285714285</v>
      </c>
      <c r="H28" s="49">
        <f>'Avg Week Kibuye-Munyonyo'!H28+'Avg Week Munyonyo-Kibuye'!H28</f>
        <v>0</v>
      </c>
      <c r="I28" s="49">
        <f>'Avg Week Kibuye-Munyonyo'!I28+'Avg Week Munyonyo-Kibuye'!I28</f>
        <v>5.5714285714285712</v>
      </c>
      <c r="J28" s="49">
        <f>'Avg Week Kibuye-Munyonyo'!J28+'Avg Week Munyonyo-Kibuye'!J28</f>
        <v>1</v>
      </c>
      <c r="K28" s="49">
        <f>'Avg Week Kibuye-Munyonyo'!K28+'Avg Week Munyonyo-Kibuye'!K28</f>
        <v>0.5714285714285714</v>
      </c>
      <c r="L28" s="49">
        <f>'Avg Week Kibuye-Munyonyo'!L28+'Avg Week Munyonyo-Kibuye'!L28</f>
        <v>0</v>
      </c>
      <c r="M28" s="49">
        <f>'Avg Week Kibuye-Munyonyo'!M28+'Avg Week Munyonyo-Kibuye'!M28</f>
        <v>277.71428571428572</v>
      </c>
      <c r="N28" s="49">
        <f>'Avg Week Kibuye-Munyonyo'!N28+'Avg Week Munyonyo-Kibuye'!N28</f>
        <v>0</v>
      </c>
      <c r="O28" s="15">
        <f t="shared" si="0"/>
        <v>119.71428571428571</v>
      </c>
      <c r="P28" s="15">
        <f t="shared" si="1"/>
        <v>397.42857142857144</v>
      </c>
      <c r="R28" s="1" t="s">
        <v>152</v>
      </c>
      <c r="S28" s="34">
        <f>SUM(C82:C85)</f>
        <v>164</v>
      </c>
      <c r="T28" s="34">
        <f t="shared" ref="T28:AF28" si="20">SUM(D82:D85)</f>
        <v>44</v>
      </c>
      <c r="U28" s="34">
        <f t="shared" si="20"/>
        <v>4.5</v>
      </c>
      <c r="V28" s="34">
        <f t="shared" si="20"/>
        <v>51.5</v>
      </c>
      <c r="W28" s="34">
        <f t="shared" si="20"/>
        <v>0</v>
      </c>
      <c r="X28" s="34">
        <f t="shared" si="20"/>
        <v>0.5</v>
      </c>
      <c r="Y28" s="34">
        <f t="shared" si="20"/>
        <v>4</v>
      </c>
      <c r="Z28" s="34">
        <f t="shared" si="20"/>
        <v>4</v>
      </c>
      <c r="AA28" s="34">
        <f t="shared" si="20"/>
        <v>0</v>
      </c>
      <c r="AB28" s="34">
        <f t="shared" si="20"/>
        <v>0</v>
      </c>
      <c r="AC28" s="34">
        <f t="shared" si="20"/>
        <v>450</v>
      </c>
      <c r="AD28" s="34">
        <f t="shared" si="20"/>
        <v>0</v>
      </c>
      <c r="AE28" s="31">
        <f t="shared" si="20"/>
        <v>272.5</v>
      </c>
      <c r="AF28" s="31">
        <f t="shared" si="20"/>
        <v>722.5</v>
      </c>
    </row>
    <row r="29" spans="2:32" ht="23.1" customHeight="1" x14ac:dyDescent="0.25">
      <c r="B29" s="23" t="s">
        <v>56</v>
      </c>
      <c r="C29" s="49">
        <f>'Avg Week Kibuye-Munyonyo'!C29+'Avg Week Munyonyo-Kibuye'!C29</f>
        <v>37.428571428571431</v>
      </c>
      <c r="D29" s="49">
        <f>'Avg Week Kibuye-Munyonyo'!D29+'Avg Week Munyonyo-Kibuye'!D29</f>
        <v>20.142857142857142</v>
      </c>
      <c r="E29" s="49">
        <f>'Avg Week Kibuye-Munyonyo'!E29+'Avg Week Munyonyo-Kibuye'!E29</f>
        <v>6.1428571428571423</v>
      </c>
      <c r="F29" s="49">
        <f>'Avg Week Kibuye-Munyonyo'!F29+'Avg Week Munyonyo-Kibuye'!F29</f>
        <v>55.285714285714292</v>
      </c>
      <c r="G29" s="49">
        <f>'Avg Week Kibuye-Munyonyo'!G29+'Avg Week Munyonyo-Kibuye'!G29</f>
        <v>0.14285714285714285</v>
      </c>
      <c r="H29" s="49">
        <f>'Avg Week Kibuye-Munyonyo'!H29+'Avg Week Munyonyo-Kibuye'!H29</f>
        <v>0</v>
      </c>
      <c r="I29" s="49">
        <f>'Avg Week Kibuye-Munyonyo'!I29+'Avg Week Munyonyo-Kibuye'!I29</f>
        <v>8.2857142857142847</v>
      </c>
      <c r="J29" s="49">
        <f>'Avg Week Kibuye-Munyonyo'!J29+'Avg Week Munyonyo-Kibuye'!J29</f>
        <v>1.1428571428571428</v>
      </c>
      <c r="K29" s="49">
        <f>'Avg Week Kibuye-Munyonyo'!K29+'Avg Week Munyonyo-Kibuye'!K29</f>
        <v>0.14285714285714285</v>
      </c>
      <c r="L29" s="49">
        <f>'Avg Week Kibuye-Munyonyo'!L29+'Avg Week Munyonyo-Kibuye'!L29</f>
        <v>0</v>
      </c>
      <c r="M29" s="49">
        <f>'Avg Week Kibuye-Munyonyo'!M29+'Avg Week Munyonyo-Kibuye'!M29</f>
        <v>261.71428571428572</v>
      </c>
      <c r="N29" s="49">
        <f>'Avg Week Kibuye-Munyonyo'!N29+'Avg Week Munyonyo-Kibuye'!N29</f>
        <v>0</v>
      </c>
      <c r="O29" s="15">
        <f t="shared" si="0"/>
        <v>128.71428571428569</v>
      </c>
      <c r="P29" s="15">
        <f t="shared" si="1"/>
        <v>390.42857142857144</v>
      </c>
      <c r="R29" s="1" t="s">
        <v>153</v>
      </c>
      <c r="S29" s="34">
        <f>SUM(C86:C89)</f>
        <v>84</v>
      </c>
      <c r="T29" s="34">
        <f t="shared" ref="T29:AF29" si="21">SUM(D86:D89)</f>
        <v>14.5</v>
      </c>
      <c r="U29" s="34">
        <f t="shared" si="21"/>
        <v>3.5</v>
      </c>
      <c r="V29" s="34">
        <f t="shared" si="21"/>
        <v>26</v>
      </c>
      <c r="W29" s="34">
        <f t="shared" si="21"/>
        <v>0</v>
      </c>
      <c r="X29" s="34">
        <f t="shared" si="21"/>
        <v>0</v>
      </c>
      <c r="Y29" s="34">
        <f t="shared" si="21"/>
        <v>4.5</v>
      </c>
      <c r="Z29" s="34">
        <f t="shared" si="21"/>
        <v>1</v>
      </c>
      <c r="AA29" s="34">
        <f t="shared" si="21"/>
        <v>3.5</v>
      </c>
      <c r="AB29" s="34">
        <f t="shared" si="21"/>
        <v>0</v>
      </c>
      <c r="AC29" s="34">
        <f t="shared" si="21"/>
        <v>342</v>
      </c>
      <c r="AD29" s="34">
        <f t="shared" si="21"/>
        <v>0</v>
      </c>
      <c r="AE29" s="31">
        <f t="shared" si="21"/>
        <v>137</v>
      </c>
      <c r="AF29" s="31">
        <f t="shared" si="21"/>
        <v>479</v>
      </c>
    </row>
    <row r="30" spans="2:32" ht="23.1" customHeight="1" x14ac:dyDescent="0.25">
      <c r="B30" s="23" t="s">
        <v>57</v>
      </c>
      <c r="C30" s="49">
        <f>'Avg Week Kibuye-Munyonyo'!C30+'Avg Week Munyonyo-Kibuye'!C30</f>
        <v>37</v>
      </c>
      <c r="D30" s="49">
        <f>'Avg Week Kibuye-Munyonyo'!D30+'Avg Week Munyonyo-Kibuye'!D30</f>
        <v>20.285714285714285</v>
      </c>
      <c r="E30" s="49">
        <f>'Avg Week Kibuye-Munyonyo'!E30+'Avg Week Munyonyo-Kibuye'!E30</f>
        <v>6.1428571428571423</v>
      </c>
      <c r="F30" s="49">
        <f>'Avg Week Kibuye-Munyonyo'!F30+'Avg Week Munyonyo-Kibuye'!F30</f>
        <v>51.857142857142861</v>
      </c>
      <c r="G30" s="49">
        <f>'Avg Week Kibuye-Munyonyo'!G30+'Avg Week Munyonyo-Kibuye'!G30</f>
        <v>0.14285714285714285</v>
      </c>
      <c r="H30" s="49">
        <f>'Avg Week Kibuye-Munyonyo'!H30+'Avg Week Munyonyo-Kibuye'!H30</f>
        <v>0</v>
      </c>
      <c r="I30" s="49">
        <f>'Avg Week Kibuye-Munyonyo'!I30+'Avg Week Munyonyo-Kibuye'!I30</f>
        <v>6.8571428571428577</v>
      </c>
      <c r="J30" s="49">
        <f>'Avg Week Kibuye-Munyonyo'!J30+'Avg Week Munyonyo-Kibuye'!J30</f>
        <v>1</v>
      </c>
      <c r="K30" s="49">
        <f>'Avg Week Kibuye-Munyonyo'!K30+'Avg Week Munyonyo-Kibuye'!K30</f>
        <v>0.71428571428571419</v>
      </c>
      <c r="L30" s="49">
        <f>'Avg Week Kibuye-Munyonyo'!L30+'Avg Week Munyonyo-Kibuye'!L30</f>
        <v>0</v>
      </c>
      <c r="M30" s="49">
        <f>'Avg Week Kibuye-Munyonyo'!M30+'Avg Week Munyonyo-Kibuye'!M30</f>
        <v>272.14285714285711</v>
      </c>
      <c r="N30" s="49">
        <f>'Avg Week Kibuye-Munyonyo'!N30+'Avg Week Munyonyo-Kibuye'!N30</f>
        <v>0</v>
      </c>
      <c r="O30" s="15">
        <f t="shared" si="0"/>
        <v>124</v>
      </c>
      <c r="P30" s="15">
        <f t="shared" si="1"/>
        <v>396.14285714285711</v>
      </c>
      <c r="R30" s="1" t="s">
        <v>154</v>
      </c>
      <c r="S30" s="34">
        <f>SUM(C90:C93)</f>
        <v>70</v>
      </c>
      <c r="T30" s="34">
        <f t="shared" ref="T30:AF30" si="22">SUM(D90:D93)</f>
        <v>9.5</v>
      </c>
      <c r="U30" s="34">
        <f t="shared" si="22"/>
        <v>5</v>
      </c>
      <c r="V30" s="34">
        <f t="shared" si="22"/>
        <v>32</v>
      </c>
      <c r="W30" s="34">
        <f t="shared" si="22"/>
        <v>3.5</v>
      </c>
      <c r="X30" s="34">
        <f t="shared" si="22"/>
        <v>0</v>
      </c>
      <c r="Y30" s="34">
        <f t="shared" si="22"/>
        <v>3.5</v>
      </c>
      <c r="Z30" s="34">
        <f t="shared" si="22"/>
        <v>0.5</v>
      </c>
      <c r="AA30" s="34">
        <f t="shared" si="22"/>
        <v>7</v>
      </c>
      <c r="AB30" s="34">
        <f t="shared" si="22"/>
        <v>0</v>
      </c>
      <c r="AC30" s="34">
        <f t="shared" si="22"/>
        <v>412.5</v>
      </c>
      <c r="AD30" s="34">
        <f t="shared" si="22"/>
        <v>0</v>
      </c>
      <c r="AE30" s="31">
        <f t="shared" si="22"/>
        <v>131</v>
      </c>
      <c r="AF30" s="31">
        <f t="shared" si="22"/>
        <v>543.5</v>
      </c>
    </row>
    <row r="31" spans="2:32" ht="23.1" customHeight="1" x14ac:dyDescent="0.25">
      <c r="B31" s="24" t="s">
        <v>58</v>
      </c>
      <c r="C31" s="49">
        <f>'Avg Week Kibuye-Munyonyo'!C31+'Avg Week Munyonyo-Kibuye'!C31</f>
        <v>31.428571428571431</v>
      </c>
      <c r="D31" s="49">
        <f>'Avg Week Kibuye-Munyonyo'!D31+'Avg Week Munyonyo-Kibuye'!D31</f>
        <v>18</v>
      </c>
      <c r="E31" s="49">
        <f>'Avg Week Kibuye-Munyonyo'!E31+'Avg Week Munyonyo-Kibuye'!E31</f>
        <v>10.857142857142858</v>
      </c>
      <c r="F31" s="49">
        <f>'Avg Week Kibuye-Munyonyo'!F31+'Avg Week Munyonyo-Kibuye'!F31</f>
        <v>44</v>
      </c>
      <c r="G31" s="49">
        <f>'Avg Week Kibuye-Munyonyo'!G31+'Avg Week Munyonyo-Kibuye'!G31</f>
        <v>0.2857142857142857</v>
      </c>
      <c r="H31" s="49">
        <f>'Avg Week Kibuye-Munyonyo'!H31+'Avg Week Munyonyo-Kibuye'!H31</f>
        <v>0</v>
      </c>
      <c r="I31" s="49">
        <f>'Avg Week Kibuye-Munyonyo'!I31+'Avg Week Munyonyo-Kibuye'!I31</f>
        <v>6.7142857142857144</v>
      </c>
      <c r="J31" s="49">
        <f>'Avg Week Kibuye-Munyonyo'!J31+'Avg Week Munyonyo-Kibuye'!J31</f>
        <v>1</v>
      </c>
      <c r="K31" s="49">
        <f>'Avg Week Kibuye-Munyonyo'!K31+'Avg Week Munyonyo-Kibuye'!K31</f>
        <v>0.71428571428571419</v>
      </c>
      <c r="L31" s="49">
        <f>'Avg Week Kibuye-Munyonyo'!L31+'Avg Week Munyonyo-Kibuye'!L31</f>
        <v>0</v>
      </c>
      <c r="M31" s="49">
        <f>'Avg Week Kibuye-Munyonyo'!M31+'Avg Week Munyonyo-Kibuye'!M31</f>
        <v>246.42857142857144</v>
      </c>
      <c r="N31" s="49">
        <f>'Avg Week Kibuye-Munyonyo'!N31+'Avg Week Munyonyo-Kibuye'!N31</f>
        <v>0</v>
      </c>
      <c r="O31" s="15">
        <f t="shared" si="0"/>
        <v>113</v>
      </c>
      <c r="P31" s="15">
        <f t="shared" si="1"/>
        <v>359.42857142857144</v>
      </c>
      <c r="R31" s="1" t="s">
        <v>155</v>
      </c>
      <c r="S31" s="34">
        <f>SUM(C94:C97)</f>
        <v>79.5</v>
      </c>
      <c r="T31" s="34">
        <f t="shared" ref="T31:AF31" si="23">SUM(D94:D97)</f>
        <v>12.5</v>
      </c>
      <c r="U31" s="34">
        <f t="shared" si="23"/>
        <v>8</v>
      </c>
      <c r="V31" s="34">
        <f t="shared" si="23"/>
        <v>19</v>
      </c>
      <c r="W31" s="34">
        <f t="shared" si="23"/>
        <v>0</v>
      </c>
      <c r="X31" s="34">
        <f t="shared" si="23"/>
        <v>0.5</v>
      </c>
      <c r="Y31" s="34">
        <f t="shared" si="23"/>
        <v>1</v>
      </c>
      <c r="Z31" s="34">
        <f t="shared" si="23"/>
        <v>1</v>
      </c>
      <c r="AA31" s="34">
        <f t="shared" si="23"/>
        <v>5</v>
      </c>
      <c r="AB31" s="34">
        <f t="shared" si="23"/>
        <v>0</v>
      </c>
      <c r="AC31" s="34">
        <f t="shared" si="23"/>
        <v>328</v>
      </c>
      <c r="AD31" s="34">
        <f t="shared" si="23"/>
        <v>0</v>
      </c>
      <c r="AE31" s="31">
        <f t="shared" si="23"/>
        <v>126.5</v>
      </c>
      <c r="AF31" s="31">
        <f t="shared" si="23"/>
        <v>454.5</v>
      </c>
    </row>
    <row r="32" spans="2:32" ht="23.1" customHeight="1" x14ac:dyDescent="0.25">
      <c r="B32" s="24" t="s">
        <v>59</v>
      </c>
      <c r="C32" s="49">
        <f>'Avg Week Kibuye-Munyonyo'!C32+'Avg Week Munyonyo-Kibuye'!C32</f>
        <v>38</v>
      </c>
      <c r="D32" s="49">
        <f>'Avg Week Kibuye-Munyonyo'!D32+'Avg Week Munyonyo-Kibuye'!D32</f>
        <v>17.428571428571431</v>
      </c>
      <c r="E32" s="49">
        <f>'Avg Week Kibuye-Munyonyo'!E32+'Avg Week Munyonyo-Kibuye'!E32</f>
        <v>4</v>
      </c>
      <c r="F32" s="49">
        <f>'Avg Week Kibuye-Munyonyo'!F32+'Avg Week Munyonyo-Kibuye'!F32</f>
        <v>50</v>
      </c>
      <c r="G32" s="49">
        <f>'Avg Week Kibuye-Munyonyo'!G32+'Avg Week Munyonyo-Kibuye'!G32</f>
        <v>0.2857142857142857</v>
      </c>
      <c r="H32" s="49">
        <f>'Avg Week Kibuye-Munyonyo'!H32+'Avg Week Munyonyo-Kibuye'!H32</f>
        <v>0.14285714285714285</v>
      </c>
      <c r="I32" s="49">
        <f>'Avg Week Kibuye-Munyonyo'!I32+'Avg Week Munyonyo-Kibuye'!I32</f>
        <v>5.1428571428571423</v>
      </c>
      <c r="J32" s="49">
        <f>'Avg Week Kibuye-Munyonyo'!J32+'Avg Week Munyonyo-Kibuye'!J32</f>
        <v>0.8571428571428571</v>
      </c>
      <c r="K32" s="49">
        <f>'Avg Week Kibuye-Munyonyo'!K32+'Avg Week Munyonyo-Kibuye'!K32</f>
        <v>0.42857142857142855</v>
      </c>
      <c r="L32" s="49">
        <f>'Avg Week Kibuye-Munyonyo'!L32+'Avg Week Munyonyo-Kibuye'!L32</f>
        <v>0</v>
      </c>
      <c r="M32" s="49">
        <f>'Avg Week Kibuye-Munyonyo'!M32+'Avg Week Munyonyo-Kibuye'!M32</f>
        <v>241</v>
      </c>
      <c r="N32" s="49">
        <f>'Avg Week Kibuye-Munyonyo'!N32+'Avg Week Munyonyo-Kibuye'!N32</f>
        <v>0.14285714285714285</v>
      </c>
      <c r="O32" s="15">
        <f t="shared" si="0"/>
        <v>116.42857142857143</v>
      </c>
      <c r="P32" s="15">
        <f t="shared" si="1"/>
        <v>357.42857142857144</v>
      </c>
      <c r="R32" s="1" t="s">
        <v>156</v>
      </c>
      <c r="S32" s="34">
        <f>SUM(C98:C101)</f>
        <v>143.5</v>
      </c>
      <c r="T32" s="34">
        <f t="shared" ref="T32:AF32" si="24">SUM(D98:D101)</f>
        <v>17</v>
      </c>
      <c r="U32" s="34">
        <f t="shared" si="24"/>
        <v>10.5</v>
      </c>
      <c r="V32" s="34">
        <f t="shared" si="24"/>
        <v>135</v>
      </c>
      <c r="W32" s="34">
        <f t="shared" si="24"/>
        <v>2.5</v>
      </c>
      <c r="X32" s="34">
        <f t="shared" si="24"/>
        <v>0.5</v>
      </c>
      <c r="Y32" s="34">
        <f t="shared" si="24"/>
        <v>1.5</v>
      </c>
      <c r="Z32" s="34">
        <f t="shared" si="24"/>
        <v>0</v>
      </c>
      <c r="AA32" s="34">
        <f t="shared" si="24"/>
        <v>5.5</v>
      </c>
      <c r="AB32" s="34">
        <f t="shared" si="24"/>
        <v>0.5</v>
      </c>
      <c r="AC32" s="34">
        <f t="shared" si="24"/>
        <v>561.5</v>
      </c>
      <c r="AD32" s="34">
        <f t="shared" si="24"/>
        <v>0</v>
      </c>
      <c r="AE32" s="31">
        <f t="shared" si="24"/>
        <v>316.5</v>
      </c>
      <c r="AF32" s="31">
        <f t="shared" si="24"/>
        <v>878</v>
      </c>
    </row>
    <row r="33" spans="2:32" ht="23.1" customHeight="1" x14ac:dyDescent="0.25">
      <c r="B33" s="23" t="s">
        <v>60</v>
      </c>
      <c r="C33" s="49">
        <f>'Avg Week Kibuye-Munyonyo'!C33+'Avg Week Munyonyo-Kibuye'!C33</f>
        <v>37.142857142857146</v>
      </c>
      <c r="D33" s="49">
        <f>'Avg Week Kibuye-Munyonyo'!D33+'Avg Week Munyonyo-Kibuye'!D33</f>
        <v>16.142857142857142</v>
      </c>
      <c r="E33" s="49">
        <f>'Avg Week Kibuye-Munyonyo'!E33+'Avg Week Munyonyo-Kibuye'!E33</f>
        <v>5.2857142857142856</v>
      </c>
      <c r="F33" s="49">
        <f>'Avg Week Kibuye-Munyonyo'!F33+'Avg Week Munyonyo-Kibuye'!F33</f>
        <v>49.714285714285715</v>
      </c>
      <c r="G33" s="49">
        <f>'Avg Week Kibuye-Munyonyo'!G33+'Avg Week Munyonyo-Kibuye'!G33</f>
        <v>0.2857142857142857</v>
      </c>
      <c r="H33" s="49">
        <f>'Avg Week Kibuye-Munyonyo'!H33+'Avg Week Munyonyo-Kibuye'!H33</f>
        <v>0</v>
      </c>
      <c r="I33" s="49">
        <f>'Avg Week Kibuye-Munyonyo'!I33+'Avg Week Munyonyo-Kibuye'!I33</f>
        <v>7.1428571428571432</v>
      </c>
      <c r="J33" s="49">
        <f>'Avg Week Kibuye-Munyonyo'!J33+'Avg Week Munyonyo-Kibuye'!J33</f>
        <v>0.5714285714285714</v>
      </c>
      <c r="K33" s="49">
        <f>'Avg Week Kibuye-Munyonyo'!K33+'Avg Week Munyonyo-Kibuye'!K33</f>
        <v>0.42857142857142855</v>
      </c>
      <c r="L33" s="49">
        <f>'Avg Week Kibuye-Munyonyo'!L33+'Avg Week Munyonyo-Kibuye'!L33</f>
        <v>0.14285714285714285</v>
      </c>
      <c r="M33" s="49">
        <f>'Avg Week Kibuye-Munyonyo'!M33+'Avg Week Munyonyo-Kibuye'!M33</f>
        <v>237.42857142857144</v>
      </c>
      <c r="N33" s="49">
        <f>'Avg Week Kibuye-Munyonyo'!N33+'Avg Week Munyonyo-Kibuye'!N33</f>
        <v>0</v>
      </c>
      <c r="O33" s="15">
        <f t="shared" si="0"/>
        <v>116.85714285714286</v>
      </c>
      <c r="P33" s="15">
        <f t="shared" si="1"/>
        <v>354.28571428571433</v>
      </c>
      <c r="R33" s="1" t="s">
        <v>157</v>
      </c>
      <c r="S33" s="34">
        <f>SUM(C102:C105)</f>
        <v>272.5</v>
      </c>
      <c r="T33" s="34">
        <f t="shared" ref="T33:AF33" si="25">SUM(D102:D105)</f>
        <v>60.5</v>
      </c>
      <c r="U33" s="34">
        <f t="shared" si="25"/>
        <v>16.5</v>
      </c>
      <c r="V33" s="34">
        <f t="shared" si="25"/>
        <v>292</v>
      </c>
      <c r="W33" s="34">
        <f t="shared" si="25"/>
        <v>5.5</v>
      </c>
      <c r="X33" s="34">
        <f t="shared" si="25"/>
        <v>0.5</v>
      </c>
      <c r="Y33" s="34">
        <f t="shared" si="25"/>
        <v>10.5</v>
      </c>
      <c r="Z33" s="34">
        <f t="shared" si="25"/>
        <v>1.5</v>
      </c>
      <c r="AA33" s="34">
        <f t="shared" si="25"/>
        <v>5</v>
      </c>
      <c r="AB33" s="34">
        <f t="shared" si="25"/>
        <v>0</v>
      </c>
      <c r="AC33" s="34">
        <f t="shared" si="25"/>
        <v>635.5</v>
      </c>
      <c r="AD33" s="34">
        <f t="shared" si="25"/>
        <v>0</v>
      </c>
      <c r="AE33" s="31">
        <f t="shared" si="25"/>
        <v>664.5</v>
      </c>
      <c r="AF33" s="31">
        <f t="shared" si="25"/>
        <v>1300</v>
      </c>
    </row>
    <row r="34" spans="2:32" ht="23.1" customHeight="1" x14ac:dyDescent="0.25">
      <c r="B34" s="24" t="s">
        <v>61</v>
      </c>
      <c r="C34" s="49">
        <f>'Avg Week Kibuye-Munyonyo'!C34+'Avg Week Munyonyo-Kibuye'!C34</f>
        <v>38.428571428571431</v>
      </c>
      <c r="D34" s="49">
        <f>'Avg Week Kibuye-Munyonyo'!D34+'Avg Week Munyonyo-Kibuye'!D34</f>
        <v>22.428571428571431</v>
      </c>
      <c r="E34" s="49">
        <f>'Avg Week Kibuye-Munyonyo'!E34+'Avg Week Munyonyo-Kibuye'!E34</f>
        <v>5.8571428571428568</v>
      </c>
      <c r="F34" s="49">
        <f>'Avg Week Kibuye-Munyonyo'!F34+'Avg Week Munyonyo-Kibuye'!F34</f>
        <v>46.857142857142861</v>
      </c>
      <c r="G34" s="49">
        <f>'Avg Week Kibuye-Munyonyo'!G34+'Avg Week Munyonyo-Kibuye'!G34</f>
        <v>1.4285714285714284</v>
      </c>
      <c r="H34" s="49">
        <f>'Avg Week Kibuye-Munyonyo'!H34+'Avg Week Munyonyo-Kibuye'!H34</f>
        <v>0</v>
      </c>
      <c r="I34" s="49">
        <f>'Avg Week Kibuye-Munyonyo'!I34+'Avg Week Munyonyo-Kibuye'!I34</f>
        <v>8.1428571428571423</v>
      </c>
      <c r="J34" s="49">
        <f>'Avg Week Kibuye-Munyonyo'!J34+'Avg Week Munyonyo-Kibuye'!J34</f>
        <v>1.2857142857142856</v>
      </c>
      <c r="K34" s="49">
        <f>'Avg Week Kibuye-Munyonyo'!K34+'Avg Week Munyonyo-Kibuye'!K34</f>
        <v>0.2857142857142857</v>
      </c>
      <c r="L34" s="49">
        <f>'Avg Week Kibuye-Munyonyo'!L34+'Avg Week Munyonyo-Kibuye'!L34</f>
        <v>0</v>
      </c>
      <c r="M34" s="49">
        <f>'Avg Week Kibuye-Munyonyo'!M34+'Avg Week Munyonyo-Kibuye'!M34</f>
        <v>234.71428571428572</v>
      </c>
      <c r="N34" s="49">
        <f>'Avg Week Kibuye-Munyonyo'!N34+'Avg Week Munyonyo-Kibuye'!N34</f>
        <v>0</v>
      </c>
      <c r="O34" s="15">
        <f t="shared" si="0"/>
        <v>124.71428571428574</v>
      </c>
      <c r="P34" s="15">
        <f t="shared" si="1"/>
        <v>359.42857142857144</v>
      </c>
      <c r="R34" s="38" t="s">
        <v>90</v>
      </c>
      <c r="S34" s="39">
        <f t="shared" ref="S34:AF34" si="26">MAX(S10:S12)</f>
        <v>158.28571428571428</v>
      </c>
      <c r="T34" s="39">
        <f t="shared" si="26"/>
        <v>81.571428571428569</v>
      </c>
      <c r="U34" s="39">
        <f t="shared" si="26"/>
        <v>24.142857142857142</v>
      </c>
      <c r="V34" s="39">
        <f t="shared" si="26"/>
        <v>465.85714285714289</v>
      </c>
      <c r="W34" s="39">
        <f t="shared" si="26"/>
        <v>3.8571428571428568</v>
      </c>
      <c r="X34" s="39">
        <f t="shared" si="26"/>
        <v>1</v>
      </c>
      <c r="Y34" s="39">
        <f t="shared" si="26"/>
        <v>21.857142857142861</v>
      </c>
      <c r="Z34" s="39">
        <f t="shared" si="26"/>
        <v>4.5714285714285712</v>
      </c>
      <c r="AA34" s="39">
        <f t="shared" si="26"/>
        <v>1.5714285714285714</v>
      </c>
      <c r="AB34" s="39">
        <f t="shared" si="26"/>
        <v>0.2857142857142857</v>
      </c>
      <c r="AC34" s="39">
        <f t="shared" si="26"/>
        <v>1525.2857142857142</v>
      </c>
      <c r="AD34" s="39">
        <f t="shared" si="26"/>
        <v>0.14285714285714285</v>
      </c>
      <c r="AE34" s="40">
        <f t="shared" si="26"/>
        <v>748.57142857142844</v>
      </c>
      <c r="AF34" s="40">
        <f t="shared" si="26"/>
        <v>2273.8571428571427</v>
      </c>
    </row>
    <row r="35" spans="2:32" ht="23.1" customHeight="1" x14ac:dyDescent="0.25">
      <c r="B35" s="24" t="s">
        <v>62</v>
      </c>
      <c r="C35" s="49">
        <f>'Avg Week Kibuye-Munyonyo'!C35+'Avg Week Munyonyo-Kibuye'!C35</f>
        <v>40.428571428571431</v>
      </c>
      <c r="D35" s="49">
        <f>'Avg Week Kibuye-Munyonyo'!D35+'Avg Week Munyonyo-Kibuye'!D35</f>
        <v>17.142857142857142</v>
      </c>
      <c r="E35" s="49">
        <f>'Avg Week Kibuye-Munyonyo'!E35+'Avg Week Munyonyo-Kibuye'!E35</f>
        <v>7.1428571428571423</v>
      </c>
      <c r="F35" s="49">
        <f>'Avg Week Kibuye-Munyonyo'!F35+'Avg Week Munyonyo-Kibuye'!F35</f>
        <v>44.714285714285708</v>
      </c>
      <c r="G35" s="49">
        <f>'Avg Week Kibuye-Munyonyo'!G35+'Avg Week Munyonyo-Kibuye'!G35</f>
        <v>0.14285714285714285</v>
      </c>
      <c r="H35" s="49">
        <f>'Avg Week Kibuye-Munyonyo'!H35+'Avg Week Munyonyo-Kibuye'!H35</f>
        <v>0</v>
      </c>
      <c r="I35" s="49">
        <f>'Avg Week Kibuye-Munyonyo'!I35+'Avg Week Munyonyo-Kibuye'!I35</f>
        <v>6.8571428571428577</v>
      </c>
      <c r="J35" s="49">
        <f>'Avg Week Kibuye-Munyonyo'!J35+'Avg Week Munyonyo-Kibuye'!J35</f>
        <v>1</v>
      </c>
      <c r="K35" s="49">
        <f>'Avg Week Kibuye-Munyonyo'!K35+'Avg Week Munyonyo-Kibuye'!K35</f>
        <v>0.42857142857142855</v>
      </c>
      <c r="L35" s="49">
        <f>'Avg Week Kibuye-Munyonyo'!L35+'Avg Week Munyonyo-Kibuye'!L35</f>
        <v>0.2857142857142857</v>
      </c>
      <c r="M35" s="49">
        <f>'Avg Week Kibuye-Munyonyo'!M35+'Avg Week Munyonyo-Kibuye'!M35</f>
        <v>218</v>
      </c>
      <c r="N35" s="49">
        <f>'Avg Week Kibuye-Munyonyo'!N35+'Avg Week Munyonyo-Kibuye'!N35</f>
        <v>0</v>
      </c>
      <c r="O35" s="15">
        <f t="shared" si="0"/>
        <v>118.14285714285714</v>
      </c>
      <c r="P35" s="15">
        <f t="shared" si="1"/>
        <v>336.14285714285711</v>
      </c>
      <c r="R35" s="38" t="s">
        <v>91</v>
      </c>
      <c r="S35" s="39">
        <f t="shared" ref="S35:AF35" si="27">MAX(S13:S18)</f>
        <v>191.71428571428572</v>
      </c>
      <c r="T35" s="39">
        <f t="shared" si="27"/>
        <v>86.714285714285722</v>
      </c>
      <c r="U35" s="39">
        <f t="shared" si="27"/>
        <v>27.857142857142858</v>
      </c>
      <c r="V35" s="39">
        <f t="shared" si="27"/>
        <v>292.85714285714289</v>
      </c>
      <c r="W35" s="39">
        <f t="shared" si="27"/>
        <v>4</v>
      </c>
      <c r="X35" s="39">
        <f t="shared" si="27"/>
        <v>0.42857142857142855</v>
      </c>
      <c r="Y35" s="39">
        <f t="shared" si="27"/>
        <v>31.285714285714288</v>
      </c>
      <c r="Z35" s="39">
        <f t="shared" si="27"/>
        <v>5.7142857142857144</v>
      </c>
      <c r="AA35" s="39">
        <f t="shared" si="27"/>
        <v>2.2857142857142856</v>
      </c>
      <c r="AB35" s="39">
        <f t="shared" si="27"/>
        <v>0.71428571428571419</v>
      </c>
      <c r="AC35" s="39">
        <f t="shared" si="27"/>
        <v>1220.1428571428571</v>
      </c>
      <c r="AD35" s="39">
        <f t="shared" si="27"/>
        <v>1.8571428571428572</v>
      </c>
      <c r="AE35" s="40">
        <f t="shared" si="27"/>
        <v>581.57142857142844</v>
      </c>
      <c r="AF35" s="40">
        <f t="shared" si="27"/>
        <v>1801.7142857142858</v>
      </c>
    </row>
    <row r="36" spans="2:32" ht="23.1" customHeight="1" x14ac:dyDescent="0.25">
      <c r="B36" s="24" t="s">
        <v>63</v>
      </c>
      <c r="C36" s="49">
        <f>'Avg Week Kibuye-Munyonyo'!C36+'Avg Week Munyonyo-Kibuye'!C36</f>
        <v>41</v>
      </c>
      <c r="D36" s="49">
        <f>'Avg Week Kibuye-Munyonyo'!D36+'Avg Week Munyonyo-Kibuye'!D36</f>
        <v>19.142857142857142</v>
      </c>
      <c r="E36" s="49">
        <f>'Avg Week Kibuye-Munyonyo'!E36+'Avg Week Munyonyo-Kibuye'!E36</f>
        <v>7.4285714285714288</v>
      </c>
      <c r="F36" s="49">
        <f>'Avg Week Kibuye-Munyonyo'!F36+'Avg Week Munyonyo-Kibuye'!F36</f>
        <v>52.857142857142861</v>
      </c>
      <c r="G36" s="49">
        <f>'Avg Week Kibuye-Munyonyo'!G36+'Avg Week Munyonyo-Kibuye'!G36</f>
        <v>0.14285714285714285</v>
      </c>
      <c r="H36" s="49">
        <f>'Avg Week Kibuye-Munyonyo'!H36+'Avg Week Munyonyo-Kibuye'!H36</f>
        <v>0</v>
      </c>
      <c r="I36" s="49">
        <f>'Avg Week Kibuye-Munyonyo'!I36+'Avg Week Munyonyo-Kibuye'!I36</f>
        <v>9.1428571428571423</v>
      </c>
      <c r="J36" s="49">
        <f>'Avg Week Kibuye-Munyonyo'!J36+'Avg Week Munyonyo-Kibuye'!J36</f>
        <v>1.1428571428571428</v>
      </c>
      <c r="K36" s="49">
        <f>'Avg Week Kibuye-Munyonyo'!K36+'Avg Week Munyonyo-Kibuye'!K36</f>
        <v>0.5714285714285714</v>
      </c>
      <c r="L36" s="49">
        <f>'Avg Week Kibuye-Munyonyo'!L36+'Avg Week Munyonyo-Kibuye'!L36</f>
        <v>0</v>
      </c>
      <c r="M36" s="49">
        <f>'Avg Week Kibuye-Munyonyo'!M36+'Avg Week Munyonyo-Kibuye'!M36</f>
        <v>231.42857142857144</v>
      </c>
      <c r="N36" s="49">
        <f>'Avg Week Kibuye-Munyonyo'!N36+'Avg Week Munyonyo-Kibuye'!N36</f>
        <v>0</v>
      </c>
      <c r="O36" s="15">
        <f t="shared" si="0"/>
        <v>131.42857142857144</v>
      </c>
      <c r="P36" s="15">
        <f t="shared" si="1"/>
        <v>362.85714285714289</v>
      </c>
      <c r="R36" s="38" t="s">
        <v>92</v>
      </c>
      <c r="S36" s="39">
        <f>MAX(S20:S22)</f>
        <v>242.14285714285711</v>
      </c>
      <c r="T36" s="39">
        <f t="shared" ref="T36:AF36" si="28">MAX(T19:T21)</f>
        <v>115.14285714285715</v>
      </c>
      <c r="U36" s="39">
        <f t="shared" si="28"/>
        <v>34.285714285714285</v>
      </c>
      <c r="V36" s="39">
        <f t="shared" si="28"/>
        <v>226</v>
      </c>
      <c r="W36" s="39">
        <f t="shared" si="28"/>
        <v>7.1428571428571423</v>
      </c>
      <c r="X36" s="39">
        <f t="shared" si="28"/>
        <v>3.714285714285714</v>
      </c>
      <c r="Y36" s="39">
        <f t="shared" si="28"/>
        <v>34.142857142857146</v>
      </c>
      <c r="Z36" s="39">
        <f t="shared" si="28"/>
        <v>4.5714285714285712</v>
      </c>
      <c r="AA36" s="39">
        <f t="shared" si="28"/>
        <v>4.1428571428571423</v>
      </c>
      <c r="AB36" s="39">
        <f t="shared" si="28"/>
        <v>2.4285714285714284</v>
      </c>
      <c r="AC36" s="39">
        <f t="shared" si="28"/>
        <v>1121.2857142857144</v>
      </c>
      <c r="AD36" s="39">
        <f t="shared" si="28"/>
        <v>0</v>
      </c>
      <c r="AE36" s="40">
        <f t="shared" si="28"/>
        <v>630.14285714285711</v>
      </c>
      <c r="AF36" s="40">
        <f t="shared" si="28"/>
        <v>1739.2857142857142</v>
      </c>
    </row>
    <row r="37" spans="2:32" ht="23.1" customHeight="1" x14ac:dyDescent="0.25">
      <c r="B37" s="23" t="s">
        <v>64</v>
      </c>
      <c r="C37" s="49">
        <f>'Avg Week Kibuye-Munyonyo'!C37+'Avg Week Munyonyo-Kibuye'!C37</f>
        <v>38.285714285714292</v>
      </c>
      <c r="D37" s="49">
        <f>'Avg Week Kibuye-Munyonyo'!D37+'Avg Week Munyonyo-Kibuye'!D37</f>
        <v>19</v>
      </c>
      <c r="E37" s="49">
        <f>'Avg Week Kibuye-Munyonyo'!E37+'Avg Week Munyonyo-Kibuye'!E37</f>
        <v>5.7142857142857144</v>
      </c>
      <c r="F37" s="49">
        <f>'Avg Week Kibuye-Munyonyo'!F37+'Avg Week Munyonyo-Kibuye'!F37</f>
        <v>38.428571428571431</v>
      </c>
      <c r="G37" s="49">
        <f>'Avg Week Kibuye-Munyonyo'!G37+'Avg Week Munyonyo-Kibuye'!G37</f>
        <v>0</v>
      </c>
      <c r="H37" s="49">
        <f>'Avg Week Kibuye-Munyonyo'!H37+'Avg Week Munyonyo-Kibuye'!H37</f>
        <v>0</v>
      </c>
      <c r="I37" s="49">
        <f>'Avg Week Kibuye-Munyonyo'!I37+'Avg Week Munyonyo-Kibuye'!I37</f>
        <v>5.8571428571428577</v>
      </c>
      <c r="J37" s="49">
        <f>'Avg Week Kibuye-Munyonyo'!J37+'Avg Week Munyonyo-Kibuye'!J37</f>
        <v>0.42857142857142855</v>
      </c>
      <c r="K37" s="49">
        <f>'Avg Week Kibuye-Munyonyo'!K37+'Avg Week Munyonyo-Kibuye'!K37</f>
        <v>0.5714285714285714</v>
      </c>
      <c r="L37" s="49">
        <f>'Avg Week Kibuye-Munyonyo'!L37+'Avg Week Munyonyo-Kibuye'!L37</f>
        <v>0</v>
      </c>
      <c r="M37" s="49">
        <f>'Avg Week Kibuye-Munyonyo'!M37+'Avg Week Munyonyo-Kibuye'!M37</f>
        <v>217.42857142857144</v>
      </c>
      <c r="N37" s="49">
        <f>'Avg Week Kibuye-Munyonyo'!N37+'Avg Week Munyonyo-Kibuye'!N37</f>
        <v>1</v>
      </c>
      <c r="O37" s="15">
        <f t="shared" si="0"/>
        <v>109.28571428571431</v>
      </c>
      <c r="P37" s="15">
        <f t="shared" si="1"/>
        <v>326.71428571428578</v>
      </c>
      <c r="R37" s="37" t="s">
        <v>85</v>
      </c>
      <c r="S37" s="52">
        <f t="shared" ref="S37:AF37" si="29">SUM(S10:S12)</f>
        <v>444.42857142857144</v>
      </c>
      <c r="T37" s="53">
        <f t="shared" si="29"/>
        <v>218.42857142857139</v>
      </c>
      <c r="U37" s="53">
        <f t="shared" si="29"/>
        <v>63.571428571428569</v>
      </c>
      <c r="V37" s="53">
        <f t="shared" si="29"/>
        <v>1212.4285714285716</v>
      </c>
      <c r="W37" s="53">
        <f t="shared" si="29"/>
        <v>8.9999999999999982</v>
      </c>
      <c r="X37" s="53">
        <f t="shared" si="29"/>
        <v>1.7142857142857142</v>
      </c>
      <c r="Y37" s="53">
        <f t="shared" si="29"/>
        <v>63.428571428571431</v>
      </c>
      <c r="Z37" s="53">
        <f t="shared" si="29"/>
        <v>11.285714285714285</v>
      </c>
      <c r="AA37" s="53">
        <f t="shared" si="29"/>
        <v>3.8571428571428568</v>
      </c>
      <c r="AB37" s="53">
        <f t="shared" si="29"/>
        <v>0.2857142857142857</v>
      </c>
      <c r="AC37" s="53">
        <f t="shared" si="29"/>
        <v>4009.1428571428569</v>
      </c>
      <c r="AD37" s="53">
        <f t="shared" si="29"/>
        <v>0.14285714285714285</v>
      </c>
      <c r="AE37" s="54">
        <f t="shared" si="29"/>
        <v>2028.5714285714284</v>
      </c>
      <c r="AF37" s="54">
        <f t="shared" si="29"/>
        <v>6037.7142857142853</v>
      </c>
    </row>
    <row r="38" spans="2:32" ht="23.1" customHeight="1" x14ac:dyDescent="0.25">
      <c r="B38" s="24" t="s">
        <v>65</v>
      </c>
      <c r="C38" s="49">
        <f>'Avg Week Kibuye-Munyonyo'!C38+'Avg Week Munyonyo-Kibuye'!C38</f>
        <v>48.571428571428569</v>
      </c>
      <c r="D38" s="49">
        <f>'Avg Week Kibuye-Munyonyo'!D38+'Avg Week Munyonyo-Kibuye'!D38</f>
        <v>20.142857142857146</v>
      </c>
      <c r="E38" s="49">
        <f>'Avg Week Kibuye-Munyonyo'!E38+'Avg Week Munyonyo-Kibuye'!E38</f>
        <v>6</v>
      </c>
      <c r="F38" s="49">
        <f>'Avg Week Kibuye-Munyonyo'!F38+'Avg Week Munyonyo-Kibuye'!F38</f>
        <v>40.571428571428569</v>
      </c>
      <c r="G38" s="49">
        <f>'Avg Week Kibuye-Munyonyo'!G38+'Avg Week Munyonyo-Kibuye'!G38</f>
        <v>0</v>
      </c>
      <c r="H38" s="49">
        <f>'Avg Week Kibuye-Munyonyo'!H38+'Avg Week Munyonyo-Kibuye'!H38</f>
        <v>0</v>
      </c>
      <c r="I38" s="49">
        <f>'Avg Week Kibuye-Munyonyo'!I38+'Avg Week Munyonyo-Kibuye'!I38</f>
        <v>9.4285714285714288</v>
      </c>
      <c r="J38" s="49">
        <f>'Avg Week Kibuye-Munyonyo'!J38+'Avg Week Munyonyo-Kibuye'!J38</f>
        <v>0.85714285714285721</v>
      </c>
      <c r="K38" s="49">
        <f>'Avg Week Kibuye-Munyonyo'!K38+'Avg Week Munyonyo-Kibuye'!K38</f>
        <v>0.71428571428571419</v>
      </c>
      <c r="L38" s="49">
        <f>'Avg Week Kibuye-Munyonyo'!L38+'Avg Week Munyonyo-Kibuye'!L38</f>
        <v>0</v>
      </c>
      <c r="M38" s="49">
        <f>'Avg Week Kibuye-Munyonyo'!M38+'Avg Week Munyonyo-Kibuye'!M38</f>
        <v>255.71428571428572</v>
      </c>
      <c r="N38" s="49">
        <f>'Avg Week Kibuye-Munyonyo'!N38+'Avg Week Munyonyo-Kibuye'!N38</f>
        <v>0</v>
      </c>
      <c r="O38" s="15">
        <f t="shared" si="0"/>
        <v>126.28571428571429</v>
      </c>
      <c r="P38" s="15">
        <f t="shared" si="1"/>
        <v>382</v>
      </c>
      <c r="R38" s="28" t="s">
        <v>86</v>
      </c>
      <c r="S38" s="53">
        <f t="shared" ref="S38:AF38" si="30">SUM(S13:S18)</f>
        <v>978.42857142857156</v>
      </c>
      <c r="T38" s="53">
        <f t="shared" si="30"/>
        <v>472.14285714285717</v>
      </c>
      <c r="U38" s="53">
        <f t="shared" si="30"/>
        <v>150.71428571428572</v>
      </c>
      <c r="V38" s="53">
        <f t="shared" si="30"/>
        <v>1230.4285714285713</v>
      </c>
      <c r="W38" s="53">
        <f t="shared" si="30"/>
        <v>10.142857142857142</v>
      </c>
      <c r="X38" s="53">
        <f t="shared" si="30"/>
        <v>0.5714285714285714</v>
      </c>
      <c r="Y38" s="53">
        <f t="shared" si="30"/>
        <v>171</v>
      </c>
      <c r="Z38" s="53">
        <f t="shared" si="30"/>
        <v>24.071428571428569</v>
      </c>
      <c r="AA38" s="53">
        <f t="shared" si="30"/>
        <v>11</v>
      </c>
      <c r="AB38" s="53">
        <f t="shared" si="30"/>
        <v>1.2857142857142856</v>
      </c>
      <c r="AC38" s="53">
        <f t="shared" si="30"/>
        <v>6141.8571428571431</v>
      </c>
      <c r="AD38" s="53">
        <f t="shared" si="30"/>
        <v>3</v>
      </c>
      <c r="AE38" s="54">
        <f t="shared" si="30"/>
        <v>3052.7857142857138</v>
      </c>
      <c r="AF38" s="54">
        <f t="shared" si="30"/>
        <v>9194.6428571428551</v>
      </c>
    </row>
    <row r="39" spans="2:32" ht="23.1" customHeight="1" x14ac:dyDescent="0.25">
      <c r="B39" s="24" t="s">
        <v>66</v>
      </c>
      <c r="C39" s="49">
        <f>'Avg Week Kibuye-Munyonyo'!C39+'Avg Week Munyonyo-Kibuye'!C39</f>
        <v>40.714285714285708</v>
      </c>
      <c r="D39" s="49">
        <f>'Avg Week Kibuye-Munyonyo'!D39+'Avg Week Munyonyo-Kibuye'!D39</f>
        <v>18.428571428571427</v>
      </c>
      <c r="E39" s="49">
        <f>'Avg Week Kibuye-Munyonyo'!E39+'Avg Week Munyonyo-Kibuye'!E39</f>
        <v>5.5714285714285712</v>
      </c>
      <c r="F39" s="49">
        <f>'Avg Week Kibuye-Munyonyo'!F39+'Avg Week Munyonyo-Kibuye'!F39</f>
        <v>40.571428571428569</v>
      </c>
      <c r="G39" s="49">
        <f>'Avg Week Kibuye-Munyonyo'!G39+'Avg Week Munyonyo-Kibuye'!G39</f>
        <v>3.7142857142857144</v>
      </c>
      <c r="H39" s="49">
        <f>'Avg Week Kibuye-Munyonyo'!H39+'Avg Week Munyonyo-Kibuye'!H39</f>
        <v>0</v>
      </c>
      <c r="I39" s="49">
        <f>'Avg Week Kibuye-Munyonyo'!I39+'Avg Week Munyonyo-Kibuye'!I39</f>
        <v>6.1428571428571423</v>
      </c>
      <c r="J39" s="49">
        <f>'Avg Week Kibuye-Munyonyo'!J39+'Avg Week Munyonyo-Kibuye'!J39</f>
        <v>0.2857142857142857</v>
      </c>
      <c r="K39" s="49">
        <f>'Avg Week Kibuye-Munyonyo'!K39+'Avg Week Munyonyo-Kibuye'!K39</f>
        <v>0.42857142857142855</v>
      </c>
      <c r="L39" s="49">
        <f>'Avg Week Kibuye-Munyonyo'!L39+'Avg Week Munyonyo-Kibuye'!L39</f>
        <v>0.14285714285714285</v>
      </c>
      <c r="M39" s="49">
        <f>'Avg Week Kibuye-Munyonyo'!M39+'Avg Week Munyonyo-Kibuye'!M39</f>
        <v>253</v>
      </c>
      <c r="N39" s="49">
        <f>'Avg Week Kibuye-Munyonyo'!N39+'Avg Week Munyonyo-Kibuye'!N39</f>
        <v>0</v>
      </c>
      <c r="O39" s="15">
        <f t="shared" si="0"/>
        <v>115.99999999999999</v>
      </c>
      <c r="P39" s="15">
        <f t="shared" si="1"/>
        <v>369</v>
      </c>
      <c r="R39" s="29" t="s">
        <v>87</v>
      </c>
      <c r="S39" s="53">
        <f t="shared" ref="S39:AF39" si="31">SUM(S19:S21)</f>
        <v>683.57142857142856</v>
      </c>
      <c r="T39" s="53">
        <f t="shared" si="31"/>
        <v>331.14285714285717</v>
      </c>
      <c r="U39" s="53">
        <f t="shared" si="31"/>
        <v>87</v>
      </c>
      <c r="V39" s="53">
        <f t="shared" si="31"/>
        <v>624.14285714285711</v>
      </c>
      <c r="W39" s="53">
        <f t="shared" si="31"/>
        <v>14.285714285714285</v>
      </c>
      <c r="X39" s="53">
        <f t="shared" si="31"/>
        <v>4.7142857142857135</v>
      </c>
      <c r="Y39" s="53">
        <f t="shared" si="31"/>
        <v>94.714285714285722</v>
      </c>
      <c r="Z39" s="53">
        <f t="shared" si="31"/>
        <v>10.714285714285714</v>
      </c>
      <c r="AA39" s="53">
        <f t="shared" si="31"/>
        <v>6.2857142857142847</v>
      </c>
      <c r="AB39" s="53">
        <f t="shared" si="31"/>
        <v>3</v>
      </c>
      <c r="AC39" s="53">
        <f t="shared" si="31"/>
        <v>3320.2857142857147</v>
      </c>
      <c r="AD39" s="53">
        <f t="shared" si="31"/>
        <v>0</v>
      </c>
      <c r="AE39" s="54">
        <f t="shared" si="31"/>
        <v>1859.5714285714284</v>
      </c>
      <c r="AF39" s="54">
        <f t="shared" si="31"/>
        <v>5179.8571428571431</v>
      </c>
    </row>
    <row r="40" spans="2:32" ht="23.1" customHeight="1" x14ac:dyDescent="0.25">
      <c r="B40" s="24" t="s">
        <v>67</v>
      </c>
      <c r="C40" s="49">
        <f>'Avg Week Kibuye-Munyonyo'!C40+'Avg Week Munyonyo-Kibuye'!C40</f>
        <v>46.428571428571431</v>
      </c>
      <c r="D40" s="49">
        <f>'Avg Week Kibuye-Munyonyo'!D40+'Avg Week Munyonyo-Kibuye'!D40</f>
        <v>27.285714285714285</v>
      </c>
      <c r="E40" s="49">
        <f>'Avg Week Kibuye-Munyonyo'!E40+'Avg Week Munyonyo-Kibuye'!E40</f>
        <v>7.5714285714285712</v>
      </c>
      <c r="F40" s="49">
        <f>'Avg Week Kibuye-Munyonyo'!F40+'Avg Week Munyonyo-Kibuye'!F40</f>
        <v>40.714285714285715</v>
      </c>
      <c r="G40" s="49">
        <f>'Avg Week Kibuye-Munyonyo'!G40+'Avg Week Munyonyo-Kibuye'!G40</f>
        <v>0.2857142857142857</v>
      </c>
      <c r="H40" s="49">
        <f>'Avg Week Kibuye-Munyonyo'!H40+'Avg Week Munyonyo-Kibuye'!H40</f>
        <v>0</v>
      </c>
      <c r="I40" s="49">
        <f>'Avg Week Kibuye-Munyonyo'!I40+'Avg Week Munyonyo-Kibuye'!I40</f>
        <v>7.8571428571428577</v>
      </c>
      <c r="J40" s="49">
        <f>'Avg Week Kibuye-Munyonyo'!J40+'Avg Week Munyonyo-Kibuye'!J40</f>
        <v>0.71428571428571419</v>
      </c>
      <c r="K40" s="49">
        <f>'Avg Week Kibuye-Munyonyo'!K40+'Avg Week Munyonyo-Kibuye'!K40</f>
        <v>0.2857142857142857</v>
      </c>
      <c r="L40" s="49">
        <f>'Avg Week Kibuye-Munyonyo'!L40+'Avg Week Munyonyo-Kibuye'!L40</f>
        <v>0</v>
      </c>
      <c r="M40" s="49">
        <f>'Avg Week Kibuye-Munyonyo'!M40+'Avg Week Munyonyo-Kibuye'!M40</f>
        <v>248.71428571428572</v>
      </c>
      <c r="N40" s="49">
        <f>'Avg Week Kibuye-Munyonyo'!N40+'Avg Week Munyonyo-Kibuye'!N40</f>
        <v>0</v>
      </c>
      <c r="O40" s="15">
        <f t="shared" si="0"/>
        <v>131.14285714285714</v>
      </c>
      <c r="P40" s="15">
        <f t="shared" si="1"/>
        <v>379.85714285714289</v>
      </c>
      <c r="R40" s="5" t="s">
        <v>17</v>
      </c>
      <c r="S40" s="53">
        <f t="shared" ref="S40:AF40" si="32">SUM(S10:S21)</f>
        <v>2106.4285714285716</v>
      </c>
      <c r="T40" s="53">
        <f t="shared" si="32"/>
        <v>1021.7142857142856</v>
      </c>
      <c r="U40" s="53">
        <f t="shared" si="32"/>
        <v>301.28571428571433</v>
      </c>
      <c r="V40" s="53">
        <f t="shared" si="32"/>
        <v>3067</v>
      </c>
      <c r="W40" s="53">
        <f t="shared" si="32"/>
        <v>33.428571428571423</v>
      </c>
      <c r="X40" s="53">
        <f t="shared" si="32"/>
        <v>7</v>
      </c>
      <c r="Y40" s="53">
        <f t="shared" si="32"/>
        <v>329.14285714285711</v>
      </c>
      <c r="Z40" s="53">
        <f t="shared" si="32"/>
        <v>46.071428571428569</v>
      </c>
      <c r="AA40" s="53">
        <f t="shared" si="32"/>
        <v>21.142857142857142</v>
      </c>
      <c r="AB40" s="53">
        <f t="shared" si="32"/>
        <v>4.5714285714285712</v>
      </c>
      <c r="AC40" s="53">
        <f t="shared" si="32"/>
        <v>13471.285714285714</v>
      </c>
      <c r="AD40" s="53">
        <f t="shared" si="32"/>
        <v>3.1428571428571428</v>
      </c>
      <c r="AE40" s="54">
        <f t="shared" si="32"/>
        <v>6940.9285714285716</v>
      </c>
      <c r="AF40" s="54">
        <f t="shared" si="32"/>
        <v>20412.214285714283</v>
      </c>
    </row>
    <row r="41" spans="2:32" ht="23.1" customHeight="1" x14ac:dyDescent="0.25">
      <c r="B41" s="23" t="s">
        <v>68</v>
      </c>
      <c r="C41" s="49">
        <f>'Avg Week Kibuye-Munyonyo'!C41+'Avg Week Munyonyo-Kibuye'!C41</f>
        <v>43</v>
      </c>
      <c r="D41" s="49">
        <f>'Avg Week Kibuye-Munyonyo'!D41+'Avg Week Munyonyo-Kibuye'!D41</f>
        <v>17.571428571428569</v>
      </c>
      <c r="E41" s="49">
        <f>'Avg Week Kibuye-Munyonyo'!E41+'Avg Week Munyonyo-Kibuye'!E41</f>
        <v>8.7142857142857153</v>
      </c>
      <c r="F41" s="49">
        <f>'Avg Week Kibuye-Munyonyo'!F41+'Avg Week Munyonyo-Kibuye'!F41</f>
        <v>36.857142857142861</v>
      </c>
      <c r="G41" s="49">
        <f>'Avg Week Kibuye-Munyonyo'!G41+'Avg Week Munyonyo-Kibuye'!G41</f>
        <v>0</v>
      </c>
      <c r="H41" s="49">
        <f>'Avg Week Kibuye-Munyonyo'!H41+'Avg Week Munyonyo-Kibuye'!H41</f>
        <v>0</v>
      </c>
      <c r="I41" s="49">
        <f>'Avg Week Kibuye-Munyonyo'!I41+'Avg Week Munyonyo-Kibuye'!I41</f>
        <v>7.8571428571428577</v>
      </c>
      <c r="J41" s="49">
        <f>'Avg Week Kibuye-Munyonyo'!J41+'Avg Week Munyonyo-Kibuye'!J41</f>
        <v>0.42857142857142855</v>
      </c>
      <c r="K41" s="49">
        <f>'Avg Week Kibuye-Munyonyo'!K41+'Avg Week Munyonyo-Kibuye'!K41</f>
        <v>0.42857142857142855</v>
      </c>
      <c r="L41" s="49">
        <f>'Avg Week Kibuye-Munyonyo'!L41+'Avg Week Munyonyo-Kibuye'!L41</f>
        <v>0</v>
      </c>
      <c r="M41" s="49">
        <f>'Avg Week Kibuye-Munyonyo'!M41+'Avg Week Munyonyo-Kibuye'!M41</f>
        <v>218.57142857142856</v>
      </c>
      <c r="N41" s="49">
        <f>'Avg Week Kibuye-Munyonyo'!N41+'Avg Week Munyonyo-Kibuye'!N41</f>
        <v>0</v>
      </c>
      <c r="O41" s="15">
        <f t="shared" si="0"/>
        <v>114.85714285714286</v>
      </c>
      <c r="P41" s="15">
        <f t="shared" si="1"/>
        <v>333.42857142857144</v>
      </c>
      <c r="R41" s="5" t="s">
        <v>178</v>
      </c>
      <c r="S41" s="53">
        <f>SUM(S10:S33)</f>
        <v>4648.4285714285716</v>
      </c>
      <c r="T41" s="53">
        <f t="shared" ref="T41:AD41" si="33">SUM(T10:T33)</f>
        <v>1725.2142857142856</v>
      </c>
      <c r="U41" s="53">
        <f t="shared" si="33"/>
        <v>481.78571428571433</v>
      </c>
      <c r="V41" s="53">
        <f t="shared" si="33"/>
        <v>5478</v>
      </c>
      <c r="W41" s="53">
        <f t="shared" si="33"/>
        <v>59.428571428571423</v>
      </c>
      <c r="X41" s="53">
        <f t="shared" si="33"/>
        <v>12</v>
      </c>
      <c r="Y41" s="53">
        <f t="shared" si="33"/>
        <v>408.64285714285711</v>
      </c>
      <c r="Z41" s="53">
        <f t="shared" si="33"/>
        <v>76.071428571428569</v>
      </c>
      <c r="AA41" s="53">
        <f t="shared" si="33"/>
        <v>66.142857142857139</v>
      </c>
      <c r="AB41" s="53">
        <f t="shared" si="33"/>
        <v>5.0714285714285712</v>
      </c>
      <c r="AC41" s="53">
        <f t="shared" si="33"/>
        <v>22985.285714285714</v>
      </c>
      <c r="AD41" s="53">
        <f t="shared" si="33"/>
        <v>4.1428571428571423</v>
      </c>
      <c r="AE41" s="54">
        <f>SUM(AE10:AE33)</f>
        <v>12964.928571428572</v>
      </c>
      <c r="AF41" s="54">
        <f>SUM(AF10:AF33)</f>
        <v>35950.214285714283</v>
      </c>
    </row>
    <row r="42" spans="2:32" ht="23.1" customHeight="1" x14ac:dyDescent="0.25">
      <c r="B42" s="24" t="s">
        <v>69</v>
      </c>
      <c r="C42" s="49">
        <f>'Avg Week Kibuye-Munyonyo'!C42+'Avg Week Munyonyo-Kibuye'!C42</f>
        <v>53.428571428571431</v>
      </c>
      <c r="D42" s="49">
        <f>'Avg Week Kibuye-Munyonyo'!D42+'Avg Week Munyonyo-Kibuye'!D42</f>
        <v>21.142857142857142</v>
      </c>
      <c r="E42" s="49">
        <f>'Avg Week Kibuye-Munyonyo'!E42+'Avg Week Munyonyo-Kibuye'!E42</f>
        <v>6.7142857142857135</v>
      </c>
      <c r="F42" s="49">
        <f>'Avg Week Kibuye-Munyonyo'!F42+'Avg Week Munyonyo-Kibuye'!F42</f>
        <v>45.142857142857146</v>
      </c>
      <c r="G42" s="49">
        <f>'Avg Week Kibuye-Munyonyo'!G42+'Avg Week Munyonyo-Kibuye'!G42</f>
        <v>0.2857142857142857</v>
      </c>
      <c r="H42" s="49">
        <f>'Avg Week Kibuye-Munyonyo'!H42+'Avg Week Munyonyo-Kibuye'!H42</f>
        <v>0</v>
      </c>
      <c r="I42" s="49">
        <f>'Avg Week Kibuye-Munyonyo'!I42+'Avg Week Munyonyo-Kibuye'!I42</f>
        <v>7.4285714285714288</v>
      </c>
      <c r="J42" s="49">
        <f>'Avg Week Kibuye-Munyonyo'!J42+'Avg Week Munyonyo-Kibuye'!J42</f>
        <v>1.1428571428571428</v>
      </c>
      <c r="K42" s="49">
        <f>'Avg Week Kibuye-Munyonyo'!K42+'Avg Week Munyonyo-Kibuye'!K42</f>
        <v>0.42857142857142855</v>
      </c>
      <c r="L42" s="49">
        <f>'Avg Week Kibuye-Munyonyo'!L42+'Avg Week Munyonyo-Kibuye'!L42</f>
        <v>0.14285714285714285</v>
      </c>
      <c r="M42" s="49">
        <f>'Avg Week Kibuye-Munyonyo'!M42+'Avg Week Munyonyo-Kibuye'!M42</f>
        <v>226.85714285714283</v>
      </c>
      <c r="N42" s="49">
        <f>'Avg Week Kibuye-Munyonyo'!N42+'Avg Week Munyonyo-Kibuye'!N42</f>
        <v>0</v>
      </c>
      <c r="O42" s="15">
        <f t="shared" si="0"/>
        <v>135.85714285714283</v>
      </c>
      <c r="P42" s="15">
        <f t="shared" si="1"/>
        <v>362.71428571428567</v>
      </c>
      <c r="R42" s="5" t="s">
        <v>160</v>
      </c>
      <c r="S42" s="48">
        <f>S41/S40</f>
        <v>2.206781959986436</v>
      </c>
      <c r="T42" s="48">
        <f t="shared" ref="T42:AF42" si="34">T41/T40</f>
        <v>1.688548657718121</v>
      </c>
      <c r="U42" s="48">
        <f t="shared" si="34"/>
        <v>1.599099099099099</v>
      </c>
      <c r="V42" s="48">
        <f t="shared" si="34"/>
        <v>1.7861102054124551</v>
      </c>
      <c r="W42" s="48">
        <f t="shared" si="34"/>
        <v>1.7777777777777779</v>
      </c>
      <c r="X42" s="48">
        <f t="shared" si="34"/>
        <v>1.7142857142857142</v>
      </c>
      <c r="Y42" s="48">
        <f t="shared" si="34"/>
        <v>1.2415364583333333</v>
      </c>
      <c r="Z42" s="48">
        <f t="shared" si="34"/>
        <v>1.6511627906976745</v>
      </c>
      <c r="AA42" s="48">
        <f t="shared" si="34"/>
        <v>3.1283783783783781</v>
      </c>
      <c r="AB42" s="48">
        <f t="shared" si="34"/>
        <v>1.109375</v>
      </c>
      <c r="AC42" s="48">
        <f t="shared" si="34"/>
        <v>1.7062429081962693</v>
      </c>
      <c r="AD42" s="48">
        <f t="shared" si="34"/>
        <v>1.3181818181818181</v>
      </c>
      <c r="AE42" s="51">
        <f t="shared" si="34"/>
        <v>1.8678954030440555</v>
      </c>
      <c r="AF42" s="51">
        <f t="shared" si="34"/>
        <v>1.7612108996364222</v>
      </c>
    </row>
    <row r="43" spans="2:32" ht="23.1" customHeight="1" x14ac:dyDescent="0.25">
      <c r="B43" s="23" t="s">
        <v>70</v>
      </c>
      <c r="C43" s="49">
        <f>'Avg Week Kibuye-Munyonyo'!C43+'Avg Week Munyonyo-Kibuye'!C43</f>
        <v>43.571428571428569</v>
      </c>
      <c r="D43" s="49">
        <f>'Avg Week Kibuye-Munyonyo'!D43+'Avg Week Munyonyo-Kibuye'!D43</f>
        <v>23.142857142857142</v>
      </c>
      <c r="E43" s="49">
        <f>'Avg Week Kibuye-Munyonyo'!E43+'Avg Week Munyonyo-Kibuye'!E43</f>
        <v>7.1428571428571423</v>
      </c>
      <c r="F43" s="49">
        <f>'Avg Week Kibuye-Munyonyo'!F43+'Avg Week Munyonyo-Kibuye'!F43</f>
        <v>39.428571428571431</v>
      </c>
      <c r="G43" s="49">
        <f>'Avg Week Kibuye-Munyonyo'!G43+'Avg Week Munyonyo-Kibuye'!G43</f>
        <v>0.14285714285714285</v>
      </c>
      <c r="H43" s="49">
        <f>'Avg Week Kibuye-Munyonyo'!H43+'Avg Week Munyonyo-Kibuye'!H43</f>
        <v>0</v>
      </c>
      <c r="I43" s="49">
        <f>'Avg Week Kibuye-Munyonyo'!I43+'Avg Week Munyonyo-Kibuye'!I43</f>
        <v>7.8571428571428577</v>
      </c>
      <c r="J43" s="49">
        <f>'Avg Week Kibuye-Munyonyo'!J43+'Avg Week Munyonyo-Kibuye'!J43</f>
        <v>2.2857142857142856</v>
      </c>
      <c r="K43" s="49">
        <f>'Avg Week Kibuye-Munyonyo'!K43+'Avg Week Munyonyo-Kibuye'!K43</f>
        <v>0</v>
      </c>
      <c r="L43" s="49">
        <f>'Avg Week Kibuye-Munyonyo'!L43+'Avg Week Munyonyo-Kibuye'!L43</f>
        <v>0.42857142857142855</v>
      </c>
      <c r="M43" s="49">
        <f>'Avg Week Kibuye-Munyonyo'!M43+'Avg Week Munyonyo-Kibuye'!M43</f>
        <v>242.42857142857144</v>
      </c>
      <c r="N43" s="49">
        <f>'Avg Week Kibuye-Munyonyo'!N43+'Avg Week Munyonyo-Kibuye'!N43</f>
        <v>0</v>
      </c>
      <c r="O43" s="15">
        <f t="shared" si="0"/>
        <v>124</v>
      </c>
      <c r="P43" s="15">
        <f t="shared" si="1"/>
        <v>366.42857142857144</v>
      </c>
    </row>
    <row r="44" spans="2:32" ht="23.1" customHeight="1" x14ac:dyDescent="0.25">
      <c r="B44" s="25" t="s">
        <v>71</v>
      </c>
      <c r="C44" s="49">
        <f>'Avg Week Kibuye-Munyonyo'!C44+'Avg Week Munyonyo-Kibuye'!C44</f>
        <v>42.285714285714292</v>
      </c>
      <c r="D44" s="49">
        <f>'Avg Week Kibuye-Munyonyo'!D44+'Avg Week Munyonyo-Kibuye'!D44</f>
        <v>20.714285714285715</v>
      </c>
      <c r="E44" s="49">
        <f>'Avg Week Kibuye-Munyonyo'!E44+'Avg Week Munyonyo-Kibuye'!E44</f>
        <v>4.8571428571428577</v>
      </c>
      <c r="F44" s="49">
        <f>'Avg Week Kibuye-Munyonyo'!F44+'Avg Week Munyonyo-Kibuye'!F44</f>
        <v>41.714285714285715</v>
      </c>
      <c r="G44" s="49">
        <f>'Avg Week Kibuye-Munyonyo'!G44+'Avg Week Munyonyo-Kibuye'!G44</f>
        <v>0.42857142857142855</v>
      </c>
      <c r="H44" s="49">
        <f>'Avg Week Kibuye-Munyonyo'!H44+'Avg Week Munyonyo-Kibuye'!H44</f>
        <v>0</v>
      </c>
      <c r="I44" s="49">
        <f>'Avg Week Kibuye-Munyonyo'!I44+'Avg Week Munyonyo-Kibuye'!I44</f>
        <v>8.1428571428571423</v>
      </c>
      <c r="J44" s="49">
        <f>'Avg Week Kibuye-Munyonyo'!J44+'Avg Week Munyonyo-Kibuye'!J44</f>
        <v>1.5714285714285714</v>
      </c>
      <c r="K44" s="49">
        <f>'Avg Week Kibuye-Munyonyo'!K44+'Avg Week Munyonyo-Kibuye'!K44</f>
        <v>0.2857142857142857</v>
      </c>
      <c r="L44" s="49">
        <f>'Avg Week Kibuye-Munyonyo'!L44+'Avg Week Munyonyo-Kibuye'!L44</f>
        <v>0</v>
      </c>
      <c r="M44" s="49">
        <f>'Avg Week Kibuye-Munyonyo'!M44+'Avg Week Munyonyo-Kibuye'!M44</f>
        <v>222.42857142857144</v>
      </c>
      <c r="N44" s="49">
        <f>'Avg Week Kibuye-Munyonyo'!N44+'Avg Week Munyonyo-Kibuye'!N44</f>
        <v>0</v>
      </c>
      <c r="O44" s="15">
        <f t="shared" si="0"/>
        <v>120.00000000000001</v>
      </c>
      <c r="P44" s="15">
        <f t="shared" si="1"/>
        <v>342.42857142857144</v>
      </c>
    </row>
    <row r="45" spans="2:32" ht="23.1" customHeight="1" x14ac:dyDescent="0.25">
      <c r="B45" s="23" t="s">
        <v>72</v>
      </c>
      <c r="C45" s="49">
        <f>'Avg Week Kibuye-Munyonyo'!C45+'Avg Week Munyonyo-Kibuye'!C45</f>
        <v>52.428571428571431</v>
      </c>
      <c r="D45" s="49">
        <f>'Avg Week Kibuye-Munyonyo'!D45+'Avg Week Munyonyo-Kibuye'!D45</f>
        <v>21.714285714285715</v>
      </c>
      <c r="E45" s="49">
        <f>'Avg Week Kibuye-Munyonyo'!E45+'Avg Week Munyonyo-Kibuye'!E45</f>
        <v>6.8571428571428577</v>
      </c>
      <c r="F45" s="49">
        <f>'Avg Week Kibuye-Munyonyo'!F45+'Avg Week Munyonyo-Kibuye'!F45</f>
        <v>37</v>
      </c>
      <c r="G45" s="49">
        <f>'Avg Week Kibuye-Munyonyo'!G45+'Avg Week Munyonyo-Kibuye'!G45</f>
        <v>0.2857142857142857</v>
      </c>
      <c r="H45" s="49">
        <f>'Avg Week Kibuye-Munyonyo'!H45+'Avg Week Munyonyo-Kibuye'!H45</f>
        <v>0</v>
      </c>
      <c r="I45" s="49">
        <f>'Avg Week Kibuye-Munyonyo'!I45+'Avg Week Munyonyo-Kibuye'!I45</f>
        <v>7.1428571428571423</v>
      </c>
      <c r="J45" s="49">
        <f>'Avg Week Kibuye-Munyonyo'!J45+'Avg Week Munyonyo-Kibuye'!J45</f>
        <v>0.71428571428571419</v>
      </c>
      <c r="K45" s="49">
        <f>'Avg Week Kibuye-Munyonyo'!K45+'Avg Week Munyonyo-Kibuye'!K45</f>
        <v>0.71428571428571419</v>
      </c>
      <c r="L45" s="49">
        <f>'Avg Week Kibuye-Munyonyo'!L45+'Avg Week Munyonyo-Kibuye'!L45</f>
        <v>0.14285714285714285</v>
      </c>
      <c r="M45" s="49">
        <f>'Avg Week Kibuye-Munyonyo'!M45+'Avg Week Munyonyo-Kibuye'!M45</f>
        <v>246</v>
      </c>
      <c r="N45" s="49">
        <f>'Avg Week Kibuye-Munyonyo'!N45+'Avg Week Munyonyo-Kibuye'!N45</f>
        <v>0</v>
      </c>
      <c r="O45" s="15">
        <f t="shared" si="0"/>
        <v>126.99999999999999</v>
      </c>
      <c r="P45" s="15">
        <f t="shared" si="1"/>
        <v>373</v>
      </c>
    </row>
    <row r="46" spans="2:32" ht="23.1" customHeight="1" x14ac:dyDescent="0.25">
      <c r="B46" s="24" t="s">
        <v>73</v>
      </c>
      <c r="C46" s="49">
        <f>'Avg Week Kibuye-Munyonyo'!C46+'Avg Week Munyonyo-Kibuye'!C46</f>
        <v>55.142857142857139</v>
      </c>
      <c r="D46" s="49">
        <f>'Avg Week Kibuye-Munyonyo'!D46+'Avg Week Munyonyo-Kibuye'!D46</f>
        <v>24.714285714285715</v>
      </c>
      <c r="E46" s="49">
        <f>'Avg Week Kibuye-Munyonyo'!E46+'Avg Week Munyonyo-Kibuye'!E46</f>
        <v>8.1428571428571423</v>
      </c>
      <c r="F46" s="49">
        <f>'Avg Week Kibuye-Munyonyo'!F46+'Avg Week Munyonyo-Kibuye'!F46</f>
        <v>49.142857142857139</v>
      </c>
      <c r="G46" s="49">
        <f>'Avg Week Kibuye-Munyonyo'!G46+'Avg Week Munyonyo-Kibuye'!G46</f>
        <v>0.42857142857142855</v>
      </c>
      <c r="H46" s="49">
        <f>'Avg Week Kibuye-Munyonyo'!H46+'Avg Week Munyonyo-Kibuye'!H46</f>
        <v>0</v>
      </c>
      <c r="I46" s="49">
        <f>'Avg Week Kibuye-Munyonyo'!I46+'Avg Week Munyonyo-Kibuye'!I46</f>
        <v>9.8571428571428577</v>
      </c>
      <c r="J46" s="49">
        <f>'Avg Week Kibuye-Munyonyo'!J46+'Avg Week Munyonyo-Kibuye'!J46</f>
        <v>0.42857142857142855</v>
      </c>
      <c r="K46" s="49">
        <f>'Avg Week Kibuye-Munyonyo'!K46+'Avg Week Munyonyo-Kibuye'!K46</f>
        <v>0.14285714285714285</v>
      </c>
      <c r="L46" s="49">
        <f>'Avg Week Kibuye-Munyonyo'!L46+'Avg Week Munyonyo-Kibuye'!L46</f>
        <v>0</v>
      </c>
      <c r="M46" s="49">
        <f>'Avg Week Kibuye-Munyonyo'!M46+'Avg Week Munyonyo-Kibuye'!M46</f>
        <v>256.14285714285711</v>
      </c>
      <c r="N46" s="49">
        <f>'Avg Week Kibuye-Munyonyo'!N46+'Avg Week Munyonyo-Kibuye'!N46</f>
        <v>0</v>
      </c>
      <c r="O46" s="15">
        <f t="shared" si="0"/>
        <v>147.99999999999997</v>
      </c>
      <c r="P46" s="15">
        <f t="shared" si="1"/>
        <v>404.14285714285711</v>
      </c>
      <c r="R46" s="8"/>
      <c r="T46"/>
    </row>
    <row r="47" spans="2:32" ht="23.1" customHeight="1" x14ac:dyDescent="0.25">
      <c r="B47" s="24" t="s">
        <v>74</v>
      </c>
      <c r="C47" s="49">
        <f>'Avg Week Kibuye-Munyonyo'!C47+'Avg Week Munyonyo-Kibuye'!C47</f>
        <v>57.428571428571431</v>
      </c>
      <c r="D47" s="49">
        <f>'Avg Week Kibuye-Munyonyo'!D47+'Avg Week Munyonyo-Kibuye'!D47</f>
        <v>30.571428571428573</v>
      </c>
      <c r="E47" s="49">
        <f>'Avg Week Kibuye-Munyonyo'!E47+'Avg Week Munyonyo-Kibuye'!E47</f>
        <v>8.2857142857142865</v>
      </c>
      <c r="F47" s="49">
        <f>'Avg Week Kibuye-Munyonyo'!F47+'Avg Week Munyonyo-Kibuye'!F47</f>
        <v>47</v>
      </c>
      <c r="G47" s="49">
        <f>'Avg Week Kibuye-Munyonyo'!G47+'Avg Week Munyonyo-Kibuye'!G47</f>
        <v>1.1428571428571428</v>
      </c>
      <c r="H47" s="49">
        <f>'Avg Week Kibuye-Munyonyo'!H47+'Avg Week Munyonyo-Kibuye'!H47</f>
        <v>0</v>
      </c>
      <c r="I47" s="49">
        <f>'Avg Week Kibuye-Munyonyo'!I47+'Avg Week Munyonyo-Kibuye'!I47</f>
        <v>8.2857142857142865</v>
      </c>
      <c r="J47" s="49">
        <f>'Avg Week Kibuye-Munyonyo'!J47+'Avg Week Munyonyo-Kibuye'!J47</f>
        <v>1.2857142857142856</v>
      </c>
      <c r="K47" s="49">
        <f>'Avg Week Kibuye-Munyonyo'!K47+'Avg Week Munyonyo-Kibuye'!K47</f>
        <v>0.42857142857142855</v>
      </c>
      <c r="L47" s="49">
        <f>'Avg Week Kibuye-Munyonyo'!L47+'Avg Week Munyonyo-Kibuye'!L47</f>
        <v>0</v>
      </c>
      <c r="M47" s="49">
        <f>'Avg Week Kibuye-Munyonyo'!M47+'Avg Week Munyonyo-Kibuye'!M47</f>
        <v>308</v>
      </c>
      <c r="N47" s="49">
        <f>'Avg Week Kibuye-Munyonyo'!N47+'Avg Week Munyonyo-Kibuye'!N47</f>
        <v>0</v>
      </c>
      <c r="O47" s="15">
        <f t="shared" si="0"/>
        <v>154.42857142857139</v>
      </c>
      <c r="P47" s="15">
        <f t="shared" si="1"/>
        <v>462.42857142857139</v>
      </c>
      <c r="R47" s="8"/>
      <c r="T47"/>
    </row>
    <row r="48" spans="2:32" ht="23.1" customHeight="1" x14ac:dyDescent="0.25">
      <c r="B48" s="24" t="s">
        <v>75</v>
      </c>
      <c r="C48" s="49">
        <f>'Avg Week Kibuye-Munyonyo'!C48+'Avg Week Munyonyo-Kibuye'!C48</f>
        <v>63.857142857142854</v>
      </c>
      <c r="D48" s="49">
        <f>'Avg Week Kibuye-Munyonyo'!D48+'Avg Week Munyonyo-Kibuye'!D48</f>
        <v>25.285714285714285</v>
      </c>
      <c r="E48" s="49">
        <f>'Avg Week Kibuye-Munyonyo'!E48+'Avg Week Munyonyo-Kibuye'!E48</f>
        <v>9.5714285714285712</v>
      </c>
      <c r="F48" s="49">
        <f>'Avg Week Kibuye-Munyonyo'!F48+'Avg Week Munyonyo-Kibuye'!F48</f>
        <v>49.857142857142854</v>
      </c>
      <c r="G48" s="49">
        <f>'Avg Week Kibuye-Munyonyo'!G48+'Avg Week Munyonyo-Kibuye'!G48</f>
        <v>0.71428571428571419</v>
      </c>
      <c r="H48" s="49">
        <f>'Avg Week Kibuye-Munyonyo'!H48+'Avg Week Munyonyo-Kibuye'!H48</f>
        <v>0.14285714285714285</v>
      </c>
      <c r="I48" s="49">
        <f>'Avg Week Kibuye-Munyonyo'!I48+'Avg Week Munyonyo-Kibuye'!I48</f>
        <v>9.1428571428571423</v>
      </c>
      <c r="J48" s="49">
        <f>'Avg Week Kibuye-Munyonyo'!J48+'Avg Week Munyonyo-Kibuye'!J48</f>
        <v>0.71428571428571419</v>
      </c>
      <c r="K48" s="49">
        <f>'Avg Week Kibuye-Munyonyo'!K48+'Avg Week Munyonyo-Kibuye'!K48</f>
        <v>0.42857142857142855</v>
      </c>
      <c r="L48" s="49">
        <f>'Avg Week Kibuye-Munyonyo'!L48+'Avg Week Munyonyo-Kibuye'!L48</f>
        <v>0.14285714285714285</v>
      </c>
      <c r="M48" s="49">
        <f>'Avg Week Kibuye-Munyonyo'!M48+'Avg Week Munyonyo-Kibuye'!M48</f>
        <v>275</v>
      </c>
      <c r="N48" s="49">
        <f>'Avg Week Kibuye-Munyonyo'!N48+'Avg Week Munyonyo-Kibuye'!N48</f>
        <v>0</v>
      </c>
      <c r="O48" s="15">
        <f t="shared" si="0"/>
        <v>159.85714285714283</v>
      </c>
      <c r="P48" s="15">
        <f t="shared" si="1"/>
        <v>434.85714285714283</v>
      </c>
      <c r="R48" s="8"/>
      <c r="T48"/>
    </row>
    <row r="49" spans="2:20" ht="23.1" customHeight="1" x14ac:dyDescent="0.25">
      <c r="B49" s="23" t="s">
        <v>76</v>
      </c>
      <c r="C49" s="49">
        <f>'Avg Week Kibuye-Munyonyo'!C49+'Avg Week Munyonyo-Kibuye'!C49</f>
        <v>51.571428571428569</v>
      </c>
      <c r="D49" s="49">
        <f>'Avg Week Kibuye-Munyonyo'!D49+'Avg Week Munyonyo-Kibuye'!D49</f>
        <v>33.857142857142861</v>
      </c>
      <c r="E49" s="49">
        <f>'Avg Week Kibuye-Munyonyo'!E49+'Avg Week Munyonyo-Kibuye'!E49</f>
        <v>8.2857142857142847</v>
      </c>
      <c r="F49" s="49">
        <f>'Avg Week Kibuye-Munyonyo'!F49+'Avg Week Munyonyo-Kibuye'!F49</f>
        <v>46.285714285714292</v>
      </c>
      <c r="G49" s="49">
        <f>'Avg Week Kibuye-Munyonyo'!G49+'Avg Week Munyonyo-Kibuye'!G49</f>
        <v>1.7142857142857144</v>
      </c>
      <c r="H49" s="49">
        <f>'Avg Week Kibuye-Munyonyo'!H49+'Avg Week Munyonyo-Kibuye'!H49</f>
        <v>0</v>
      </c>
      <c r="I49" s="49">
        <f>'Avg Week Kibuye-Munyonyo'!I49+'Avg Week Munyonyo-Kibuye'!I49</f>
        <v>6.8571428571428568</v>
      </c>
      <c r="J49" s="49">
        <f>'Avg Week Kibuye-Munyonyo'!J49+'Avg Week Munyonyo-Kibuye'!J49</f>
        <v>0.71428571428571419</v>
      </c>
      <c r="K49" s="49">
        <f>'Avg Week Kibuye-Munyonyo'!K49+'Avg Week Munyonyo-Kibuye'!K49</f>
        <v>0.2857142857142857</v>
      </c>
      <c r="L49" s="49">
        <f>'Avg Week Kibuye-Munyonyo'!L49+'Avg Week Munyonyo-Kibuye'!L49</f>
        <v>0.14285714285714285</v>
      </c>
      <c r="M49" s="49">
        <f>'Avg Week Kibuye-Munyonyo'!M49+'Avg Week Munyonyo-Kibuye'!M49</f>
        <v>250.71428571428572</v>
      </c>
      <c r="N49" s="49">
        <f>'Avg Week Kibuye-Munyonyo'!N49+'Avg Week Munyonyo-Kibuye'!N49</f>
        <v>0</v>
      </c>
      <c r="O49" s="15">
        <f t="shared" si="0"/>
        <v>149.71428571428572</v>
      </c>
      <c r="P49" s="15">
        <f t="shared" si="1"/>
        <v>400.42857142857144</v>
      </c>
      <c r="R49" s="8"/>
      <c r="T49"/>
    </row>
    <row r="50" spans="2:20" ht="23.1" customHeight="1" x14ac:dyDescent="0.25">
      <c r="B50" s="24" t="s">
        <v>77</v>
      </c>
      <c r="C50" s="49">
        <f>'Avg Week Kibuye-Munyonyo'!C50+'Avg Week Munyonyo-Kibuye'!C50</f>
        <v>51</v>
      </c>
      <c r="D50" s="49">
        <f>'Avg Week Kibuye-Munyonyo'!D50+'Avg Week Munyonyo-Kibuye'!D50</f>
        <v>27.571428571428573</v>
      </c>
      <c r="E50" s="49">
        <f>'Avg Week Kibuye-Munyonyo'!E50+'Avg Week Munyonyo-Kibuye'!E50</f>
        <v>6</v>
      </c>
      <c r="F50" s="49">
        <f>'Avg Week Kibuye-Munyonyo'!F50+'Avg Week Munyonyo-Kibuye'!F50</f>
        <v>46.571428571428569</v>
      </c>
      <c r="G50" s="49">
        <f>'Avg Week Kibuye-Munyonyo'!G50+'Avg Week Munyonyo-Kibuye'!G50</f>
        <v>0.8571428571428571</v>
      </c>
      <c r="H50" s="49">
        <f>'Avg Week Kibuye-Munyonyo'!H50+'Avg Week Munyonyo-Kibuye'!H50</f>
        <v>0.42857142857142855</v>
      </c>
      <c r="I50" s="49">
        <f>'Avg Week Kibuye-Munyonyo'!I50+'Avg Week Munyonyo-Kibuye'!I50</f>
        <v>7</v>
      </c>
      <c r="J50" s="49">
        <f>'Avg Week Kibuye-Munyonyo'!J50+'Avg Week Munyonyo-Kibuye'!J50</f>
        <v>1.1428571428571428</v>
      </c>
      <c r="K50" s="49">
        <f>'Avg Week Kibuye-Munyonyo'!K50+'Avg Week Munyonyo-Kibuye'!K50</f>
        <v>0.42857142857142855</v>
      </c>
      <c r="L50" s="49">
        <f>'Avg Week Kibuye-Munyonyo'!L50+'Avg Week Munyonyo-Kibuye'!L50</f>
        <v>0</v>
      </c>
      <c r="M50" s="49">
        <f>'Avg Week Kibuye-Munyonyo'!M50+'Avg Week Munyonyo-Kibuye'!M50</f>
        <v>272.42857142857144</v>
      </c>
      <c r="N50" s="49">
        <f>'Avg Week Kibuye-Munyonyo'!N50+'Avg Week Munyonyo-Kibuye'!N50</f>
        <v>0</v>
      </c>
      <c r="O50" s="15">
        <f t="shared" si="0"/>
        <v>140.99999999999997</v>
      </c>
      <c r="P50" s="15">
        <f t="shared" si="1"/>
        <v>413.42857142857144</v>
      </c>
      <c r="R50" s="8"/>
      <c r="T50"/>
    </row>
    <row r="51" spans="2:20" ht="23.1" customHeight="1" x14ac:dyDescent="0.25">
      <c r="B51" s="24" t="s">
        <v>78</v>
      </c>
      <c r="C51" s="49">
        <f>'Avg Week Kibuye-Munyonyo'!C51+'Avg Week Munyonyo-Kibuye'!C51</f>
        <v>67</v>
      </c>
      <c r="D51" s="49">
        <f>'Avg Week Kibuye-Munyonyo'!D51+'Avg Week Munyonyo-Kibuye'!D51</f>
        <v>28</v>
      </c>
      <c r="E51" s="49">
        <f>'Avg Week Kibuye-Munyonyo'!E51+'Avg Week Munyonyo-Kibuye'!E51</f>
        <v>7.5714285714285712</v>
      </c>
      <c r="F51" s="49">
        <f>'Avg Week Kibuye-Munyonyo'!F51+'Avg Week Munyonyo-Kibuye'!F51</f>
        <v>55.714285714285715</v>
      </c>
      <c r="G51" s="49">
        <f>'Avg Week Kibuye-Munyonyo'!G51+'Avg Week Munyonyo-Kibuye'!G51</f>
        <v>0.85714285714285721</v>
      </c>
      <c r="H51" s="49">
        <f>'Avg Week Kibuye-Munyonyo'!H51+'Avg Week Munyonyo-Kibuye'!H51</f>
        <v>0.2857142857142857</v>
      </c>
      <c r="I51" s="49">
        <f>'Avg Week Kibuye-Munyonyo'!I51+'Avg Week Munyonyo-Kibuye'!I51</f>
        <v>7.8571428571428577</v>
      </c>
      <c r="J51" s="49">
        <f>'Avg Week Kibuye-Munyonyo'!J51+'Avg Week Munyonyo-Kibuye'!J51</f>
        <v>0.8571428571428571</v>
      </c>
      <c r="K51" s="49">
        <f>'Avg Week Kibuye-Munyonyo'!K51+'Avg Week Munyonyo-Kibuye'!K51</f>
        <v>0</v>
      </c>
      <c r="L51" s="49">
        <f>'Avg Week Kibuye-Munyonyo'!L51+'Avg Week Munyonyo-Kibuye'!L51</f>
        <v>0.14285714285714285</v>
      </c>
      <c r="M51" s="49">
        <f>'Avg Week Kibuye-Munyonyo'!M51+'Avg Week Munyonyo-Kibuye'!M51</f>
        <v>304.85714285714283</v>
      </c>
      <c r="N51" s="49">
        <f>'Avg Week Kibuye-Munyonyo'!N51+'Avg Week Munyonyo-Kibuye'!N51</f>
        <v>0</v>
      </c>
      <c r="O51" s="15">
        <f t="shared" si="0"/>
        <v>168.28571428571428</v>
      </c>
      <c r="P51" s="15">
        <f t="shared" si="1"/>
        <v>473.14285714285711</v>
      </c>
      <c r="R51" s="8"/>
      <c r="T51"/>
    </row>
    <row r="52" spans="2:20" ht="23.1" customHeight="1" x14ac:dyDescent="0.25">
      <c r="B52" s="24" t="s">
        <v>79</v>
      </c>
      <c r="C52" s="49">
        <f>'Avg Week Kibuye-Munyonyo'!C52+'Avg Week Munyonyo-Kibuye'!C52</f>
        <v>64.571428571428569</v>
      </c>
      <c r="D52" s="49">
        <f>'Avg Week Kibuye-Munyonyo'!D52+'Avg Week Munyonyo-Kibuye'!D52</f>
        <v>29.142857142857146</v>
      </c>
      <c r="E52" s="49">
        <f>'Avg Week Kibuye-Munyonyo'!E52+'Avg Week Munyonyo-Kibuye'!E52</f>
        <v>8</v>
      </c>
      <c r="F52" s="49">
        <f>'Avg Week Kibuye-Munyonyo'!F52+'Avg Week Munyonyo-Kibuye'!F52</f>
        <v>49.714285714285708</v>
      </c>
      <c r="G52" s="49">
        <f>'Avg Week Kibuye-Munyonyo'!G52+'Avg Week Munyonyo-Kibuye'!G52</f>
        <v>0.8571428571428571</v>
      </c>
      <c r="H52" s="49">
        <f>'Avg Week Kibuye-Munyonyo'!H52+'Avg Week Munyonyo-Kibuye'!H52</f>
        <v>0</v>
      </c>
      <c r="I52" s="49">
        <f>'Avg Week Kibuye-Munyonyo'!I52+'Avg Week Munyonyo-Kibuye'!I52</f>
        <v>7.8571428571428568</v>
      </c>
      <c r="J52" s="49">
        <f>'Avg Week Kibuye-Munyonyo'!J52+'Avg Week Munyonyo-Kibuye'!J52</f>
        <v>0.2857142857142857</v>
      </c>
      <c r="K52" s="49">
        <f>'Avg Week Kibuye-Munyonyo'!K52+'Avg Week Munyonyo-Kibuye'!K52</f>
        <v>0.14285714285714285</v>
      </c>
      <c r="L52" s="49">
        <f>'Avg Week Kibuye-Munyonyo'!L52+'Avg Week Munyonyo-Kibuye'!L52</f>
        <v>0</v>
      </c>
      <c r="M52" s="49">
        <f>'Avg Week Kibuye-Munyonyo'!M52+'Avg Week Munyonyo-Kibuye'!M52</f>
        <v>273.57142857142856</v>
      </c>
      <c r="N52" s="49">
        <f>'Avg Week Kibuye-Munyonyo'!N52+'Avg Week Munyonyo-Kibuye'!N52</f>
        <v>0</v>
      </c>
      <c r="O52" s="15">
        <f t="shared" si="0"/>
        <v>160.57142857142858</v>
      </c>
      <c r="P52" s="15">
        <f t="shared" si="1"/>
        <v>434.14285714285711</v>
      </c>
      <c r="R52" s="8"/>
      <c r="T52"/>
    </row>
    <row r="53" spans="2:20" ht="23.1" customHeight="1" x14ac:dyDescent="0.25">
      <c r="B53" s="23" t="s">
        <v>80</v>
      </c>
      <c r="C53" s="49">
        <f>'Avg Week Kibuye-Munyonyo'!C53+'Avg Week Munyonyo-Kibuye'!C53</f>
        <v>59.571428571428569</v>
      </c>
      <c r="D53" s="49">
        <f>'Avg Week Kibuye-Munyonyo'!D53+'Avg Week Munyonyo-Kibuye'!D53</f>
        <v>30.428571428571431</v>
      </c>
      <c r="E53" s="49">
        <f>'Avg Week Kibuye-Munyonyo'!E53+'Avg Week Munyonyo-Kibuye'!E53</f>
        <v>7.7142857142857144</v>
      </c>
      <c r="F53" s="49">
        <f>'Avg Week Kibuye-Munyonyo'!F53+'Avg Week Munyonyo-Kibuye'!F53</f>
        <v>53.857142857142861</v>
      </c>
      <c r="G53" s="49">
        <f>'Avg Week Kibuye-Munyonyo'!G53+'Avg Week Munyonyo-Kibuye'!G53</f>
        <v>0.5714285714285714</v>
      </c>
      <c r="H53" s="49">
        <f>'Avg Week Kibuye-Munyonyo'!H53+'Avg Week Munyonyo-Kibuye'!H53</f>
        <v>0.14285714285714285</v>
      </c>
      <c r="I53" s="49">
        <f>'Avg Week Kibuye-Munyonyo'!I53+'Avg Week Munyonyo-Kibuye'!I53</f>
        <v>6.8571428571428577</v>
      </c>
      <c r="J53" s="49">
        <f>'Avg Week Kibuye-Munyonyo'!J53+'Avg Week Munyonyo-Kibuye'!J53</f>
        <v>0.71428571428571419</v>
      </c>
      <c r="K53" s="49">
        <f>'Avg Week Kibuye-Munyonyo'!K53+'Avg Week Munyonyo-Kibuye'!K53</f>
        <v>0.2857142857142857</v>
      </c>
      <c r="L53" s="49">
        <f>'Avg Week Kibuye-Munyonyo'!L53+'Avg Week Munyonyo-Kibuye'!L53</f>
        <v>0.14285714285714285</v>
      </c>
      <c r="M53" s="49">
        <f>'Avg Week Kibuye-Munyonyo'!M53+'Avg Week Munyonyo-Kibuye'!M53</f>
        <v>258.28571428571428</v>
      </c>
      <c r="N53" s="49">
        <f>'Avg Week Kibuye-Munyonyo'!N53+'Avg Week Munyonyo-Kibuye'!N53</f>
        <v>0</v>
      </c>
      <c r="O53" s="15">
        <f t="shared" si="0"/>
        <v>160.28571428571428</v>
      </c>
      <c r="P53" s="15">
        <f t="shared" si="1"/>
        <v>418.57142857142856</v>
      </c>
      <c r="R53" s="8"/>
      <c r="T53"/>
    </row>
    <row r="54" spans="2:20" ht="23.1" customHeight="1" x14ac:dyDescent="0.25">
      <c r="B54" s="23" t="s">
        <v>81</v>
      </c>
      <c r="C54" s="49">
        <f>'Avg Week Kibuye-Munyonyo'!C54+'Avg Week Munyonyo-Kibuye'!C54</f>
        <v>54.714285714285722</v>
      </c>
      <c r="D54" s="49">
        <f>'Avg Week Kibuye-Munyonyo'!D54+'Avg Week Munyonyo-Kibuye'!D54</f>
        <v>27.857142857142854</v>
      </c>
      <c r="E54" s="49">
        <f>'Avg Week Kibuye-Munyonyo'!E54+'Avg Week Munyonyo-Kibuye'!E54</f>
        <v>5.4285714285714288</v>
      </c>
      <c r="F54" s="49">
        <f>'Avg Week Kibuye-Munyonyo'!F54+'Avg Week Munyonyo-Kibuye'!F54</f>
        <v>52.571428571428569</v>
      </c>
      <c r="G54" s="49">
        <f>'Avg Week Kibuye-Munyonyo'!G54+'Avg Week Munyonyo-Kibuye'!G54</f>
        <v>0.8571428571428571</v>
      </c>
      <c r="H54" s="49">
        <f>'Avg Week Kibuye-Munyonyo'!H54+'Avg Week Munyonyo-Kibuye'!H54</f>
        <v>0.5714285714285714</v>
      </c>
      <c r="I54" s="49">
        <f>'Avg Week Kibuye-Munyonyo'!I54+'Avg Week Munyonyo-Kibuye'!I54</f>
        <v>7.4285714285714288</v>
      </c>
      <c r="J54" s="49">
        <f>'Avg Week Kibuye-Munyonyo'!J54+'Avg Week Munyonyo-Kibuye'!J54</f>
        <v>0.42857142857142855</v>
      </c>
      <c r="K54" s="49">
        <f>'Avg Week Kibuye-Munyonyo'!K54+'Avg Week Munyonyo-Kibuye'!K54</f>
        <v>0.2857142857142857</v>
      </c>
      <c r="L54" s="49">
        <f>'Avg Week Kibuye-Munyonyo'!L54+'Avg Week Munyonyo-Kibuye'!L54</f>
        <v>0.14285714285714285</v>
      </c>
      <c r="M54" s="49">
        <f>'Avg Week Kibuye-Munyonyo'!M54+'Avg Week Munyonyo-Kibuye'!M54</f>
        <v>275.57142857142856</v>
      </c>
      <c r="N54" s="49">
        <f>'Avg Week Kibuye-Munyonyo'!N54+'Avg Week Munyonyo-Kibuye'!N54</f>
        <v>0</v>
      </c>
      <c r="O54" s="15">
        <f t="shared" si="0"/>
        <v>150.28571428571428</v>
      </c>
      <c r="P54" s="15">
        <f t="shared" si="1"/>
        <v>425.85714285714283</v>
      </c>
      <c r="R54" s="8"/>
      <c r="T54"/>
    </row>
    <row r="55" spans="2:20" ht="23.1" customHeight="1" x14ac:dyDescent="0.25">
      <c r="B55" s="23" t="s">
        <v>82</v>
      </c>
      <c r="C55" s="49">
        <f>'Avg Week Kibuye-Munyonyo'!C55+'Avg Week Munyonyo-Kibuye'!C55</f>
        <v>55.142857142857146</v>
      </c>
      <c r="D55" s="49">
        <f>'Avg Week Kibuye-Munyonyo'!D55+'Avg Week Munyonyo-Kibuye'!D55</f>
        <v>30.285714285714285</v>
      </c>
      <c r="E55" s="49">
        <f>'Avg Week Kibuye-Munyonyo'!E55+'Avg Week Munyonyo-Kibuye'!E55</f>
        <v>6.4285714285714288</v>
      </c>
      <c r="F55" s="49">
        <f>'Avg Week Kibuye-Munyonyo'!F55+'Avg Week Munyonyo-Kibuye'!F55</f>
        <v>57.428571428571431</v>
      </c>
      <c r="G55" s="49">
        <f>'Avg Week Kibuye-Munyonyo'!G55+'Avg Week Munyonyo-Kibuye'!G55</f>
        <v>1.1428571428571428</v>
      </c>
      <c r="H55" s="49">
        <f>'Avg Week Kibuye-Munyonyo'!H55+'Avg Week Munyonyo-Kibuye'!H55</f>
        <v>0.14285714285714285</v>
      </c>
      <c r="I55" s="49">
        <f>'Avg Week Kibuye-Munyonyo'!I55+'Avg Week Munyonyo-Kibuye'!I55</f>
        <v>8.8571428571428577</v>
      </c>
      <c r="J55" s="49">
        <f>'Avg Week Kibuye-Munyonyo'!J55+'Avg Week Munyonyo-Kibuye'!J55</f>
        <v>1.1428571428571428</v>
      </c>
      <c r="K55" s="49">
        <f>'Avg Week Kibuye-Munyonyo'!K55+'Avg Week Munyonyo-Kibuye'!K55</f>
        <v>0.5714285714285714</v>
      </c>
      <c r="L55" s="49">
        <f>'Avg Week Kibuye-Munyonyo'!L55+'Avg Week Munyonyo-Kibuye'!L55</f>
        <v>0</v>
      </c>
      <c r="M55" s="49">
        <f>'Avg Week Kibuye-Munyonyo'!M55+'Avg Week Munyonyo-Kibuye'!M55</f>
        <v>277.28571428571428</v>
      </c>
      <c r="N55" s="49">
        <f>'Avg Week Kibuye-Munyonyo'!N55+'Avg Week Munyonyo-Kibuye'!N55</f>
        <v>0</v>
      </c>
      <c r="O55" s="15">
        <f t="shared" si="0"/>
        <v>161.14285714285714</v>
      </c>
      <c r="P55" s="15">
        <f t="shared" si="1"/>
        <v>438.42857142857144</v>
      </c>
      <c r="R55" s="8"/>
      <c r="T55"/>
    </row>
    <row r="56" spans="2:20" ht="23.1" customHeight="1" x14ac:dyDescent="0.25">
      <c r="B56" s="23" t="s">
        <v>83</v>
      </c>
      <c r="C56" s="49">
        <f>'Avg Week Kibuye-Munyonyo'!C56+'Avg Week Munyonyo-Kibuye'!C56</f>
        <v>51</v>
      </c>
      <c r="D56" s="49">
        <f>'Avg Week Kibuye-Munyonyo'!D56+'Avg Week Munyonyo-Kibuye'!D56</f>
        <v>22.857142857142854</v>
      </c>
      <c r="E56" s="49">
        <f>'Avg Week Kibuye-Munyonyo'!E56+'Avg Week Munyonyo-Kibuye'!E56</f>
        <v>4.7142857142857144</v>
      </c>
      <c r="F56" s="49">
        <f>'Avg Week Kibuye-Munyonyo'!F56+'Avg Week Munyonyo-Kibuye'!F56</f>
        <v>57.142857142857139</v>
      </c>
      <c r="G56" s="49">
        <f>'Avg Week Kibuye-Munyonyo'!G56+'Avg Week Munyonyo-Kibuye'!G56</f>
        <v>1.8571428571428572</v>
      </c>
      <c r="H56" s="49">
        <f>'Avg Week Kibuye-Munyonyo'!H56+'Avg Week Munyonyo-Kibuye'!H56</f>
        <v>0.5714285714285714</v>
      </c>
      <c r="I56" s="49">
        <f>'Avg Week Kibuye-Munyonyo'!I56+'Avg Week Munyonyo-Kibuye'!I56</f>
        <v>6.8571428571428577</v>
      </c>
      <c r="J56" s="49">
        <f>'Avg Week Kibuye-Munyonyo'!J56+'Avg Week Munyonyo-Kibuye'!J56</f>
        <v>0.14285714285714285</v>
      </c>
      <c r="K56" s="49">
        <f>'Avg Week Kibuye-Munyonyo'!K56+'Avg Week Munyonyo-Kibuye'!K56</f>
        <v>0.5714285714285714</v>
      </c>
      <c r="L56" s="49">
        <f>'Avg Week Kibuye-Munyonyo'!L56+'Avg Week Munyonyo-Kibuye'!L56</f>
        <v>0</v>
      </c>
      <c r="M56" s="49">
        <f>'Avg Week Kibuye-Munyonyo'!M56+'Avg Week Munyonyo-Kibuye'!M56</f>
        <v>277.28571428571433</v>
      </c>
      <c r="N56" s="49">
        <f>'Avg Week Kibuye-Munyonyo'!N56+'Avg Week Munyonyo-Kibuye'!N56</f>
        <v>0</v>
      </c>
      <c r="O56" s="15">
        <f t="shared" si="0"/>
        <v>145.71428571428575</v>
      </c>
      <c r="P56" s="15">
        <f t="shared" si="1"/>
        <v>423.00000000000011</v>
      </c>
      <c r="R56" s="8"/>
      <c r="T56"/>
    </row>
    <row r="57" spans="2:20" ht="23.1" customHeight="1" x14ac:dyDescent="0.25">
      <c r="B57" s="23" t="s">
        <v>84</v>
      </c>
      <c r="C57" s="49">
        <f>'Avg Week Kibuye-Munyonyo'!C57+'Avg Week Munyonyo-Kibuye'!C57</f>
        <v>52.571428571428569</v>
      </c>
      <c r="D57" s="49">
        <f>'Avg Week Kibuye-Munyonyo'!D57+'Avg Week Munyonyo-Kibuye'!D57</f>
        <v>20.571428571428569</v>
      </c>
      <c r="E57" s="49">
        <f>'Avg Week Kibuye-Munyonyo'!E57+'Avg Week Munyonyo-Kibuye'!E57</f>
        <v>6.8571428571428577</v>
      </c>
      <c r="F57" s="49">
        <f>'Avg Week Kibuye-Munyonyo'!F57+'Avg Week Munyonyo-Kibuye'!F57</f>
        <v>58.857142857142861</v>
      </c>
      <c r="G57" s="49">
        <f>'Avg Week Kibuye-Munyonyo'!G57+'Avg Week Munyonyo-Kibuye'!G57</f>
        <v>3.2857142857142856</v>
      </c>
      <c r="H57" s="49">
        <f>'Avg Week Kibuye-Munyonyo'!H57+'Avg Week Munyonyo-Kibuye'!H57</f>
        <v>2.4285714285714284</v>
      </c>
      <c r="I57" s="49">
        <f>'Avg Week Kibuye-Munyonyo'!I57+'Avg Week Munyonyo-Kibuye'!I57</f>
        <v>7.8571428571428577</v>
      </c>
      <c r="J57" s="49">
        <f>'Avg Week Kibuye-Munyonyo'!J57+'Avg Week Munyonyo-Kibuye'!J57</f>
        <v>2.8571428571428572</v>
      </c>
      <c r="K57" s="49">
        <f>'Avg Week Kibuye-Munyonyo'!K57+'Avg Week Munyonyo-Kibuye'!K57</f>
        <v>2.714285714285714</v>
      </c>
      <c r="L57" s="49">
        <f>'Avg Week Kibuye-Munyonyo'!L57+'Avg Week Munyonyo-Kibuye'!L57</f>
        <v>2.2857142857142856</v>
      </c>
      <c r="M57" s="49">
        <f>'Avg Week Kibuye-Munyonyo'!M57+'Avg Week Munyonyo-Kibuye'!M57</f>
        <v>291.14285714285717</v>
      </c>
      <c r="N57" s="49">
        <f>'Avg Week Kibuye-Munyonyo'!N57+'Avg Week Munyonyo-Kibuye'!N57</f>
        <v>0</v>
      </c>
      <c r="O57" s="15">
        <f t="shared" si="0"/>
        <v>160.28571428571428</v>
      </c>
      <c r="P57" s="15">
        <f t="shared" si="1"/>
        <v>451.42857142857144</v>
      </c>
      <c r="R57" s="8"/>
      <c r="T57"/>
    </row>
    <row r="58" spans="2:20" ht="23.1" customHeight="1" x14ac:dyDescent="0.25">
      <c r="B58" s="23" t="s">
        <v>99</v>
      </c>
      <c r="C58" s="49">
        <f>'Avg Week Kibuye-Munyonyo'!C58+'Avg Week Munyonyo-Kibuye'!C58</f>
        <v>46</v>
      </c>
      <c r="D58" s="49">
        <f>'Avg Week Kibuye-Munyonyo'!D58+'Avg Week Munyonyo-Kibuye'!D58</f>
        <v>14</v>
      </c>
      <c r="E58" s="49">
        <f>'Avg Week Kibuye-Munyonyo'!E58+'Avg Week Munyonyo-Kibuye'!E58</f>
        <v>10.5</v>
      </c>
      <c r="F58" s="49">
        <f>'Avg Week Kibuye-Munyonyo'!F58+'Avg Week Munyonyo-Kibuye'!F58</f>
        <v>65</v>
      </c>
      <c r="G58" s="49">
        <f>'Avg Week Kibuye-Munyonyo'!G58+'Avg Week Munyonyo-Kibuye'!G58</f>
        <v>2</v>
      </c>
      <c r="H58" s="49">
        <f>'Avg Week Kibuye-Munyonyo'!H58+'Avg Week Munyonyo-Kibuye'!H58</f>
        <v>0.5</v>
      </c>
      <c r="I58" s="49">
        <f>'Avg Week Kibuye-Munyonyo'!I58+'Avg Week Munyonyo-Kibuye'!I58</f>
        <v>1.5</v>
      </c>
      <c r="J58" s="49">
        <f>'Avg Week Kibuye-Munyonyo'!J58+'Avg Week Munyonyo-Kibuye'!J58</f>
        <v>0</v>
      </c>
      <c r="K58" s="49">
        <f>'Avg Week Kibuye-Munyonyo'!K58+'Avg Week Munyonyo-Kibuye'!K58</f>
        <v>1.5</v>
      </c>
      <c r="L58" s="49">
        <f>'Avg Week Kibuye-Munyonyo'!L58+'Avg Week Munyonyo-Kibuye'!L58</f>
        <v>0</v>
      </c>
      <c r="M58" s="49">
        <f>'Avg Week Kibuye-Munyonyo'!M58+'Avg Week Munyonyo-Kibuye'!M58</f>
        <v>224</v>
      </c>
      <c r="N58" s="49">
        <f>'Avg Week Kibuye-Munyonyo'!N58+'Avg Week Munyonyo-Kibuye'!N58</f>
        <v>0</v>
      </c>
      <c r="O58" s="15">
        <f t="shared" ref="O58:O105" si="35">SUM(C58:L58,N58)</f>
        <v>141</v>
      </c>
      <c r="P58" s="15">
        <f t="shared" ref="P58:P105" si="36">SUM(C58:N58)</f>
        <v>365</v>
      </c>
      <c r="R58" s="8"/>
      <c r="T58"/>
    </row>
    <row r="59" spans="2:20" ht="23.1" customHeight="1" x14ac:dyDescent="0.25">
      <c r="B59" s="23" t="s">
        <v>100</v>
      </c>
      <c r="C59" s="49">
        <f>'Avg Week Kibuye-Munyonyo'!C59+'Avg Week Munyonyo-Kibuye'!C59</f>
        <v>42.5</v>
      </c>
      <c r="D59" s="49">
        <f>'Avg Week Kibuye-Munyonyo'!D59+'Avg Week Munyonyo-Kibuye'!D59</f>
        <v>12.5</v>
      </c>
      <c r="E59" s="49">
        <f>'Avg Week Kibuye-Munyonyo'!E59+'Avg Week Munyonyo-Kibuye'!E59</f>
        <v>7</v>
      </c>
      <c r="F59" s="49">
        <f>'Avg Week Kibuye-Munyonyo'!F59+'Avg Week Munyonyo-Kibuye'!F59</f>
        <v>56</v>
      </c>
      <c r="G59" s="49">
        <f>'Avg Week Kibuye-Munyonyo'!G59+'Avg Week Munyonyo-Kibuye'!G59</f>
        <v>0.5</v>
      </c>
      <c r="H59" s="49">
        <f>'Avg Week Kibuye-Munyonyo'!H59+'Avg Week Munyonyo-Kibuye'!H59</f>
        <v>0</v>
      </c>
      <c r="I59" s="49">
        <f>'Avg Week Kibuye-Munyonyo'!I59+'Avg Week Munyonyo-Kibuye'!I59</f>
        <v>1.5</v>
      </c>
      <c r="J59" s="49">
        <f>'Avg Week Kibuye-Munyonyo'!J59+'Avg Week Munyonyo-Kibuye'!J59</f>
        <v>3</v>
      </c>
      <c r="K59" s="49">
        <f>'Avg Week Kibuye-Munyonyo'!K59+'Avg Week Munyonyo-Kibuye'!K59</f>
        <v>0</v>
      </c>
      <c r="L59" s="49">
        <f>'Avg Week Kibuye-Munyonyo'!L59+'Avg Week Munyonyo-Kibuye'!L59</f>
        <v>0</v>
      </c>
      <c r="M59" s="49">
        <f>'Avg Week Kibuye-Munyonyo'!M59+'Avg Week Munyonyo-Kibuye'!M59</f>
        <v>295</v>
      </c>
      <c r="N59" s="49">
        <f>'Avg Week Kibuye-Munyonyo'!N59+'Avg Week Munyonyo-Kibuye'!N59</f>
        <v>0</v>
      </c>
      <c r="O59" s="15">
        <f t="shared" si="35"/>
        <v>123</v>
      </c>
      <c r="P59" s="15">
        <f t="shared" si="36"/>
        <v>418</v>
      </c>
      <c r="R59" s="8"/>
      <c r="T59"/>
    </row>
    <row r="60" spans="2:20" ht="23.1" customHeight="1" x14ac:dyDescent="0.25">
      <c r="B60" s="23" t="s">
        <v>101</v>
      </c>
      <c r="C60" s="49">
        <f>'Avg Week Kibuye-Munyonyo'!C60+'Avg Week Munyonyo-Kibuye'!C60</f>
        <v>64</v>
      </c>
      <c r="D60" s="49">
        <f>'Avg Week Kibuye-Munyonyo'!D60+'Avg Week Munyonyo-Kibuye'!D60</f>
        <v>27.5</v>
      </c>
      <c r="E60" s="49">
        <f>'Avg Week Kibuye-Munyonyo'!E60+'Avg Week Munyonyo-Kibuye'!E60</f>
        <v>8.5</v>
      </c>
      <c r="F60" s="49">
        <f>'Avg Week Kibuye-Munyonyo'!F60+'Avg Week Munyonyo-Kibuye'!F60</f>
        <v>119.5</v>
      </c>
      <c r="G60" s="49">
        <f>'Avg Week Kibuye-Munyonyo'!G60+'Avg Week Munyonyo-Kibuye'!G60</f>
        <v>0</v>
      </c>
      <c r="H60" s="49">
        <f>'Avg Week Kibuye-Munyonyo'!H60+'Avg Week Munyonyo-Kibuye'!H60</f>
        <v>2</v>
      </c>
      <c r="I60" s="49">
        <f>'Avg Week Kibuye-Munyonyo'!I60+'Avg Week Munyonyo-Kibuye'!I60</f>
        <v>1.5</v>
      </c>
      <c r="J60" s="49">
        <f>'Avg Week Kibuye-Munyonyo'!J60+'Avg Week Munyonyo-Kibuye'!J60</f>
        <v>1</v>
      </c>
      <c r="K60" s="49">
        <f>'Avg Week Kibuye-Munyonyo'!K60+'Avg Week Munyonyo-Kibuye'!K60</f>
        <v>3.5</v>
      </c>
      <c r="L60" s="49">
        <f>'Avg Week Kibuye-Munyonyo'!L60+'Avg Week Munyonyo-Kibuye'!L60</f>
        <v>0</v>
      </c>
      <c r="M60" s="49">
        <f>'Avg Week Kibuye-Munyonyo'!M60+'Avg Week Munyonyo-Kibuye'!M60</f>
        <v>370</v>
      </c>
      <c r="N60" s="49">
        <f>'Avg Week Kibuye-Munyonyo'!N60+'Avg Week Munyonyo-Kibuye'!N60</f>
        <v>0</v>
      </c>
      <c r="O60" s="15">
        <f t="shared" si="35"/>
        <v>227.5</v>
      </c>
      <c r="P60" s="15">
        <f t="shared" si="36"/>
        <v>597.5</v>
      </c>
      <c r="R60" s="8"/>
      <c r="T60"/>
    </row>
    <row r="61" spans="2:20" ht="23.1" customHeight="1" x14ac:dyDescent="0.25">
      <c r="B61" s="23" t="s">
        <v>102</v>
      </c>
      <c r="C61" s="49">
        <f>'Avg Week Kibuye-Munyonyo'!C61+'Avg Week Munyonyo-Kibuye'!C61</f>
        <v>80</v>
      </c>
      <c r="D61" s="49">
        <f>'Avg Week Kibuye-Munyonyo'!D61+'Avg Week Munyonyo-Kibuye'!D61</f>
        <v>20</v>
      </c>
      <c r="E61" s="49">
        <f>'Avg Week Kibuye-Munyonyo'!E61+'Avg Week Munyonyo-Kibuye'!E61</f>
        <v>6</v>
      </c>
      <c r="F61" s="49">
        <f>'Avg Week Kibuye-Munyonyo'!F61+'Avg Week Munyonyo-Kibuye'!F61</f>
        <v>130.5</v>
      </c>
      <c r="G61" s="49">
        <f>'Avg Week Kibuye-Munyonyo'!G61+'Avg Week Munyonyo-Kibuye'!G61</f>
        <v>0</v>
      </c>
      <c r="H61" s="49">
        <f>'Avg Week Kibuye-Munyonyo'!H61+'Avg Week Munyonyo-Kibuye'!H61</f>
        <v>0.5</v>
      </c>
      <c r="I61" s="49">
        <f>'Avg Week Kibuye-Munyonyo'!I61+'Avg Week Munyonyo-Kibuye'!I61</f>
        <v>4.5</v>
      </c>
      <c r="J61" s="49">
        <f>'Avg Week Kibuye-Munyonyo'!J61+'Avg Week Munyonyo-Kibuye'!J61</f>
        <v>0.5</v>
      </c>
      <c r="K61" s="49">
        <f>'Avg Week Kibuye-Munyonyo'!K61+'Avg Week Munyonyo-Kibuye'!K61</f>
        <v>1.5</v>
      </c>
      <c r="L61" s="49">
        <f>'Avg Week Kibuye-Munyonyo'!L61+'Avg Week Munyonyo-Kibuye'!L61</f>
        <v>0</v>
      </c>
      <c r="M61" s="49">
        <f>'Avg Week Kibuye-Munyonyo'!M61+'Avg Week Munyonyo-Kibuye'!M61</f>
        <v>335</v>
      </c>
      <c r="N61" s="49">
        <f>'Avg Week Kibuye-Munyonyo'!N61+'Avg Week Munyonyo-Kibuye'!N61</f>
        <v>0</v>
      </c>
      <c r="O61" s="15">
        <f t="shared" si="35"/>
        <v>243.5</v>
      </c>
      <c r="P61" s="15">
        <f t="shared" si="36"/>
        <v>578.5</v>
      </c>
      <c r="R61" s="8"/>
      <c r="T61"/>
    </row>
    <row r="62" spans="2:20" ht="23.1" customHeight="1" x14ac:dyDescent="0.25">
      <c r="B62" s="23" t="s">
        <v>107</v>
      </c>
      <c r="C62" s="49">
        <f>'Avg Week Kibuye-Munyonyo'!C62+'Avg Week Munyonyo-Kibuye'!C62</f>
        <v>82</v>
      </c>
      <c r="D62" s="49">
        <f>'Avg Week Kibuye-Munyonyo'!D62+'Avg Week Munyonyo-Kibuye'!D62</f>
        <v>18.5</v>
      </c>
      <c r="E62" s="49">
        <f>'Avg Week Kibuye-Munyonyo'!E62+'Avg Week Munyonyo-Kibuye'!E62</f>
        <v>10.5</v>
      </c>
      <c r="F62" s="49">
        <f>'Avg Week Kibuye-Munyonyo'!F62+'Avg Week Munyonyo-Kibuye'!F62</f>
        <v>116.5</v>
      </c>
      <c r="G62" s="49">
        <f>'Avg Week Kibuye-Munyonyo'!G62+'Avg Week Munyonyo-Kibuye'!G62</f>
        <v>2</v>
      </c>
      <c r="H62" s="49">
        <f>'Avg Week Kibuye-Munyonyo'!H62+'Avg Week Munyonyo-Kibuye'!H62</f>
        <v>0</v>
      </c>
      <c r="I62" s="49">
        <f>'Avg Week Kibuye-Munyonyo'!I62+'Avg Week Munyonyo-Kibuye'!I62</f>
        <v>4</v>
      </c>
      <c r="J62" s="49">
        <f>'Avg Week Kibuye-Munyonyo'!J62+'Avg Week Munyonyo-Kibuye'!J62</f>
        <v>2.5</v>
      </c>
      <c r="K62" s="49">
        <f>'Avg Week Kibuye-Munyonyo'!K62+'Avg Week Munyonyo-Kibuye'!K62</f>
        <v>1</v>
      </c>
      <c r="L62" s="49">
        <f>'Avg Week Kibuye-Munyonyo'!L62+'Avg Week Munyonyo-Kibuye'!L62</f>
        <v>0</v>
      </c>
      <c r="M62" s="49">
        <f>'Avg Week Kibuye-Munyonyo'!M62+'Avg Week Munyonyo-Kibuye'!M62</f>
        <v>340.5</v>
      </c>
      <c r="N62" s="49">
        <f>'Avg Week Kibuye-Munyonyo'!N62+'Avg Week Munyonyo-Kibuye'!N62</f>
        <v>0</v>
      </c>
      <c r="O62" s="15">
        <f t="shared" si="35"/>
        <v>237</v>
      </c>
      <c r="P62" s="15">
        <f t="shared" si="36"/>
        <v>577.5</v>
      </c>
      <c r="R62" s="8"/>
      <c r="T62"/>
    </row>
    <row r="63" spans="2:20" ht="23.1" customHeight="1" x14ac:dyDescent="0.25">
      <c r="B63" s="23" t="s">
        <v>108</v>
      </c>
      <c r="C63" s="49">
        <f>'Avg Week Kibuye-Munyonyo'!C63+'Avg Week Munyonyo-Kibuye'!C63</f>
        <v>107.5</v>
      </c>
      <c r="D63" s="49">
        <f>'Avg Week Kibuye-Munyonyo'!D63+'Avg Week Munyonyo-Kibuye'!D63</f>
        <v>42.5</v>
      </c>
      <c r="E63" s="49">
        <f>'Avg Week Kibuye-Munyonyo'!E63+'Avg Week Munyonyo-Kibuye'!E63</f>
        <v>7.5</v>
      </c>
      <c r="F63" s="49">
        <f>'Avg Week Kibuye-Munyonyo'!F63+'Avg Week Munyonyo-Kibuye'!F63</f>
        <v>149</v>
      </c>
      <c r="G63" s="49">
        <f>'Avg Week Kibuye-Munyonyo'!G63+'Avg Week Munyonyo-Kibuye'!G63</f>
        <v>1</v>
      </c>
      <c r="H63" s="49">
        <f>'Avg Week Kibuye-Munyonyo'!H63+'Avg Week Munyonyo-Kibuye'!H63</f>
        <v>0</v>
      </c>
      <c r="I63" s="49">
        <f>'Avg Week Kibuye-Munyonyo'!I63+'Avg Week Munyonyo-Kibuye'!I63</f>
        <v>10</v>
      </c>
      <c r="J63" s="49">
        <f>'Avg Week Kibuye-Munyonyo'!J63+'Avg Week Munyonyo-Kibuye'!J63</f>
        <v>1</v>
      </c>
      <c r="K63" s="49">
        <f>'Avg Week Kibuye-Munyonyo'!K63+'Avg Week Munyonyo-Kibuye'!K63</f>
        <v>0</v>
      </c>
      <c r="L63" s="49">
        <f>'Avg Week Kibuye-Munyonyo'!L63+'Avg Week Munyonyo-Kibuye'!L63</f>
        <v>0</v>
      </c>
      <c r="M63" s="49">
        <f>'Avg Week Kibuye-Munyonyo'!M63+'Avg Week Munyonyo-Kibuye'!M63</f>
        <v>422.5</v>
      </c>
      <c r="N63" s="49">
        <f>'Avg Week Kibuye-Munyonyo'!N63+'Avg Week Munyonyo-Kibuye'!N63</f>
        <v>0</v>
      </c>
      <c r="O63" s="15">
        <f t="shared" si="35"/>
        <v>318.5</v>
      </c>
      <c r="P63" s="15">
        <f t="shared" si="36"/>
        <v>741</v>
      </c>
      <c r="R63" s="8"/>
      <c r="T63"/>
    </row>
    <row r="64" spans="2:20" ht="23.1" customHeight="1" x14ac:dyDescent="0.25">
      <c r="B64" s="23" t="s">
        <v>109</v>
      </c>
      <c r="C64" s="49">
        <f>'Avg Week Kibuye-Munyonyo'!C64+'Avg Week Munyonyo-Kibuye'!C64</f>
        <v>102.5</v>
      </c>
      <c r="D64" s="49">
        <f>'Avg Week Kibuye-Munyonyo'!D64+'Avg Week Munyonyo-Kibuye'!D64</f>
        <v>24.5</v>
      </c>
      <c r="E64" s="49">
        <f>'Avg Week Kibuye-Munyonyo'!E64+'Avg Week Munyonyo-Kibuye'!E64</f>
        <v>10.5</v>
      </c>
      <c r="F64" s="49">
        <f>'Avg Week Kibuye-Munyonyo'!F64+'Avg Week Munyonyo-Kibuye'!F64</f>
        <v>105.5</v>
      </c>
      <c r="G64" s="49">
        <f>'Avg Week Kibuye-Munyonyo'!G64+'Avg Week Munyonyo-Kibuye'!G64</f>
        <v>1.5</v>
      </c>
      <c r="H64" s="49">
        <f>'Avg Week Kibuye-Munyonyo'!H64+'Avg Week Munyonyo-Kibuye'!H64</f>
        <v>0</v>
      </c>
      <c r="I64" s="49">
        <f>'Avg Week Kibuye-Munyonyo'!I64+'Avg Week Munyonyo-Kibuye'!I64</f>
        <v>2.5</v>
      </c>
      <c r="J64" s="49">
        <f>'Avg Week Kibuye-Munyonyo'!J64+'Avg Week Munyonyo-Kibuye'!J64</f>
        <v>0.5</v>
      </c>
      <c r="K64" s="49">
        <f>'Avg Week Kibuye-Munyonyo'!K64+'Avg Week Munyonyo-Kibuye'!K64</f>
        <v>1</v>
      </c>
      <c r="L64" s="49">
        <f>'Avg Week Kibuye-Munyonyo'!L64+'Avg Week Munyonyo-Kibuye'!L64</f>
        <v>0</v>
      </c>
      <c r="M64" s="49">
        <f>'Avg Week Kibuye-Munyonyo'!M64+'Avg Week Munyonyo-Kibuye'!M64</f>
        <v>340</v>
      </c>
      <c r="N64" s="49">
        <f>'Avg Week Kibuye-Munyonyo'!N64+'Avg Week Munyonyo-Kibuye'!N64</f>
        <v>0</v>
      </c>
      <c r="O64" s="15">
        <f t="shared" si="35"/>
        <v>248.5</v>
      </c>
      <c r="P64" s="15">
        <f t="shared" si="36"/>
        <v>588.5</v>
      </c>
      <c r="R64" s="8"/>
      <c r="T64"/>
    </row>
    <row r="65" spans="2:20" ht="23.1" customHeight="1" x14ac:dyDescent="0.25">
      <c r="B65" s="23" t="s">
        <v>158</v>
      </c>
      <c r="C65" s="49">
        <f>'Avg Week Kibuye-Munyonyo'!C65+'Avg Week Munyonyo-Kibuye'!C65</f>
        <v>94.5</v>
      </c>
      <c r="D65" s="49">
        <f>'Avg Week Kibuye-Munyonyo'!D65+'Avg Week Munyonyo-Kibuye'!D65</f>
        <v>52</v>
      </c>
      <c r="E65" s="49">
        <f>'Avg Week Kibuye-Munyonyo'!E65+'Avg Week Munyonyo-Kibuye'!E65</f>
        <v>6.5</v>
      </c>
      <c r="F65" s="49">
        <f>'Avg Week Kibuye-Munyonyo'!F65+'Avg Week Munyonyo-Kibuye'!F65</f>
        <v>122.5</v>
      </c>
      <c r="G65" s="49">
        <f>'Avg Week Kibuye-Munyonyo'!G65+'Avg Week Munyonyo-Kibuye'!G65</f>
        <v>1</v>
      </c>
      <c r="H65" s="49">
        <f>'Avg Week Kibuye-Munyonyo'!H65+'Avg Week Munyonyo-Kibuye'!H65</f>
        <v>0</v>
      </c>
      <c r="I65" s="49">
        <f>'Avg Week Kibuye-Munyonyo'!I65+'Avg Week Munyonyo-Kibuye'!I65</f>
        <v>4</v>
      </c>
      <c r="J65" s="49">
        <f>'Avg Week Kibuye-Munyonyo'!J65+'Avg Week Munyonyo-Kibuye'!J65</f>
        <v>0</v>
      </c>
      <c r="K65" s="49">
        <f>'Avg Week Kibuye-Munyonyo'!K65+'Avg Week Munyonyo-Kibuye'!K65</f>
        <v>0</v>
      </c>
      <c r="L65" s="49">
        <f>'Avg Week Kibuye-Munyonyo'!L65+'Avg Week Munyonyo-Kibuye'!L65</f>
        <v>0</v>
      </c>
      <c r="M65" s="49">
        <f>'Avg Week Kibuye-Munyonyo'!M65+'Avg Week Munyonyo-Kibuye'!M65</f>
        <v>375</v>
      </c>
      <c r="N65" s="49">
        <f>'Avg Week Kibuye-Munyonyo'!N65+'Avg Week Munyonyo-Kibuye'!N65</f>
        <v>0</v>
      </c>
      <c r="O65" s="15">
        <f t="shared" si="35"/>
        <v>280.5</v>
      </c>
      <c r="P65" s="15">
        <f t="shared" si="36"/>
        <v>655.5</v>
      </c>
      <c r="R65" s="8"/>
      <c r="T65"/>
    </row>
    <row r="66" spans="2:20" ht="23.1" customHeight="1" x14ac:dyDescent="0.25">
      <c r="B66" s="23" t="s">
        <v>103</v>
      </c>
      <c r="C66" s="49">
        <f>'Avg Week Kibuye-Munyonyo'!C66+'Avg Week Munyonyo-Kibuye'!C66</f>
        <v>89.5</v>
      </c>
      <c r="D66" s="49">
        <f>'Avg Week Kibuye-Munyonyo'!D66+'Avg Week Munyonyo-Kibuye'!D66</f>
        <v>24</v>
      </c>
      <c r="E66" s="49">
        <f>'Avg Week Kibuye-Munyonyo'!E66+'Avg Week Munyonyo-Kibuye'!E66</f>
        <v>4.5</v>
      </c>
      <c r="F66" s="49">
        <f>'Avg Week Kibuye-Munyonyo'!F66+'Avg Week Munyonyo-Kibuye'!F66</f>
        <v>65.5</v>
      </c>
      <c r="G66" s="49">
        <f>'Avg Week Kibuye-Munyonyo'!G66+'Avg Week Munyonyo-Kibuye'!G66</f>
        <v>0.5</v>
      </c>
      <c r="H66" s="49">
        <f>'Avg Week Kibuye-Munyonyo'!H66+'Avg Week Munyonyo-Kibuye'!H66</f>
        <v>0</v>
      </c>
      <c r="I66" s="49">
        <f>'Avg Week Kibuye-Munyonyo'!I66+'Avg Week Munyonyo-Kibuye'!I66</f>
        <v>2.5</v>
      </c>
      <c r="J66" s="49">
        <f>'Avg Week Kibuye-Munyonyo'!J66+'Avg Week Munyonyo-Kibuye'!J66</f>
        <v>0.5</v>
      </c>
      <c r="K66" s="49">
        <f>'Avg Week Kibuye-Munyonyo'!K66+'Avg Week Munyonyo-Kibuye'!K66</f>
        <v>2</v>
      </c>
      <c r="L66" s="49">
        <f>'Avg Week Kibuye-Munyonyo'!L66+'Avg Week Munyonyo-Kibuye'!L66</f>
        <v>0</v>
      </c>
      <c r="M66" s="49">
        <f>'Avg Week Kibuye-Munyonyo'!M66+'Avg Week Munyonyo-Kibuye'!M66</f>
        <v>410</v>
      </c>
      <c r="N66" s="49">
        <f>'Avg Week Kibuye-Munyonyo'!N66+'Avg Week Munyonyo-Kibuye'!N66</f>
        <v>0.5</v>
      </c>
      <c r="O66" s="15">
        <f t="shared" si="35"/>
        <v>189.5</v>
      </c>
      <c r="P66" s="15">
        <f t="shared" si="36"/>
        <v>599.5</v>
      </c>
      <c r="R66" s="8"/>
      <c r="T66"/>
    </row>
    <row r="67" spans="2:20" ht="23.1" customHeight="1" x14ac:dyDescent="0.25">
      <c r="B67" s="23" t="s">
        <v>104</v>
      </c>
      <c r="C67" s="49">
        <f>'Avg Week Kibuye-Munyonyo'!C67+'Avg Week Munyonyo-Kibuye'!C67</f>
        <v>93</v>
      </c>
      <c r="D67" s="49">
        <f>'Avg Week Kibuye-Munyonyo'!D67+'Avg Week Munyonyo-Kibuye'!D67</f>
        <v>26.5</v>
      </c>
      <c r="E67" s="49">
        <f>'Avg Week Kibuye-Munyonyo'!E67+'Avg Week Munyonyo-Kibuye'!E67</f>
        <v>11</v>
      </c>
      <c r="F67" s="49">
        <f>'Avg Week Kibuye-Munyonyo'!F67+'Avg Week Munyonyo-Kibuye'!F67</f>
        <v>122</v>
      </c>
      <c r="G67" s="49">
        <f>'Avg Week Kibuye-Munyonyo'!G67+'Avg Week Munyonyo-Kibuye'!G67</f>
        <v>1</v>
      </c>
      <c r="H67" s="49">
        <f>'Avg Week Kibuye-Munyonyo'!H67+'Avg Week Munyonyo-Kibuye'!H67</f>
        <v>0</v>
      </c>
      <c r="I67" s="49">
        <f>'Avg Week Kibuye-Munyonyo'!I67+'Avg Week Munyonyo-Kibuye'!I67</f>
        <v>2</v>
      </c>
      <c r="J67" s="49">
        <f>'Avg Week Kibuye-Munyonyo'!J67+'Avg Week Munyonyo-Kibuye'!J67</f>
        <v>2</v>
      </c>
      <c r="K67" s="49">
        <f>'Avg Week Kibuye-Munyonyo'!K67+'Avg Week Munyonyo-Kibuye'!K67</f>
        <v>0.5</v>
      </c>
      <c r="L67" s="49">
        <f>'Avg Week Kibuye-Munyonyo'!L67+'Avg Week Munyonyo-Kibuye'!L67</f>
        <v>0</v>
      </c>
      <c r="M67" s="49">
        <f>'Avg Week Kibuye-Munyonyo'!M67+'Avg Week Munyonyo-Kibuye'!M67</f>
        <v>312.5</v>
      </c>
      <c r="N67" s="49">
        <f>'Avg Week Kibuye-Munyonyo'!N67+'Avg Week Munyonyo-Kibuye'!N67</f>
        <v>0</v>
      </c>
      <c r="O67" s="15">
        <f t="shared" si="35"/>
        <v>258</v>
      </c>
      <c r="P67" s="15">
        <f t="shared" si="36"/>
        <v>570.5</v>
      </c>
      <c r="R67" s="8"/>
      <c r="T67"/>
    </row>
    <row r="68" spans="2:20" ht="23.1" customHeight="1" x14ac:dyDescent="0.25">
      <c r="B68" s="23" t="s">
        <v>105</v>
      </c>
      <c r="C68" s="49">
        <f>'Avg Week Kibuye-Munyonyo'!C68+'Avg Week Munyonyo-Kibuye'!C68</f>
        <v>79.5</v>
      </c>
      <c r="D68" s="49">
        <f>'Avg Week Kibuye-Munyonyo'!D68+'Avg Week Munyonyo-Kibuye'!D68</f>
        <v>37.5</v>
      </c>
      <c r="E68" s="49">
        <f>'Avg Week Kibuye-Munyonyo'!E68+'Avg Week Munyonyo-Kibuye'!E68</f>
        <v>6.5</v>
      </c>
      <c r="F68" s="49">
        <f>'Avg Week Kibuye-Munyonyo'!F68+'Avg Week Munyonyo-Kibuye'!F68</f>
        <v>88.5</v>
      </c>
      <c r="G68" s="49">
        <f>'Avg Week Kibuye-Munyonyo'!G68+'Avg Week Munyonyo-Kibuye'!G68</f>
        <v>0.5</v>
      </c>
      <c r="H68" s="49">
        <f>'Avg Week Kibuye-Munyonyo'!H68+'Avg Week Munyonyo-Kibuye'!H68</f>
        <v>0</v>
      </c>
      <c r="I68" s="49">
        <f>'Avg Week Kibuye-Munyonyo'!I68+'Avg Week Munyonyo-Kibuye'!I68</f>
        <v>2</v>
      </c>
      <c r="J68" s="49">
        <f>'Avg Week Kibuye-Munyonyo'!J68+'Avg Week Munyonyo-Kibuye'!J68</f>
        <v>2</v>
      </c>
      <c r="K68" s="49">
        <f>'Avg Week Kibuye-Munyonyo'!K68+'Avg Week Munyonyo-Kibuye'!K68</f>
        <v>2.5</v>
      </c>
      <c r="L68" s="49">
        <f>'Avg Week Kibuye-Munyonyo'!L68+'Avg Week Munyonyo-Kibuye'!L68</f>
        <v>0</v>
      </c>
      <c r="M68" s="49">
        <f>'Avg Week Kibuye-Munyonyo'!M68+'Avg Week Munyonyo-Kibuye'!M68</f>
        <v>342.5</v>
      </c>
      <c r="N68" s="49">
        <f>'Avg Week Kibuye-Munyonyo'!N68+'Avg Week Munyonyo-Kibuye'!N68</f>
        <v>0</v>
      </c>
      <c r="O68" s="15">
        <f t="shared" si="35"/>
        <v>219</v>
      </c>
      <c r="P68" s="15">
        <f t="shared" si="36"/>
        <v>561.5</v>
      </c>
      <c r="R68" s="8"/>
      <c r="T68"/>
    </row>
    <row r="69" spans="2:20" ht="23.1" customHeight="1" x14ac:dyDescent="0.25">
      <c r="B69" s="23" t="s">
        <v>106</v>
      </c>
      <c r="C69" s="49">
        <f>'Avg Week Kibuye-Munyonyo'!C69+'Avg Week Munyonyo-Kibuye'!C69</f>
        <v>67</v>
      </c>
      <c r="D69" s="49">
        <f>'Avg Week Kibuye-Munyonyo'!D69+'Avg Week Munyonyo-Kibuye'!D69</f>
        <v>27</v>
      </c>
      <c r="E69" s="49">
        <f>'Avg Week Kibuye-Munyonyo'!E69+'Avg Week Munyonyo-Kibuye'!E69</f>
        <v>4</v>
      </c>
      <c r="F69" s="49">
        <f>'Avg Week Kibuye-Munyonyo'!F69+'Avg Week Munyonyo-Kibuye'!F69</f>
        <v>97.5</v>
      </c>
      <c r="G69" s="49">
        <f>'Avg Week Kibuye-Munyonyo'!G69+'Avg Week Munyonyo-Kibuye'!G69</f>
        <v>0.5</v>
      </c>
      <c r="H69" s="49">
        <f>'Avg Week Kibuye-Munyonyo'!H69+'Avg Week Munyonyo-Kibuye'!H69</f>
        <v>0</v>
      </c>
      <c r="I69" s="49">
        <f>'Avg Week Kibuye-Munyonyo'!I69+'Avg Week Munyonyo-Kibuye'!I69</f>
        <v>1</v>
      </c>
      <c r="J69" s="49">
        <f>'Avg Week Kibuye-Munyonyo'!J69+'Avg Week Munyonyo-Kibuye'!J69</f>
        <v>0</v>
      </c>
      <c r="K69" s="49">
        <f>'Avg Week Kibuye-Munyonyo'!K69+'Avg Week Munyonyo-Kibuye'!K69</f>
        <v>1</v>
      </c>
      <c r="L69" s="49">
        <f>'Avg Week Kibuye-Munyonyo'!L69+'Avg Week Munyonyo-Kibuye'!L69</f>
        <v>0</v>
      </c>
      <c r="M69" s="49">
        <f>'Avg Week Kibuye-Munyonyo'!M69+'Avg Week Munyonyo-Kibuye'!M69</f>
        <v>291</v>
      </c>
      <c r="N69" s="49">
        <f>'Avg Week Kibuye-Munyonyo'!N69+'Avg Week Munyonyo-Kibuye'!N69</f>
        <v>0</v>
      </c>
      <c r="O69" s="15">
        <f t="shared" si="35"/>
        <v>198</v>
      </c>
      <c r="P69" s="15">
        <f t="shared" si="36"/>
        <v>489</v>
      </c>
      <c r="R69" s="8"/>
      <c r="T69"/>
    </row>
    <row r="70" spans="2:20" ht="23.1" customHeight="1" x14ac:dyDescent="0.25">
      <c r="B70" s="23" t="s">
        <v>110</v>
      </c>
      <c r="C70" s="49">
        <f>'Avg Week Kibuye-Munyonyo'!C70+'Avg Week Munyonyo-Kibuye'!C70</f>
        <v>123</v>
      </c>
      <c r="D70" s="49">
        <f>'Avg Week Kibuye-Munyonyo'!D70+'Avg Week Munyonyo-Kibuye'!D70</f>
        <v>40</v>
      </c>
      <c r="E70" s="49">
        <f>'Avg Week Kibuye-Munyonyo'!E70+'Avg Week Munyonyo-Kibuye'!E70</f>
        <v>5</v>
      </c>
      <c r="F70" s="49">
        <f>'Avg Week Kibuye-Munyonyo'!F70+'Avg Week Munyonyo-Kibuye'!F70</f>
        <v>110.5</v>
      </c>
      <c r="G70" s="49">
        <f>'Avg Week Kibuye-Munyonyo'!G70+'Avg Week Munyonyo-Kibuye'!G70</f>
        <v>0</v>
      </c>
      <c r="H70" s="49">
        <f>'Avg Week Kibuye-Munyonyo'!H70+'Avg Week Munyonyo-Kibuye'!H70</f>
        <v>0</v>
      </c>
      <c r="I70" s="49">
        <f>'Avg Week Kibuye-Munyonyo'!I70+'Avg Week Munyonyo-Kibuye'!I70</f>
        <v>2</v>
      </c>
      <c r="J70" s="49">
        <f>'Avg Week Kibuye-Munyonyo'!J70+'Avg Week Munyonyo-Kibuye'!J70</f>
        <v>0.5</v>
      </c>
      <c r="K70" s="49">
        <f>'Avg Week Kibuye-Munyonyo'!K70+'Avg Week Munyonyo-Kibuye'!K70</f>
        <v>1</v>
      </c>
      <c r="L70" s="49">
        <f>'Avg Week Kibuye-Munyonyo'!L70+'Avg Week Munyonyo-Kibuye'!L70</f>
        <v>0</v>
      </c>
      <c r="M70" s="49">
        <f>'Avg Week Kibuye-Munyonyo'!M70+'Avg Week Munyonyo-Kibuye'!M70</f>
        <v>283</v>
      </c>
      <c r="N70" s="49">
        <f>'Avg Week Kibuye-Munyonyo'!N70+'Avg Week Munyonyo-Kibuye'!N70</f>
        <v>0</v>
      </c>
      <c r="O70" s="15">
        <f t="shared" si="35"/>
        <v>282</v>
      </c>
      <c r="P70" s="15">
        <f t="shared" si="36"/>
        <v>565</v>
      </c>
      <c r="R70" s="8"/>
      <c r="T70"/>
    </row>
    <row r="71" spans="2:20" ht="23.1" customHeight="1" x14ac:dyDescent="0.25">
      <c r="B71" s="23" t="s">
        <v>111</v>
      </c>
      <c r="C71" s="49">
        <f>'Avg Week Kibuye-Munyonyo'!C71+'Avg Week Munyonyo-Kibuye'!C71</f>
        <v>94.5</v>
      </c>
      <c r="D71" s="49">
        <f>'Avg Week Kibuye-Munyonyo'!D71+'Avg Week Munyonyo-Kibuye'!D71</f>
        <v>18.5</v>
      </c>
      <c r="E71" s="49">
        <f>'Avg Week Kibuye-Munyonyo'!E71+'Avg Week Munyonyo-Kibuye'!E71</f>
        <v>3</v>
      </c>
      <c r="F71" s="49">
        <f>'Avg Week Kibuye-Munyonyo'!F71+'Avg Week Munyonyo-Kibuye'!F71</f>
        <v>70</v>
      </c>
      <c r="G71" s="49">
        <f>'Avg Week Kibuye-Munyonyo'!G71+'Avg Week Munyonyo-Kibuye'!G71</f>
        <v>1</v>
      </c>
      <c r="H71" s="49">
        <f>'Avg Week Kibuye-Munyonyo'!H71+'Avg Week Munyonyo-Kibuye'!H71</f>
        <v>0</v>
      </c>
      <c r="I71" s="49">
        <f>'Avg Week Kibuye-Munyonyo'!I71+'Avg Week Munyonyo-Kibuye'!I71</f>
        <v>3.5</v>
      </c>
      <c r="J71" s="49">
        <f>'Avg Week Kibuye-Munyonyo'!J71+'Avg Week Munyonyo-Kibuye'!J71</f>
        <v>0.5</v>
      </c>
      <c r="K71" s="49">
        <f>'Avg Week Kibuye-Munyonyo'!K71+'Avg Week Munyonyo-Kibuye'!K71</f>
        <v>0.5</v>
      </c>
      <c r="L71" s="49">
        <f>'Avg Week Kibuye-Munyonyo'!L71+'Avg Week Munyonyo-Kibuye'!L71</f>
        <v>0</v>
      </c>
      <c r="M71" s="49">
        <f>'Avg Week Kibuye-Munyonyo'!M71+'Avg Week Munyonyo-Kibuye'!M71</f>
        <v>354</v>
      </c>
      <c r="N71" s="49">
        <f>'Avg Week Kibuye-Munyonyo'!N71+'Avg Week Munyonyo-Kibuye'!N71</f>
        <v>0</v>
      </c>
      <c r="O71" s="15">
        <f t="shared" si="35"/>
        <v>191.5</v>
      </c>
      <c r="P71" s="15">
        <f t="shared" si="36"/>
        <v>545.5</v>
      </c>
      <c r="R71" s="8"/>
      <c r="T71"/>
    </row>
    <row r="72" spans="2:20" ht="23.1" customHeight="1" x14ac:dyDescent="0.25">
      <c r="B72" s="23" t="s">
        <v>112</v>
      </c>
      <c r="C72" s="49">
        <f>'Avg Week Kibuye-Munyonyo'!C72+'Avg Week Munyonyo-Kibuye'!C72</f>
        <v>82</v>
      </c>
      <c r="D72" s="49">
        <f>'Avg Week Kibuye-Munyonyo'!D72+'Avg Week Munyonyo-Kibuye'!D72</f>
        <v>19</v>
      </c>
      <c r="E72" s="49">
        <f>'Avg Week Kibuye-Munyonyo'!E72+'Avg Week Munyonyo-Kibuye'!E72</f>
        <v>2.5</v>
      </c>
      <c r="F72" s="49">
        <f>'Avg Week Kibuye-Munyonyo'!F72+'Avg Week Munyonyo-Kibuye'!F72</f>
        <v>69</v>
      </c>
      <c r="G72" s="49">
        <f>'Avg Week Kibuye-Munyonyo'!G72+'Avg Week Munyonyo-Kibuye'!G72</f>
        <v>0</v>
      </c>
      <c r="H72" s="49">
        <f>'Avg Week Kibuye-Munyonyo'!H72+'Avg Week Munyonyo-Kibuye'!H72</f>
        <v>0</v>
      </c>
      <c r="I72" s="49">
        <f>'Avg Week Kibuye-Munyonyo'!I72+'Avg Week Munyonyo-Kibuye'!I72</f>
        <v>1</v>
      </c>
      <c r="J72" s="49">
        <f>'Avg Week Kibuye-Munyonyo'!J72+'Avg Week Munyonyo-Kibuye'!J72</f>
        <v>0</v>
      </c>
      <c r="K72" s="49">
        <f>'Avg Week Kibuye-Munyonyo'!K72+'Avg Week Munyonyo-Kibuye'!K72</f>
        <v>0.5</v>
      </c>
      <c r="L72" s="49">
        <f>'Avg Week Kibuye-Munyonyo'!L72+'Avg Week Munyonyo-Kibuye'!L72</f>
        <v>0</v>
      </c>
      <c r="M72" s="49">
        <f>'Avg Week Kibuye-Munyonyo'!M72+'Avg Week Munyonyo-Kibuye'!M72</f>
        <v>256</v>
      </c>
      <c r="N72" s="49">
        <f>'Avg Week Kibuye-Munyonyo'!N72+'Avg Week Munyonyo-Kibuye'!N72</f>
        <v>0</v>
      </c>
      <c r="O72" s="15">
        <f t="shared" si="35"/>
        <v>174</v>
      </c>
      <c r="P72" s="15">
        <f t="shared" si="36"/>
        <v>430</v>
      </c>
      <c r="R72" s="8"/>
      <c r="T72"/>
    </row>
    <row r="73" spans="2:20" ht="23.1" customHeight="1" x14ac:dyDescent="0.25">
      <c r="B73" s="23" t="s">
        <v>113</v>
      </c>
      <c r="C73" s="49">
        <f>'Avg Week Kibuye-Munyonyo'!C73+'Avg Week Munyonyo-Kibuye'!C73</f>
        <v>62</v>
      </c>
      <c r="D73" s="49">
        <f>'Avg Week Kibuye-Munyonyo'!D73+'Avg Week Munyonyo-Kibuye'!D73</f>
        <v>16.5</v>
      </c>
      <c r="E73" s="49">
        <f>'Avg Week Kibuye-Munyonyo'!E73+'Avg Week Munyonyo-Kibuye'!E73</f>
        <v>5</v>
      </c>
      <c r="F73" s="49">
        <f>'Avg Week Kibuye-Munyonyo'!F73+'Avg Week Munyonyo-Kibuye'!F73</f>
        <v>52.5</v>
      </c>
      <c r="G73" s="49">
        <f>'Avg Week Kibuye-Munyonyo'!G73+'Avg Week Munyonyo-Kibuye'!G73</f>
        <v>0</v>
      </c>
      <c r="H73" s="49">
        <f>'Avg Week Kibuye-Munyonyo'!H73+'Avg Week Munyonyo-Kibuye'!H73</f>
        <v>0</v>
      </c>
      <c r="I73" s="49">
        <f>'Avg Week Kibuye-Munyonyo'!I73+'Avg Week Munyonyo-Kibuye'!I73</f>
        <v>0.5</v>
      </c>
      <c r="J73" s="49">
        <f>'Avg Week Kibuye-Munyonyo'!J73+'Avg Week Munyonyo-Kibuye'!J73</f>
        <v>1</v>
      </c>
      <c r="K73" s="49">
        <f>'Avg Week Kibuye-Munyonyo'!K73+'Avg Week Munyonyo-Kibuye'!K73</f>
        <v>0.5</v>
      </c>
      <c r="L73" s="49">
        <f>'Avg Week Kibuye-Munyonyo'!L73+'Avg Week Munyonyo-Kibuye'!L73</f>
        <v>0</v>
      </c>
      <c r="M73" s="49">
        <f>'Avg Week Kibuye-Munyonyo'!M73+'Avg Week Munyonyo-Kibuye'!M73</f>
        <v>189.5</v>
      </c>
      <c r="N73" s="49">
        <f>'Avg Week Kibuye-Munyonyo'!N73+'Avg Week Munyonyo-Kibuye'!N73</f>
        <v>0</v>
      </c>
      <c r="O73" s="15">
        <f t="shared" si="35"/>
        <v>138</v>
      </c>
      <c r="P73" s="15">
        <f t="shared" si="36"/>
        <v>327.5</v>
      </c>
      <c r="R73" s="8"/>
      <c r="T73"/>
    </row>
    <row r="74" spans="2:20" ht="23.1" customHeight="1" x14ac:dyDescent="0.25">
      <c r="B74" s="23" t="s">
        <v>114</v>
      </c>
      <c r="C74" s="49">
        <f>'Avg Week Kibuye-Munyonyo'!C74+'Avg Week Munyonyo-Kibuye'!C74</f>
        <v>49</v>
      </c>
      <c r="D74" s="49">
        <f>'Avg Week Kibuye-Munyonyo'!D74+'Avg Week Munyonyo-Kibuye'!D74</f>
        <v>11.5</v>
      </c>
      <c r="E74" s="49">
        <f>'Avg Week Kibuye-Munyonyo'!E74+'Avg Week Munyonyo-Kibuye'!E74</f>
        <v>2</v>
      </c>
      <c r="F74" s="49">
        <f>'Avg Week Kibuye-Munyonyo'!F74+'Avg Week Munyonyo-Kibuye'!F74</f>
        <v>58.5</v>
      </c>
      <c r="G74" s="49">
        <f>'Avg Week Kibuye-Munyonyo'!G74+'Avg Week Munyonyo-Kibuye'!G74</f>
        <v>1</v>
      </c>
      <c r="H74" s="49">
        <f>'Avg Week Kibuye-Munyonyo'!H74+'Avg Week Munyonyo-Kibuye'!H74</f>
        <v>0</v>
      </c>
      <c r="I74" s="49">
        <f>'Avg Week Kibuye-Munyonyo'!I74+'Avg Week Munyonyo-Kibuye'!I74</f>
        <v>0</v>
      </c>
      <c r="J74" s="49">
        <f>'Avg Week Kibuye-Munyonyo'!J74+'Avg Week Munyonyo-Kibuye'!J74</f>
        <v>1.5</v>
      </c>
      <c r="K74" s="49">
        <f>'Avg Week Kibuye-Munyonyo'!K74+'Avg Week Munyonyo-Kibuye'!K74</f>
        <v>0.5</v>
      </c>
      <c r="L74" s="49">
        <f>'Avg Week Kibuye-Munyonyo'!L74+'Avg Week Munyonyo-Kibuye'!L74</f>
        <v>0</v>
      </c>
      <c r="M74" s="49">
        <f>'Avg Week Kibuye-Munyonyo'!M74+'Avg Week Munyonyo-Kibuye'!M74</f>
        <v>196.5</v>
      </c>
      <c r="N74" s="49">
        <f>'Avg Week Kibuye-Munyonyo'!N74+'Avg Week Munyonyo-Kibuye'!N74</f>
        <v>0.5</v>
      </c>
      <c r="O74" s="15">
        <f t="shared" si="35"/>
        <v>124.5</v>
      </c>
      <c r="P74" s="15">
        <f t="shared" si="36"/>
        <v>321</v>
      </c>
      <c r="R74" s="8"/>
      <c r="T74"/>
    </row>
    <row r="75" spans="2:20" ht="23.1" customHeight="1" x14ac:dyDescent="0.25">
      <c r="B75" s="23" t="s">
        <v>115</v>
      </c>
      <c r="C75" s="49">
        <f>'Avg Week Kibuye-Munyonyo'!C75+'Avg Week Munyonyo-Kibuye'!C75</f>
        <v>70</v>
      </c>
      <c r="D75" s="49">
        <f>'Avg Week Kibuye-Munyonyo'!D75+'Avg Week Munyonyo-Kibuye'!D75</f>
        <v>29.5</v>
      </c>
      <c r="E75" s="49">
        <f>'Avg Week Kibuye-Munyonyo'!E75+'Avg Week Munyonyo-Kibuye'!E75</f>
        <v>3</v>
      </c>
      <c r="F75" s="49">
        <f>'Avg Week Kibuye-Munyonyo'!F75+'Avg Week Munyonyo-Kibuye'!F75</f>
        <v>58</v>
      </c>
      <c r="G75" s="49">
        <f>'Avg Week Kibuye-Munyonyo'!G75+'Avg Week Munyonyo-Kibuye'!G75</f>
        <v>0.5</v>
      </c>
      <c r="H75" s="49">
        <f>'Avg Week Kibuye-Munyonyo'!H75+'Avg Week Munyonyo-Kibuye'!H75</f>
        <v>0</v>
      </c>
      <c r="I75" s="49">
        <f>'Avg Week Kibuye-Munyonyo'!I75+'Avg Week Munyonyo-Kibuye'!I75</f>
        <v>1</v>
      </c>
      <c r="J75" s="49">
        <f>'Avg Week Kibuye-Munyonyo'!J75+'Avg Week Munyonyo-Kibuye'!J75</f>
        <v>1</v>
      </c>
      <c r="K75" s="49">
        <f>'Avg Week Kibuye-Munyonyo'!K75+'Avg Week Munyonyo-Kibuye'!K75</f>
        <v>1</v>
      </c>
      <c r="L75" s="49">
        <f>'Avg Week Kibuye-Munyonyo'!L75+'Avg Week Munyonyo-Kibuye'!L75</f>
        <v>0</v>
      </c>
      <c r="M75" s="49">
        <f>'Avg Week Kibuye-Munyonyo'!M75+'Avg Week Munyonyo-Kibuye'!M75</f>
        <v>252</v>
      </c>
      <c r="N75" s="49">
        <f>'Avg Week Kibuye-Munyonyo'!N75+'Avg Week Munyonyo-Kibuye'!N75</f>
        <v>0</v>
      </c>
      <c r="O75" s="15">
        <f t="shared" si="35"/>
        <v>164</v>
      </c>
      <c r="P75" s="15">
        <f t="shared" si="36"/>
        <v>416</v>
      </c>
      <c r="R75" s="8"/>
      <c r="T75"/>
    </row>
    <row r="76" spans="2:20" ht="23.1" customHeight="1" x14ac:dyDescent="0.25">
      <c r="B76" s="23" t="s">
        <v>116</v>
      </c>
      <c r="C76" s="49">
        <f>'Avg Week Kibuye-Munyonyo'!C76+'Avg Week Munyonyo-Kibuye'!C76</f>
        <v>74</v>
      </c>
      <c r="D76" s="49">
        <f>'Avg Week Kibuye-Munyonyo'!D76+'Avg Week Munyonyo-Kibuye'!D76</f>
        <v>21.5</v>
      </c>
      <c r="E76" s="49">
        <f>'Avg Week Kibuye-Munyonyo'!E76+'Avg Week Munyonyo-Kibuye'!E76</f>
        <v>3</v>
      </c>
      <c r="F76" s="49">
        <f>'Avg Week Kibuye-Munyonyo'!F76+'Avg Week Munyonyo-Kibuye'!F76</f>
        <v>37</v>
      </c>
      <c r="G76" s="49">
        <f>'Avg Week Kibuye-Munyonyo'!G76+'Avg Week Munyonyo-Kibuye'!G76</f>
        <v>1</v>
      </c>
      <c r="H76" s="49">
        <f>'Avg Week Kibuye-Munyonyo'!H76+'Avg Week Munyonyo-Kibuye'!H76</f>
        <v>0</v>
      </c>
      <c r="I76" s="49">
        <f>'Avg Week Kibuye-Munyonyo'!I76+'Avg Week Munyonyo-Kibuye'!I76</f>
        <v>4</v>
      </c>
      <c r="J76" s="49">
        <f>'Avg Week Kibuye-Munyonyo'!J76+'Avg Week Munyonyo-Kibuye'!J76</f>
        <v>0.5</v>
      </c>
      <c r="K76" s="49">
        <f>'Avg Week Kibuye-Munyonyo'!K76+'Avg Week Munyonyo-Kibuye'!K76</f>
        <v>0.5</v>
      </c>
      <c r="L76" s="49">
        <f>'Avg Week Kibuye-Munyonyo'!L76+'Avg Week Munyonyo-Kibuye'!L76</f>
        <v>0</v>
      </c>
      <c r="M76" s="49">
        <f>'Avg Week Kibuye-Munyonyo'!M76+'Avg Week Munyonyo-Kibuye'!M76</f>
        <v>250</v>
      </c>
      <c r="N76" s="49">
        <f>'Avg Week Kibuye-Munyonyo'!N76+'Avg Week Munyonyo-Kibuye'!N76</f>
        <v>0</v>
      </c>
      <c r="O76" s="15">
        <f t="shared" si="35"/>
        <v>141.5</v>
      </c>
      <c r="P76" s="15">
        <f t="shared" si="36"/>
        <v>391.5</v>
      </c>
      <c r="R76" s="8"/>
      <c r="T76"/>
    </row>
    <row r="77" spans="2:20" ht="23.1" customHeight="1" x14ac:dyDescent="0.25">
      <c r="B77" s="23" t="s">
        <v>117</v>
      </c>
      <c r="C77" s="49">
        <f>'Avg Week Kibuye-Munyonyo'!C77+'Avg Week Munyonyo-Kibuye'!C77</f>
        <v>44</v>
      </c>
      <c r="D77" s="49">
        <f>'Avg Week Kibuye-Munyonyo'!D77+'Avg Week Munyonyo-Kibuye'!D77</f>
        <v>11</v>
      </c>
      <c r="E77" s="49">
        <f>'Avg Week Kibuye-Munyonyo'!E77+'Avg Week Munyonyo-Kibuye'!E77</f>
        <v>1.5</v>
      </c>
      <c r="F77" s="49">
        <f>'Avg Week Kibuye-Munyonyo'!F77+'Avg Week Munyonyo-Kibuye'!F77</f>
        <v>28.5</v>
      </c>
      <c r="G77" s="49">
        <f>'Avg Week Kibuye-Munyonyo'!G77+'Avg Week Munyonyo-Kibuye'!G77</f>
        <v>0.5</v>
      </c>
      <c r="H77" s="49">
        <f>'Avg Week Kibuye-Munyonyo'!H77+'Avg Week Munyonyo-Kibuye'!H77</f>
        <v>0</v>
      </c>
      <c r="I77" s="49">
        <f>'Avg Week Kibuye-Munyonyo'!I77+'Avg Week Munyonyo-Kibuye'!I77</f>
        <v>0.5</v>
      </c>
      <c r="J77" s="49">
        <f>'Avg Week Kibuye-Munyonyo'!J77+'Avg Week Munyonyo-Kibuye'!J77</f>
        <v>0.5</v>
      </c>
      <c r="K77" s="49">
        <f>'Avg Week Kibuye-Munyonyo'!K77+'Avg Week Munyonyo-Kibuye'!K77</f>
        <v>0</v>
      </c>
      <c r="L77" s="49">
        <f>'Avg Week Kibuye-Munyonyo'!L77+'Avg Week Munyonyo-Kibuye'!L77</f>
        <v>0</v>
      </c>
      <c r="M77" s="49">
        <f>'Avg Week Kibuye-Munyonyo'!M77+'Avg Week Munyonyo-Kibuye'!M77</f>
        <v>181.5</v>
      </c>
      <c r="N77" s="49">
        <f>'Avg Week Kibuye-Munyonyo'!N77+'Avg Week Munyonyo-Kibuye'!N77</f>
        <v>0</v>
      </c>
      <c r="O77" s="15">
        <f t="shared" si="35"/>
        <v>86.5</v>
      </c>
      <c r="P77" s="15">
        <f t="shared" si="36"/>
        <v>268</v>
      </c>
      <c r="R77" s="8"/>
      <c r="T77"/>
    </row>
    <row r="78" spans="2:20" ht="23.1" customHeight="1" x14ac:dyDescent="0.25">
      <c r="B78" s="24" t="s">
        <v>118</v>
      </c>
      <c r="C78" s="49">
        <f>'Avg Week Kibuye-Munyonyo'!C78+'Avg Week Munyonyo-Kibuye'!C78</f>
        <v>56.5</v>
      </c>
      <c r="D78" s="49">
        <f>'Avg Week Kibuye-Munyonyo'!D78+'Avg Week Munyonyo-Kibuye'!D78</f>
        <v>13</v>
      </c>
      <c r="E78" s="49">
        <f>'Avg Week Kibuye-Munyonyo'!E78+'Avg Week Munyonyo-Kibuye'!E78</f>
        <v>3</v>
      </c>
      <c r="F78" s="49">
        <f>'Avg Week Kibuye-Munyonyo'!F78+'Avg Week Munyonyo-Kibuye'!F78</f>
        <v>42.5</v>
      </c>
      <c r="G78" s="49">
        <f>'Avg Week Kibuye-Munyonyo'!G78+'Avg Week Munyonyo-Kibuye'!G78</f>
        <v>0</v>
      </c>
      <c r="H78" s="49">
        <f>'Avg Week Kibuye-Munyonyo'!H78+'Avg Week Munyonyo-Kibuye'!H78</f>
        <v>0</v>
      </c>
      <c r="I78" s="49">
        <f>'Avg Week Kibuye-Munyonyo'!I78+'Avg Week Munyonyo-Kibuye'!I78</f>
        <v>1</v>
      </c>
      <c r="J78" s="49">
        <f>'Avg Week Kibuye-Munyonyo'!J78+'Avg Week Munyonyo-Kibuye'!J78</f>
        <v>1</v>
      </c>
      <c r="K78" s="49">
        <f>'Avg Week Kibuye-Munyonyo'!K78+'Avg Week Munyonyo-Kibuye'!K78</f>
        <v>0</v>
      </c>
      <c r="L78" s="49">
        <f>'Avg Week Kibuye-Munyonyo'!L78+'Avg Week Munyonyo-Kibuye'!L78</f>
        <v>0</v>
      </c>
      <c r="M78" s="49">
        <f>'Avg Week Kibuye-Munyonyo'!M78+'Avg Week Munyonyo-Kibuye'!M78</f>
        <v>181</v>
      </c>
      <c r="N78" s="49">
        <f>'Avg Week Kibuye-Munyonyo'!N78+'Avg Week Munyonyo-Kibuye'!N78</f>
        <v>0</v>
      </c>
      <c r="O78" s="15">
        <f t="shared" si="35"/>
        <v>117</v>
      </c>
      <c r="P78" s="15">
        <f t="shared" si="36"/>
        <v>298</v>
      </c>
      <c r="R78" s="8"/>
      <c r="T78"/>
    </row>
    <row r="79" spans="2:20" ht="23.1" customHeight="1" x14ac:dyDescent="0.25">
      <c r="B79" s="23" t="s">
        <v>119</v>
      </c>
      <c r="C79" s="49">
        <f>'Avg Week Kibuye-Munyonyo'!C79+'Avg Week Munyonyo-Kibuye'!C79</f>
        <v>44.5</v>
      </c>
      <c r="D79" s="49">
        <f>'Avg Week Kibuye-Munyonyo'!D79+'Avg Week Munyonyo-Kibuye'!D79</f>
        <v>12</v>
      </c>
      <c r="E79" s="49">
        <f>'Avg Week Kibuye-Munyonyo'!E79+'Avg Week Munyonyo-Kibuye'!E79</f>
        <v>5.5</v>
      </c>
      <c r="F79" s="49">
        <f>'Avg Week Kibuye-Munyonyo'!F79+'Avg Week Munyonyo-Kibuye'!F79</f>
        <v>19.5</v>
      </c>
      <c r="G79" s="49">
        <f>'Avg Week Kibuye-Munyonyo'!G79+'Avg Week Munyonyo-Kibuye'!G79</f>
        <v>0</v>
      </c>
      <c r="H79" s="49">
        <f>'Avg Week Kibuye-Munyonyo'!H79+'Avg Week Munyonyo-Kibuye'!H79</f>
        <v>0</v>
      </c>
      <c r="I79" s="49">
        <f>'Avg Week Kibuye-Munyonyo'!I79+'Avg Week Munyonyo-Kibuye'!I79</f>
        <v>1.5</v>
      </c>
      <c r="J79" s="49">
        <f>'Avg Week Kibuye-Munyonyo'!J79+'Avg Week Munyonyo-Kibuye'!J79</f>
        <v>1.5</v>
      </c>
      <c r="K79" s="49">
        <f>'Avg Week Kibuye-Munyonyo'!K79+'Avg Week Munyonyo-Kibuye'!K79</f>
        <v>0</v>
      </c>
      <c r="L79" s="49">
        <f>'Avg Week Kibuye-Munyonyo'!L79+'Avg Week Munyonyo-Kibuye'!L79</f>
        <v>0</v>
      </c>
      <c r="M79" s="49">
        <f>'Avg Week Kibuye-Munyonyo'!M79+'Avg Week Munyonyo-Kibuye'!M79</f>
        <v>211</v>
      </c>
      <c r="N79" s="49">
        <f>'Avg Week Kibuye-Munyonyo'!N79+'Avg Week Munyonyo-Kibuye'!N79</f>
        <v>0</v>
      </c>
      <c r="O79" s="15">
        <f t="shared" si="35"/>
        <v>84.5</v>
      </c>
      <c r="P79" s="15">
        <f t="shared" si="36"/>
        <v>295.5</v>
      </c>
      <c r="R79" s="8"/>
      <c r="T79"/>
    </row>
    <row r="80" spans="2:20" ht="23.1" customHeight="1" x14ac:dyDescent="0.25">
      <c r="B80" s="25" t="s">
        <v>120</v>
      </c>
      <c r="C80" s="49">
        <f>'Avg Week Kibuye-Munyonyo'!C80+'Avg Week Munyonyo-Kibuye'!C80</f>
        <v>41.5</v>
      </c>
      <c r="D80" s="49">
        <f>'Avg Week Kibuye-Munyonyo'!D80+'Avg Week Munyonyo-Kibuye'!D80</f>
        <v>13.5</v>
      </c>
      <c r="E80" s="49">
        <f>'Avg Week Kibuye-Munyonyo'!E80+'Avg Week Munyonyo-Kibuye'!E80</f>
        <v>3.5</v>
      </c>
      <c r="F80" s="49">
        <f>'Avg Week Kibuye-Munyonyo'!F80+'Avg Week Munyonyo-Kibuye'!F80</f>
        <v>42.5</v>
      </c>
      <c r="G80" s="49">
        <f>'Avg Week Kibuye-Munyonyo'!G80+'Avg Week Munyonyo-Kibuye'!G80</f>
        <v>0</v>
      </c>
      <c r="H80" s="49">
        <f>'Avg Week Kibuye-Munyonyo'!H80+'Avg Week Munyonyo-Kibuye'!H80</f>
        <v>0</v>
      </c>
      <c r="I80" s="49">
        <f>'Avg Week Kibuye-Munyonyo'!I80+'Avg Week Munyonyo-Kibuye'!I80</f>
        <v>1</v>
      </c>
      <c r="J80" s="49">
        <f>'Avg Week Kibuye-Munyonyo'!J80+'Avg Week Munyonyo-Kibuye'!J80</f>
        <v>0.5</v>
      </c>
      <c r="K80" s="49">
        <f>'Avg Week Kibuye-Munyonyo'!K80+'Avg Week Munyonyo-Kibuye'!K80</f>
        <v>0</v>
      </c>
      <c r="L80" s="49">
        <f>'Avg Week Kibuye-Munyonyo'!L80+'Avg Week Munyonyo-Kibuye'!L80</f>
        <v>0</v>
      </c>
      <c r="M80" s="49">
        <f>'Avg Week Kibuye-Munyonyo'!M80+'Avg Week Munyonyo-Kibuye'!M80</f>
        <v>186.5</v>
      </c>
      <c r="N80" s="49">
        <f>'Avg Week Kibuye-Munyonyo'!N80+'Avg Week Munyonyo-Kibuye'!N80</f>
        <v>0</v>
      </c>
      <c r="O80" s="15">
        <f t="shared" si="35"/>
        <v>102.5</v>
      </c>
      <c r="P80" s="15">
        <f t="shared" si="36"/>
        <v>289</v>
      </c>
      <c r="R80" s="8"/>
      <c r="T80"/>
    </row>
    <row r="81" spans="2:20" ht="23.1" customHeight="1" x14ac:dyDescent="0.25">
      <c r="B81" s="23" t="s">
        <v>121</v>
      </c>
      <c r="C81" s="49">
        <f>'Avg Week Kibuye-Munyonyo'!C81+'Avg Week Munyonyo-Kibuye'!C81</f>
        <v>39.5</v>
      </c>
      <c r="D81" s="49">
        <f>'Avg Week Kibuye-Munyonyo'!D81+'Avg Week Munyonyo-Kibuye'!D81</f>
        <v>13</v>
      </c>
      <c r="E81" s="49">
        <f>'Avg Week Kibuye-Munyonyo'!E81+'Avg Week Munyonyo-Kibuye'!E81</f>
        <v>2.5</v>
      </c>
      <c r="F81" s="49">
        <f>'Avg Week Kibuye-Munyonyo'!F81+'Avg Week Munyonyo-Kibuye'!F81</f>
        <v>29</v>
      </c>
      <c r="G81" s="49">
        <f>'Avg Week Kibuye-Munyonyo'!G81+'Avg Week Munyonyo-Kibuye'!G81</f>
        <v>0</v>
      </c>
      <c r="H81" s="49">
        <f>'Avg Week Kibuye-Munyonyo'!H81+'Avg Week Munyonyo-Kibuye'!H81</f>
        <v>0</v>
      </c>
      <c r="I81" s="49">
        <f>'Avg Week Kibuye-Munyonyo'!I81+'Avg Week Munyonyo-Kibuye'!I81</f>
        <v>1.5</v>
      </c>
      <c r="J81" s="49">
        <f>'Avg Week Kibuye-Munyonyo'!J81+'Avg Week Munyonyo-Kibuye'!J81</f>
        <v>0.5</v>
      </c>
      <c r="K81" s="49">
        <f>'Avg Week Kibuye-Munyonyo'!K81+'Avg Week Munyonyo-Kibuye'!K81</f>
        <v>0</v>
      </c>
      <c r="L81" s="49">
        <f>'Avg Week Kibuye-Munyonyo'!L81+'Avg Week Munyonyo-Kibuye'!L81</f>
        <v>0</v>
      </c>
      <c r="M81" s="49">
        <f>'Avg Week Kibuye-Munyonyo'!M81+'Avg Week Munyonyo-Kibuye'!M81</f>
        <v>185.5</v>
      </c>
      <c r="N81" s="49">
        <f>'Avg Week Kibuye-Munyonyo'!N81+'Avg Week Munyonyo-Kibuye'!N81</f>
        <v>0</v>
      </c>
      <c r="O81" s="15">
        <f t="shared" si="35"/>
        <v>86</v>
      </c>
      <c r="P81" s="15">
        <f t="shared" si="36"/>
        <v>271.5</v>
      </c>
      <c r="R81" s="8"/>
      <c r="T81"/>
    </row>
    <row r="82" spans="2:20" ht="23.1" customHeight="1" x14ac:dyDescent="0.25">
      <c r="B82" s="24" t="s">
        <v>122</v>
      </c>
      <c r="C82" s="49">
        <f>'Avg Week Kibuye-Munyonyo'!C82+'Avg Week Munyonyo-Kibuye'!C82</f>
        <v>45.5</v>
      </c>
      <c r="D82" s="49">
        <f>'Avg Week Kibuye-Munyonyo'!D82+'Avg Week Munyonyo-Kibuye'!D82</f>
        <v>9</v>
      </c>
      <c r="E82" s="49">
        <f>'Avg Week Kibuye-Munyonyo'!E82+'Avg Week Munyonyo-Kibuye'!E82</f>
        <v>2</v>
      </c>
      <c r="F82" s="49">
        <f>'Avg Week Kibuye-Munyonyo'!F82+'Avg Week Munyonyo-Kibuye'!F82</f>
        <v>7.5</v>
      </c>
      <c r="G82" s="49">
        <f>'Avg Week Kibuye-Munyonyo'!G82+'Avg Week Munyonyo-Kibuye'!G82</f>
        <v>0</v>
      </c>
      <c r="H82" s="49">
        <f>'Avg Week Kibuye-Munyonyo'!H82+'Avg Week Munyonyo-Kibuye'!H82</f>
        <v>0.5</v>
      </c>
      <c r="I82" s="49">
        <f>'Avg Week Kibuye-Munyonyo'!I82+'Avg Week Munyonyo-Kibuye'!I82</f>
        <v>1</v>
      </c>
      <c r="J82" s="49">
        <f>'Avg Week Kibuye-Munyonyo'!J82+'Avg Week Munyonyo-Kibuye'!J82</f>
        <v>1</v>
      </c>
      <c r="K82" s="49">
        <f>'Avg Week Kibuye-Munyonyo'!K82+'Avg Week Munyonyo-Kibuye'!K82</f>
        <v>0</v>
      </c>
      <c r="L82" s="49">
        <f>'Avg Week Kibuye-Munyonyo'!L82+'Avg Week Munyonyo-Kibuye'!L82</f>
        <v>0</v>
      </c>
      <c r="M82" s="49">
        <f>'Avg Week Kibuye-Munyonyo'!M82+'Avg Week Munyonyo-Kibuye'!M82</f>
        <v>143</v>
      </c>
      <c r="N82" s="49">
        <f>'Avg Week Kibuye-Munyonyo'!N82+'Avg Week Munyonyo-Kibuye'!N82</f>
        <v>0</v>
      </c>
      <c r="O82" s="15">
        <f t="shared" si="35"/>
        <v>66.5</v>
      </c>
      <c r="P82" s="15">
        <f t="shared" si="36"/>
        <v>209.5</v>
      </c>
      <c r="R82" s="8"/>
      <c r="T82"/>
    </row>
    <row r="83" spans="2:20" ht="23.1" customHeight="1" x14ac:dyDescent="0.25">
      <c r="B83" s="23" t="s">
        <v>123</v>
      </c>
      <c r="C83" s="49">
        <f>'Avg Week Kibuye-Munyonyo'!C83+'Avg Week Munyonyo-Kibuye'!C83</f>
        <v>45.5</v>
      </c>
      <c r="D83" s="49">
        <f>'Avg Week Kibuye-Munyonyo'!D83+'Avg Week Munyonyo-Kibuye'!D83</f>
        <v>13.5</v>
      </c>
      <c r="E83" s="49">
        <f>'Avg Week Kibuye-Munyonyo'!E83+'Avg Week Munyonyo-Kibuye'!E83</f>
        <v>1.5</v>
      </c>
      <c r="F83" s="49">
        <f>'Avg Week Kibuye-Munyonyo'!F83+'Avg Week Munyonyo-Kibuye'!F83</f>
        <v>17</v>
      </c>
      <c r="G83" s="49">
        <f>'Avg Week Kibuye-Munyonyo'!G83+'Avg Week Munyonyo-Kibuye'!G83</f>
        <v>0</v>
      </c>
      <c r="H83" s="49">
        <f>'Avg Week Kibuye-Munyonyo'!H83+'Avg Week Munyonyo-Kibuye'!H83</f>
        <v>0</v>
      </c>
      <c r="I83" s="49">
        <f>'Avg Week Kibuye-Munyonyo'!I83+'Avg Week Munyonyo-Kibuye'!I83</f>
        <v>2</v>
      </c>
      <c r="J83" s="49">
        <f>'Avg Week Kibuye-Munyonyo'!J83+'Avg Week Munyonyo-Kibuye'!J83</f>
        <v>0.5</v>
      </c>
      <c r="K83" s="49">
        <f>'Avg Week Kibuye-Munyonyo'!K83+'Avg Week Munyonyo-Kibuye'!K83</f>
        <v>0</v>
      </c>
      <c r="L83" s="49">
        <f>'Avg Week Kibuye-Munyonyo'!L83+'Avg Week Munyonyo-Kibuye'!L83</f>
        <v>0</v>
      </c>
      <c r="M83" s="49">
        <f>'Avg Week Kibuye-Munyonyo'!M83+'Avg Week Munyonyo-Kibuye'!M83</f>
        <v>135</v>
      </c>
      <c r="N83" s="49">
        <f>'Avg Week Kibuye-Munyonyo'!N83+'Avg Week Munyonyo-Kibuye'!N83</f>
        <v>0</v>
      </c>
      <c r="O83" s="15">
        <f t="shared" si="35"/>
        <v>80</v>
      </c>
      <c r="P83" s="15">
        <f t="shared" si="36"/>
        <v>215</v>
      </c>
      <c r="R83" s="8"/>
      <c r="T83"/>
    </row>
    <row r="84" spans="2:20" ht="23.1" customHeight="1" x14ac:dyDescent="0.25">
      <c r="B84" s="25" t="s">
        <v>124</v>
      </c>
      <c r="C84" s="49">
        <f>'Avg Week Kibuye-Munyonyo'!C84+'Avg Week Munyonyo-Kibuye'!C84</f>
        <v>43.5</v>
      </c>
      <c r="D84" s="49">
        <f>'Avg Week Kibuye-Munyonyo'!D84+'Avg Week Munyonyo-Kibuye'!D84</f>
        <v>14</v>
      </c>
      <c r="E84" s="49">
        <f>'Avg Week Kibuye-Munyonyo'!E84+'Avg Week Munyonyo-Kibuye'!E84</f>
        <v>0</v>
      </c>
      <c r="F84" s="49">
        <f>'Avg Week Kibuye-Munyonyo'!F84+'Avg Week Munyonyo-Kibuye'!F84</f>
        <v>15.5</v>
      </c>
      <c r="G84" s="49">
        <f>'Avg Week Kibuye-Munyonyo'!G84+'Avg Week Munyonyo-Kibuye'!G84</f>
        <v>0</v>
      </c>
      <c r="H84" s="49">
        <f>'Avg Week Kibuye-Munyonyo'!H84+'Avg Week Munyonyo-Kibuye'!H84</f>
        <v>0</v>
      </c>
      <c r="I84" s="49">
        <f>'Avg Week Kibuye-Munyonyo'!I84+'Avg Week Munyonyo-Kibuye'!I84</f>
        <v>0.5</v>
      </c>
      <c r="J84" s="49">
        <f>'Avg Week Kibuye-Munyonyo'!J84+'Avg Week Munyonyo-Kibuye'!J84</f>
        <v>1</v>
      </c>
      <c r="K84" s="49">
        <f>'Avg Week Kibuye-Munyonyo'!K84+'Avg Week Munyonyo-Kibuye'!K84</f>
        <v>0</v>
      </c>
      <c r="L84" s="49">
        <f>'Avg Week Kibuye-Munyonyo'!L84+'Avg Week Munyonyo-Kibuye'!L84</f>
        <v>0</v>
      </c>
      <c r="M84" s="49">
        <f>'Avg Week Kibuye-Munyonyo'!M84+'Avg Week Munyonyo-Kibuye'!M84</f>
        <v>91.5</v>
      </c>
      <c r="N84" s="49">
        <f>'Avg Week Kibuye-Munyonyo'!N84+'Avg Week Munyonyo-Kibuye'!N84</f>
        <v>0</v>
      </c>
      <c r="O84" s="15">
        <f t="shared" si="35"/>
        <v>74.5</v>
      </c>
      <c r="P84" s="15">
        <f t="shared" si="36"/>
        <v>166</v>
      </c>
      <c r="R84" s="8"/>
      <c r="T84"/>
    </row>
    <row r="85" spans="2:20" ht="23.1" customHeight="1" x14ac:dyDescent="0.25">
      <c r="B85" s="23" t="s">
        <v>125</v>
      </c>
      <c r="C85" s="49">
        <f>'Avg Week Kibuye-Munyonyo'!C85+'Avg Week Munyonyo-Kibuye'!C85</f>
        <v>29.5</v>
      </c>
      <c r="D85" s="49">
        <f>'Avg Week Kibuye-Munyonyo'!D85+'Avg Week Munyonyo-Kibuye'!D85</f>
        <v>7.5</v>
      </c>
      <c r="E85" s="49">
        <f>'Avg Week Kibuye-Munyonyo'!E85+'Avg Week Munyonyo-Kibuye'!E85</f>
        <v>1</v>
      </c>
      <c r="F85" s="49">
        <f>'Avg Week Kibuye-Munyonyo'!F85+'Avg Week Munyonyo-Kibuye'!F85</f>
        <v>11.5</v>
      </c>
      <c r="G85" s="49">
        <f>'Avg Week Kibuye-Munyonyo'!G85+'Avg Week Munyonyo-Kibuye'!G85</f>
        <v>0</v>
      </c>
      <c r="H85" s="49">
        <f>'Avg Week Kibuye-Munyonyo'!H85+'Avg Week Munyonyo-Kibuye'!H85</f>
        <v>0</v>
      </c>
      <c r="I85" s="49">
        <f>'Avg Week Kibuye-Munyonyo'!I85+'Avg Week Munyonyo-Kibuye'!I85</f>
        <v>0.5</v>
      </c>
      <c r="J85" s="49">
        <f>'Avg Week Kibuye-Munyonyo'!J85+'Avg Week Munyonyo-Kibuye'!J85</f>
        <v>1.5</v>
      </c>
      <c r="K85" s="49">
        <f>'Avg Week Kibuye-Munyonyo'!K85+'Avg Week Munyonyo-Kibuye'!K85</f>
        <v>0</v>
      </c>
      <c r="L85" s="49">
        <f>'Avg Week Kibuye-Munyonyo'!L85+'Avg Week Munyonyo-Kibuye'!L85</f>
        <v>0</v>
      </c>
      <c r="M85" s="49">
        <f>'Avg Week Kibuye-Munyonyo'!M85+'Avg Week Munyonyo-Kibuye'!M85</f>
        <v>80.5</v>
      </c>
      <c r="N85" s="49">
        <f>'Avg Week Kibuye-Munyonyo'!N85+'Avg Week Munyonyo-Kibuye'!N85</f>
        <v>0</v>
      </c>
      <c r="O85" s="15">
        <f t="shared" si="35"/>
        <v>51.5</v>
      </c>
      <c r="P85" s="15">
        <f t="shared" si="36"/>
        <v>132</v>
      </c>
      <c r="R85" s="8"/>
      <c r="T85"/>
    </row>
    <row r="86" spans="2:20" ht="23.1" customHeight="1" x14ac:dyDescent="0.25">
      <c r="B86" s="24" t="s">
        <v>126</v>
      </c>
      <c r="C86" s="49">
        <f>'Avg Week Kibuye-Munyonyo'!C86+'Avg Week Munyonyo-Kibuye'!C86</f>
        <v>22.5</v>
      </c>
      <c r="D86" s="49">
        <f>'Avg Week Kibuye-Munyonyo'!D86+'Avg Week Munyonyo-Kibuye'!D86</f>
        <v>1.5</v>
      </c>
      <c r="E86" s="49">
        <f>'Avg Week Kibuye-Munyonyo'!E86+'Avg Week Munyonyo-Kibuye'!E86</f>
        <v>0</v>
      </c>
      <c r="F86" s="49">
        <f>'Avg Week Kibuye-Munyonyo'!F86+'Avg Week Munyonyo-Kibuye'!F86</f>
        <v>7.5</v>
      </c>
      <c r="G86" s="49">
        <f>'Avg Week Kibuye-Munyonyo'!G86+'Avg Week Munyonyo-Kibuye'!G86</f>
        <v>0</v>
      </c>
      <c r="H86" s="49">
        <f>'Avg Week Kibuye-Munyonyo'!H86+'Avg Week Munyonyo-Kibuye'!H86</f>
        <v>0</v>
      </c>
      <c r="I86" s="49">
        <f>'Avg Week Kibuye-Munyonyo'!I86+'Avg Week Munyonyo-Kibuye'!I86</f>
        <v>0</v>
      </c>
      <c r="J86" s="49">
        <f>'Avg Week Kibuye-Munyonyo'!J86+'Avg Week Munyonyo-Kibuye'!J86</f>
        <v>0.5</v>
      </c>
      <c r="K86" s="49">
        <f>'Avg Week Kibuye-Munyonyo'!K86+'Avg Week Munyonyo-Kibuye'!K86</f>
        <v>1.5</v>
      </c>
      <c r="L86" s="49">
        <f>'Avg Week Kibuye-Munyonyo'!L86+'Avg Week Munyonyo-Kibuye'!L86</f>
        <v>0</v>
      </c>
      <c r="M86" s="49">
        <f>'Avg Week Kibuye-Munyonyo'!M86+'Avg Week Munyonyo-Kibuye'!M86</f>
        <v>136.5</v>
      </c>
      <c r="N86" s="49">
        <f>'Avg Week Kibuye-Munyonyo'!N86+'Avg Week Munyonyo-Kibuye'!N86</f>
        <v>0</v>
      </c>
      <c r="O86" s="15">
        <f t="shared" si="35"/>
        <v>33.5</v>
      </c>
      <c r="P86" s="15">
        <f t="shared" si="36"/>
        <v>170</v>
      </c>
      <c r="R86" s="8"/>
      <c r="T86"/>
    </row>
    <row r="87" spans="2:20" ht="23.1" customHeight="1" x14ac:dyDescent="0.25">
      <c r="B87" s="23" t="s">
        <v>127</v>
      </c>
      <c r="C87" s="49">
        <f>'Avg Week Kibuye-Munyonyo'!C87+'Avg Week Munyonyo-Kibuye'!C87</f>
        <v>18</v>
      </c>
      <c r="D87" s="49">
        <f>'Avg Week Kibuye-Munyonyo'!D87+'Avg Week Munyonyo-Kibuye'!D87</f>
        <v>5</v>
      </c>
      <c r="E87" s="49">
        <f>'Avg Week Kibuye-Munyonyo'!E87+'Avg Week Munyonyo-Kibuye'!E87</f>
        <v>2</v>
      </c>
      <c r="F87" s="49">
        <f>'Avg Week Kibuye-Munyonyo'!F87+'Avg Week Munyonyo-Kibuye'!F87</f>
        <v>4</v>
      </c>
      <c r="G87" s="49">
        <f>'Avg Week Kibuye-Munyonyo'!G87+'Avg Week Munyonyo-Kibuye'!G87</f>
        <v>0</v>
      </c>
      <c r="H87" s="49">
        <f>'Avg Week Kibuye-Munyonyo'!H87+'Avg Week Munyonyo-Kibuye'!H87</f>
        <v>0</v>
      </c>
      <c r="I87" s="49">
        <f>'Avg Week Kibuye-Munyonyo'!I87+'Avg Week Munyonyo-Kibuye'!I87</f>
        <v>2</v>
      </c>
      <c r="J87" s="49">
        <f>'Avg Week Kibuye-Munyonyo'!J87+'Avg Week Munyonyo-Kibuye'!J87</f>
        <v>0</v>
      </c>
      <c r="K87" s="49">
        <f>'Avg Week Kibuye-Munyonyo'!K87+'Avg Week Munyonyo-Kibuye'!K87</f>
        <v>0.5</v>
      </c>
      <c r="L87" s="49">
        <f>'Avg Week Kibuye-Munyonyo'!L87+'Avg Week Munyonyo-Kibuye'!L87</f>
        <v>0</v>
      </c>
      <c r="M87" s="49">
        <f>'Avg Week Kibuye-Munyonyo'!M87+'Avg Week Munyonyo-Kibuye'!M87</f>
        <v>68</v>
      </c>
      <c r="N87" s="49">
        <f>'Avg Week Kibuye-Munyonyo'!N87+'Avg Week Munyonyo-Kibuye'!N87</f>
        <v>0</v>
      </c>
      <c r="O87" s="15">
        <f t="shared" si="35"/>
        <v>31.5</v>
      </c>
      <c r="P87" s="15">
        <f t="shared" si="36"/>
        <v>99.5</v>
      </c>
      <c r="R87" s="8"/>
      <c r="T87"/>
    </row>
    <row r="88" spans="2:20" ht="23.1" customHeight="1" x14ac:dyDescent="0.25">
      <c r="B88" s="25" t="s">
        <v>128</v>
      </c>
      <c r="C88" s="49">
        <f>'Avg Week Kibuye-Munyonyo'!C88+'Avg Week Munyonyo-Kibuye'!C88</f>
        <v>20.5</v>
      </c>
      <c r="D88" s="49">
        <f>'Avg Week Kibuye-Munyonyo'!D88+'Avg Week Munyonyo-Kibuye'!D88</f>
        <v>3.5</v>
      </c>
      <c r="E88" s="49">
        <f>'Avg Week Kibuye-Munyonyo'!E88+'Avg Week Munyonyo-Kibuye'!E88</f>
        <v>1.5</v>
      </c>
      <c r="F88" s="49">
        <f>'Avg Week Kibuye-Munyonyo'!F88+'Avg Week Munyonyo-Kibuye'!F88</f>
        <v>7.5</v>
      </c>
      <c r="G88" s="49">
        <f>'Avg Week Kibuye-Munyonyo'!G88+'Avg Week Munyonyo-Kibuye'!G88</f>
        <v>0</v>
      </c>
      <c r="H88" s="49">
        <f>'Avg Week Kibuye-Munyonyo'!H88+'Avg Week Munyonyo-Kibuye'!H88</f>
        <v>0</v>
      </c>
      <c r="I88" s="49">
        <f>'Avg Week Kibuye-Munyonyo'!I88+'Avg Week Munyonyo-Kibuye'!I88</f>
        <v>1</v>
      </c>
      <c r="J88" s="49">
        <f>'Avg Week Kibuye-Munyonyo'!J88+'Avg Week Munyonyo-Kibuye'!J88</f>
        <v>0</v>
      </c>
      <c r="K88" s="49">
        <f>'Avg Week Kibuye-Munyonyo'!K88+'Avg Week Munyonyo-Kibuye'!K88</f>
        <v>1.5</v>
      </c>
      <c r="L88" s="49">
        <f>'Avg Week Kibuye-Munyonyo'!L88+'Avg Week Munyonyo-Kibuye'!L88</f>
        <v>0</v>
      </c>
      <c r="M88" s="49">
        <f>'Avg Week Kibuye-Munyonyo'!M88+'Avg Week Munyonyo-Kibuye'!M88</f>
        <v>49</v>
      </c>
      <c r="N88" s="49">
        <f>'Avg Week Kibuye-Munyonyo'!N88+'Avg Week Munyonyo-Kibuye'!N88</f>
        <v>0</v>
      </c>
      <c r="O88" s="15">
        <f t="shared" si="35"/>
        <v>35.5</v>
      </c>
      <c r="P88" s="15">
        <f t="shared" si="36"/>
        <v>84.5</v>
      </c>
      <c r="R88" s="8"/>
      <c r="T88"/>
    </row>
    <row r="89" spans="2:20" ht="23.1" customHeight="1" x14ac:dyDescent="0.25">
      <c r="B89" s="23" t="s">
        <v>129</v>
      </c>
      <c r="C89" s="49">
        <f>'Avg Week Kibuye-Munyonyo'!C89+'Avg Week Munyonyo-Kibuye'!C89</f>
        <v>23</v>
      </c>
      <c r="D89" s="49">
        <f>'Avg Week Kibuye-Munyonyo'!D89+'Avg Week Munyonyo-Kibuye'!D89</f>
        <v>4.5</v>
      </c>
      <c r="E89" s="49">
        <f>'Avg Week Kibuye-Munyonyo'!E89+'Avg Week Munyonyo-Kibuye'!E89</f>
        <v>0</v>
      </c>
      <c r="F89" s="49">
        <f>'Avg Week Kibuye-Munyonyo'!F89+'Avg Week Munyonyo-Kibuye'!F89</f>
        <v>7</v>
      </c>
      <c r="G89" s="49">
        <f>'Avg Week Kibuye-Munyonyo'!G89+'Avg Week Munyonyo-Kibuye'!G89</f>
        <v>0</v>
      </c>
      <c r="H89" s="49">
        <f>'Avg Week Kibuye-Munyonyo'!H89+'Avg Week Munyonyo-Kibuye'!H89</f>
        <v>0</v>
      </c>
      <c r="I89" s="49">
        <f>'Avg Week Kibuye-Munyonyo'!I89+'Avg Week Munyonyo-Kibuye'!I89</f>
        <v>1.5</v>
      </c>
      <c r="J89" s="49">
        <f>'Avg Week Kibuye-Munyonyo'!J89+'Avg Week Munyonyo-Kibuye'!J89</f>
        <v>0.5</v>
      </c>
      <c r="K89" s="49">
        <f>'Avg Week Kibuye-Munyonyo'!K89+'Avg Week Munyonyo-Kibuye'!K89</f>
        <v>0</v>
      </c>
      <c r="L89" s="49">
        <f>'Avg Week Kibuye-Munyonyo'!L89+'Avg Week Munyonyo-Kibuye'!L89</f>
        <v>0</v>
      </c>
      <c r="M89" s="49">
        <f>'Avg Week Kibuye-Munyonyo'!M89+'Avg Week Munyonyo-Kibuye'!M89</f>
        <v>88.5</v>
      </c>
      <c r="N89" s="49">
        <f>'Avg Week Kibuye-Munyonyo'!N89+'Avg Week Munyonyo-Kibuye'!N89</f>
        <v>0</v>
      </c>
      <c r="O89" s="15">
        <f t="shared" si="35"/>
        <v>36.5</v>
      </c>
      <c r="P89" s="15">
        <f t="shared" si="36"/>
        <v>125</v>
      </c>
      <c r="R89" s="8"/>
      <c r="T89"/>
    </row>
    <row r="90" spans="2:20" ht="23.1" customHeight="1" x14ac:dyDescent="0.25">
      <c r="B90" s="24" t="s">
        <v>130</v>
      </c>
      <c r="C90" s="49">
        <f>'Avg Week Kibuye-Munyonyo'!C90+'Avg Week Munyonyo-Kibuye'!C90</f>
        <v>21</v>
      </c>
      <c r="D90" s="49">
        <f>'Avg Week Kibuye-Munyonyo'!D90+'Avg Week Munyonyo-Kibuye'!D90</f>
        <v>5</v>
      </c>
      <c r="E90" s="49">
        <f>'Avg Week Kibuye-Munyonyo'!E90+'Avg Week Munyonyo-Kibuye'!E90</f>
        <v>2.5</v>
      </c>
      <c r="F90" s="49">
        <f>'Avg Week Kibuye-Munyonyo'!F90+'Avg Week Munyonyo-Kibuye'!F90</f>
        <v>17.5</v>
      </c>
      <c r="G90" s="49">
        <f>'Avg Week Kibuye-Munyonyo'!G90+'Avg Week Munyonyo-Kibuye'!G90</f>
        <v>0.5</v>
      </c>
      <c r="H90" s="49">
        <f>'Avg Week Kibuye-Munyonyo'!H90+'Avg Week Munyonyo-Kibuye'!H90</f>
        <v>0</v>
      </c>
      <c r="I90" s="49">
        <f>'Avg Week Kibuye-Munyonyo'!I90+'Avg Week Munyonyo-Kibuye'!I90</f>
        <v>0</v>
      </c>
      <c r="J90" s="49">
        <f>'Avg Week Kibuye-Munyonyo'!J90+'Avg Week Munyonyo-Kibuye'!J90</f>
        <v>0</v>
      </c>
      <c r="K90" s="49">
        <f>'Avg Week Kibuye-Munyonyo'!K90+'Avg Week Munyonyo-Kibuye'!K90</f>
        <v>0.5</v>
      </c>
      <c r="L90" s="49">
        <f>'Avg Week Kibuye-Munyonyo'!L90+'Avg Week Munyonyo-Kibuye'!L90</f>
        <v>0</v>
      </c>
      <c r="M90" s="49">
        <f>'Avg Week Kibuye-Munyonyo'!M90+'Avg Week Munyonyo-Kibuye'!M90</f>
        <v>135</v>
      </c>
      <c r="N90" s="49">
        <f>'Avg Week Kibuye-Munyonyo'!N90+'Avg Week Munyonyo-Kibuye'!N90</f>
        <v>0</v>
      </c>
      <c r="O90" s="15">
        <f t="shared" si="35"/>
        <v>47</v>
      </c>
      <c r="P90" s="15">
        <f t="shared" si="36"/>
        <v>182</v>
      </c>
      <c r="R90" s="8"/>
      <c r="T90"/>
    </row>
    <row r="91" spans="2:20" ht="23.1" customHeight="1" x14ac:dyDescent="0.25">
      <c r="B91" s="23" t="s">
        <v>131</v>
      </c>
      <c r="C91" s="49">
        <f>'Avg Week Kibuye-Munyonyo'!C91+'Avg Week Munyonyo-Kibuye'!C91</f>
        <v>26.5</v>
      </c>
      <c r="D91" s="49">
        <f>'Avg Week Kibuye-Munyonyo'!D91+'Avg Week Munyonyo-Kibuye'!D91</f>
        <v>2.5</v>
      </c>
      <c r="E91" s="49">
        <f>'Avg Week Kibuye-Munyonyo'!E91+'Avg Week Munyonyo-Kibuye'!E91</f>
        <v>1</v>
      </c>
      <c r="F91" s="49">
        <f>'Avg Week Kibuye-Munyonyo'!F91+'Avg Week Munyonyo-Kibuye'!F91</f>
        <v>6</v>
      </c>
      <c r="G91" s="49">
        <f>'Avg Week Kibuye-Munyonyo'!G91+'Avg Week Munyonyo-Kibuye'!G91</f>
        <v>0</v>
      </c>
      <c r="H91" s="49">
        <f>'Avg Week Kibuye-Munyonyo'!H91+'Avg Week Munyonyo-Kibuye'!H91</f>
        <v>0</v>
      </c>
      <c r="I91" s="49">
        <f>'Avg Week Kibuye-Munyonyo'!I91+'Avg Week Munyonyo-Kibuye'!I91</f>
        <v>1.5</v>
      </c>
      <c r="J91" s="49">
        <f>'Avg Week Kibuye-Munyonyo'!J91+'Avg Week Munyonyo-Kibuye'!J91</f>
        <v>0.5</v>
      </c>
      <c r="K91" s="49">
        <f>'Avg Week Kibuye-Munyonyo'!K91+'Avg Week Munyonyo-Kibuye'!K91</f>
        <v>5</v>
      </c>
      <c r="L91" s="49">
        <f>'Avg Week Kibuye-Munyonyo'!L91+'Avg Week Munyonyo-Kibuye'!L91</f>
        <v>0</v>
      </c>
      <c r="M91" s="49">
        <f>'Avg Week Kibuye-Munyonyo'!M91+'Avg Week Munyonyo-Kibuye'!M91</f>
        <v>88.5</v>
      </c>
      <c r="N91" s="49">
        <f>'Avg Week Kibuye-Munyonyo'!N91+'Avg Week Munyonyo-Kibuye'!N91</f>
        <v>0</v>
      </c>
      <c r="O91" s="15">
        <f t="shared" si="35"/>
        <v>43</v>
      </c>
      <c r="P91" s="15">
        <f t="shared" si="36"/>
        <v>131.5</v>
      </c>
      <c r="R91" s="8"/>
      <c r="T91"/>
    </row>
    <row r="92" spans="2:20" ht="23.1" customHeight="1" x14ac:dyDescent="0.25">
      <c r="B92" s="25" t="s">
        <v>132</v>
      </c>
      <c r="C92" s="49">
        <f>'Avg Week Kibuye-Munyonyo'!C92+'Avg Week Munyonyo-Kibuye'!C92</f>
        <v>14.5</v>
      </c>
      <c r="D92" s="49">
        <f>'Avg Week Kibuye-Munyonyo'!D92+'Avg Week Munyonyo-Kibuye'!D92</f>
        <v>1</v>
      </c>
      <c r="E92" s="49">
        <f>'Avg Week Kibuye-Munyonyo'!E92+'Avg Week Munyonyo-Kibuye'!E92</f>
        <v>1</v>
      </c>
      <c r="F92" s="49">
        <f>'Avg Week Kibuye-Munyonyo'!F92+'Avg Week Munyonyo-Kibuye'!F92</f>
        <v>6.5</v>
      </c>
      <c r="G92" s="49">
        <f>'Avg Week Kibuye-Munyonyo'!G92+'Avg Week Munyonyo-Kibuye'!G92</f>
        <v>0</v>
      </c>
      <c r="H92" s="49">
        <f>'Avg Week Kibuye-Munyonyo'!H92+'Avg Week Munyonyo-Kibuye'!H92</f>
        <v>0</v>
      </c>
      <c r="I92" s="49">
        <f>'Avg Week Kibuye-Munyonyo'!I92+'Avg Week Munyonyo-Kibuye'!I92</f>
        <v>1</v>
      </c>
      <c r="J92" s="49">
        <f>'Avg Week Kibuye-Munyonyo'!J92+'Avg Week Munyonyo-Kibuye'!J92</f>
        <v>0</v>
      </c>
      <c r="K92" s="49">
        <f>'Avg Week Kibuye-Munyonyo'!K92+'Avg Week Munyonyo-Kibuye'!K92</f>
        <v>1</v>
      </c>
      <c r="L92" s="49">
        <f>'Avg Week Kibuye-Munyonyo'!L92+'Avg Week Munyonyo-Kibuye'!L92</f>
        <v>0</v>
      </c>
      <c r="M92" s="49">
        <f>'Avg Week Kibuye-Munyonyo'!M92+'Avg Week Munyonyo-Kibuye'!M92</f>
        <v>81.5</v>
      </c>
      <c r="N92" s="49">
        <f>'Avg Week Kibuye-Munyonyo'!N92+'Avg Week Munyonyo-Kibuye'!N92</f>
        <v>0</v>
      </c>
      <c r="O92" s="15">
        <f t="shared" si="35"/>
        <v>25</v>
      </c>
      <c r="P92" s="15">
        <f t="shared" si="36"/>
        <v>106.5</v>
      </c>
      <c r="R92" s="8"/>
      <c r="T92"/>
    </row>
    <row r="93" spans="2:20" ht="23.1" customHeight="1" x14ac:dyDescent="0.25">
      <c r="B93" s="23" t="s">
        <v>133</v>
      </c>
      <c r="C93" s="49">
        <f>'Avg Week Kibuye-Munyonyo'!C93+'Avg Week Munyonyo-Kibuye'!C93</f>
        <v>8</v>
      </c>
      <c r="D93" s="49">
        <f>'Avg Week Kibuye-Munyonyo'!D93+'Avg Week Munyonyo-Kibuye'!D93</f>
        <v>1</v>
      </c>
      <c r="E93" s="49">
        <f>'Avg Week Kibuye-Munyonyo'!E93+'Avg Week Munyonyo-Kibuye'!E93</f>
        <v>0.5</v>
      </c>
      <c r="F93" s="49">
        <f>'Avg Week Kibuye-Munyonyo'!F93+'Avg Week Munyonyo-Kibuye'!F93</f>
        <v>2</v>
      </c>
      <c r="G93" s="49">
        <f>'Avg Week Kibuye-Munyonyo'!G93+'Avg Week Munyonyo-Kibuye'!G93</f>
        <v>3</v>
      </c>
      <c r="H93" s="49">
        <f>'Avg Week Kibuye-Munyonyo'!H93+'Avg Week Munyonyo-Kibuye'!H93</f>
        <v>0</v>
      </c>
      <c r="I93" s="49">
        <f>'Avg Week Kibuye-Munyonyo'!I93+'Avg Week Munyonyo-Kibuye'!I93</f>
        <v>1</v>
      </c>
      <c r="J93" s="49">
        <f>'Avg Week Kibuye-Munyonyo'!J93+'Avg Week Munyonyo-Kibuye'!J93</f>
        <v>0</v>
      </c>
      <c r="K93" s="49">
        <f>'Avg Week Kibuye-Munyonyo'!K93+'Avg Week Munyonyo-Kibuye'!K93</f>
        <v>0.5</v>
      </c>
      <c r="L93" s="49">
        <f>'Avg Week Kibuye-Munyonyo'!L93+'Avg Week Munyonyo-Kibuye'!L93</f>
        <v>0</v>
      </c>
      <c r="M93" s="49">
        <f>'Avg Week Kibuye-Munyonyo'!M93+'Avg Week Munyonyo-Kibuye'!M93</f>
        <v>107.5</v>
      </c>
      <c r="N93" s="49">
        <f>'Avg Week Kibuye-Munyonyo'!N93+'Avg Week Munyonyo-Kibuye'!N93</f>
        <v>0</v>
      </c>
      <c r="O93" s="15">
        <f t="shared" si="35"/>
        <v>16</v>
      </c>
      <c r="P93" s="15">
        <f t="shared" si="36"/>
        <v>123.5</v>
      </c>
      <c r="R93" s="8"/>
      <c r="T93"/>
    </row>
    <row r="94" spans="2:20" ht="23.1" customHeight="1" x14ac:dyDescent="0.25">
      <c r="B94" s="24" t="s">
        <v>134</v>
      </c>
      <c r="C94" s="49">
        <f>'Avg Week Kibuye-Munyonyo'!C94+'Avg Week Munyonyo-Kibuye'!C94</f>
        <v>19</v>
      </c>
      <c r="D94" s="49">
        <f>'Avg Week Kibuye-Munyonyo'!D94+'Avg Week Munyonyo-Kibuye'!D94</f>
        <v>2.5</v>
      </c>
      <c r="E94" s="49">
        <f>'Avg Week Kibuye-Munyonyo'!E94+'Avg Week Munyonyo-Kibuye'!E94</f>
        <v>1</v>
      </c>
      <c r="F94" s="49">
        <f>'Avg Week Kibuye-Munyonyo'!F94+'Avg Week Munyonyo-Kibuye'!F94</f>
        <v>5</v>
      </c>
      <c r="G94" s="49">
        <f>'Avg Week Kibuye-Munyonyo'!G94+'Avg Week Munyonyo-Kibuye'!G94</f>
        <v>0</v>
      </c>
      <c r="H94" s="49">
        <f>'Avg Week Kibuye-Munyonyo'!H94+'Avg Week Munyonyo-Kibuye'!H94</f>
        <v>0.5</v>
      </c>
      <c r="I94" s="49">
        <f>'Avg Week Kibuye-Munyonyo'!I94+'Avg Week Munyonyo-Kibuye'!I94</f>
        <v>0.5</v>
      </c>
      <c r="J94" s="49">
        <f>'Avg Week Kibuye-Munyonyo'!J94+'Avg Week Munyonyo-Kibuye'!J94</f>
        <v>0</v>
      </c>
      <c r="K94" s="49">
        <f>'Avg Week Kibuye-Munyonyo'!K94+'Avg Week Munyonyo-Kibuye'!K94</f>
        <v>1</v>
      </c>
      <c r="L94" s="49">
        <f>'Avg Week Kibuye-Munyonyo'!L94+'Avg Week Munyonyo-Kibuye'!L94</f>
        <v>0</v>
      </c>
      <c r="M94" s="49">
        <f>'Avg Week Kibuye-Munyonyo'!M94+'Avg Week Munyonyo-Kibuye'!M94</f>
        <v>83</v>
      </c>
      <c r="N94" s="49">
        <f>'Avg Week Kibuye-Munyonyo'!N94+'Avg Week Munyonyo-Kibuye'!N94</f>
        <v>0</v>
      </c>
      <c r="O94" s="15">
        <f t="shared" si="35"/>
        <v>29.5</v>
      </c>
      <c r="P94" s="15">
        <f t="shared" si="36"/>
        <v>112.5</v>
      </c>
      <c r="R94" s="8"/>
      <c r="T94"/>
    </row>
    <row r="95" spans="2:20" ht="23.1" customHeight="1" x14ac:dyDescent="0.25">
      <c r="B95" s="23" t="s">
        <v>135</v>
      </c>
      <c r="C95" s="49">
        <f>'Avg Week Kibuye-Munyonyo'!C95+'Avg Week Munyonyo-Kibuye'!C95</f>
        <v>17</v>
      </c>
      <c r="D95" s="49">
        <f>'Avg Week Kibuye-Munyonyo'!D95+'Avg Week Munyonyo-Kibuye'!D95</f>
        <v>1.5</v>
      </c>
      <c r="E95" s="49">
        <f>'Avg Week Kibuye-Munyonyo'!E95+'Avg Week Munyonyo-Kibuye'!E95</f>
        <v>5</v>
      </c>
      <c r="F95" s="49">
        <f>'Avg Week Kibuye-Munyonyo'!F95+'Avg Week Munyonyo-Kibuye'!F95</f>
        <v>2</v>
      </c>
      <c r="G95" s="49">
        <f>'Avg Week Kibuye-Munyonyo'!G95+'Avg Week Munyonyo-Kibuye'!G95</f>
        <v>0</v>
      </c>
      <c r="H95" s="49">
        <f>'Avg Week Kibuye-Munyonyo'!H95+'Avg Week Munyonyo-Kibuye'!H95</f>
        <v>0</v>
      </c>
      <c r="I95" s="49">
        <f>'Avg Week Kibuye-Munyonyo'!I95+'Avg Week Munyonyo-Kibuye'!I95</f>
        <v>0</v>
      </c>
      <c r="J95" s="49">
        <f>'Avg Week Kibuye-Munyonyo'!J95+'Avg Week Munyonyo-Kibuye'!J95</f>
        <v>0.5</v>
      </c>
      <c r="K95" s="49">
        <f>'Avg Week Kibuye-Munyonyo'!K95+'Avg Week Munyonyo-Kibuye'!K95</f>
        <v>1.5</v>
      </c>
      <c r="L95" s="49">
        <f>'Avg Week Kibuye-Munyonyo'!L95+'Avg Week Munyonyo-Kibuye'!L95</f>
        <v>0</v>
      </c>
      <c r="M95" s="49">
        <f>'Avg Week Kibuye-Munyonyo'!M95+'Avg Week Munyonyo-Kibuye'!M95</f>
        <v>82</v>
      </c>
      <c r="N95" s="49">
        <f>'Avg Week Kibuye-Munyonyo'!N95+'Avg Week Munyonyo-Kibuye'!N95</f>
        <v>0</v>
      </c>
      <c r="O95" s="15">
        <f t="shared" si="35"/>
        <v>27.5</v>
      </c>
      <c r="P95" s="15">
        <f t="shared" si="36"/>
        <v>109.5</v>
      </c>
      <c r="R95" s="8"/>
      <c r="T95"/>
    </row>
    <row r="96" spans="2:20" ht="23.1" customHeight="1" x14ac:dyDescent="0.25">
      <c r="B96" s="25" t="s">
        <v>136</v>
      </c>
      <c r="C96" s="49">
        <f>'Avg Week Kibuye-Munyonyo'!C96+'Avg Week Munyonyo-Kibuye'!C96</f>
        <v>21</v>
      </c>
      <c r="D96" s="49">
        <f>'Avg Week Kibuye-Munyonyo'!D96+'Avg Week Munyonyo-Kibuye'!D96</f>
        <v>5</v>
      </c>
      <c r="E96" s="49">
        <f>'Avg Week Kibuye-Munyonyo'!E96+'Avg Week Munyonyo-Kibuye'!E96</f>
        <v>1</v>
      </c>
      <c r="F96" s="49">
        <f>'Avg Week Kibuye-Munyonyo'!F96+'Avg Week Munyonyo-Kibuye'!F96</f>
        <v>6</v>
      </c>
      <c r="G96" s="49">
        <f>'Avg Week Kibuye-Munyonyo'!G96+'Avg Week Munyonyo-Kibuye'!G96</f>
        <v>0</v>
      </c>
      <c r="H96" s="49">
        <f>'Avg Week Kibuye-Munyonyo'!H96+'Avg Week Munyonyo-Kibuye'!H96</f>
        <v>0</v>
      </c>
      <c r="I96" s="49">
        <f>'Avg Week Kibuye-Munyonyo'!I96+'Avg Week Munyonyo-Kibuye'!I96</f>
        <v>0</v>
      </c>
      <c r="J96" s="49">
        <f>'Avg Week Kibuye-Munyonyo'!J96+'Avg Week Munyonyo-Kibuye'!J96</f>
        <v>0</v>
      </c>
      <c r="K96" s="49">
        <f>'Avg Week Kibuye-Munyonyo'!K96+'Avg Week Munyonyo-Kibuye'!K96</f>
        <v>2</v>
      </c>
      <c r="L96" s="49">
        <f>'Avg Week Kibuye-Munyonyo'!L96+'Avg Week Munyonyo-Kibuye'!L96</f>
        <v>0</v>
      </c>
      <c r="M96" s="49">
        <f>'Avg Week Kibuye-Munyonyo'!M96+'Avg Week Munyonyo-Kibuye'!M96</f>
        <v>76</v>
      </c>
      <c r="N96" s="49">
        <f>'Avg Week Kibuye-Munyonyo'!N96+'Avg Week Munyonyo-Kibuye'!N96</f>
        <v>0</v>
      </c>
      <c r="O96" s="15">
        <f t="shared" si="35"/>
        <v>35</v>
      </c>
      <c r="P96" s="15">
        <f t="shared" si="36"/>
        <v>111</v>
      </c>
      <c r="R96" s="8"/>
      <c r="T96"/>
    </row>
    <row r="97" spans="2:20" ht="23.1" customHeight="1" x14ac:dyDescent="0.25">
      <c r="B97" s="23" t="s">
        <v>137</v>
      </c>
      <c r="C97" s="49">
        <f>'Avg Week Kibuye-Munyonyo'!C97+'Avg Week Munyonyo-Kibuye'!C97</f>
        <v>22.5</v>
      </c>
      <c r="D97" s="49">
        <f>'Avg Week Kibuye-Munyonyo'!D97+'Avg Week Munyonyo-Kibuye'!D97</f>
        <v>3.5</v>
      </c>
      <c r="E97" s="49">
        <f>'Avg Week Kibuye-Munyonyo'!E97+'Avg Week Munyonyo-Kibuye'!E97</f>
        <v>1</v>
      </c>
      <c r="F97" s="49">
        <f>'Avg Week Kibuye-Munyonyo'!F97+'Avg Week Munyonyo-Kibuye'!F97</f>
        <v>6</v>
      </c>
      <c r="G97" s="49">
        <f>'Avg Week Kibuye-Munyonyo'!G97+'Avg Week Munyonyo-Kibuye'!G97</f>
        <v>0</v>
      </c>
      <c r="H97" s="49">
        <f>'Avg Week Kibuye-Munyonyo'!H97+'Avg Week Munyonyo-Kibuye'!H97</f>
        <v>0</v>
      </c>
      <c r="I97" s="49">
        <f>'Avg Week Kibuye-Munyonyo'!I97+'Avg Week Munyonyo-Kibuye'!I97</f>
        <v>0.5</v>
      </c>
      <c r="J97" s="49">
        <f>'Avg Week Kibuye-Munyonyo'!J97+'Avg Week Munyonyo-Kibuye'!J97</f>
        <v>0.5</v>
      </c>
      <c r="K97" s="49">
        <f>'Avg Week Kibuye-Munyonyo'!K97+'Avg Week Munyonyo-Kibuye'!K97</f>
        <v>0.5</v>
      </c>
      <c r="L97" s="49">
        <f>'Avg Week Kibuye-Munyonyo'!L97+'Avg Week Munyonyo-Kibuye'!L97</f>
        <v>0</v>
      </c>
      <c r="M97" s="49">
        <f>'Avg Week Kibuye-Munyonyo'!M97+'Avg Week Munyonyo-Kibuye'!M97</f>
        <v>87</v>
      </c>
      <c r="N97" s="49">
        <f>'Avg Week Kibuye-Munyonyo'!N97+'Avg Week Munyonyo-Kibuye'!N97</f>
        <v>0</v>
      </c>
      <c r="O97" s="15">
        <f t="shared" si="35"/>
        <v>34.5</v>
      </c>
      <c r="P97" s="15">
        <f t="shared" si="36"/>
        <v>121.5</v>
      </c>
      <c r="R97" s="8"/>
      <c r="T97"/>
    </row>
    <row r="98" spans="2:20" ht="23.1" customHeight="1" x14ac:dyDescent="0.25">
      <c r="B98" s="24" t="s">
        <v>138</v>
      </c>
      <c r="C98" s="49">
        <f>'Avg Week Kibuye-Munyonyo'!C98+'Avg Week Munyonyo-Kibuye'!C98</f>
        <v>28.5</v>
      </c>
      <c r="D98" s="49">
        <f>'Avg Week Kibuye-Munyonyo'!D98+'Avg Week Munyonyo-Kibuye'!D98</f>
        <v>1</v>
      </c>
      <c r="E98" s="49">
        <f>'Avg Week Kibuye-Munyonyo'!E98+'Avg Week Munyonyo-Kibuye'!E98</f>
        <v>0.5</v>
      </c>
      <c r="F98" s="49">
        <f>'Avg Week Kibuye-Munyonyo'!F98+'Avg Week Munyonyo-Kibuye'!F98</f>
        <v>16.5</v>
      </c>
      <c r="G98" s="49">
        <f>'Avg Week Kibuye-Munyonyo'!G98+'Avg Week Munyonyo-Kibuye'!G98</f>
        <v>0.5</v>
      </c>
      <c r="H98" s="49">
        <f>'Avg Week Kibuye-Munyonyo'!H98+'Avg Week Munyonyo-Kibuye'!H98</f>
        <v>0</v>
      </c>
      <c r="I98" s="49">
        <f>'Avg Week Kibuye-Munyonyo'!I98+'Avg Week Munyonyo-Kibuye'!I98</f>
        <v>1</v>
      </c>
      <c r="J98" s="49">
        <f>'Avg Week Kibuye-Munyonyo'!J98+'Avg Week Munyonyo-Kibuye'!J98</f>
        <v>0</v>
      </c>
      <c r="K98" s="49">
        <f>'Avg Week Kibuye-Munyonyo'!K98+'Avg Week Munyonyo-Kibuye'!K98</f>
        <v>1.5</v>
      </c>
      <c r="L98" s="49">
        <f>'Avg Week Kibuye-Munyonyo'!L98+'Avg Week Munyonyo-Kibuye'!L98</f>
        <v>0</v>
      </c>
      <c r="M98" s="49">
        <f>'Avg Week Kibuye-Munyonyo'!M98+'Avg Week Munyonyo-Kibuye'!M98</f>
        <v>105</v>
      </c>
      <c r="N98" s="49">
        <f>'Avg Week Kibuye-Munyonyo'!N98+'Avg Week Munyonyo-Kibuye'!N98</f>
        <v>0</v>
      </c>
      <c r="O98" s="15">
        <f t="shared" si="35"/>
        <v>49.5</v>
      </c>
      <c r="P98" s="15">
        <f t="shared" si="36"/>
        <v>154.5</v>
      </c>
      <c r="R98" s="8"/>
      <c r="T98"/>
    </row>
    <row r="99" spans="2:20" ht="23.1" customHeight="1" x14ac:dyDescent="0.25">
      <c r="B99" s="23" t="s">
        <v>139</v>
      </c>
      <c r="C99" s="49">
        <f>'Avg Week Kibuye-Munyonyo'!C99+'Avg Week Munyonyo-Kibuye'!C99</f>
        <v>34</v>
      </c>
      <c r="D99" s="49">
        <f>'Avg Week Kibuye-Munyonyo'!D99+'Avg Week Munyonyo-Kibuye'!D99</f>
        <v>9</v>
      </c>
      <c r="E99" s="49">
        <f>'Avg Week Kibuye-Munyonyo'!E99+'Avg Week Munyonyo-Kibuye'!E99</f>
        <v>2</v>
      </c>
      <c r="F99" s="49">
        <f>'Avg Week Kibuye-Munyonyo'!F99+'Avg Week Munyonyo-Kibuye'!F99</f>
        <v>45</v>
      </c>
      <c r="G99" s="49">
        <f>'Avg Week Kibuye-Munyonyo'!G99+'Avg Week Munyonyo-Kibuye'!G99</f>
        <v>0.5</v>
      </c>
      <c r="H99" s="49">
        <f>'Avg Week Kibuye-Munyonyo'!H99+'Avg Week Munyonyo-Kibuye'!H99</f>
        <v>0</v>
      </c>
      <c r="I99" s="49">
        <f>'Avg Week Kibuye-Munyonyo'!I99+'Avg Week Munyonyo-Kibuye'!I99</f>
        <v>0.5</v>
      </c>
      <c r="J99" s="49">
        <f>'Avg Week Kibuye-Munyonyo'!J99+'Avg Week Munyonyo-Kibuye'!J99</f>
        <v>0</v>
      </c>
      <c r="K99" s="49">
        <f>'Avg Week Kibuye-Munyonyo'!K99+'Avg Week Munyonyo-Kibuye'!K99</f>
        <v>1</v>
      </c>
      <c r="L99" s="49">
        <f>'Avg Week Kibuye-Munyonyo'!L99+'Avg Week Munyonyo-Kibuye'!L99</f>
        <v>0</v>
      </c>
      <c r="M99" s="49">
        <f>'Avg Week Kibuye-Munyonyo'!M99+'Avg Week Munyonyo-Kibuye'!M99</f>
        <v>112</v>
      </c>
      <c r="N99" s="49">
        <f>'Avg Week Kibuye-Munyonyo'!N99+'Avg Week Munyonyo-Kibuye'!N99</f>
        <v>0</v>
      </c>
      <c r="O99" s="15">
        <f t="shared" si="35"/>
        <v>92</v>
      </c>
      <c r="P99" s="15">
        <f t="shared" si="36"/>
        <v>204</v>
      </c>
      <c r="R99" s="8"/>
      <c r="T99"/>
    </row>
    <row r="100" spans="2:20" ht="23.1" customHeight="1" x14ac:dyDescent="0.25">
      <c r="B100" s="25" t="s">
        <v>140</v>
      </c>
      <c r="C100" s="49">
        <f>'Avg Week Kibuye-Munyonyo'!C100+'Avg Week Munyonyo-Kibuye'!C100</f>
        <v>38</v>
      </c>
      <c r="D100" s="49">
        <f>'Avg Week Kibuye-Munyonyo'!D100+'Avg Week Munyonyo-Kibuye'!D100</f>
        <v>5</v>
      </c>
      <c r="E100" s="49">
        <f>'Avg Week Kibuye-Munyonyo'!E100+'Avg Week Munyonyo-Kibuye'!E100</f>
        <v>1</v>
      </c>
      <c r="F100" s="49">
        <f>'Avg Week Kibuye-Munyonyo'!F100+'Avg Week Munyonyo-Kibuye'!F100</f>
        <v>31.5</v>
      </c>
      <c r="G100" s="49">
        <f>'Avg Week Kibuye-Munyonyo'!G100+'Avg Week Munyonyo-Kibuye'!G100</f>
        <v>0</v>
      </c>
      <c r="H100" s="49">
        <f>'Avg Week Kibuye-Munyonyo'!H100+'Avg Week Munyonyo-Kibuye'!H100</f>
        <v>0</v>
      </c>
      <c r="I100" s="49">
        <f>'Avg Week Kibuye-Munyonyo'!I100+'Avg Week Munyonyo-Kibuye'!I100</f>
        <v>0</v>
      </c>
      <c r="J100" s="49">
        <f>'Avg Week Kibuye-Munyonyo'!J100+'Avg Week Munyonyo-Kibuye'!J100</f>
        <v>0</v>
      </c>
      <c r="K100" s="49">
        <f>'Avg Week Kibuye-Munyonyo'!K100+'Avg Week Munyonyo-Kibuye'!K100</f>
        <v>2</v>
      </c>
      <c r="L100" s="49">
        <f>'Avg Week Kibuye-Munyonyo'!L100+'Avg Week Munyonyo-Kibuye'!L100</f>
        <v>0</v>
      </c>
      <c r="M100" s="49">
        <f>'Avg Week Kibuye-Munyonyo'!M100+'Avg Week Munyonyo-Kibuye'!M100</f>
        <v>135.5</v>
      </c>
      <c r="N100" s="49">
        <f>'Avg Week Kibuye-Munyonyo'!N100+'Avg Week Munyonyo-Kibuye'!N100</f>
        <v>0</v>
      </c>
      <c r="O100" s="15">
        <f t="shared" si="35"/>
        <v>77.5</v>
      </c>
      <c r="P100" s="15">
        <f t="shared" si="36"/>
        <v>213</v>
      </c>
      <c r="R100" s="8"/>
      <c r="T100"/>
    </row>
    <row r="101" spans="2:20" ht="23.1" customHeight="1" x14ac:dyDescent="0.25">
      <c r="B101" s="23" t="s">
        <v>141</v>
      </c>
      <c r="C101" s="49">
        <f>'Avg Week Kibuye-Munyonyo'!C101+'Avg Week Munyonyo-Kibuye'!C101</f>
        <v>43</v>
      </c>
      <c r="D101" s="49">
        <f>'Avg Week Kibuye-Munyonyo'!D101+'Avg Week Munyonyo-Kibuye'!D101</f>
        <v>2</v>
      </c>
      <c r="E101" s="49">
        <f>'Avg Week Kibuye-Munyonyo'!E101+'Avg Week Munyonyo-Kibuye'!E101</f>
        <v>7</v>
      </c>
      <c r="F101" s="49">
        <f>'Avg Week Kibuye-Munyonyo'!F101+'Avg Week Munyonyo-Kibuye'!F101</f>
        <v>42</v>
      </c>
      <c r="G101" s="49">
        <f>'Avg Week Kibuye-Munyonyo'!G101+'Avg Week Munyonyo-Kibuye'!G101</f>
        <v>1.5</v>
      </c>
      <c r="H101" s="49">
        <f>'Avg Week Kibuye-Munyonyo'!H101+'Avg Week Munyonyo-Kibuye'!H101</f>
        <v>0.5</v>
      </c>
      <c r="I101" s="49">
        <f>'Avg Week Kibuye-Munyonyo'!I101+'Avg Week Munyonyo-Kibuye'!I101</f>
        <v>0</v>
      </c>
      <c r="J101" s="49">
        <f>'Avg Week Kibuye-Munyonyo'!J101+'Avg Week Munyonyo-Kibuye'!J101</f>
        <v>0</v>
      </c>
      <c r="K101" s="49">
        <f>'Avg Week Kibuye-Munyonyo'!K101+'Avg Week Munyonyo-Kibuye'!K101</f>
        <v>1</v>
      </c>
      <c r="L101" s="49">
        <f>'Avg Week Kibuye-Munyonyo'!L101+'Avg Week Munyonyo-Kibuye'!L101</f>
        <v>0.5</v>
      </c>
      <c r="M101" s="49">
        <f>'Avg Week Kibuye-Munyonyo'!M101+'Avg Week Munyonyo-Kibuye'!M101</f>
        <v>209</v>
      </c>
      <c r="N101" s="49">
        <f>'Avg Week Kibuye-Munyonyo'!N101+'Avg Week Munyonyo-Kibuye'!N101</f>
        <v>0</v>
      </c>
      <c r="O101" s="15">
        <f t="shared" si="35"/>
        <v>97.5</v>
      </c>
      <c r="P101" s="15">
        <f t="shared" si="36"/>
        <v>306.5</v>
      </c>
      <c r="R101" s="8"/>
      <c r="T101"/>
    </row>
    <row r="102" spans="2:20" ht="23.1" customHeight="1" x14ac:dyDescent="0.25">
      <c r="B102" s="24" t="s">
        <v>142</v>
      </c>
      <c r="C102" s="49">
        <f>'Avg Week Kibuye-Munyonyo'!C102+'Avg Week Munyonyo-Kibuye'!C102</f>
        <v>32</v>
      </c>
      <c r="D102" s="49">
        <f>'Avg Week Kibuye-Munyonyo'!D102+'Avg Week Munyonyo-Kibuye'!D102</f>
        <v>8.5</v>
      </c>
      <c r="E102" s="49">
        <f>'Avg Week Kibuye-Munyonyo'!E102+'Avg Week Munyonyo-Kibuye'!E102</f>
        <v>3</v>
      </c>
      <c r="F102" s="49">
        <f>'Avg Week Kibuye-Munyonyo'!F102+'Avg Week Munyonyo-Kibuye'!F102</f>
        <v>40.5</v>
      </c>
      <c r="G102" s="49">
        <f>'Avg Week Kibuye-Munyonyo'!G102+'Avg Week Munyonyo-Kibuye'!G102</f>
        <v>1.5</v>
      </c>
      <c r="H102" s="49">
        <f>'Avg Week Kibuye-Munyonyo'!H102+'Avg Week Munyonyo-Kibuye'!H102</f>
        <v>0</v>
      </c>
      <c r="I102" s="49">
        <f>'Avg Week Kibuye-Munyonyo'!I102+'Avg Week Munyonyo-Kibuye'!I102</f>
        <v>1.5</v>
      </c>
      <c r="J102" s="49">
        <f>'Avg Week Kibuye-Munyonyo'!J102+'Avg Week Munyonyo-Kibuye'!J102</f>
        <v>0.5</v>
      </c>
      <c r="K102" s="49">
        <f>'Avg Week Kibuye-Munyonyo'!K102+'Avg Week Munyonyo-Kibuye'!K102</f>
        <v>0</v>
      </c>
      <c r="L102" s="49">
        <f>'Avg Week Kibuye-Munyonyo'!L102+'Avg Week Munyonyo-Kibuye'!L102</f>
        <v>0</v>
      </c>
      <c r="M102" s="49">
        <f>'Avg Week Kibuye-Munyonyo'!M102+'Avg Week Munyonyo-Kibuye'!M102</f>
        <v>158</v>
      </c>
      <c r="N102" s="49">
        <f>'Avg Week Kibuye-Munyonyo'!N102+'Avg Week Munyonyo-Kibuye'!N102</f>
        <v>0</v>
      </c>
      <c r="O102" s="15">
        <f t="shared" si="35"/>
        <v>87.5</v>
      </c>
      <c r="P102" s="15">
        <f t="shared" si="36"/>
        <v>245.5</v>
      </c>
      <c r="R102" s="8"/>
      <c r="T102"/>
    </row>
    <row r="103" spans="2:20" ht="23.1" customHeight="1" x14ac:dyDescent="0.25">
      <c r="B103" s="23" t="s">
        <v>143</v>
      </c>
      <c r="C103" s="49">
        <f>'Avg Week Kibuye-Munyonyo'!C103+'Avg Week Munyonyo-Kibuye'!C103</f>
        <v>52</v>
      </c>
      <c r="D103" s="49">
        <f>'Avg Week Kibuye-Munyonyo'!D103+'Avg Week Munyonyo-Kibuye'!D103</f>
        <v>9.5</v>
      </c>
      <c r="E103" s="49">
        <f>'Avg Week Kibuye-Munyonyo'!E103+'Avg Week Munyonyo-Kibuye'!E103</f>
        <v>4.5</v>
      </c>
      <c r="F103" s="49">
        <f>'Avg Week Kibuye-Munyonyo'!F103+'Avg Week Munyonyo-Kibuye'!F103</f>
        <v>56</v>
      </c>
      <c r="G103" s="49">
        <f>'Avg Week Kibuye-Munyonyo'!G103+'Avg Week Munyonyo-Kibuye'!G103</f>
        <v>0</v>
      </c>
      <c r="H103" s="49">
        <f>'Avg Week Kibuye-Munyonyo'!H103+'Avg Week Munyonyo-Kibuye'!H103</f>
        <v>0</v>
      </c>
      <c r="I103" s="49">
        <f>'Avg Week Kibuye-Munyonyo'!I103+'Avg Week Munyonyo-Kibuye'!I103</f>
        <v>2</v>
      </c>
      <c r="J103" s="49">
        <f>'Avg Week Kibuye-Munyonyo'!J103+'Avg Week Munyonyo-Kibuye'!J103</f>
        <v>0</v>
      </c>
      <c r="K103" s="49">
        <f>'Avg Week Kibuye-Munyonyo'!K103+'Avg Week Munyonyo-Kibuye'!K103</f>
        <v>1.5</v>
      </c>
      <c r="L103" s="49">
        <f>'Avg Week Kibuye-Munyonyo'!L103+'Avg Week Munyonyo-Kibuye'!L103</f>
        <v>0</v>
      </c>
      <c r="M103" s="49">
        <f>'Avg Week Kibuye-Munyonyo'!M103+'Avg Week Munyonyo-Kibuye'!M103</f>
        <v>113</v>
      </c>
      <c r="N103" s="49">
        <f>'Avg Week Kibuye-Munyonyo'!N103+'Avg Week Munyonyo-Kibuye'!N103</f>
        <v>0</v>
      </c>
      <c r="O103" s="15">
        <f t="shared" si="35"/>
        <v>125.5</v>
      </c>
      <c r="P103" s="15">
        <f t="shared" si="36"/>
        <v>238.5</v>
      </c>
      <c r="R103" s="8"/>
      <c r="T103"/>
    </row>
    <row r="104" spans="2:20" ht="23.1" customHeight="1" x14ac:dyDescent="0.25">
      <c r="B104" s="25" t="s">
        <v>144</v>
      </c>
      <c r="C104" s="49">
        <f>'Avg Week Kibuye-Munyonyo'!C104+'Avg Week Munyonyo-Kibuye'!C104</f>
        <v>90.5</v>
      </c>
      <c r="D104" s="49">
        <f>'Avg Week Kibuye-Munyonyo'!D104+'Avg Week Munyonyo-Kibuye'!D104</f>
        <v>22.5</v>
      </c>
      <c r="E104" s="49">
        <f>'Avg Week Kibuye-Munyonyo'!E104+'Avg Week Munyonyo-Kibuye'!E104</f>
        <v>4</v>
      </c>
      <c r="F104" s="49">
        <f>'Avg Week Kibuye-Munyonyo'!F104+'Avg Week Munyonyo-Kibuye'!F104</f>
        <v>124.5</v>
      </c>
      <c r="G104" s="49">
        <f>'Avg Week Kibuye-Munyonyo'!G104+'Avg Week Munyonyo-Kibuye'!G104</f>
        <v>3</v>
      </c>
      <c r="H104" s="49">
        <f>'Avg Week Kibuye-Munyonyo'!H104+'Avg Week Munyonyo-Kibuye'!H104</f>
        <v>0.5</v>
      </c>
      <c r="I104" s="49">
        <f>'Avg Week Kibuye-Munyonyo'!I104+'Avg Week Munyonyo-Kibuye'!I104</f>
        <v>2.5</v>
      </c>
      <c r="J104" s="49">
        <f>'Avg Week Kibuye-Munyonyo'!J104+'Avg Week Munyonyo-Kibuye'!J104</f>
        <v>0.5</v>
      </c>
      <c r="K104" s="49">
        <f>'Avg Week Kibuye-Munyonyo'!K104+'Avg Week Munyonyo-Kibuye'!K104</f>
        <v>2</v>
      </c>
      <c r="L104" s="49">
        <f>'Avg Week Kibuye-Munyonyo'!L104+'Avg Week Munyonyo-Kibuye'!L104</f>
        <v>0</v>
      </c>
      <c r="M104" s="49">
        <f>'Avg Week Kibuye-Munyonyo'!M104+'Avg Week Munyonyo-Kibuye'!M104</f>
        <v>198.5</v>
      </c>
      <c r="N104" s="49">
        <f>'Avg Week Kibuye-Munyonyo'!N104+'Avg Week Munyonyo-Kibuye'!N104</f>
        <v>0</v>
      </c>
      <c r="O104" s="15">
        <f t="shared" si="35"/>
        <v>250</v>
      </c>
      <c r="P104" s="15">
        <f t="shared" si="36"/>
        <v>448.5</v>
      </c>
      <c r="R104" s="8"/>
      <c r="T104"/>
    </row>
    <row r="105" spans="2:20" ht="23.1" customHeight="1" x14ac:dyDescent="0.25">
      <c r="B105" s="23" t="s">
        <v>145</v>
      </c>
      <c r="C105" s="49">
        <f>'Avg Week Kibuye-Munyonyo'!C105+'Avg Week Munyonyo-Kibuye'!C105</f>
        <v>98</v>
      </c>
      <c r="D105" s="49">
        <f>'Avg Week Kibuye-Munyonyo'!D105+'Avg Week Munyonyo-Kibuye'!D105</f>
        <v>20</v>
      </c>
      <c r="E105" s="49">
        <f>'Avg Week Kibuye-Munyonyo'!E105+'Avg Week Munyonyo-Kibuye'!E105</f>
        <v>5</v>
      </c>
      <c r="F105" s="49">
        <f>'Avg Week Kibuye-Munyonyo'!F105+'Avg Week Munyonyo-Kibuye'!F105</f>
        <v>71</v>
      </c>
      <c r="G105" s="49">
        <f>'Avg Week Kibuye-Munyonyo'!G105+'Avg Week Munyonyo-Kibuye'!G105</f>
        <v>1</v>
      </c>
      <c r="H105" s="49">
        <f>'Avg Week Kibuye-Munyonyo'!H105+'Avg Week Munyonyo-Kibuye'!H105</f>
        <v>0</v>
      </c>
      <c r="I105" s="49">
        <f>'Avg Week Kibuye-Munyonyo'!I105+'Avg Week Munyonyo-Kibuye'!I105</f>
        <v>4.5</v>
      </c>
      <c r="J105" s="49">
        <f>'Avg Week Kibuye-Munyonyo'!J105+'Avg Week Munyonyo-Kibuye'!J105</f>
        <v>0.5</v>
      </c>
      <c r="K105" s="49">
        <f>'Avg Week Kibuye-Munyonyo'!K105+'Avg Week Munyonyo-Kibuye'!K105</f>
        <v>1.5</v>
      </c>
      <c r="L105" s="49">
        <f>'Avg Week Kibuye-Munyonyo'!L105+'Avg Week Munyonyo-Kibuye'!L105</f>
        <v>0</v>
      </c>
      <c r="M105" s="49">
        <f>'Avg Week Kibuye-Munyonyo'!M105+'Avg Week Munyonyo-Kibuye'!M105</f>
        <v>166</v>
      </c>
      <c r="N105" s="49">
        <f>'Avg Week Kibuye-Munyonyo'!N105+'Avg Week Munyonyo-Kibuye'!N105</f>
        <v>0</v>
      </c>
      <c r="O105" s="15">
        <f t="shared" si="35"/>
        <v>201.5</v>
      </c>
      <c r="P105" s="15">
        <f t="shared" si="36"/>
        <v>367.5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4648.4285714285716</v>
      </c>
      <c r="D106" s="16">
        <f t="shared" ref="D106:P106" si="37">SUM(D10:D105)</f>
        <v>1725.2142857142858</v>
      </c>
      <c r="E106" s="16">
        <f t="shared" si="37"/>
        <v>481.78571428571433</v>
      </c>
      <c r="F106" s="16">
        <f t="shared" si="37"/>
        <v>5478</v>
      </c>
      <c r="G106" s="16">
        <f t="shared" si="37"/>
        <v>59.428571428571431</v>
      </c>
      <c r="H106" s="16">
        <f t="shared" si="37"/>
        <v>11.999999999999998</v>
      </c>
      <c r="I106" s="16">
        <f t="shared" si="37"/>
        <v>408.64285714285694</v>
      </c>
      <c r="J106" s="16">
        <f t="shared" si="37"/>
        <v>76.071428571428584</v>
      </c>
      <c r="K106" s="16">
        <f t="shared" si="37"/>
        <v>66.142857142857139</v>
      </c>
      <c r="L106" s="16">
        <f t="shared" si="37"/>
        <v>5.0714285714285712</v>
      </c>
      <c r="M106" s="16">
        <f t="shared" si="37"/>
        <v>22985.285714285714</v>
      </c>
      <c r="N106" s="16">
        <f t="shared" si="37"/>
        <v>4.1428571428571423</v>
      </c>
      <c r="O106" s="16">
        <f t="shared" si="37"/>
        <v>12964.928571428572</v>
      </c>
      <c r="P106" s="16">
        <f t="shared" si="37"/>
        <v>35950.214285714283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0.12930183209716614</v>
      </c>
      <c r="D107" s="43">
        <f t="shared" si="38"/>
        <v>4.7988984766631639E-2</v>
      </c>
      <c r="E107" s="43">
        <f t="shared" si="38"/>
        <v>1.3401469889907276E-2</v>
      </c>
      <c r="F107" s="43">
        <f t="shared" si="38"/>
        <v>0.15237739492909838</v>
      </c>
      <c r="G107" s="43">
        <f t="shared" si="38"/>
        <v>1.6530797551375614E-3</v>
      </c>
      <c r="H107" s="43">
        <f t="shared" si="38"/>
        <v>3.3379495055662294E-4</v>
      </c>
      <c r="I107" s="43">
        <f t="shared" si="38"/>
        <v>1.1366910191276423E-2</v>
      </c>
      <c r="J107" s="43">
        <f t="shared" si="38"/>
        <v>2.1160215615643068E-3</v>
      </c>
      <c r="K107" s="43">
        <f t="shared" si="38"/>
        <v>1.8398459774728146E-3</v>
      </c>
      <c r="L107" s="43">
        <f t="shared" si="38"/>
        <v>1.4106810410428709E-4</v>
      </c>
      <c r="M107" s="43">
        <f t="shared" si="38"/>
        <v>0.63936435904415434</v>
      </c>
      <c r="N107" s="43">
        <f t="shared" si="38"/>
        <v>1.1523873293026267E-4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0.35853869505093411</v>
      </c>
      <c r="D108" s="44">
        <f t="shared" ref="D108:N108" si="39">D106/$O$106</f>
        <v>0.13306778176288778</v>
      </c>
      <c r="E108" s="44">
        <f t="shared" si="39"/>
        <v>3.7160691756331646E-2</v>
      </c>
      <c r="F108" s="44">
        <f t="shared" si="39"/>
        <v>0.42252450291721066</v>
      </c>
      <c r="G108" s="44">
        <f t="shared" si="39"/>
        <v>4.5837947429604037E-3</v>
      </c>
      <c r="H108" s="44">
        <f t="shared" si="39"/>
        <v>9.2557393848238909E-4</v>
      </c>
      <c r="I108" s="44">
        <f t="shared" si="39"/>
        <v>3.1519098226534203E-2</v>
      </c>
      <c r="J108" s="44">
        <f t="shared" si="39"/>
        <v>5.8674776457365756E-3</v>
      </c>
      <c r="K108" s="44">
        <f t="shared" si="39"/>
        <v>5.1016753990160259E-3</v>
      </c>
      <c r="L108" s="44">
        <f t="shared" si="39"/>
        <v>3.9116517638243829E-4</v>
      </c>
      <c r="M108" s="44"/>
      <c r="N108" s="44">
        <f t="shared" si="39"/>
        <v>3.1954338352368198E-4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3.937007874015748E-2" right="3.937007874015748E-2" top="0.74803149606299213" bottom="0.55118110236220474" header="0.31496062992125984" footer="0.31496062992125984"/>
  <pageSetup paperSize="8" scale="2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22.07 Kibuye-Munyonyo</vt:lpstr>
      <vt:lpstr>22.07 Munyonyo-Kibuye</vt:lpstr>
      <vt:lpstr>23.07 Kibuye-Munyonyo</vt:lpstr>
      <vt:lpstr>23.07 Munyonyo-Kibuye</vt:lpstr>
      <vt:lpstr>24.07 Kibuye-Munyonyo</vt:lpstr>
      <vt:lpstr>24.07 Munyonyo-Kibuye</vt:lpstr>
      <vt:lpstr>25.07 Kibuye-Munyonyo</vt:lpstr>
      <vt:lpstr>25.07 Munyonyo-Kibuye</vt:lpstr>
      <vt:lpstr>26.07 Kibuye-Munyonyo-24h</vt:lpstr>
      <vt:lpstr>26.07 Munyonyo-Kibuye-24h</vt:lpstr>
      <vt:lpstr>27.07 Kibuye-Munyonyo-24h</vt:lpstr>
      <vt:lpstr>27.07 Munyonyo-Kibuye-24h</vt:lpstr>
      <vt:lpstr>28.07 Kibuye-Munyonyo</vt:lpstr>
      <vt:lpstr>28.07 Munyonyo-Kibuye</vt:lpstr>
      <vt:lpstr>Avg Week Kibuye-Munyonyo</vt:lpstr>
      <vt:lpstr>Avg Week Munyonyo-Kibuye</vt:lpstr>
      <vt:lpstr>Avg Week Munyonyo-Kibuye-2Dir</vt:lpstr>
      <vt:lpstr>'22.07 Kibuye-Munyonyo'!Print_Area</vt:lpstr>
      <vt:lpstr>'22.07 Munyonyo-Kibuye'!Print_Area</vt:lpstr>
      <vt:lpstr>'23.07 Kibuye-Munyonyo'!Print_Area</vt:lpstr>
      <vt:lpstr>'23.07 Munyonyo-Kibuye'!Print_Area</vt:lpstr>
      <vt:lpstr>'24.07 Kibuye-Munyonyo'!Print_Area</vt:lpstr>
      <vt:lpstr>'24.07 Munyonyo-Kibuye'!Print_Area</vt:lpstr>
      <vt:lpstr>'25.07 Kibuye-Munyonyo'!Print_Area</vt:lpstr>
      <vt:lpstr>'25.07 Munyonyo-Kibuye'!Print_Area</vt:lpstr>
      <vt:lpstr>'26.07 Kibuye-Munyonyo-24h'!Print_Area</vt:lpstr>
      <vt:lpstr>'26.07 Munyonyo-Kibuye-24h'!Print_Area</vt:lpstr>
      <vt:lpstr>'27.07 Kibuye-Munyonyo-24h'!Print_Area</vt:lpstr>
      <vt:lpstr>'27.07 Munyonyo-Kibuye-24h'!Print_Area</vt:lpstr>
      <vt:lpstr>'28.07 Kibuye-Munyonyo'!Print_Area</vt:lpstr>
      <vt:lpstr>'28.07 Munyonyo-Kibuye'!Print_Area</vt:lpstr>
      <vt:lpstr>'Avg Week Kibuye-Munyonyo'!Print_Area</vt:lpstr>
      <vt:lpstr>'Avg Week Munyonyo-Kibuye'!Print_Area</vt:lpstr>
      <vt:lpstr>'Avg Week Munyonyo-Kibuye-2Dir'!Print_Area</vt:lpstr>
      <vt:lpstr>'22.07 Kibuye-Munyonyo'!Print_Titles</vt:lpstr>
      <vt:lpstr>'22.07 Munyonyo-Kibuye'!Print_Titles</vt:lpstr>
      <vt:lpstr>'23.07 Kibuye-Munyonyo'!Print_Titles</vt:lpstr>
      <vt:lpstr>'23.07 Munyonyo-Kibuye'!Print_Titles</vt:lpstr>
      <vt:lpstr>'24.07 Kibuye-Munyonyo'!Print_Titles</vt:lpstr>
      <vt:lpstr>'24.07 Munyonyo-Kibuye'!Print_Titles</vt:lpstr>
      <vt:lpstr>'25.07 Kibuye-Munyonyo'!Print_Titles</vt:lpstr>
      <vt:lpstr>'25.07 Munyonyo-Kibuye'!Print_Titles</vt:lpstr>
      <vt:lpstr>'26.07 Kibuye-Munyonyo-24h'!Print_Titles</vt:lpstr>
      <vt:lpstr>'26.07 Munyonyo-Kibuye-24h'!Print_Titles</vt:lpstr>
      <vt:lpstr>'27.07 Kibuye-Munyonyo-24h'!Print_Titles</vt:lpstr>
      <vt:lpstr>'27.07 Munyonyo-Kibuye-24h'!Print_Titles</vt:lpstr>
      <vt:lpstr>'28.07 Kibuye-Munyonyo'!Print_Titles</vt:lpstr>
      <vt:lpstr>'28.07 Munyonyo-Kibuye'!Print_Titles</vt:lpstr>
      <vt:lpstr>'Avg Week Kibuye-Munyonyo'!Print_Titles</vt:lpstr>
      <vt:lpstr>'Avg Week Munyonyo-Kibuye'!Print_Titles</vt:lpstr>
      <vt:lpstr>'Avg Week Munyonyo-Kibuye-2Dir'!Print_Titles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USER</cp:lastModifiedBy>
  <cp:lastPrinted>2020-01-07T21:05:36Z</cp:lastPrinted>
  <dcterms:created xsi:type="dcterms:W3CDTF">2010-07-06T07:39:49Z</dcterms:created>
  <dcterms:modified xsi:type="dcterms:W3CDTF">2020-04-08T08:11:20Z</dcterms:modified>
</cp:coreProperties>
</file>