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6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7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8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drawings/drawing9.xml" ContentType="application/vnd.openxmlformats-officedocument.drawing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drawings/drawing10.xml" ContentType="application/vnd.openxmlformats-officedocument.drawing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drawings/drawing11.xml" ContentType="application/vnd.openxmlformats-officedocument.drawing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12.xml" ContentType="application/vnd.openxmlformats-officedocument.drawing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drawings/drawing13.xml" ContentType="application/vnd.openxmlformats-officedocument.drawing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drawings/drawing14.xml" ContentType="application/vnd.openxmlformats-officedocument.drawing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6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7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LAN\Desktop\C-1 Analysis Complete\STN-C1-RD-39- NAMUGONGO ROAD\MCC DATA\"/>
    </mc:Choice>
  </mc:AlternateContent>
  <bookViews>
    <workbookView xWindow="-120" yWindow="-120" windowWidth="15600" windowHeight="11160" tabRatio="940" firstSheet="13" activeTab="16"/>
  </bookViews>
  <sheets>
    <sheet name="29.07 NAMUGONGO-KIREKA" sheetId="99" r:id="rId1"/>
    <sheet name="29.07 KIREKA-NAMUGONGO" sheetId="100" r:id="rId2"/>
    <sheet name="30.07 NAMUGONGO-KIREKA" sheetId="103" r:id="rId3"/>
    <sheet name="30.07 KIREKA-NAMUGONGO" sheetId="104" r:id="rId4"/>
    <sheet name="31.07 NAMUGONGO-KIREKA-24h" sheetId="105" r:id="rId5"/>
    <sheet name="31.07 KIREKA-NAMUGONGO-24h" sheetId="110" r:id="rId6"/>
    <sheet name="01.08 NAMUGONGO-KIREKA" sheetId="93" r:id="rId7"/>
    <sheet name="01.08 KIREKA-NAMUGONGO" sheetId="94" r:id="rId8"/>
    <sheet name="02.08 NAMUGONGO-KIREKA" sheetId="95" r:id="rId9"/>
    <sheet name="02.08 KIREKA-NAMUGONGO" sheetId="96" r:id="rId10"/>
    <sheet name="03.08 NAMUGONGO-KIREKA-24h" sheetId="101" r:id="rId11"/>
    <sheet name="03.08 KIREKA-NAMUGONGO-24h" sheetId="109" r:id="rId12"/>
    <sheet name="04.08 NAMUGONGO-KIREKA" sheetId="97" r:id="rId13"/>
    <sheet name="04.08 KIREKA-NAMUGONGO" sheetId="98" r:id="rId14"/>
    <sheet name="Avg Week Namugongo-Kireka" sheetId="107" r:id="rId15"/>
    <sheet name="Avg Week Kireka-Namugongo" sheetId="108" r:id="rId16"/>
    <sheet name="Avg Week Namugongo-Kireka-2Dir" sheetId="111" r:id="rId17"/>
  </sheets>
  <definedNames>
    <definedName name="_xlnm.Print_Area" localSheetId="7">'01.08 KIREKA-NAMUGONGO'!$A$1:$AF$60</definedName>
    <definedName name="_xlnm.Print_Area" localSheetId="6">'01.08 NAMUGONGO-KIREKA'!$A$1:$AF$60</definedName>
    <definedName name="_xlnm.Print_Area" localSheetId="9">'02.08 KIREKA-NAMUGONGO'!$A$1:$AF$60</definedName>
    <definedName name="_xlnm.Print_Area" localSheetId="8">'02.08 NAMUGONGO-KIREKA'!$A$1:$AF$60</definedName>
    <definedName name="_xlnm.Print_Area" localSheetId="11">'03.08 KIREKA-NAMUGONGO-24h'!$A$1:$AF$108</definedName>
    <definedName name="_xlnm.Print_Area" localSheetId="10">'03.08 NAMUGONGO-KIREKA-24h'!$A$1:$AF$108</definedName>
    <definedName name="_xlnm.Print_Area" localSheetId="13">'04.08 KIREKA-NAMUGONGO'!$A$1:$AF$60</definedName>
    <definedName name="_xlnm.Print_Area" localSheetId="12">'04.08 NAMUGONGO-KIREKA'!$A$1:$AF$60</definedName>
    <definedName name="_xlnm.Print_Area" localSheetId="1">'29.07 KIREKA-NAMUGONGO'!$A$1:$AF$60</definedName>
    <definedName name="_xlnm.Print_Area" localSheetId="0">'29.07 NAMUGONGO-KIREKA'!$A$1:$AF$60</definedName>
    <definedName name="_xlnm.Print_Area" localSheetId="3">'30.07 KIREKA-NAMUGONGO'!$A$1:$AF$60</definedName>
    <definedName name="_xlnm.Print_Area" localSheetId="2">'30.07 NAMUGONGO-KIREKA'!$A$1:$AF$60</definedName>
    <definedName name="_xlnm.Print_Area" localSheetId="5">'31.07 KIREKA-NAMUGONGO-24h'!$A$1:$AF$108</definedName>
    <definedName name="_xlnm.Print_Area" localSheetId="4">'31.07 NAMUGONGO-KIREKA-24h'!$A$1:$AF$108</definedName>
    <definedName name="_xlnm.Print_Area" localSheetId="15">'Avg Week Kireka-Namugongo'!$A$1:$AF$108</definedName>
    <definedName name="_xlnm.Print_Area" localSheetId="14">'Avg Week Namugongo-Kireka'!$A$1:$AF$108</definedName>
    <definedName name="_xlnm.Print_Area" localSheetId="16">'Avg Week Namugongo-Kireka-2Dir'!$A$1:$AF$108</definedName>
    <definedName name="_xlnm.Print_Titles" localSheetId="7">'01.08 KIREKA-NAMUGONGO'!$1:$8</definedName>
    <definedName name="_xlnm.Print_Titles" localSheetId="6">'01.08 NAMUGONGO-KIREKA'!$1:$8</definedName>
    <definedName name="_xlnm.Print_Titles" localSheetId="9">'02.08 KIREKA-NAMUGONGO'!$1:$8</definedName>
    <definedName name="_xlnm.Print_Titles" localSheetId="8">'02.08 NAMUGONGO-KIREKA'!$1:$8</definedName>
    <definedName name="_xlnm.Print_Titles" localSheetId="11">'03.08 KIREKA-NAMUGONGO-24h'!$1:$8</definedName>
    <definedName name="_xlnm.Print_Titles" localSheetId="10">'03.08 NAMUGONGO-KIREKA-24h'!$1:$8</definedName>
    <definedName name="_xlnm.Print_Titles" localSheetId="13">'04.08 KIREKA-NAMUGONGO'!$1:$8</definedName>
    <definedName name="_xlnm.Print_Titles" localSheetId="12">'04.08 NAMUGONGO-KIREKA'!$1:$8</definedName>
    <definedName name="_xlnm.Print_Titles" localSheetId="1">'29.07 KIREKA-NAMUGONGO'!$1:$8</definedName>
    <definedName name="_xlnm.Print_Titles" localSheetId="0">'29.07 NAMUGONGO-KIREKA'!$1:$8</definedName>
    <definedName name="_xlnm.Print_Titles" localSheetId="3">'30.07 KIREKA-NAMUGONGO'!$1:$8</definedName>
    <definedName name="_xlnm.Print_Titles" localSheetId="2">'30.07 NAMUGONGO-KIREKA'!$1:$8</definedName>
    <definedName name="_xlnm.Print_Titles" localSheetId="5">'31.07 KIREKA-NAMUGONGO-24h'!$1:$8</definedName>
    <definedName name="_xlnm.Print_Titles" localSheetId="4">'31.07 NAMUGONGO-KIREKA-24h'!$1:$8</definedName>
    <definedName name="_xlnm.Print_Titles" localSheetId="15">'Avg Week Kireka-Namugongo'!$1:$8</definedName>
    <definedName name="_xlnm.Print_Titles" localSheetId="14">'Avg Week Namugongo-Kireka'!$1:$8</definedName>
    <definedName name="_xlnm.Print_Titles" localSheetId="16">'Avg Week Namugongo-Kireka-2Dir'!$1:$8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73" i="111" l="1"/>
  <c r="T24" i="108"/>
  <c r="Y31" i="108"/>
  <c r="AB32" i="108"/>
  <c r="AA33" i="108"/>
  <c r="D58" i="108"/>
  <c r="T22" i="108" s="1"/>
  <c r="E58" i="108"/>
  <c r="F58" i="108"/>
  <c r="G58" i="108"/>
  <c r="H58" i="108"/>
  <c r="I58" i="108"/>
  <c r="Y22" i="108" s="1"/>
  <c r="J58" i="108"/>
  <c r="K58" i="108"/>
  <c r="L58" i="108"/>
  <c r="AB22" i="108" s="1"/>
  <c r="M58" i="108"/>
  <c r="N58" i="108"/>
  <c r="D59" i="108"/>
  <c r="E59" i="108"/>
  <c r="F59" i="108"/>
  <c r="G59" i="108"/>
  <c r="H59" i="108"/>
  <c r="I59" i="108"/>
  <c r="J59" i="108"/>
  <c r="K59" i="108"/>
  <c r="L59" i="108"/>
  <c r="M59" i="108"/>
  <c r="N59" i="108"/>
  <c r="AD22" i="108" s="1"/>
  <c r="D60" i="108"/>
  <c r="E60" i="108"/>
  <c r="F60" i="108"/>
  <c r="G60" i="108"/>
  <c r="H60" i="108"/>
  <c r="I60" i="108"/>
  <c r="J60" i="108"/>
  <c r="K60" i="108"/>
  <c r="L60" i="108"/>
  <c r="M60" i="108"/>
  <c r="N60" i="108"/>
  <c r="D61" i="108"/>
  <c r="E61" i="108"/>
  <c r="F61" i="108"/>
  <c r="G61" i="108"/>
  <c r="H61" i="108"/>
  <c r="I61" i="108"/>
  <c r="J61" i="108"/>
  <c r="Z22" i="108" s="1"/>
  <c r="K61" i="108"/>
  <c r="L61" i="108"/>
  <c r="M61" i="108"/>
  <c r="N61" i="108"/>
  <c r="D62" i="108"/>
  <c r="E62" i="108"/>
  <c r="U23" i="108" s="1"/>
  <c r="F62" i="108"/>
  <c r="G62" i="108"/>
  <c r="H62" i="108"/>
  <c r="I62" i="108"/>
  <c r="J62" i="108"/>
  <c r="K62" i="108"/>
  <c r="L62" i="108"/>
  <c r="M62" i="108"/>
  <c r="AC23" i="108" s="1"/>
  <c r="N62" i="108"/>
  <c r="D63" i="108"/>
  <c r="E63" i="108"/>
  <c r="F63" i="108"/>
  <c r="G63" i="108"/>
  <c r="H63" i="108"/>
  <c r="I63" i="108"/>
  <c r="J63" i="108"/>
  <c r="K63" i="108"/>
  <c r="L63" i="108"/>
  <c r="M63" i="108"/>
  <c r="N63" i="108"/>
  <c r="D64" i="108"/>
  <c r="E64" i="108"/>
  <c r="F64" i="108"/>
  <c r="G64" i="108"/>
  <c r="H64" i="108"/>
  <c r="I64" i="108"/>
  <c r="J64" i="108"/>
  <c r="K64" i="108"/>
  <c r="L64" i="108"/>
  <c r="M64" i="108"/>
  <c r="N64" i="108"/>
  <c r="D65" i="108"/>
  <c r="E65" i="108"/>
  <c r="F65" i="108"/>
  <c r="G65" i="108"/>
  <c r="H65" i="108"/>
  <c r="I65" i="108"/>
  <c r="J65" i="108"/>
  <c r="K65" i="108"/>
  <c r="L65" i="108"/>
  <c r="M65" i="108"/>
  <c r="N65" i="108"/>
  <c r="D66" i="108"/>
  <c r="E66" i="108"/>
  <c r="F66" i="108"/>
  <c r="G66" i="108"/>
  <c r="H66" i="108"/>
  <c r="I66" i="108"/>
  <c r="Y24" i="108" s="1"/>
  <c r="J66" i="108"/>
  <c r="K66" i="108"/>
  <c r="L66" i="108"/>
  <c r="AB24" i="108" s="1"/>
  <c r="M66" i="108"/>
  <c r="N66" i="108"/>
  <c r="D67" i="108"/>
  <c r="E67" i="108"/>
  <c r="F67" i="108"/>
  <c r="G67" i="108"/>
  <c r="H67" i="108"/>
  <c r="I67" i="108"/>
  <c r="J67" i="108"/>
  <c r="K67" i="108"/>
  <c r="L67" i="108"/>
  <c r="M67" i="108"/>
  <c r="N67" i="108"/>
  <c r="D68" i="108"/>
  <c r="E68" i="108"/>
  <c r="P68" i="108" s="1"/>
  <c r="F68" i="108"/>
  <c r="G68" i="108"/>
  <c r="H68" i="108"/>
  <c r="I68" i="108"/>
  <c r="J68" i="108"/>
  <c r="K68" i="108"/>
  <c r="L68" i="108"/>
  <c r="M68" i="108"/>
  <c r="N68" i="108"/>
  <c r="D69" i="108"/>
  <c r="E69" i="108"/>
  <c r="F69" i="108"/>
  <c r="G69" i="108"/>
  <c r="H69" i="108"/>
  <c r="I69" i="108"/>
  <c r="J69" i="108"/>
  <c r="Z24" i="108" s="1"/>
  <c r="K69" i="108"/>
  <c r="L69" i="108"/>
  <c r="M69" i="108"/>
  <c r="N69" i="108"/>
  <c r="D70" i="108"/>
  <c r="E70" i="108"/>
  <c r="U25" i="108" s="1"/>
  <c r="F70" i="108"/>
  <c r="G70" i="108"/>
  <c r="H70" i="108"/>
  <c r="I70" i="108"/>
  <c r="J70" i="108"/>
  <c r="K70" i="108"/>
  <c r="AA25" i="108" s="1"/>
  <c r="L70" i="108"/>
  <c r="M70" i="108"/>
  <c r="AC25" i="108" s="1"/>
  <c r="N70" i="108"/>
  <c r="D71" i="108"/>
  <c r="E71" i="108"/>
  <c r="F71" i="108"/>
  <c r="G71" i="108"/>
  <c r="H71" i="108"/>
  <c r="I71" i="108"/>
  <c r="J71" i="108"/>
  <c r="K71" i="108"/>
  <c r="L71" i="108"/>
  <c r="M71" i="108"/>
  <c r="N71" i="108"/>
  <c r="D72" i="108"/>
  <c r="E72" i="108"/>
  <c r="F72" i="108"/>
  <c r="G72" i="108"/>
  <c r="H72" i="108"/>
  <c r="I72" i="108"/>
  <c r="J72" i="108"/>
  <c r="K72" i="108"/>
  <c r="L72" i="108"/>
  <c r="M72" i="108"/>
  <c r="N72" i="108"/>
  <c r="D73" i="108"/>
  <c r="P73" i="108" s="1"/>
  <c r="E73" i="108"/>
  <c r="F73" i="108"/>
  <c r="G73" i="108"/>
  <c r="H73" i="108"/>
  <c r="I73" i="108"/>
  <c r="J73" i="108"/>
  <c r="K73" i="108"/>
  <c r="L73" i="108"/>
  <c r="M73" i="108"/>
  <c r="N73" i="108"/>
  <c r="D74" i="108"/>
  <c r="E74" i="108"/>
  <c r="F74" i="108"/>
  <c r="G74" i="108"/>
  <c r="H74" i="108"/>
  <c r="I74" i="108"/>
  <c r="Y26" i="108" s="1"/>
  <c r="J74" i="108"/>
  <c r="K74" i="108"/>
  <c r="L74" i="108"/>
  <c r="M74" i="108"/>
  <c r="N74" i="108"/>
  <c r="D75" i="108"/>
  <c r="E75" i="108"/>
  <c r="F75" i="108"/>
  <c r="V26" i="108" s="1"/>
  <c r="G75" i="108"/>
  <c r="H75" i="108"/>
  <c r="I75" i="108"/>
  <c r="J75" i="108"/>
  <c r="K75" i="108"/>
  <c r="L75" i="108"/>
  <c r="M75" i="108"/>
  <c r="N75" i="108"/>
  <c r="D76" i="108"/>
  <c r="E76" i="108"/>
  <c r="F76" i="108"/>
  <c r="G76" i="108"/>
  <c r="H76" i="108"/>
  <c r="I76" i="108"/>
  <c r="J76" i="108"/>
  <c r="K76" i="108"/>
  <c r="L76" i="108"/>
  <c r="M76" i="108"/>
  <c r="N76" i="108"/>
  <c r="D77" i="108"/>
  <c r="E77" i="108"/>
  <c r="F77" i="108"/>
  <c r="G77" i="108"/>
  <c r="H77" i="108"/>
  <c r="P77" i="108" s="1"/>
  <c r="I77" i="108"/>
  <c r="J77" i="108"/>
  <c r="K77" i="108"/>
  <c r="L77" i="108"/>
  <c r="M77" i="108"/>
  <c r="N77" i="108"/>
  <c r="D78" i="108"/>
  <c r="E78" i="108"/>
  <c r="U27" i="108" s="1"/>
  <c r="F78" i="108"/>
  <c r="G78" i="108"/>
  <c r="H78" i="108"/>
  <c r="I78" i="108"/>
  <c r="J78" i="108"/>
  <c r="K78" i="108"/>
  <c r="AA27" i="108" s="1"/>
  <c r="L78" i="108"/>
  <c r="M78" i="108"/>
  <c r="AC27" i="108" s="1"/>
  <c r="N78" i="108"/>
  <c r="D79" i="108"/>
  <c r="E79" i="108"/>
  <c r="F79" i="108"/>
  <c r="G79" i="108"/>
  <c r="H79" i="108"/>
  <c r="I79" i="108"/>
  <c r="J79" i="108"/>
  <c r="K79" i="108"/>
  <c r="L79" i="108"/>
  <c r="M79" i="108"/>
  <c r="N79" i="108"/>
  <c r="D80" i="108"/>
  <c r="E80" i="108"/>
  <c r="F80" i="108"/>
  <c r="G80" i="108"/>
  <c r="H80" i="108"/>
  <c r="I80" i="108"/>
  <c r="Y27" i="108" s="1"/>
  <c r="J80" i="108"/>
  <c r="K80" i="108"/>
  <c r="L80" i="108"/>
  <c r="M80" i="108"/>
  <c r="N80" i="108"/>
  <c r="D81" i="108"/>
  <c r="P81" i="108" s="1"/>
  <c r="E81" i="108"/>
  <c r="F81" i="108"/>
  <c r="G81" i="108"/>
  <c r="H81" i="108"/>
  <c r="I81" i="108"/>
  <c r="J81" i="108"/>
  <c r="K81" i="108"/>
  <c r="L81" i="108"/>
  <c r="L81" i="111" s="1"/>
  <c r="M81" i="108"/>
  <c r="N81" i="108"/>
  <c r="D82" i="108"/>
  <c r="T28" i="108" s="1"/>
  <c r="E82" i="108"/>
  <c r="F82" i="108"/>
  <c r="G82" i="108"/>
  <c r="H82" i="108"/>
  <c r="I82" i="108"/>
  <c r="Y28" i="108" s="1"/>
  <c r="J82" i="108"/>
  <c r="K82" i="108"/>
  <c r="L82" i="108"/>
  <c r="AB28" i="108" s="1"/>
  <c r="M82" i="108"/>
  <c r="N82" i="108"/>
  <c r="D83" i="108"/>
  <c r="E83" i="108"/>
  <c r="F83" i="108"/>
  <c r="G83" i="108"/>
  <c r="H83" i="108"/>
  <c r="I83" i="108"/>
  <c r="J83" i="108"/>
  <c r="K83" i="108"/>
  <c r="L83" i="108"/>
  <c r="M83" i="108"/>
  <c r="N83" i="108"/>
  <c r="D84" i="108"/>
  <c r="E84" i="108"/>
  <c r="F84" i="108"/>
  <c r="G84" i="108"/>
  <c r="H84" i="108"/>
  <c r="I84" i="108"/>
  <c r="J84" i="108"/>
  <c r="K84" i="108"/>
  <c r="L84" i="108"/>
  <c r="M84" i="108"/>
  <c r="AC28" i="108" s="1"/>
  <c r="N84" i="108"/>
  <c r="D85" i="108"/>
  <c r="E85" i="108"/>
  <c r="F85" i="108"/>
  <c r="G85" i="108"/>
  <c r="H85" i="108"/>
  <c r="P85" i="108" s="1"/>
  <c r="I85" i="108"/>
  <c r="J85" i="108"/>
  <c r="K85" i="108"/>
  <c r="L85" i="108"/>
  <c r="M85" i="108"/>
  <c r="N85" i="108"/>
  <c r="D86" i="108"/>
  <c r="E86" i="108"/>
  <c r="U29" i="108" s="1"/>
  <c r="F86" i="108"/>
  <c r="G86" i="108"/>
  <c r="H86" i="108"/>
  <c r="X29" i="108" s="1"/>
  <c r="I86" i="108"/>
  <c r="J86" i="108"/>
  <c r="K86" i="108"/>
  <c r="AA29" i="108" s="1"/>
  <c r="L86" i="108"/>
  <c r="M86" i="108"/>
  <c r="AC29" i="108" s="1"/>
  <c r="N86" i="108"/>
  <c r="D87" i="108"/>
  <c r="E87" i="108"/>
  <c r="F87" i="108"/>
  <c r="G87" i="108"/>
  <c r="H87" i="108"/>
  <c r="I87" i="108"/>
  <c r="J87" i="108"/>
  <c r="K87" i="108"/>
  <c r="L87" i="108"/>
  <c r="M87" i="108"/>
  <c r="N87" i="108"/>
  <c r="D88" i="108"/>
  <c r="E88" i="108"/>
  <c r="F88" i="108"/>
  <c r="G88" i="108"/>
  <c r="H88" i="108"/>
  <c r="I88" i="108"/>
  <c r="J88" i="108"/>
  <c r="K88" i="108"/>
  <c r="L88" i="108"/>
  <c r="M88" i="108"/>
  <c r="N88" i="108"/>
  <c r="D89" i="108"/>
  <c r="P89" i="108" s="1"/>
  <c r="E89" i="108"/>
  <c r="F89" i="108"/>
  <c r="G89" i="108"/>
  <c r="H89" i="108"/>
  <c r="I89" i="108"/>
  <c r="J89" i="108"/>
  <c r="K89" i="108"/>
  <c r="L89" i="108"/>
  <c r="M89" i="108"/>
  <c r="N89" i="108"/>
  <c r="D90" i="108"/>
  <c r="T30" i="108" s="1"/>
  <c r="E90" i="108"/>
  <c r="F90" i="108"/>
  <c r="G90" i="108"/>
  <c r="H90" i="108"/>
  <c r="I90" i="108"/>
  <c r="Y30" i="108" s="1"/>
  <c r="J90" i="108"/>
  <c r="K90" i="108"/>
  <c r="L90" i="108"/>
  <c r="AB30" i="108" s="1"/>
  <c r="M90" i="108"/>
  <c r="N90" i="108"/>
  <c r="D91" i="108"/>
  <c r="E91" i="108"/>
  <c r="F91" i="108"/>
  <c r="V30" i="108" s="1"/>
  <c r="G91" i="108"/>
  <c r="H91" i="108"/>
  <c r="I91" i="108"/>
  <c r="J91" i="108"/>
  <c r="K91" i="108"/>
  <c r="L91" i="108"/>
  <c r="M91" i="108"/>
  <c r="N91" i="108"/>
  <c r="D92" i="108"/>
  <c r="E92" i="108"/>
  <c r="F92" i="108"/>
  <c r="G92" i="108"/>
  <c r="H92" i="108"/>
  <c r="I92" i="108"/>
  <c r="J92" i="108"/>
  <c r="K92" i="108"/>
  <c r="L92" i="108"/>
  <c r="M92" i="108"/>
  <c r="N92" i="108"/>
  <c r="D93" i="108"/>
  <c r="E93" i="108"/>
  <c r="F93" i="108"/>
  <c r="G93" i="108"/>
  <c r="H93" i="108"/>
  <c r="P93" i="108" s="1"/>
  <c r="I93" i="108"/>
  <c r="J93" i="108"/>
  <c r="K93" i="108"/>
  <c r="L93" i="108"/>
  <c r="M93" i="108"/>
  <c r="N93" i="108"/>
  <c r="D94" i="108"/>
  <c r="E94" i="108"/>
  <c r="U31" i="108" s="1"/>
  <c r="F94" i="108"/>
  <c r="G94" i="108"/>
  <c r="H94" i="108"/>
  <c r="I94" i="108"/>
  <c r="J94" i="108"/>
  <c r="K94" i="108"/>
  <c r="L94" i="108"/>
  <c r="M94" i="108"/>
  <c r="AC31" i="108" s="1"/>
  <c r="N94" i="108"/>
  <c r="D95" i="108"/>
  <c r="E95" i="108"/>
  <c r="F95" i="108"/>
  <c r="G95" i="108"/>
  <c r="H95" i="108"/>
  <c r="I95" i="108"/>
  <c r="J95" i="108"/>
  <c r="K95" i="108"/>
  <c r="L95" i="108"/>
  <c r="M95" i="108"/>
  <c r="N95" i="108"/>
  <c r="D96" i="108"/>
  <c r="E96" i="108"/>
  <c r="F96" i="108"/>
  <c r="G96" i="108"/>
  <c r="H96" i="108"/>
  <c r="I96" i="108"/>
  <c r="J96" i="108"/>
  <c r="K96" i="108"/>
  <c r="L96" i="108"/>
  <c r="M96" i="108"/>
  <c r="N96" i="108"/>
  <c r="D97" i="108"/>
  <c r="P97" i="108" s="1"/>
  <c r="E97" i="108"/>
  <c r="F97" i="108"/>
  <c r="V31" i="108" s="1"/>
  <c r="G97" i="108"/>
  <c r="H97" i="108"/>
  <c r="I97" i="108"/>
  <c r="J97" i="108"/>
  <c r="K97" i="108"/>
  <c r="L97" i="108"/>
  <c r="M97" i="108"/>
  <c r="N97" i="108"/>
  <c r="D98" i="108"/>
  <c r="T32" i="108" s="1"/>
  <c r="E98" i="108"/>
  <c r="F98" i="108"/>
  <c r="G98" i="108"/>
  <c r="H98" i="108"/>
  <c r="I98" i="108"/>
  <c r="P98" i="108" s="1"/>
  <c r="J98" i="108"/>
  <c r="K98" i="108"/>
  <c r="L98" i="108"/>
  <c r="M98" i="108"/>
  <c r="N98" i="108"/>
  <c r="D99" i="108"/>
  <c r="E99" i="108"/>
  <c r="F99" i="108"/>
  <c r="G99" i="108"/>
  <c r="H99" i="108"/>
  <c r="I99" i="108"/>
  <c r="J99" i="108"/>
  <c r="K99" i="108"/>
  <c r="L99" i="108"/>
  <c r="M99" i="108"/>
  <c r="N99" i="108"/>
  <c r="D100" i="108"/>
  <c r="E100" i="108"/>
  <c r="F100" i="108"/>
  <c r="G100" i="108"/>
  <c r="H100" i="108"/>
  <c r="I100" i="108"/>
  <c r="J100" i="108"/>
  <c r="K100" i="108"/>
  <c r="L100" i="108"/>
  <c r="M100" i="108"/>
  <c r="N100" i="108"/>
  <c r="D101" i="108"/>
  <c r="E101" i="108"/>
  <c r="F101" i="108"/>
  <c r="G101" i="108"/>
  <c r="H101" i="108"/>
  <c r="P101" i="108" s="1"/>
  <c r="I101" i="108"/>
  <c r="J101" i="108"/>
  <c r="K101" i="108"/>
  <c r="L101" i="108"/>
  <c r="M101" i="108"/>
  <c r="N101" i="108"/>
  <c r="D102" i="108"/>
  <c r="E102" i="108"/>
  <c r="U33" i="108" s="1"/>
  <c r="F102" i="108"/>
  <c r="G102" i="108"/>
  <c r="H102" i="108"/>
  <c r="I102" i="108"/>
  <c r="J102" i="108"/>
  <c r="K102" i="108"/>
  <c r="L102" i="108"/>
  <c r="M102" i="108"/>
  <c r="AC33" i="108" s="1"/>
  <c r="N102" i="108"/>
  <c r="D103" i="108"/>
  <c r="E103" i="108"/>
  <c r="F103" i="108"/>
  <c r="G103" i="108"/>
  <c r="H103" i="108"/>
  <c r="I103" i="108"/>
  <c r="J103" i="108"/>
  <c r="K103" i="108"/>
  <c r="L103" i="108"/>
  <c r="M103" i="108"/>
  <c r="N103" i="108"/>
  <c r="D104" i="108"/>
  <c r="E104" i="108"/>
  <c r="F104" i="108"/>
  <c r="G104" i="108"/>
  <c r="H104" i="108"/>
  <c r="I104" i="108"/>
  <c r="J104" i="108"/>
  <c r="K104" i="108"/>
  <c r="L104" i="108"/>
  <c r="M104" i="108"/>
  <c r="N104" i="108"/>
  <c r="D105" i="108"/>
  <c r="P105" i="108" s="1"/>
  <c r="E105" i="108"/>
  <c r="F105" i="108"/>
  <c r="G105" i="108"/>
  <c r="H105" i="108"/>
  <c r="I105" i="108"/>
  <c r="J105" i="108"/>
  <c r="K105" i="108"/>
  <c r="L105" i="108"/>
  <c r="M105" i="108"/>
  <c r="N105" i="108"/>
  <c r="C59" i="108"/>
  <c r="C60" i="108"/>
  <c r="C61" i="108"/>
  <c r="C62" i="108"/>
  <c r="C63" i="108"/>
  <c r="C64" i="108"/>
  <c r="P64" i="108" s="1"/>
  <c r="C65" i="108"/>
  <c r="C66" i="108"/>
  <c r="C67" i="108"/>
  <c r="C68" i="108"/>
  <c r="C69" i="108"/>
  <c r="C70" i="108"/>
  <c r="C71" i="108"/>
  <c r="C72" i="108"/>
  <c r="C73" i="108"/>
  <c r="C74" i="108"/>
  <c r="C75" i="108"/>
  <c r="C76" i="108"/>
  <c r="C77" i="108"/>
  <c r="C78" i="108"/>
  <c r="C79" i="108"/>
  <c r="C80" i="108"/>
  <c r="C81" i="108"/>
  <c r="C82" i="108"/>
  <c r="C83" i="108"/>
  <c r="C84" i="108"/>
  <c r="C85" i="108"/>
  <c r="C86" i="108"/>
  <c r="C87" i="108"/>
  <c r="C88" i="108"/>
  <c r="C89" i="108"/>
  <c r="C90" i="108"/>
  <c r="C91" i="108"/>
  <c r="C92" i="108"/>
  <c r="C93" i="108"/>
  <c r="C94" i="108"/>
  <c r="C95" i="108"/>
  <c r="C96" i="108"/>
  <c r="C97" i="108"/>
  <c r="C98" i="108"/>
  <c r="C99" i="108"/>
  <c r="C100" i="108"/>
  <c r="C101" i="108"/>
  <c r="C102" i="108"/>
  <c r="C103" i="108"/>
  <c r="C104" i="108"/>
  <c r="C105" i="108"/>
  <c r="C58" i="108"/>
  <c r="T22" i="107"/>
  <c r="AB22" i="107"/>
  <c r="X23" i="107"/>
  <c r="V25" i="107"/>
  <c r="T27" i="107"/>
  <c r="AB27" i="107"/>
  <c r="U30" i="107"/>
  <c r="D58" i="107"/>
  <c r="D58" i="111" s="1"/>
  <c r="E58" i="107"/>
  <c r="F58" i="107"/>
  <c r="F58" i="111" s="1"/>
  <c r="G58" i="107"/>
  <c r="G58" i="111" s="1"/>
  <c r="H58" i="107"/>
  <c r="H58" i="111" s="1"/>
  <c r="I58" i="107"/>
  <c r="Y22" i="107" s="1"/>
  <c r="J58" i="107"/>
  <c r="J58" i="111" s="1"/>
  <c r="K58" i="107"/>
  <c r="L58" i="107"/>
  <c r="L58" i="111" s="1"/>
  <c r="M58" i="107"/>
  <c r="N58" i="107"/>
  <c r="N58" i="111" s="1"/>
  <c r="D59" i="107"/>
  <c r="D59" i="111" s="1"/>
  <c r="E59" i="107"/>
  <c r="E59" i="111" s="1"/>
  <c r="F59" i="107"/>
  <c r="G59" i="107"/>
  <c r="G59" i="111" s="1"/>
  <c r="H59" i="107"/>
  <c r="H59" i="111" s="1"/>
  <c r="I59" i="107"/>
  <c r="I59" i="111" s="1"/>
  <c r="J59" i="107"/>
  <c r="J59" i="111" s="1"/>
  <c r="K59" i="107"/>
  <c r="K59" i="111" s="1"/>
  <c r="L59" i="107"/>
  <c r="L59" i="111" s="1"/>
  <c r="M59" i="107"/>
  <c r="M59" i="111" s="1"/>
  <c r="N59" i="107"/>
  <c r="D60" i="107"/>
  <c r="D60" i="111" s="1"/>
  <c r="E60" i="107"/>
  <c r="E60" i="111" s="1"/>
  <c r="F60" i="107"/>
  <c r="F60" i="111" s="1"/>
  <c r="G60" i="107"/>
  <c r="G60" i="111" s="1"/>
  <c r="H60" i="107"/>
  <c r="H60" i="111" s="1"/>
  <c r="I60" i="107"/>
  <c r="I60" i="111" s="1"/>
  <c r="J60" i="107"/>
  <c r="J60" i="111" s="1"/>
  <c r="K60" i="107"/>
  <c r="L60" i="107"/>
  <c r="L60" i="111" s="1"/>
  <c r="M60" i="107"/>
  <c r="M60" i="111" s="1"/>
  <c r="N60" i="107"/>
  <c r="N60" i="111" s="1"/>
  <c r="D61" i="107"/>
  <c r="D61" i="111" s="1"/>
  <c r="E61" i="107"/>
  <c r="E61" i="111" s="1"/>
  <c r="F61" i="107"/>
  <c r="F61" i="111" s="1"/>
  <c r="G61" i="107"/>
  <c r="G61" i="111" s="1"/>
  <c r="H61" i="107"/>
  <c r="I61" i="107"/>
  <c r="I61" i="111" s="1"/>
  <c r="J61" i="107"/>
  <c r="J61" i="111" s="1"/>
  <c r="K61" i="107"/>
  <c r="K61" i="111" s="1"/>
  <c r="L61" i="107"/>
  <c r="L61" i="111" s="1"/>
  <c r="M61" i="107"/>
  <c r="M61" i="111" s="1"/>
  <c r="N61" i="107"/>
  <c r="N61" i="111" s="1"/>
  <c r="D62" i="107"/>
  <c r="D62" i="111" s="1"/>
  <c r="E62" i="107"/>
  <c r="U23" i="107" s="1"/>
  <c r="F62" i="107"/>
  <c r="F62" i="111" s="1"/>
  <c r="G62" i="107"/>
  <c r="H62" i="107"/>
  <c r="H62" i="111" s="1"/>
  <c r="I62" i="107"/>
  <c r="J62" i="107"/>
  <c r="J62" i="111" s="1"/>
  <c r="K62" i="107"/>
  <c r="K62" i="111" s="1"/>
  <c r="L62" i="107"/>
  <c r="L62" i="111" s="1"/>
  <c r="M62" i="107"/>
  <c r="AC23" i="107" s="1"/>
  <c r="N62" i="107"/>
  <c r="N62" i="111" s="1"/>
  <c r="AD23" i="111" s="1"/>
  <c r="D63" i="107"/>
  <c r="D63" i="111" s="1"/>
  <c r="E63" i="107"/>
  <c r="E63" i="111" s="1"/>
  <c r="F63" i="107"/>
  <c r="F63" i="111" s="1"/>
  <c r="G63" i="107"/>
  <c r="G63" i="111" s="1"/>
  <c r="H63" i="107"/>
  <c r="H63" i="111" s="1"/>
  <c r="I63" i="107"/>
  <c r="I63" i="111" s="1"/>
  <c r="J63" i="107"/>
  <c r="K63" i="107"/>
  <c r="K63" i="111" s="1"/>
  <c r="L63" i="107"/>
  <c r="L63" i="111" s="1"/>
  <c r="M63" i="107"/>
  <c r="M63" i="111" s="1"/>
  <c r="N63" i="107"/>
  <c r="N63" i="111" s="1"/>
  <c r="D64" i="107"/>
  <c r="D64" i="111" s="1"/>
  <c r="E64" i="107"/>
  <c r="E64" i="111" s="1"/>
  <c r="F64" i="107"/>
  <c r="F64" i="111" s="1"/>
  <c r="G64" i="107"/>
  <c r="H64" i="107"/>
  <c r="H64" i="111" s="1"/>
  <c r="I64" i="107"/>
  <c r="I64" i="111" s="1"/>
  <c r="J64" i="107"/>
  <c r="J64" i="111" s="1"/>
  <c r="K64" i="107"/>
  <c r="K64" i="111" s="1"/>
  <c r="L64" i="107"/>
  <c r="L64" i="111" s="1"/>
  <c r="M64" i="107"/>
  <c r="M64" i="111" s="1"/>
  <c r="N64" i="107"/>
  <c r="N64" i="111" s="1"/>
  <c r="D65" i="107"/>
  <c r="E65" i="107"/>
  <c r="E65" i="111" s="1"/>
  <c r="F65" i="107"/>
  <c r="F65" i="111" s="1"/>
  <c r="G65" i="107"/>
  <c r="G65" i="111" s="1"/>
  <c r="H65" i="107"/>
  <c r="H65" i="111" s="1"/>
  <c r="I65" i="107"/>
  <c r="I65" i="111" s="1"/>
  <c r="J65" i="107"/>
  <c r="J65" i="111" s="1"/>
  <c r="K65" i="107"/>
  <c r="K65" i="111" s="1"/>
  <c r="L65" i="107"/>
  <c r="M65" i="107"/>
  <c r="M65" i="111" s="1"/>
  <c r="N65" i="107"/>
  <c r="N65" i="111" s="1"/>
  <c r="D66" i="107"/>
  <c r="D66" i="111" s="1"/>
  <c r="E66" i="107"/>
  <c r="F66" i="107"/>
  <c r="F66" i="111" s="1"/>
  <c r="G66" i="107"/>
  <c r="G66" i="111" s="1"/>
  <c r="H66" i="107"/>
  <c r="I66" i="107"/>
  <c r="J66" i="107"/>
  <c r="J66" i="111" s="1"/>
  <c r="K66" i="107"/>
  <c r="K66" i="111" s="1"/>
  <c r="L66" i="107"/>
  <c r="L66" i="111" s="1"/>
  <c r="M66" i="107"/>
  <c r="N66" i="107"/>
  <c r="N66" i="111" s="1"/>
  <c r="D67" i="107"/>
  <c r="D67" i="111" s="1"/>
  <c r="E67" i="107"/>
  <c r="E67" i="111" s="1"/>
  <c r="F67" i="107"/>
  <c r="G67" i="107"/>
  <c r="G67" i="111" s="1"/>
  <c r="H67" i="107"/>
  <c r="H67" i="111" s="1"/>
  <c r="I67" i="107"/>
  <c r="I67" i="111" s="1"/>
  <c r="J67" i="107"/>
  <c r="J67" i="111" s="1"/>
  <c r="K67" i="107"/>
  <c r="K67" i="111" s="1"/>
  <c r="L67" i="107"/>
  <c r="L67" i="111" s="1"/>
  <c r="M67" i="107"/>
  <c r="M67" i="111" s="1"/>
  <c r="N67" i="107"/>
  <c r="D68" i="107"/>
  <c r="D68" i="111" s="1"/>
  <c r="E68" i="107"/>
  <c r="E68" i="111" s="1"/>
  <c r="F68" i="107"/>
  <c r="F68" i="111" s="1"/>
  <c r="G68" i="107"/>
  <c r="G68" i="111" s="1"/>
  <c r="H68" i="107"/>
  <c r="H68" i="111" s="1"/>
  <c r="I68" i="107"/>
  <c r="I68" i="111" s="1"/>
  <c r="J68" i="107"/>
  <c r="J68" i="111" s="1"/>
  <c r="K68" i="107"/>
  <c r="L68" i="107"/>
  <c r="L68" i="111" s="1"/>
  <c r="M68" i="107"/>
  <c r="M68" i="111" s="1"/>
  <c r="N68" i="107"/>
  <c r="N68" i="111" s="1"/>
  <c r="D69" i="107"/>
  <c r="D69" i="111" s="1"/>
  <c r="E69" i="107"/>
  <c r="E69" i="111" s="1"/>
  <c r="F69" i="107"/>
  <c r="F69" i="111" s="1"/>
  <c r="G69" i="107"/>
  <c r="G69" i="111" s="1"/>
  <c r="H69" i="107"/>
  <c r="I69" i="107"/>
  <c r="I69" i="111" s="1"/>
  <c r="J69" i="107"/>
  <c r="J69" i="111" s="1"/>
  <c r="K69" i="107"/>
  <c r="K69" i="111" s="1"/>
  <c r="L69" i="107"/>
  <c r="L69" i="111" s="1"/>
  <c r="M69" i="107"/>
  <c r="M69" i="111" s="1"/>
  <c r="N69" i="107"/>
  <c r="N69" i="111" s="1"/>
  <c r="D70" i="107"/>
  <c r="D70" i="111" s="1"/>
  <c r="E70" i="107"/>
  <c r="F70" i="107"/>
  <c r="F70" i="111" s="1"/>
  <c r="V25" i="111" s="1"/>
  <c r="G70" i="107"/>
  <c r="H70" i="107"/>
  <c r="I70" i="107"/>
  <c r="J70" i="107"/>
  <c r="K70" i="107"/>
  <c r="L70" i="107"/>
  <c r="L70" i="111" s="1"/>
  <c r="M70" i="107"/>
  <c r="N70" i="107"/>
  <c r="N70" i="111" s="1"/>
  <c r="AD25" i="111" s="1"/>
  <c r="D71" i="107"/>
  <c r="D71" i="111" s="1"/>
  <c r="E71" i="107"/>
  <c r="E71" i="111" s="1"/>
  <c r="F71" i="107"/>
  <c r="F71" i="111" s="1"/>
  <c r="G71" i="107"/>
  <c r="G71" i="111" s="1"/>
  <c r="H71" i="107"/>
  <c r="H71" i="111" s="1"/>
  <c r="I71" i="107"/>
  <c r="I71" i="111" s="1"/>
  <c r="J71" i="107"/>
  <c r="K71" i="107"/>
  <c r="K71" i="111" s="1"/>
  <c r="L71" i="107"/>
  <c r="L71" i="111" s="1"/>
  <c r="M71" i="107"/>
  <c r="M71" i="111" s="1"/>
  <c r="N71" i="107"/>
  <c r="N71" i="111" s="1"/>
  <c r="D72" i="107"/>
  <c r="D72" i="111" s="1"/>
  <c r="E72" i="107"/>
  <c r="E72" i="111" s="1"/>
  <c r="F72" i="107"/>
  <c r="F72" i="111" s="1"/>
  <c r="G72" i="107"/>
  <c r="H72" i="107"/>
  <c r="H72" i="111" s="1"/>
  <c r="I72" i="107"/>
  <c r="I72" i="111" s="1"/>
  <c r="J72" i="107"/>
  <c r="J72" i="111" s="1"/>
  <c r="K72" i="107"/>
  <c r="K72" i="111" s="1"/>
  <c r="L72" i="107"/>
  <c r="L72" i="111" s="1"/>
  <c r="M72" i="107"/>
  <c r="M72" i="111" s="1"/>
  <c r="N72" i="107"/>
  <c r="N72" i="111" s="1"/>
  <c r="D73" i="107"/>
  <c r="E73" i="107"/>
  <c r="E73" i="111" s="1"/>
  <c r="F73" i="107"/>
  <c r="F73" i="111" s="1"/>
  <c r="G73" i="107"/>
  <c r="G73" i="111" s="1"/>
  <c r="H73" i="107"/>
  <c r="H73" i="111" s="1"/>
  <c r="I73" i="107"/>
  <c r="I73" i="111" s="1"/>
  <c r="J73" i="107"/>
  <c r="J73" i="111" s="1"/>
  <c r="K73" i="107"/>
  <c r="K73" i="111" s="1"/>
  <c r="L73" i="107"/>
  <c r="M73" i="107"/>
  <c r="M73" i="111" s="1"/>
  <c r="N73" i="107"/>
  <c r="D74" i="107"/>
  <c r="E74" i="107"/>
  <c r="F74" i="107"/>
  <c r="G74" i="107"/>
  <c r="G74" i="111" s="1"/>
  <c r="H74" i="107"/>
  <c r="I74" i="107"/>
  <c r="J74" i="107"/>
  <c r="K74" i="107"/>
  <c r="L74" i="107"/>
  <c r="M74" i="107"/>
  <c r="N74" i="107"/>
  <c r="D75" i="107"/>
  <c r="D75" i="111" s="1"/>
  <c r="E75" i="107"/>
  <c r="E75" i="111" s="1"/>
  <c r="F75" i="107"/>
  <c r="G75" i="107"/>
  <c r="G75" i="111" s="1"/>
  <c r="H75" i="107"/>
  <c r="H75" i="111" s="1"/>
  <c r="I75" i="107"/>
  <c r="I75" i="111" s="1"/>
  <c r="J75" i="107"/>
  <c r="J75" i="111" s="1"/>
  <c r="K75" i="107"/>
  <c r="K75" i="111" s="1"/>
  <c r="L75" i="107"/>
  <c r="L75" i="111" s="1"/>
  <c r="M75" i="107"/>
  <c r="M75" i="111" s="1"/>
  <c r="N75" i="107"/>
  <c r="D76" i="107"/>
  <c r="D76" i="111" s="1"/>
  <c r="E76" i="107"/>
  <c r="E76" i="111" s="1"/>
  <c r="F76" i="107"/>
  <c r="F76" i="111" s="1"/>
  <c r="G76" i="107"/>
  <c r="G76" i="111" s="1"/>
  <c r="H76" i="107"/>
  <c r="H76" i="111" s="1"/>
  <c r="I76" i="107"/>
  <c r="I76" i="111" s="1"/>
  <c r="J76" i="107"/>
  <c r="J76" i="111" s="1"/>
  <c r="K76" i="107"/>
  <c r="L76" i="107"/>
  <c r="L76" i="111" s="1"/>
  <c r="M76" i="107"/>
  <c r="M76" i="111" s="1"/>
  <c r="N76" i="107"/>
  <c r="N76" i="111" s="1"/>
  <c r="D77" i="107"/>
  <c r="D77" i="111" s="1"/>
  <c r="E77" i="107"/>
  <c r="E77" i="111" s="1"/>
  <c r="F77" i="107"/>
  <c r="F77" i="111" s="1"/>
  <c r="G77" i="107"/>
  <c r="G77" i="111" s="1"/>
  <c r="H77" i="107"/>
  <c r="I77" i="107"/>
  <c r="I77" i="111" s="1"/>
  <c r="J77" i="107"/>
  <c r="J77" i="111" s="1"/>
  <c r="K77" i="107"/>
  <c r="K77" i="111" s="1"/>
  <c r="L77" i="107"/>
  <c r="L77" i="111" s="1"/>
  <c r="M77" i="107"/>
  <c r="M77" i="111" s="1"/>
  <c r="N77" i="107"/>
  <c r="N77" i="111" s="1"/>
  <c r="D78" i="107"/>
  <c r="D78" i="111" s="1"/>
  <c r="E78" i="107"/>
  <c r="F78" i="107"/>
  <c r="G78" i="107"/>
  <c r="H78" i="107"/>
  <c r="I78" i="107"/>
  <c r="J78" i="107"/>
  <c r="J78" i="111" s="1"/>
  <c r="K78" i="107"/>
  <c r="L78" i="107"/>
  <c r="L78" i="111" s="1"/>
  <c r="M78" i="107"/>
  <c r="N78" i="107"/>
  <c r="D79" i="107"/>
  <c r="D79" i="111" s="1"/>
  <c r="E79" i="107"/>
  <c r="E79" i="111" s="1"/>
  <c r="F79" i="107"/>
  <c r="F79" i="111" s="1"/>
  <c r="G79" i="107"/>
  <c r="G79" i="111" s="1"/>
  <c r="H79" i="107"/>
  <c r="H79" i="111" s="1"/>
  <c r="I79" i="107"/>
  <c r="I79" i="111" s="1"/>
  <c r="J79" i="107"/>
  <c r="K79" i="107"/>
  <c r="K79" i="111" s="1"/>
  <c r="L79" i="107"/>
  <c r="L79" i="111" s="1"/>
  <c r="M79" i="107"/>
  <c r="M79" i="111" s="1"/>
  <c r="N79" i="107"/>
  <c r="N79" i="111" s="1"/>
  <c r="D80" i="107"/>
  <c r="D80" i="111" s="1"/>
  <c r="E80" i="107"/>
  <c r="E80" i="111" s="1"/>
  <c r="F80" i="107"/>
  <c r="F80" i="111" s="1"/>
  <c r="G80" i="107"/>
  <c r="H80" i="107"/>
  <c r="H80" i="111" s="1"/>
  <c r="I80" i="107"/>
  <c r="I80" i="111" s="1"/>
  <c r="J80" i="107"/>
  <c r="J80" i="111" s="1"/>
  <c r="K80" i="107"/>
  <c r="K80" i="111" s="1"/>
  <c r="L80" i="107"/>
  <c r="L80" i="111" s="1"/>
  <c r="M80" i="107"/>
  <c r="M80" i="111" s="1"/>
  <c r="N80" i="107"/>
  <c r="N80" i="111" s="1"/>
  <c r="D81" i="107"/>
  <c r="E81" i="107"/>
  <c r="E81" i="111" s="1"/>
  <c r="F81" i="107"/>
  <c r="F81" i="111" s="1"/>
  <c r="G81" i="107"/>
  <c r="G81" i="111" s="1"/>
  <c r="H81" i="107"/>
  <c r="H81" i="111" s="1"/>
  <c r="I81" i="107"/>
  <c r="I81" i="111" s="1"/>
  <c r="J81" i="107"/>
  <c r="J81" i="111" s="1"/>
  <c r="K81" i="107"/>
  <c r="K81" i="111" s="1"/>
  <c r="L81" i="107"/>
  <c r="M81" i="107"/>
  <c r="M81" i="111" s="1"/>
  <c r="N81" i="107"/>
  <c r="N81" i="111" s="1"/>
  <c r="D82" i="107"/>
  <c r="E82" i="107"/>
  <c r="E82" i="111" s="1"/>
  <c r="F82" i="107"/>
  <c r="G82" i="107"/>
  <c r="G82" i="111" s="1"/>
  <c r="H82" i="107"/>
  <c r="I82" i="107"/>
  <c r="J82" i="107"/>
  <c r="K82" i="107"/>
  <c r="L82" i="107"/>
  <c r="M82" i="107"/>
  <c r="M82" i="111" s="1"/>
  <c r="N82" i="107"/>
  <c r="D83" i="107"/>
  <c r="D83" i="111" s="1"/>
  <c r="E83" i="107"/>
  <c r="E83" i="111" s="1"/>
  <c r="F83" i="107"/>
  <c r="G83" i="107"/>
  <c r="G83" i="111" s="1"/>
  <c r="H83" i="107"/>
  <c r="H83" i="111" s="1"/>
  <c r="I83" i="107"/>
  <c r="I83" i="111" s="1"/>
  <c r="J83" i="107"/>
  <c r="J83" i="111" s="1"/>
  <c r="K83" i="107"/>
  <c r="K83" i="111" s="1"/>
  <c r="L83" i="107"/>
  <c r="L83" i="111" s="1"/>
  <c r="M83" i="107"/>
  <c r="M83" i="111" s="1"/>
  <c r="N83" i="107"/>
  <c r="D84" i="107"/>
  <c r="D84" i="111" s="1"/>
  <c r="E84" i="107"/>
  <c r="E84" i="111" s="1"/>
  <c r="F84" i="107"/>
  <c r="F84" i="111" s="1"/>
  <c r="G84" i="107"/>
  <c r="G84" i="111" s="1"/>
  <c r="H84" i="107"/>
  <c r="H84" i="111" s="1"/>
  <c r="I84" i="107"/>
  <c r="I84" i="111" s="1"/>
  <c r="J84" i="107"/>
  <c r="J84" i="111" s="1"/>
  <c r="K84" i="107"/>
  <c r="L84" i="107"/>
  <c r="L84" i="111" s="1"/>
  <c r="M84" i="107"/>
  <c r="M84" i="111" s="1"/>
  <c r="N84" i="107"/>
  <c r="N84" i="111" s="1"/>
  <c r="D85" i="107"/>
  <c r="D85" i="111" s="1"/>
  <c r="E85" i="107"/>
  <c r="E85" i="111" s="1"/>
  <c r="F85" i="107"/>
  <c r="F85" i="111" s="1"/>
  <c r="G85" i="107"/>
  <c r="G85" i="111" s="1"/>
  <c r="H85" i="107"/>
  <c r="I85" i="107"/>
  <c r="I85" i="111" s="1"/>
  <c r="J85" i="107"/>
  <c r="J85" i="111" s="1"/>
  <c r="K85" i="107"/>
  <c r="K85" i="111" s="1"/>
  <c r="L85" i="107"/>
  <c r="L85" i="111" s="1"/>
  <c r="M85" i="107"/>
  <c r="M85" i="111" s="1"/>
  <c r="N85" i="107"/>
  <c r="N85" i="111" s="1"/>
  <c r="D86" i="107"/>
  <c r="E86" i="107"/>
  <c r="F86" i="107"/>
  <c r="G86" i="107"/>
  <c r="H86" i="107"/>
  <c r="H86" i="111" s="1"/>
  <c r="X29" i="111" s="1"/>
  <c r="I86" i="107"/>
  <c r="J86" i="107"/>
  <c r="J86" i="111" s="1"/>
  <c r="K86" i="107"/>
  <c r="L86" i="107"/>
  <c r="M86" i="107"/>
  <c r="N86" i="107"/>
  <c r="D87" i="107"/>
  <c r="D87" i="111" s="1"/>
  <c r="E87" i="107"/>
  <c r="E87" i="111" s="1"/>
  <c r="F87" i="107"/>
  <c r="F87" i="111" s="1"/>
  <c r="G87" i="107"/>
  <c r="G87" i="111" s="1"/>
  <c r="H87" i="107"/>
  <c r="H87" i="111" s="1"/>
  <c r="I87" i="107"/>
  <c r="I87" i="111" s="1"/>
  <c r="J87" i="107"/>
  <c r="J87" i="111" s="1"/>
  <c r="K87" i="107"/>
  <c r="K87" i="111" s="1"/>
  <c r="L87" i="107"/>
  <c r="L87" i="111" s="1"/>
  <c r="M87" i="107"/>
  <c r="M87" i="111" s="1"/>
  <c r="N87" i="107"/>
  <c r="N87" i="111" s="1"/>
  <c r="D88" i="107"/>
  <c r="D88" i="111" s="1"/>
  <c r="E88" i="107"/>
  <c r="E88" i="111" s="1"/>
  <c r="F88" i="107"/>
  <c r="F88" i="111" s="1"/>
  <c r="G88" i="107"/>
  <c r="H88" i="107"/>
  <c r="H88" i="111" s="1"/>
  <c r="I88" i="107"/>
  <c r="I88" i="111" s="1"/>
  <c r="J88" i="107"/>
  <c r="J88" i="111" s="1"/>
  <c r="K88" i="107"/>
  <c r="K88" i="111" s="1"/>
  <c r="L88" i="107"/>
  <c r="L88" i="111" s="1"/>
  <c r="M88" i="107"/>
  <c r="M88" i="111" s="1"/>
  <c r="N88" i="107"/>
  <c r="N88" i="111" s="1"/>
  <c r="D89" i="107"/>
  <c r="E89" i="107"/>
  <c r="E89" i="111" s="1"/>
  <c r="F89" i="107"/>
  <c r="F89" i="111" s="1"/>
  <c r="G89" i="107"/>
  <c r="G89" i="111" s="1"/>
  <c r="H89" i="107"/>
  <c r="H89" i="111" s="1"/>
  <c r="I89" i="107"/>
  <c r="I89" i="111" s="1"/>
  <c r="J89" i="107"/>
  <c r="J89" i="111" s="1"/>
  <c r="K89" i="107"/>
  <c r="K89" i="111" s="1"/>
  <c r="L89" i="107"/>
  <c r="M89" i="107"/>
  <c r="M89" i="111" s="1"/>
  <c r="N89" i="107"/>
  <c r="N89" i="111" s="1"/>
  <c r="D90" i="107"/>
  <c r="E90" i="107"/>
  <c r="E90" i="111" s="1"/>
  <c r="F90" i="107"/>
  <c r="G90" i="107"/>
  <c r="H90" i="107"/>
  <c r="I90" i="107"/>
  <c r="J90" i="107"/>
  <c r="K90" i="107"/>
  <c r="K90" i="111" s="1"/>
  <c r="L90" i="107"/>
  <c r="M90" i="107"/>
  <c r="M90" i="111" s="1"/>
  <c r="N90" i="107"/>
  <c r="D91" i="107"/>
  <c r="D91" i="111" s="1"/>
  <c r="E91" i="107"/>
  <c r="E91" i="111" s="1"/>
  <c r="F91" i="107"/>
  <c r="G91" i="107"/>
  <c r="G91" i="111" s="1"/>
  <c r="H91" i="107"/>
  <c r="H91" i="111" s="1"/>
  <c r="I91" i="107"/>
  <c r="I91" i="111" s="1"/>
  <c r="J91" i="107"/>
  <c r="J91" i="111" s="1"/>
  <c r="K91" i="107"/>
  <c r="K91" i="111" s="1"/>
  <c r="L91" i="107"/>
  <c r="L91" i="111" s="1"/>
  <c r="M91" i="107"/>
  <c r="M91" i="111" s="1"/>
  <c r="N91" i="107"/>
  <c r="D92" i="107"/>
  <c r="D92" i="111" s="1"/>
  <c r="E92" i="107"/>
  <c r="E92" i="111" s="1"/>
  <c r="F92" i="107"/>
  <c r="F92" i="111" s="1"/>
  <c r="G92" i="107"/>
  <c r="G92" i="111" s="1"/>
  <c r="H92" i="107"/>
  <c r="H92" i="111" s="1"/>
  <c r="I92" i="107"/>
  <c r="I92" i="111" s="1"/>
  <c r="J92" i="107"/>
  <c r="J92" i="111" s="1"/>
  <c r="K92" i="107"/>
  <c r="L92" i="107"/>
  <c r="L92" i="111" s="1"/>
  <c r="M92" i="107"/>
  <c r="M92" i="111" s="1"/>
  <c r="N92" i="107"/>
  <c r="N92" i="111" s="1"/>
  <c r="D93" i="107"/>
  <c r="D93" i="111" s="1"/>
  <c r="E93" i="107"/>
  <c r="E93" i="111" s="1"/>
  <c r="F93" i="107"/>
  <c r="F93" i="111" s="1"/>
  <c r="G93" i="107"/>
  <c r="G93" i="111" s="1"/>
  <c r="H93" i="107"/>
  <c r="I93" i="107"/>
  <c r="I93" i="111" s="1"/>
  <c r="J93" i="107"/>
  <c r="J93" i="111" s="1"/>
  <c r="K93" i="107"/>
  <c r="K93" i="111" s="1"/>
  <c r="L93" i="107"/>
  <c r="L93" i="111" s="1"/>
  <c r="M93" i="107"/>
  <c r="M93" i="111" s="1"/>
  <c r="N93" i="107"/>
  <c r="N93" i="111" s="1"/>
  <c r="D94" i="107"/>
  <c r="E94" i="107"/>
  <c r="F94" i="107"/>
  <c r="F94" i="111" s="1"/>
  <c r="V31" i="111" s="1"/>
  <c r="G94" i="107"/>
  <c r="H94" i="107"/>
  <c r="H94" i="111" s="1"/>
  <c r="X31" i="111" s="1"/>
  <c r="I94" i="107"/>
  <c r="J94" i="107"/>
  <c r="K94" i="107"/>
  <c r="L94" i="107"/>
  <c r="M94" i="107"/>
  <c r="N94" i="107"/>
  <c r="N94" i="111" s="1"/>
  <c r="AD31" i="111" s="1"/>
  <c r="D95" i="107"/>
  <c r="D95" i="111" s="1"/>
  <c r="E95" i="107"/>
  <c r="E95" i="111" s="1"/>
  <c r="F95" i="107"/>
  <c r="F95" i="111" s="1"/>
  <c r="G95" i="107"/>
  <c r="G95" i="111" s="1"/>
  <c r="H95" i="107"/>
  <c r="H95" i="111" s="1"/>
  <c r="I95" i="107"/>
  <c r="I95" i="111" s="1"/>
  <c r="J95" i="107"/>
  <c r="K95" i="107"/>
  <c r="K95" i="111" s="1"/>
  <c r="L95" i="107"/>
  <c r="L95" i="111" s="1"/>
  <c r="M95" i="107"/>
  <c r="M95" i="111" s="1"/>
  <c r="N95" i="107"/>
  <c r="N95" i="111" s="1"/>
  <c r="D96" i="107"/>
  <c r="D96" i="111" s="1"/>
  <c r="E96" i="107"/>
  <c r="E96" i="111" s="1"/>
  <c r="F96" i="107"/>
  <c r="F96" i="111" s="1"/>
  <c r="G96" i="107"/>
  <c r="H96" i="107"/>
  <c r="H96" i="111" s="1"/>
  <c r="I96" i="107"/>
  <c r="I96" i="111" s="1"/>
  <c r="J96" i="107"/>
  <c r="J96" i="111" s="1"/>
  <c r="K96" i="107"/>
  <c r="K96" i="111" s="1"/>
  <c r="L96" i="107"/>
  <c r="L96" i="111" s="1"/>
  <c r="M96" i="107"/>
  <c r="M96" i="111" s="1"/>
  <c r="N96" i="107"/>
  <c r="N96" i="111" s="1"/>
  <c r="D97" i="107"/>
  <c r="E97" i="107"/>
  <c r="E97" i="111" s="1"/>
  <c r="F97" i="107"/>
  <c r="F97" i="111" s="1"/>
  <c r="G97" i="107"/>
  <c r="G97" i="111" s="1"/>
  <c r="H97" i="107"/>
  <c r="H97" i="111" s="1"/>
  <c r="I97" i="107"/>
  <c r="I97" i="111" s="1"/>
  <c r="J97" i="107"/>
  <c r="J97" i="111" s="1"/>
  <c r="K97" i="107"/>
  <c r="K97" i="111" s="1"/>
  <c r="L97" i="107"/>
  <c r="M97" i="107"/>
  <c r="M97" i="111" s="1"/>
  <c r="N97" i="107"/>
  <c r="N97" i="111" s="1"/>
  <c r="D98" i="107"/>
  <c r="T32" i="107" s="1"/>
  <c r="E98" i="107"/>
  <c r="F98" i="107"/>
  <c r="G98" i="107"/>
  <c r="H98" i="107"/>
  <c r="I98" i="107"/>
  <c r="Y32" i="107" s="1"/>
  <c r="J98" i="107"/>
  <c r="K98" i="107"/>
  <c r="K98" i="111" s="1"/>
  <c r="L98" i="107"/>
  <c r="AB32" i="107" s="1"/>
  <c r="M98" i="107"/>
  <c r="N98" i="107"/>
  <c r="D99" i="107"/>
  <c r="D99" i="111" s="1"/>
  <c r="E99" i="107"/>
  <c r="E99" i="111" s="1"/>
  <c r="F99" i="107"/>
  <c r="G99" i="107"/>
  <c r="G99" i="111" s="1"/>
  <c r="H99" i="107"/>
  <c r="H99" i="111" s="1"/>
  <c r="I99" i="107"/>
  <c r="I99" i="111" s="1"/>
  <c r="J99" i="107"/>
  <c r="J99" i="111" s="1"/>
  <c r="K99" i="107"/>
  <c r="K99" i="111" s="1"/>
  <c r="L99" i="107"/>
  <c r="L99" i="111" s="1"/>
  <c r="M99" i="107"/>
  <c r="M99" i="111" s="1"/>
  <c r="N99" i="107"/>
  <c r="D100" i="107"/>
  <c r="D100" i="111" s="1"/>
  <c r="E100" i="107"/>
  <c r="E100" i="111" s="1"/>
  <c r="F100" i="107"/>
  <c r="F100" i="111" s="1"/>
  <c r="G100" i="107"/>
  <c r="G100" i="111" s="1"/>
  <c r="H100" i="107"/>
  <c r="H100" i="111" s="1"/>
  <c r="I100" i="107"/>
  <c r="I100" i="111" s="1"/>
  <c r="J100" i="107"/>
  <c r="J100" i="111" s="1"/>
  <c r="K100" i="107"/>
  <c r="L100" i="107"/>
  <c r="L100" i="111" s="1"/>
  <c r="M100" i="107"/>
  <c r="M100" i="111" s="1"/>
  <c r="N100" i="107"/>
  <c r="N100" i="111" s="1"/>
  <c r="D101" i="107"/>
  <c r="D101" i="111" s="1"/>
  <c r="E101" i="107"/>
  <c r="E101" i="111" s="1"/>
  <c r="F101" i="107"/>
  <c r="F101" i="111" s="1"/>
  <c r="G101" i="107"/>
  <c r="G101" i="111" s="1"/>
  <c r="H101" i="107"/>
  <c r="I101" i="107"/>
  <c r="I101" i="111" s="1"/>
  <c r="J101" i="107"/>
  <c r="J101" i="111" s="1"/>
  <c r="K101" i="107"/>
  <c r="K101" i="111" s="1"/>
  <c r="L101" i="107"/>
  <c r="L101" i="111" s="1"/>
  <c r="M101" i="107"/>
  <c r="M101" i="111" s="1"/>
  <c r="N101" i="107"/>
  <c r="N101" i="111" s="1"/>
  <c r="D102" i="107"/>
  <c r="D102" i="111" s="1"/>
  <c r="E102" i="107"/>
  <c r="F102" i="107"/>
  <c r="F102" i="111" s="1"/>
  <c r="V33" i="111" s="1"/>
  <c r="G102" i="107"/>
  <c r="H102" i="107"/>
  <c r="I102" i="107"/>
  <c r="J102" i="107"/>
  <c r="K102" i="107"/>
  <c r="L102" i="107"/>
  <c r="L102" i="111" s="1"/>
  <c r="M102" i="107"/>
  <c r="N102" i="107"/>
  <c r="N102" i="111" s="1"/>
  <c r="AD33" i="111" s="1"/>
  <c r="D103" i="107"/>
  <c r="D103" i="111" s="1"/>
  <c r="E103" i="107"/>
  <c r="E103" i="111" s="1"/>
  <c r="F103" i="107"/>
  <c r="F103" i="111" s="1"/>
  <c r="G103" i="107"/>
  <c r="G103" i="111" s="1"/>
  <c r="H103" i="107"/>
  <c r="H103" i="111" s="1"/>
  <c r="I103" i="107"/>
  <c r="I103" i="111" s="1"/>
  <c r="J103" i="107"/>
  <c r="K103" i="107"/>
  <c r="K103" i="111" s="1"/>
  <c r="L103" i="107"/>
  <c r="L103" i="111" s="1"/>
  <c r="M103" i="107"/>
  <c r="M103" i="111" s="1"/>
  <c r="N103" i="107"/>
  <c r="N103" i="111" s="1"/>
  <c r="D104" i="107"/>
  <c r="D104" i="111" s="1"/>
  <c r="E104" i="107"/>
  <c r="E104" i="111" s="1"/>
  <c r="F104" i="107"/>
  <c r="F104" i="111" s="1"/>
  <c r="G104" i="107"/>
  <c r="H104" i="107"/>
  <c r="H104" i="111" s="1"/>
  <c r="I104" i="107"/>
  <c r="I104" i="111" s="1"/>
  <c r="J104" i="107"/>
  <c r="J104" i="111" s="1"/>
  <c r="K104" i="107"/>
  <c r="K104" i="111" s="1"/>
  <c r="L104" i="107"/>
  <c r="L104" i="111" s="1"/>
  <c r="M104" i="107"/>
  <c r="M104" i="111" s="1"/>
  <c r="N104" i="107"/>
  <c r="N104" i="111" s="1"/>
  <c r="D105" i="107"/>
  <c r="E105" i="107"/>
  <c r="E105" i="111" s="1"/>
  <c r="F105" i="107"/>
  <c r="F105" i="111" s="1"/>
  <c r="G105" i="107"/>
  <c r="G105" i="111" s="1"/>
  <c r="H105" i="107"/>
  <c r="H105" i="111" s="1"/>
  <c r="I105" i="107"/>
  <c r="I105" i="111" s="1"/>
  <c r="J105" i="107"/>
  <c r="J105" i="111" s="1"/>
  <c r="K105" i="107"/>
  <c r="K105" i="111" s="1"/>
  <c r="L105" i="107"/>
  <c r="M105" i="107"/>
  <c r="M105" i="111" s="1"/>
  <c r="N105" i="107"/>
  <c r="N105" i="111" s="1"/>
  <c r="C59" i="107"/>
  <c r="P59" i="107" s="1"/>
  <c r="C60" i="107"/>
  <c r="C61" i="107"/>
  <c r="C62" i="107"/>
  <c r="C63" i="107"/>
  <c r="C64" i="107"/>
  <c r="C65" i="107"/>
  <c r="C66" i="107"/>
  <c r="C67" i="107"/>
  <c r="O67" i="107" s="1"/>
  <c r="C68" i="107"/>
  <c r="C69" i="107"/>
  <c r="C70" i="107"/>
  <c r="P70" i="107" s="1"/>
  <c r="C71" i="107"/>
  <c r="P71" i="107" s="1"/>
  <c r="C72" i="107"/>
  <c r="C73" i="107"/>
  <c r="C74" i="107"/>
  <c r="C75" i="107"/>
  <c r="O75" i="107" s="1"/>
  <c r="C76" i="107"/>
  <c r="C77" i="107"/>
  <c r="C78" i="107"/>
  <c r="C79" i="107"/>
  <c r="C80" i="107"/>
  <c r="C81" i="107"/>
  <c r="C82" i="107"/>
  <c r="C83" i="107"/>
  <c r="S28" i="107" s="1"/>
  <c r="C84" i="107"/>
  <c r="C85" i="107"/>
  <c r="C86" i="107"/>
  <c r="P86" i="107" s="1"/>
  <c r="C87" i="107"/>
  <c r="P87" i="107" s="1"/>
  <c r="C88" i="107"/>
  <c r="C89" i="107"/>
  <c r="C90" i="107"/>
  <c r="C91" i="107"/>
  <c r="P91" i="107" s="1"/>
  <c r="C92" i="107"/>
  <c r="C93" i="107"/>
  <c r="C94" i="107"/>
  <c r="C95" i="107"/>
  <c r="P95" i="107" s="1"/>
  <c r="C96" i="107"/>
  <c r="C97" i="107"/>
  <c r="C98" i="107"/>
  <c r="C99" i="107"/>
  <c r="O99" i="107" s="1"/>
  <c r="C100" i="107"/>
  <c r="C101" i="107"/>
  <c r="C102" i="107"/>
  <c r="P102" i="107" s="1"/>
  <c r="C103" i="107"/>
  <c r="P103" i="107" s="1"/>
  <c r="C104" i="107"/>
  <c r="C105" i="107"/>
  <c r="C58" i="107"/>
  <c r="L90" i="111" l="1"/>
  <c r="AB30" i="111" s="1"/>
  <c r="AB30" i="107"/>
  <c r="D74" i="111"/>
  <c r="T26" i="111" s="1"/>
  <c r="T26" i="107"/>
  <c r="O88" i="108"/>
  <c r="P88" i="108"/>
  <c r="P102" i="108"/>
  <c r="P86" i="108"/>
  <c r="O70" i="108"/>
  <c r="L98" i="111"/>
  <c r="AB32" i="111" s="1"/>
  <c r="C58" i="111"/>
  <c r="P58" i="107"/>
  <c r="AF22" i="107" s="1"/>
  <c r="C98" i="111"/>
  <c r="S32" i="107"/>
  <c r="O98" i="107"/>
  <c r="C90" i="111"/>
  <c r="O90" i="107"/>
  <c r="C82" i="111"/>
  <c r="O82" i="107"/>
  <c r="C74" i="111"/>
  <c r="S26" i="107"/>
  <c r="O74" i="107"/>
  <c r="C66" i="111"/>
  <c r="S24" i="107"/>
  <c r="O66" i="107"/>
  <c r="G102" i="111"/>
  <c r="W33" i="107"/>
  <c r="AA32" i="111"/>
  <c r="G94" i="111"/>
  <c r="W31" i="107"/>
  <c r="G86" i="111"/>
  <c r="W29" i="107"/>
  <c r="K82" i="111"/>
  <c r="AA28" i="107"/>
  <c r="G78" i="111"/>
  <c r="W27" i="111" s="1"/>
  <c r="W27" i="107"/>
  <c r="K74" i="111"/>
  <c r="AA26" i="107"/>
  <c r="G70" i="111"/>
  <c r="W25" i="107"/>
  <c r="G62" i="111"/>
  <c r="W23" i="107"/>
  <c r="K58" i="111"/>
  <c r="AA22" i="107"/>
  <c r="O58" i="107"/>
  <c r="P90" i="107"/>
  <c r="P74" i="107"/>
  <c r="S22" i="107"/>
  <c r="Z27" i="107"/>
  <c r="T25" i="107"/>
  <c r="Z22" i="107"/>
  <c r="O103" i="108"/>
  <c r="O95" i="108"/>
  <c r="O87" i="108"/>
  <c r="O79" i="108"/>
  <c r="O63" i="108"/>
  <c r="AB33" i="108"/>
  <c r="T33" i="108"/>
  <c r="X32" i="108"/>
  <c r="X28" i="108"/>
  <c r="X26" i="108"/>
  <c r="X24" i="108"/>
  <c r="Y32" i="108"/>
  <c r="C99" i="111"/>
  <c r="D98" i="111"/>
  <c r="T32" i="111" s="1"/>
  <c r="AA32" i="107"/>
  <c r="O104" i="108"/>
  <c r="P104" i="108"/>
  <c r="O80" i="108"/>
  <c r="P80" i="108"/>
  <c r="C81" i="111"/>
  <c r="O81" i="107"/>
  <c r="P81" i="107"/>
  <c r="N86" i="111"/>
  <c r="AD29" i="111" s="1"/>
  <c r="AD29" i="107"/>
  <c r="J82" i="111"/>
  <c r="Z28" i="111" s="1"/>
  <c r="Z28" i="107"/>
  <c r="N78" i="111"/>
  <c r="AD27" i="111" s="1"/>
  <c r="AD27" i="107"/>
  <c r="J74" i="111"/>
  <c r="Z26" i="111" s="1"/>
  <c r="Z26" i="107"/>
  <c r="Z29" i="107"/>
  <c r="AA24" i="107"/>
  <c r="S33" i="108"/>
  <c r="S31" i="108"/>
  <c r="S29" i="108"/>
  <c r="O78" i="108"/>
  <c r="P70" i="108"/>
  <c r="O62" i="108"/>
  <c r="P82" i="108"/>
  <c r="AF28" i="108" s="1"/>
  <c r="O64" i="108"/>
  <c r="C75" i="111"/>
  <c r="C104" i="111"/>
  <c r="O104" i="107"/>
  <c r="P104" i="107"/>
  <c r="AF33" i="107" s="1"/>
  <c r="C96" i="111"/>
  <c r="O96" i="107"/>
  <c r="P96" i="107"/>
  <c r="C88" i="111"/>
  <c r="O88" i="107"/>
  <c r="P88" i="107"/>
  <c r="AF29" i="107" s="1"/>
  <c r="C80" i="111"/>
  <c r="O80" i="107"/>
  <c r="P80" i="107"/>
  <c r="C72" i="111"/>
  <c r="O72" i="107"/>
  <c r="P72" i="107"/>
  <c r="AF25" i="107" s="1"/>
  <c r="C64" i="111"/>
  <c r="O64" i="107"/>
  <c r="P64" i="107"/>
  <c r="L105" i="111"/>
  <c r="D105" i="111"/>
  <c r="G104" i="111"/>
  <c r="J103" i="111"/>
  <c r="M102" i="111"/>
  <c r="AC33" i="111" s="1"/>
  <c r="AC33" i="107"/>
  <c r="E102" i="111"/>
  <c r="U33" i="111" s="1"/>
  <c r="U33" i="107"/>
  <c r="H101" i="111"/>
  <c r="K100" i="111"/>
  <c r="N99" i="111"/>
  <c r="F99" i="111"/>
  <c r="I98" i="111"/>
  <c r="Y32" i="111" s="1"/>
  <c r="L97" i="111"/>
  <c r="D97" i="111"/>
  <c r="G96" i="111"/>
  <c r="J95" i="111"/>
  <c r="M94" i="111"/>
  <c r="AC31" i="111" s="1"/>
  <c r="AC31" i="107"/>
  <c r="E94" i="111"/>
  <c r="U31" i="111" s="1"/>
  <c r="U31" i="107"/>
  <c r="H93" i="111"/>
  <c r="K92" i="111"/>
  <c r="AA30" i="111" s="1"/>
  <c r="N91" i="111"/>
  <c r="F91" i="111"/>
  <c r="I90" i="111"/>
  <c r="Y30" i="111" s="1"/>
  <c r="Y30" i="107"/>
  <c r="L89" i="111"/>
  <c r="D89" i="111"/>
  <c r="G88" i="111"/>
  <c r="M86" i="111"/>
  <c r="AC29" i="111" s="1"/>
  <c r="AC29" i="107"/>
  <c r="E86" i="111"/>
  <c r="U29" i="111" s="1"/>
  <c r="U29" i="107"/>
  <c r="H85" i="111"/>
  <c r="K84" i="111"/>
  <c r="N83" i="111"/>
  <c r="F83" i="111"/>
  <c r="I82" i="111"/>
  <c r="Y28" i="111" s="1"/>
  <c r="Y28" i="107"/>
  <c r="D81" i="111"/>
  <c r="G80" i="111"/>
  <c r="J79" i="111"/>
  <c r="AC27" i="107"/>
  <c r="M78" i="111"/>
  <c r="AC27" i="111" s="1"/>
  <c r="E78" i="111"/>
  <c r="U27" i="111" s="1"/>
  <c r="U27" i="107"/>
  <c r="H77" i="111"/>
  <c r="K76" i="111"/>
  <c r="N75" i="111"/>
  <c r="F75" i="111"/>
  <c r="I74" i="111"/>
  <c r="Y26" i="111" s="1"/>
  <c r="L73" i="111"/>
  <c r="D73" i="111"/>
  <c r="G72" i="111"/>
  <c r="J71" i="111"/>
  <c r="M70" i="111"/>
  <c r="AC25" i="111" s="1"/>
  <c r="AC25" i="107"/>
  <c r="E70" i="111"/>
  <c r="U25" i="111" s="1"/>
  <c r="U25" i="107"/>
  <c r="H69" i="111"/>
  <c r="K68" i="111"/>
  <c r="AA24" i="111" s="1"/>
  <c r="N67" i="111"/>
  <c r="F67" i="111"/>
  <c r="I66" i="111"/>
  <c r="Y24" i="111" s="1"/>
  <c r="L65" i="111"/>
  <c r="H61" i="111"/>
  <c r="S30" i="107"/>
  <c r="AD31" i="107"/>
  <c r="X29" i="107"/>
  <c r="Y24" i="107"/>
  <c r="O101" i="108"/>
  <c r="O93" i="108"/>
  <c r="O85" i="108"/>
  <c r="O77" i="108"/>
  <c r="O69" i="108"/>
  <c r="O61" i="108"/>
  <c r="AD30" i="108"/>
  <c r="AD28" i="108"/>
  <c r="V28" i="108"/>
  <c r="AD26" i="108"/>
  <c r="V22" i="108"/>
  <c r="P62" i="108"/>
  <c r="C67" i="111"/>
  <c r="C83" i="111"/>
  <c r="O83" i="107"/>
  <c r="H70" i="111"/>
  <c r="X25" i="111" s="1"/>
  <c r="X25" i="107"/>
  <c r="C97" i="111"/>
  <c r="O97" i="107"/>
  <c r="P97" i="107"/>
  <c r="J90" i="111"/>
  <c r="Z30" i="111" s="1"/>
  <c r="Z30" i="107"/>
  <c r="C87" i="111"/>
  <c r="O87" i="107"/>
  <c r="C63" i="111"/>
  <c r="O63" i="107"/>
  <c r="T33" i="111"/>
  <c r="X32" i="107"/>
  <c r="H98" i="111"/>
  <c r="X32" i="111" s="1"/>
  <c r="AB31" i="107"/>
  <c r="L94" i="111"/>
  <c r="AB31" i="111" s="1"/>
  <c r="D94" i="111"/>
  <c r="T31" i="111" s="1"/>
  <c r="T31" i="107"/>
  <c r="H90" i="111"/>
  <c r="X30" i="111" s="1"/>
  <c r="X30" i="107"/>
  <c r="AB29" i="107"/>
  <c r="L86" i="111"/>
  <c r="AB29" i="111" s="1"/>
  <c r="D86" i="111"/>
  <c r="T29" i="111" s="1"/>
  <c r="T29" i="107"/>
  <c r="H82" i="111"/>
  <c r="X28" i="111" s="1"/>
  <c r="X28" i="107"/>
  <c r="AB27" i="111"/>
  <c r="T27" i="111"/>
  <c r="H74" i="111"/>
  <c r="X26" i="111" s="1"/>
  <c r="X26" i="107"/>
  <c r="AB25" i="111"/>
  <c r="T25" i="111"/>
  <c r="H66" i="111"/>
  <c r="X24" i="111" s="1"/>
  <c r="X24" i="107"/>
  <c r="X22" i="111"/>
  <c r="P99" i="107"/>
  <c r="P83" i="107"/>
  <c r="P67" i="107"/>
  <c r="AD33" i="107"/>
  <c r="X31" i="107"/>
  <c r="Y26" i="107"/>
  <c r="O100" i="108"/>
  <c r="O92" i="108"/>
  <c r="O84" i="108"/>
  <c r="O76" i="108"/>
  <c r="O68" i="108"/>
  <c r="O60" i="108"/>
  <c r="Y33" i="108"/>
  <c r="Y29" i="108"/>
  <c r="U28" i="108"/>
  <c r="Y23" i="108"/>
  <c r="P94" i="108"/>
  <c r="P78" i="108"/>
  <c r="S23" i="108"/>
  <c r="H102" i="111"/>
  <c r="X33" i="111" s="1"/>
  <c r="X33" i="107"/>
  <c r="C102" i="111"/>
  <c r="S33" i="107"/>
  <c r="O102" i="107"/>
  <c r="C94" i="111"/>
  <c r="S31" i="107"/>
  <c r="O94" i="107"/>
  <c r="C86" i="111"/>
  <c r="O86" i="107"/>
  <c r="S29" i="107"/>
  <c r="C78" i="111"/>
  <c r="S27" i="107"/>
  <c r="O78" i="107"/>
  <c r="AE27" i="107" s="1"/>
  <c r="C70" i="111"/>
  <c r="S25" i="107"/>
  <c r="O70" i="107"/>
  <c r="C62" i="111"/>
  <c r="S23" i="107"/>
  <c r="O62" i="107"/>
  <c r="K102" i="111"/>
  <c r="AA33" i="111" s="1"/>
  <c r="AA33" i="107"/>
  <c r="G98" i="111"/>
  <c r="W32" i="111" s="1"/>
  <c r="W32" i="107"/>
  <c r="K94" i="111"/>
  <c r="AA31" i="111" s="1"/>
  <c r="AA31" i="107"/>
  <c r="G90" i="111"/>
  <c r="W30" i="111" s="1"/>
  <c r="W30" i="107"/>
  <c r="K86" i="111"/>
  <c r="AA29" i="111" s="1"/>
  <c r="AA29" i="107"/>
  <c r="W28" i="111"/>
  <c r="K78" i="111"/>
  <c r="AA27" i="111" s="1"/>
  <c r="AA27" i="107"/>
  <c r="W26" i="111"/>
  <c r="K70" i="111"/>
  <c r="AA25" i="111" s="1"/>
  <c r="AA25" i="107"/>
  <c r="P98" i="107"/>
  <c r="P82" i="107"/>
  <c r="P66" i="107"/>
  <c r="AB33" i="107"/>
  <c r="V31" i="107"/>
  <c r="AC28" i="107"/>
  <c r="W26" i="107"/>
  <c r="AD23" i="107"/>
  <c r="O99" i="108"/>
  <c r="O91" i="108"/>
  <c r="O83" i="108"/>
  <c r="O75" i="108"/>
  <c r="O67" i="108"/>
  <c r="O59" i="108"/>
  <c r="S27" i="108"/>
  <c r="C91" i="111"/>
  <c r="O91" i="107"/>
  <c r="C59" i="111"/>
  <c r="O59" i="107"/>
  <c r="D82" i="111"/>
  <c r="T28" i="111" s="1"/>
  <c r="T28" i="107"/>
  <c r="P75" i="107"/>
  <c r="C89" i="111"/>
  <c r="O89" i="107"/>
  <c r="P89" i="107"/>
  <c r="C65" i="111"/>
  <c r="O65" i="107"/>
  <c r="P65" i="107"/>
  <c r="J98" i="111"/>
  <c r="Z32" i="111" s="1"/>
  <c r="Z32" i="107"/>
  <c r="F86" i="111"/>
  <c r="V29" i="111" s="1"/>
  <c r="V29" i="107"/>
  <c r="F78" i="111"/>
  <c r="V27" i="111" s="1"/>
  <c r="V27" i="107"/>
  <c r="C103" i="111"/>
  <c r="O103" i="107"/>
  <c r="C79" i="111"/>
  <c r="O79" i="107"/>
  <c r="C101" i="111"/>
  <c r="O101" i="107"/>
  <c r="P101" i="107"/>
  <c r="C85" i="111"/>
  <c r="O85" i="107"/>
  <c r="P85" i="107"/>
  <c r="C69" i="111"/>
  <c r="O69" i="107"/>
  <c r="P69" i="107"/>
  <c r="C61" i="111"/>
  <c r="O61" i="107"/>
  <c r="P61" i="107"/>
  <c r="F98" i="111"/>
  <c r="V32" i="107"/>
  <c r="J94" i="111"/>
  <c r="Z31" i="111" s="1"/>
  <c r="Z31" i="107"/>
  <c r="N90" i="111"/>
  <c r="AD30" i="111" s="1"/>
  <c r="AD30" i="107"/>
  <c r="F90" i="111"/>
  <c r="V30" i="111" s="1"/>
  <c r="V30" i="107"/>
  <c r="Z29" i="111"/>
  <c r="N82" i="111"/>
  <c r="AD28" i="111" s="1"/>
  <c r="AD28" i="107"/>
  <c r="F82" i="111"/>
  <c r="V28" i="111" s="1"/>
  <c r="V28" i="107"/>
  <c r="Z27" i="111"/>
  <c r="N74" i="111"/>
  <c r="AD26" i="111" s="1"/>
  <c r="AD26" i="107"/>
  <c r="F74" i="111"/>
  <c r="V26" i="111" s="1"/>
  <c r="V26" i="107"/>
  <c r="J70" i="111"/>
  <c r="Z25" i="111" s="1"/>
  <c r="Z25" i="107"/>
  <c r="P79" i="107"/>
  <c r="P63" i="107"/>
  <c r="V33" i="107"/>
  <c r="AC30" i="107"/>
  <c r="W28" i="107"/>
  <c r="AD25" i="107"/>
  <c r="S22" i="108"/>
  <c r="P58" i="108"/>
  <c r="S32" i="108"/>
  <c r="O98" i="108"/>
  <c r="S30" i="108"/>
  <c r="O90" i="108"/>
  <c r="AE30" i="108" s="1"/>
  <c r="S28" i="108"/>
  <c r="O82" i="108"/>
  <c r="AE28" i="108" s="1"/>
  <c r="S26" i="108"/>
  <c r="O74" i="108"/>
  <c r="S24" i="108"/>
  <c r="O66" i="108"/>
  <c r="P66" i="108"/>
  <c r="W33" i="108"/>
  <c r="AA32" i="108"/>
  <c r="W31" i="108"/>
  <c r="AA30" i="108"/>
  <c r="W29" i="108"/>
  <c r="AA28" i="108"/>
  <c r="W27" i="108"/>
  <c r="AA26" i="108"/>
  <c r="W25" i="108"/>
  <c r="AA24" i="108"/>
  <c r="W23" i="108"/>
  <c r="AA22" i="108"/>
  <c r="O58" i="108"/>
  <c r="AE22" i="108" s="1"/>
  <c r="P90" i="108"/>
  <c r="P74" i="108"/>
  <c r="D90" i="111"/>
  <c r="T30" i="111" s="1"/>
  <c r="T30" i="107"/>
  <c r="L82" i="111"/>
  <c r="AB28" i="111" s="1"/>
  <c r="AB28" i="107"/>
  <c r="H78" i="111"/>
  <c r="X27" i="111" s="1"/>
  <c r="X27" i="107"/>
  <c r="L74" i="111"/>
  <c r="AB26" i="111" s="1"/>
  <c r="AB26" i="107"/>
  <c r="O96" i="108"/>
  <c r="P96" i="108"/>
  <c r="O72" i="108"/>
  <c r="P72" i="108"/>
  <c r="C105" i="111"/>
  <c r="O105" i="107"/>
  <c r="P105" i="107"/>
  <c r="C73" i="111"/>
  <c r="O73" i="107"/>
  <c r="P73" i="107"/>
  <c r="C95" i="111"/>
  <c r="O95" i="107"/>
  <c r="C71" i="111"/>
  <c r="O71" i="107"/>
  <c r="AB33" i="111"/>
  <c r="C93" i="111"/>
  <c r="O93" i="107"/>
  <c r="P93" i="107"/>
  <c r="C77" i="111"/>
  <c r="O77" i="107"/>
  <c r="P77" i="107"/>
  <c r="J102" i="111"/>
  <c r="Z33" i="107"/>
  <c r="N98" i="111"/>
  <c r="AD32" i="111" s="1"/>
  <c r="AD32" i="107"/>
  <c r="C100" i="111"/>
  <c r="O100" i="107"/>
  <c r="P100" i="107"/>
  <c r="C92" i="111"/>
  <c r="O92" i="107"/>
  <c r="P92" i="107"/>
  <c r="C84" i="111"/>
  <c r="O84" i="107"/>
  <c r="P84" i="107"/>
  <c r="C76" i="111"/>
  <c r="O76" i="107"/>
  <c r="P76" i="107"/>
  <c r="C68" i="111"/>
  <c r="O68" i="107"/>
  <c r="P68" i="107"/>
  <c r="C60" i="111"/>
  <c r="O60" i="107"/>
  <c r="P60" i="107"/>
  <c r="I102" i="111"/>
  <c r="Y33" i="111" s="1"/>
  <c r="Y33" i="107"/>
  <c r="M98" i="111"/>
  <c r="AC32" i="111" s="1"/>
  <c r="AC32" i="107"/>
  <c r="E98" i="111"/>
  <c r="U32" i="111" s="1"/>
  <c r="U32" i="107"/>
  <c r="I94" i="111"/>
  <c r="Y31" i="111" s="1"/>
  <c r="Y31" i="107"/>
  <c r="AC30" i="111"/>
  <c r="U30" i="111"/>
  <c r="I86" i="111"/>
  <c r="Y29" i="111" s="1"/>
  <c r="Y29" i="107"/>
  <c r="AC28" i="111"/>
  <c r="U28" i="111"/>
  <c r="I78" i="111"/>
  <c r="Y27" i="111" s="1"/>
  <c r="Y27" i="107"/>
  <c r="M74" i="111"/>
  <c r="AC26" i="111" s="1"/>
  <c r="AC26" i="107"/>
  <c r="E74" i="111"/>
  <c r="U26" i="111" s="1"/>
  <c r="U26" i="107"/>
  <c r="I70" i="111"/>
  <c r="Y25" i="111" s="1"/>
  <c r="Y25" i="107"/>
  <c r="M66" i="111"/>
  <c r="AC24" i="111" s="1"/>
  <c r="AC24" i="107"/>
  <c r="E66" i="111"/>
  <c r="U24" i="111" s="1"/>
  <c r="U24" i="107"/>
  <c r="I62" i="111"/>
  <c r="Y23" i="111" s="1"/>
  <c r="Y23" i="107"/>
  <c r="M58" i="111"/>
  <c r="AC22" i="111" s="1"/>
  <c r="AC22" i="107"/>
  <c r="E58" i="111"/>
  <c r="U22" i="111" s="1"/>
  <c r="U22" i="107"/>
  <c r="P94" i="107"/>
  <c r="AF31" i="107" s="1"/>
  <c r="P78" i="107"/>
  <c r="P62" i="107"/>
  <c r="T33" i="107"/>
  <c r="AA30" i="107"/>
  <c r="U28" i="107"/>
  <c r="AB25" i="107"/>
  <c r="V23" i="107"/>
  <c r="O105" i="108"/>
  <c r="O97" i="108"/>
  <c r="O89" i="108"/>
  <c r="O81" i="108"/>
  <c r="O73" i="108"/>
  <c r="Z32" i="108"/>
  <c r="AD31" i="108"/>
  <c r="Z30" i="108"/>
  <c r="Z26" i="108"/>
  <c r="AB24" i="111"/>
  <c r="T24" i="111"/>
  <c r="X23" i="111"/>
  <c r="AB22" i="111"/>
  <c r="T22" i="111"/>
  <c r="Z24" i="107"/>
  <c r="P65" i="108"/>
  <c r="AD33" i="108"/>
  <c r="V33" i="108"/>
  <c r="AD29" i="108"/>
  <c r="V29" i="108"/>
  <c r="Z28" i="108"/>
  <c r="AD27" i="108"/>
  <c r="V27" i="108"/>
  <c r="AD25" i="108"/>
  <c r="V25" i="108"/>
  <c r="AD23" i="108"/>
  <c r="V23" i="108"/>
  <c r="O102" i="108"/>
  <c r="O94" i="108"/>
  <c r="AE31" i="108" s="1"/>
  <c r="O86" i="108"/>
  <c r="AE29" i="108" s="1"/>
  <c r="S25" i="108"/>
  <c r="Z24" i="111"/>
  <c r="V23" i="111"/>
  <c r="Z22" i="111"/>
  <c r="P71" i="108"/>
  <c r="P63" i="108"/>
  <c r="AB31" i="108"/>
  <c r="T31" i="108"/>
  <c r="X30" i="108"/>
  <c r="AB29" i="108"/>
  <c r="T29" i="108"/>
  <c r="AB27" i="108"/>
  <c r="T27" i="108"/>
  <c r="AB25" i="108"/>
  <c r="T25" i="108"/>
  <c r="AB23" i="108"/>
  <c r="T23" i="108"/>
  <c r="X22" i="108"/>
  <c r="D65" i="111"/>
  <c r="T23" i="111" s="1"/>
  <c r="G64" i="111"/>
  <c r="J63" i="111"/>
  <c r="M62" i="111"/>
  <c r="AC23" i="111" s="1"/>
  <c r="E62" i="111"/>
  <c r="U23" i="111" s="1"/>
  <c r="K60" i="111"/>
  <c r="N59" i="111"/>
  <c r="AD22" i="111" s="1"/>
  <c r="F59" i="111"/>
  <c r="I58" i="111"/>
  <c r="Y22" i="111" s="1"/>
  <c r="W24" i="107"/>
  <c r="AB23" i="107"/>
  <c r="T23" i="107"/>
  <c r="X22" i="107"/>
  <c r="W32" i="108"/>
  <c r="AA31" i="108"/>
  <c r="W30" i="108"/>
  <c r="W28" i="108"/>
  <c r="W26" i="108"/>
  <c r="W24" i="108"/>
  <c r="AA23" i="108"/>
  <c r="W22" i="108"/>
  <c r="P100" i="108"/>
  <c r="P92" i="108"/>
  <c r="P84" i="108"/>
  <c r="P76" i="108"/>
  <c r="AB23" i="111"/>
  <c r="AD24" i="107"/>
  <c r="V24" i="107"/>
  <c r="AA23" i="107"/>
  <c r="W22" i="107"/>
  <c r="P69" i="108"/>
  <c r="P61" i="108"/>
  <c r="Z33" i="108"/>
  <c r="AD32" i="108"/>
  <c r="V32" i="108"/>
  <c r="Z31" i="108"/>
  <c r="Z29" i="108"/>
  <c r="Z27" i="108"/>
  <c r="Z25" i="108"/>
  <c r="AD24" i="108"/>
  <c r="V24" i="108"/>
  <c r="Z23" i="108"/>
  <c r="W24" i="111"/>
  <c r="AA23" i="111"/>
  <c r="W22" i="111"/>
  <c r="Z23" i="107"/>
  <c r="AD22" i="107"/>
  <c r="V22" i="107"/>
  <c r="P60" i="108"/>
  <c r="AC32" i="108"/>
  <c r="U32" i="108"/>
  <c r="AC30" i="108"/>
  <c r="U30" i="108"/>
  <c r="AC26" i="108"/>
  <c r="U26" i="108"/>
  <c r="Y25" i="108"/>
  <c r="AC24" i="108"/>
  <c r="U24" i="108"/>
  <c r="AC22" i="108"/>
  <c r="U22" i="108"/>
  <c r="P103" i="108"/>
  <c r="P99" i="108"/>
  <c r="AF32" i="108" s="1"/>
  <c r="P95" i="108"/>
  <c r="P91" i="108"/>
  <c r="P87" i="108"/>
  <c r="P83" i="108"/>
  <c r="P79" i="108"/>
  <c r="P75" i="108"/>
  <c r="O71" i="108"/>
  <c r="AD24" i="111"/>
  <c r="V24" i="111"/>
  <c r="Z23" i="111"/>
  <c r="V22" i="111"/>
  <c r="AB24" i="107"/>
  <c r="T24" i="107"/>
  <c r="P67" i="108"/>
  <c r="P59" i="108"/>
  <c r="X33" i="108"/>
  <c r="X31" i="108"/>
  <c r="X27" i="108"/>
  <c r="AB26" i="108"/>
  <c r="T26" i="108"/>
  <c r="X25" i="108"/>
  <c r="X23" i="108"/>
  <c r="O65" i="108"/>
  <c r="O37" i="94"/>
  <c r="P37" i="94"/>
  <c r="C3" i="94"/>
  <c r="O76" i="111" l="1"/>
  <c r="P76" i="111"/>
  <c r="O77" i="111"/>
  <c r="P77" i="111"/>
  <c r="O95" i="111"/>
  <c r="P95" i="111"/>
  <c r="V32" i="111"/>
  <c r="O103" i="111"/>
  <c r="P103" i="111"/>
  <c r="AF24" i="107"/>
  <c r="O70" i="111"/>
  <c r="S25" i="111"/>
  <c r="P70" i="111"/>
  <c r="AF27" i="108"/>
  <c r="AF23" i="108"/>
  <c r="O72" i="111"/>
  <c r="P72" i="111"/>
  <c r="AE23" i="108"/>
  <c r="W23" i="111"/>
  <c r="AE28" i="107"/>
  <c r="P58" i="111"/>
  <c r="S22" i="111"/>
  <c r="O58" i="111"/>
  <c r="O100" i="111"/>
  <c r="P100" i="111"/>
  <c r="O85" i="111"/>
  <c r="P85" i="111"/>
  <c r="P65" i="111"/>
  <c r="O65" i="111"/>
  <c r="O59" i="111"/>
  <c r="P59" i="111"/>
  <c r="AF28" i="107"/>
  <c r="S31" i="111"/>
  <c r="O94" i="111"/>
  <c r="P94" i="111"/>
  <c r="AF31" i="108"/>
  <c r="O96" i="111"/>
  <c r="P96" i="111"/>
  <c r="AF25" i="108"/>
  <c r="O99" i="111"/>
  <c r="P99" i="111"/>
  <c r="AA28" i="111"/>
  <c r="W33" i="111"/>
  <c r="S28" i="111"/>
  <c r="O82" i="111"/>
  <c r="P82" i="111"/>
  <c r="S26" i="111"/>
  <c r="O74" i="111"/>
  <c r="AE26" i="111" s="1"/>
  <c r="P74" i="111"/>
  <c r="O60" i="111"/>
  <c r="P60" i="111"/>
  <c r="AF24" i="108"/>
  <c r="AF32" i="107"/>
  <c r="AE33" i="107"/>
  <c r="P97" i="111"/>
  <c r="O97" i="111"/>
  <c r="AE27" i="108"/>
  <c r="O81" i="111"/>
  <c r="P81" i="111"/>
  <c r="AF26" i="107"/>
  <c r="AE24" i="107"/>
  <c r="AE30" i="107"/>
  <c r="AE25" i="108"/>
  <c r="O67" i="111"/>
  <c r="P67" i="111"/>
  <c r="O84" i="111"/>
  <c r="P84" i="111"/>
  <c r="O93" i="111"/>
  <c r="P93" i="111"/>
  <c r="P73" i="111"/>
  <c r="O73" i="111"/>
  <c r="AF26" i="108"/>
  <c r="AE24" i="108"/>
  <c r="AE32" i="108"/>
  <c r="O61" i="111"/>
  <c r="P61" i="111"/>
  <c r="O91" i="111"/>
  <c r="P91" i="111"/>
  <c r="AE23" i="107"/>
  <c r="S27" i="111"/>
  <c r="O78" i="111"/>
  <c r="P78" i="111"/>
  <c r="O63" i="111"/>
  <c r="P63" i="111"/>
  <c r="O80" i="111"/>
  <c r="P80" i="111"/>
  <c r="AF30" i="107"/>
  <c r="W25" i="111"/>
  <c r="W29" i="111"/>
  <c r="O90" i="111"/>
  <c r="S30" i="111"/>
  <c r="P90" i="111"/>
  <c r="AF29" i="108"/>
  <c r="AF30" i="108"/>
  <c r="O101" i="111"/>
  <c r="P101" i="111"/>
  <c r="O89" i="111"/>
  <c r="P89" i="111"/>
  <c r="O102" i="111"/>
  <c r="P102" i="111"/>
  <c r="S33" i="111"/>
  <c r="O104" i="111"/>
  <c r="P104" i="111"/>
  <c r="AE22" i="107"/>
  <c r="O66" i="111"/>
  <c r="P66" i="111"/>
  <c r="S24" i="111"/>
  <c r="AE32" i="107"/>
  <c r="AF33" i="108"/>
  <c r="AE33" i="108"/>
  <c r="AF23" i="107"/>
  <c r="O68" i="111"/>
  <c r="P68" i="111"/>
  <c r="Z33" i="111"/>
  <c r="AE26" i="108"/>
  <c r="AF22" i="108"/>
  <c r="S23" i="111"/>
  <c r="O62" i="111"/>
  <c r="AE23" i="111" s="1"/>
  <c r="P62" i="111"/>
  <c r="AF23" i="111" s="1"/>
  <c r="AE29" i="107"/>
  <c r="O87" i="111"/>
  <c r="P87" i="111"/>
  <c r="O64" i="111"/>
  <c r="P64" i="111"/>
  <c r="O75" i="111"/>
  <c r="P75" i="111"/>
  <c r="AA26" i="111"/>
  <c r="AE26" i="107"/>
  <c r="AE31" i="107"/>
  <c r="AF27" i="107"/>
  <c r="O92" i="111"/>
  <c r="P92" i="111"/>
  <c r="O71" i="111"/>
  <c r="P71" i="111"/>
  <c r="P105" i="111"/>
  <c r="O105" i="111"/>
  <c r="O69" i="111"/>
  <c r="P69" i="111"/>
  <c r="O79" i="111"/>
  <c r="P79" i="111"/>
  <c r="AE25" i="107"/>
  <c r="S29" i="111"/>
  <c r="O86" i="111"/>
  <c r="AE29" i="111" s="1"/>
  <c r="P86" i="111"/>
  <c r="AF29" i="111" s="1"/>
  <c r="O83" i="111"/>
  <c r="P83" i="111"/>
  <c r="O88" i="111"/>
  <c r="P88" i="111"/>
  <c r="AA22" i="111"/>
  <c r="W31" i="111"/>
  <c r="O98" i="111"/>
  <c r="P98" i="111"/>
  <c r="AF32" i="111" s="1"/>
  <c r="S32" i="111"/>
  <c r="K6" i="98"/>
  <c r="K6" i="99" s="1"/>
  <c r="K6" i="100" s="1"/>
  <c r="K6" i="101" s="1"/>
  <c r="K6" i="109" s="1"/>
  <c r="K6" i="105" s="1"/>
  <c r="K6" i="110" s="1"/>
  <c r="K6" i="103" s="1"/>
  <c r="K5" i="98"/>
  <c r="K5" i="99" s="1"/>
  <c r="K5" i="100" s="1"/>
  <c r="K5" i="101" s="1"/>
  <c r="K5" i="109" s="1"/>
  <c r="K5" i="105" s="1"/>
  <c r="K5" i="110" s="1"/>
  <c r="K5" i="103" s="1"/>
  <c r="G5" i="98"/>
  <c r="G5" i="99" s="1"/>
  <c r="G5" i="100" s="1"/>
  <c r="G5" i="101" s="1"/>
  <c r="G5" i="109" s="1"/>
  <c r="G5" i="105" s="1"/>
  <c r="G5" i="110" s="1"/>
  <c r="G5" i="103" s="1"/>
  <c r="K6" i="97"/>
  <c r="K5" i="97"/>
  <c r="G5" i="97"/>
  <c r="K6" i="96"/>
  <c r="K5" i="96"/>
  <c r="G5" i="96"/>
  <c r="K6" i="95"/>
  <c r="K5" i="95"/>
  <c r="G5" i="95"/>
  <c r="K6" i="94"/>
  <c r="K5" i="94"/>
  <c r="G5" i="94"/>
  <c r="G6" i="104"/>
  <c r="G6" i="108" s="1"/>
  <c r="G6" i="110"/>
  <c r="G6" i="100"/>
  <c r="G6" i="98"/>
  <c r="G6" i="96"/>
  <c r="G6" i="109" s="1"/>
  <c r="G6" i="103"/>
  <c r="G6" i="107" s="1"/>
  <c r="G6" i="105"/>
  <c r="G6" i="101"/>
  <c r="G6" i="99"/>
  <c r="G6" i="97"/>
  <c r="D6" i="104"/>
  <c r="D6" i="108" s="1"/>
  <c r="D6" i="110"/>
  <c r="D6" i="109"/>
  <c r="D6" i="100"/>
  <c r="D6" i="98"/>
  <c r="D6" i="96"/>
  <c r="D6" i="103"/>
  <c r="D6" i="107" s="1"/>
  <c r="D6" i="105"/>
  <c r="D6" i="101"/>
  <c r="D6" i="99"/>
  <c r="D6" i="97"/>
  <c r="D6" i="95"/>
  <c r="D5" i="104"/>
  <c r="D5" i="110"/>
  <c r="D5" i="109"/>
  <c r="D5" i="100"/>
  <c r="D5" i="98"/>
  <c r="D5" i="96"/>
  <c r="D5" i="94"/>
  <c r="AE32" i="111" l="1"/>
  <c r="AE22" i="111"/>
  <c r="AF28" i="111"/>
  <c r="AE28" i="111"/>
  <c r="AF22" i="111"/>
  <c r="AF25" i="111"/>
  <c r="AF33" i="111"/>
  <c r="AF30" i="111"/>
  <c r="AE33" i="111"/>
  <c r="AF31" i="111"/>
  <c r="AE25" i="111"/>
  <c r="AF24" i="111"/>
  <c r="AE30" i="111"/>
  <c r="AF27" i="111"/>
  <c r="AE31" i="111"/>
  <c r="AE24" i="111"/>
  <c r="AE27" i="111"/>
  <c r="AF26" i="111"/>
  <c r="K6" i="107"/>
  <c r="K6" i="104"/>
  <c r="K6" i="108" s="1"/>
  <c r="K6" i="111" s="1"/>
  <c r="K5" i="104"/>
  <c r="K5" i="108" s="1"/>
  <c r="K5" i="111" s="1"/>
  <c r="K5" i="107"/>
  <c r="G5" i="107"/>
  <c r="G5" i="104"/>
  <c r="G5" i="108" s="1"/>
  <c r="G5" i="111" s="1"/>
  <c r="AC33" i="110"/>
  <c r="AA33" i="110"/>
  <c r="Y33" i="110"/>
  <c r="W33" i="110"/>
  <c r="U33" i="110"/>
  <c r="S33" i="110"/>
  <c r="AA32" i="110"/>
  <c r="W32" i="110"/>
  <c r="S32" i="110"/>
  <c r="AC31" i="110"/>
  <c r="AA31" i="110"/>
  <c r="Y31" i="110"/>
  <c r="W31" i="110"/>
  <c r="U31" i="110"/>
  <c r="S31" i="110"/>
  <c r="AA30" i="110"/>
  <c r="W30" i="110"/>
  <c r="S30" i="110"/>
  <c r="AC29" i="110"/>
  <c r="AA29" i="110"/>
  <c r="Y29" i="110"/>
  <c r="W29" i="110"/>
  <c r="U29" i="110"/>
  <c r="S29" i="110"/>
  <c r="AA28" i="110"/>
  <c r="W28" i="110"/>
  <c r="S28" i="110"/>
  <c r="AC27" i="110"/>
  <c r="AA27" i="110"/>
  <c r="Y27" i="110"/>
  <c r="W27" i="110"/>
  <c r="U27" i="110"/>
  <c r="S27" i="110"/>
  <c r="AA26" i="110"/>
  <c r="W26" i="110"/>
  <c r="S26" i="110"/>
  <c r="AC25" i="110"/>
  <c r="AA25" i="110"/>
  <c r="Y25" i="110"/>
  <c r="W25" i="110"/>
  <c r="U25" i="110"/>
  <c r="S25" i="110"/>
  <c r="AA24" i="110"/>
  <c r="W24" i="110"/>
  <c r="S24" i="110"/>
  <c r="AC23" i="110"/>
  <c r="AA23" i="110"/>
  <c r="Y23" i="110"/>
  <c r="W23" i="110"/>
  <c r="U23" i="110"/>
  <c r="S23" i="110"/>
  <c r="AA22" i="110"/>
  <c r="W22" i="110"/>
  <c r="S22" i="110"/>
  <c r="AA21" i="110"/>
  <c r="W21" i="110"/>
  <c r="S21" i="110"/>
  <c r="AA20" i="110"/>
  <c r="W20" i="110"/>
  <c r="S20" i="110"/>
  <c r="AA19" i="110"/>
  <c r="W19" i="110"/>
  <c r="S19" i="110"/>
  <c r="AA18" i="110"/>
  <c r="Y18" i="110"/>
  <c r="W18" i="110"/>
  <c r="U18" i="110"/>
  <c r="S18" i="110"/>
  <c r="AC17" i="110"/>
  <c r="AB17" i="110"/>
  <c r="AA17" i="110"/>
  <c r="Z17" i="110"/>
  <c r="Y17" i="110"/>
  <c r="X17" i="110"/>
  <c r="W17" i="110"/>
  <c r="V17" i="110"/>
  <c r="U17" i="110"/>
  <c r="T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AD17" i="110"/>
  <c r="C3" i="110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A19" i="109"/>
  <c r="Y19" i="109"/>
  <c r="W19" i="109"/>
  <c r="U19" i="109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4"/>
  <c r="C3" i="103"/>
  <c r="C3" i="105"/>
  <c r="C3" i="101"/>
  <c r="C3" i="100"/>
  <c r="C3" i="99"/>
  <c r="C3" i="98"/>
  <c r="C3" i="97"/>
  <c r="C3" i="96"/>
  <c r="C3" i="95"/>
  <c r="AC33" i="105"/>
  <c r="AB33" i="105"/>
  <c r="Z33" i="105"/>
  <c r="Y33" i="105"/>
  <c r="X33" i="105"/>
  <c r="W33" i="105"/>
  <c r="V33" i="105"/>
  <c r="U33" i="105"/>
  <c r="T33" i="105"/>
  <c r="AD32" i="105"/>
  <c r="AC32" i="105"/>
  <c r="AB32" i="105"/>
  <c r="AA32" i="105"/>
  <c r="Z32" i="105"/>
  <c r="Y32" i="105"/>
  <c r="X32" i="105"/>
  <c r="W32" i="105"/>
  <c r="V32" i="105"/>
  <c r="U32" i="105"/>
  <c r="T32" i="105"/>
  <c r="AD31" i="105"/>
  <c r="AC31" i="105"/>
  <c r="AB31" i="105"/>
  <c r="AA31" i="105"/>
  <c r="Z31" i="105"/>
  <c r="Y31" i="105"/>
  <c r="X31" i="105"/>
  <c r="W31" i="105"/>
  <c r="V31" i="105"/>
  <c r="U31" i="105"/>
  <c r="T31" i="105"/>
  <c r="AD30" i="105"/>
  <c r="AC30" i="105"/>
  <c r="AB30" i="105"/>
  <c r="AA30" i="105"/>
  <c r="Z30" i="105"/>
  <c r="Y30" i="105"/>
  <c r="X30" i="105"/>
  <c r="W30" i="105"/>
  <c r="V30" i="105"/>
  <c r="U30" i="105"/>
  <c r="T30" i="105"/>
  <c r="AC29" i="105"/>
  <c r="AB29" i="105"/>
  <c r="AA29" i="105"/>
  <c r="Z29" i="105"/>
  <c r="Y29" i="105"/>
  <c r="X29" i="105"/>
  <c r="W29" i="105"/>
  <c r="V29" i="105"/>
  <c r="U29" i="105"/>
  <c r="T29" i="105"/>
  <c r="AD28" i="105"/>
  <c r="AC28" i="105"/>
  <c r="AB28" i="105"/>
  <c r="AA28" i="105"/>
  <c r="Z28" i="105"/>
  <c r="Y28" i="105"/>
  <c r="X28" i="105"/>
  <c r="W28" i="105"/>
  <c r="V28" i="105"/>
  <c r="U28" i="105"/>
  <c r="T28" i="105"/>
  <c r="AD27" i="105"/>
  <c r="AC27" i="105"/>
  <c r="AB27" i="105"/>
  <c r="AA27" i="105"/>
  <c r="Z27" i="105"/>
  <c r="Y27" i="105"/>
  <c r="X27" i="105"/>
  <c r="W27" i="105"/>
  <c r="V27" i="105"/>
  <c r="U27" i="105"/>
  <c r="T27" i="105"/>
  <c r="AD26" i="105"/>
  <c r="AC26" i="105"/>
  <c r="AB26" i="105"/>
  <c r="AA26" i="105"/>
  <c r="Z26" i="105"/>
  <c r="Y26" i="105"/>
  <c r="X26" i="105"/>
  <c r="W26" i="105"/>
  <c r="V26" i="105"/>
  <c r="U26" i="105"/>
  <c r="T26" i="105"/>
  <c r="AD25" i="105"/>
  <c r="AC25" i="105"/>
  <c r="AB25" i="105"/>
  <c r="AA25" i="105"/>
  <c r="Z25" i="105"/>
  <c r="Y25" i="105"/>
  <c r="X25" i="105"/>
  <c r="W25" i="105"/>
  <c r="V25" i="105"/>
  <c r="U25" i="105"/>
  <c r="T25" i="105"/>
  <c r="AD24" i="105"/>
  <c r="AC24" i="105"/>
  <c r="AB24" i="105"/>
  <c r="AA24" i="105"/>
  <c r="Z24" i="105"/>
  <c r="X24" i="105"/>
  <c r="W24" i="105"/>
  <c r="V24" i="105"/>
  <c r="U24" i="105"/>
  <c r="T24" i="105"/>
  <c r="AD23" i="105"/>
  <c r="AC23" i="105"/>
  <c r="AB23" i="105"/>
  <c r="AA23" i="105"/>
  <c r="Z23" i="105"/>
  <c r="Y23" i="105"/>
  <c r="X23" i="105"/>
  <c r="V23" i="105"/>
  <c r="U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AD21" i="105"/>
  <c r="AC21" i="105"/>
  <c r="AB21" i="105"/>
  <c r="AA21" i="105"/>
  <c r="Z21" i="105"/>
  <c r="Y21" i="105"/>
  <c r="X21" i="105"/>
  <c r="W21" i="105"/>
  <c r="V21" i="105"/>
  <c r="U21" i="105"/>
  <c r="T21" i="105"/>
  <c r="AD20" i="105"/>
  <c r="AC20" i="105"/>
  <c r="AA20" i="105"/>
  <c r="Z20" i="105"/>
  <c r="Y20" i="105"/>
  <c r="X20" i="105"/>
  <c r="W20" i="105"/>
  <c r="V20" i="105"/>
  <c r="S20" i="105"/>
  <c r="AD19" i="105"/>
  <c r="AC19" i="105"/>
  <c r="AB19" i="105"/>
  <c r="AA19" i="105"/>
  <c r="AA39" i="105" s="1"/>
  <c r="Z19" i="105"/>
  <c r="Z39" i="105" s="1"/>
  <c r="Y19" i="105"/>
  <c r="X19" i="105"/>
  <c r="X39" i="105" s="1"/>
  <c r="W19" i="105"/>
  <c r="W39" i="105" s="1"/>
  <c r="V19" i="105"/>
  <c r="U19" i="105"/>
  <c r="T19" i="105"/>
  <c r="S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AD33" i="105"/>
  <c r="X12" i="105"/>
  <c r="AB11" i="105"/>
  <c r="X11" i="105"/>
  <c r="T11" i="105"/>
  <c r="AA21" i="104"/>
  <c r="AC20" i="104"/>
  <c r="AA20" i="104"/>
  <c r="Y20" i="104"/>
  <c r="W20" i="104"/>
  <c r="U20" i="104"/>
  <c r="AA19" i="104"/>
  <c r="AC18" i="104"/>
  <c r="AA18" i="104"/>
  <c r="Y18" i="104"/>
  <c r="W18" i="104"/>
  <c r="U18" i="104"/>
  <c r="AA17" i="104"/>
  <c r="AC16" i="104"/>
  <c r="AA16" i="104"/>
  <c r="Y16" i="104"/>
  <c r="W16" i="104"/>
  <c r="U16" i="104"/>
  <c r="AA15" i="104"/>
  <c r="AD14" i="104"/>
  <c r="AC14" i="104"/>
  <c r="AB14" i="104"/>
  <c r="AA14" i="104"/>
  <c r="Z14" i="104"/>
  <c r="Y14" i="104"/>
  <c r="X14" i="104"/>
  <c r="W14" i="104"/>
  <c r="V14" i="104"/>
  <c r="U14" i="104"/>
  <c r="S14" i="104"/>
  <c r="AC13" i="104"/>
  <c r="AA13" i="104"/>
  <c r="Y13" i="104"/>
  <c r="W13" i="104"/>
  <c r="U13" i="104"/>
  <c r="AD12" i="104"/>
  <c r="Z12" i="104"/>
  <c r="V12" i="104"/>
  <c r="AD11" i="104"/>
  <c r="Z11" i="104"/>
  <c r="V11" i="104"/>
  <c r="AB16" i="103"/>
  <c r="Z16" i="103"/>
  <c r="X16" i="103"/>
  <c r="V16" i="103"/>
  <c r="T16" i="103"/>
  <c r="AD15" i="103"/>
  <c r="AB15" i="103"/>
  <c r="Z15" i="103"/>
  <c r="X15" i="103"/>
  <c r="V15" i="103"/>
  <c r="T15" i="103"/>
  <c r="AD14" i="103"/>
  <c r="AC14" i="103"/>
  <c r="AA14" i="103"/>
  <c r="Z14" i="103"/>
  <c r="Y14" i="103"/>
  <c r="W14" i="103"/>
  <c r="V14" i="103"/>
  <c r="U14" i="103"/>
  <c r="AD13" i="103"/>
  <c r="Z13" i="103"/>
  <c r="V13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AD19" i="103"/>
  <c r="AD27" i="103" s="1"/>
  <c r="AC19" i="103"/>
  <c r="AB19" i="103"/>
  <c r="AB27" i="103" s="1"/>
  <c r="AA19" i="103"/>
  <c r="AA27" i="103" s="1"/>
  <c r="Z19" i="103"/>
  <c r="Y19" i="103"/>
  <c r="Y27" i="103" s="1"/>
  <c r="X19" i="103"/>
  <c r="W19" i="103"/>
  <c r="W27" i="103" s="1"/>
  <c r="V19" i="103"/>
  <c r="V27" i="103" s="1"/>
  <c r="U19" i="103"/>
  <c r="U24" i="103" s="1"/>
  <c r="T19" i="103"/>
  <c r="T27" i="103" s="1"/>
  <c r="S19" i="103"/>
  <c r="S27" i="103" s="1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AD12" i="103"/>
  <c r="AC12" i="103"/>
  <c r="AB12" i="103"/>
  <c r="AA12" i="103"/>
  <c r="Z12" i="103"/>
  <c r="Y12" i="103"/>
  <c r="X12" i="103"/>
  <c r="W12" i="103"/>
  <c r="V12" i="103"/>
  <c r="U12" i="103"/>
  <c r="T12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AD16" i="103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V19" i="101"/>
  <c r="V39" i="101" s="1"/>
  <c r="U19" i="101"/>
  <c r="T19" i="101"/>
  <c r="S19" i="101"/>
  <c r="S39" i="101" s="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AD38" i="101" s="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D27" i="99" s="1"/>
  <c r="AC19" i="99"/>
  <c r="AB19" i="99"/>
  <c r="AA19" i="99"/>
  <c r="AA27" i="99" s="1"/>
  <c r="Z19" i="99"/>
  <c r="Y19" i="99"/>
  <c r="X19" i="99"/>
  <c r="W19" i="99"/>
  <c r="V19" i="99"/>
  <c r="V27" i="99" s="1"/>
  <c r="U19" i="99"/>
  <c r="T19" i="99"/>
  <c r="T27" i="99" s="1"/>
  <c r="S19" i="99"/>
  <c r="S27" i="99" s="1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B27" i="97" s="1"/>
  <c r="AA19" i="97"/>
  <c r="Z19" i="97"/>
  <c r="Z27" i="97" s="1"/>
  <c r="Y19" i="97"/>
  <c r="X19" i="97"/>
  <c r="X27" i="97" s="1"/>
  <c r="W19" i="97"/>
  <c r="V19" i="97"/>
  <c r="V27" i="97" s="1"/>
  <c r="U19" i="97"/>
  <c r="T19" i="97"/>
  <c r="T27" i="97" s="1"/>
  <c r="S19" i="97"/>
  <c r="AD18" i="97"/>
  <c r="W17" i="97"/>
  <c r="AC11" i="97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W13" i="95"/>
  <c r="V13" i="95"/>
  <c r="U13" i="95"/>
  <c r="T13" i="95"/>
  <c r="AD21" i="95"/>
  <c r="AC20" i="95"/>
  <c r="T19" i="95"/>
  <c r="U39" i="109" l="1"/>
  <c r="W27" i="99"/>
  <c r="W39" i="101"/>
  <c r="X27" i="103"/>
  <c r="Y39" i="109"/>
  <c r="Z27" i="103"/>
  <c r="V39" i="105"/>
  <c r="AD39" i="105"/>
  <c r="AC39" i="109"/>
  <c r="AA26" i="95"/>
  <c r="AA39" i="101"/>
  <c r="X26" i="98"/>
  <c r="Z39" i="101"/>
  <c r="AB39" i="101"/>
  <c r="AD39" i="101"/>
  <c r="W26" i="95"/>
  <c r="AD26" i="95"/>
  <c r="C3" i="108"/>
  <c r="C3" i="111"/>
  <c r="C3" i="107"/>
  <c r="X15" i="96"/>
  <c r="X23" i="96" s="1"/>
  <c r="AD16" i="97"/>
  <c r="AD23" i="97" s="1"/>
  <c r="U20" i="100"/>
  <c r="T20" i="105"/>
  <c r="T39" i="105" s="1"/>
  <c r="AC17" i="95"/>
  <c r="AB13" i="96"/>
  <c r="AB26" i="96" s="1"/>
  <c r="AB16" i="95"/>
  <c r="T18" i="98"/>
  <c r="T26" i="98" s="1"/>
  <c r="Z21" i="98"/>
  <c r="T16" i="96"/>
  <c r="T26" i="96" s="1"/>
  <c r="AB20" i="99"/>
  <c r="AB27" i="99" s="1"/>
  <c r="X21" i="101"/>
  <c r="X39" i="101" s="1"/>
  <c r="U20" i="105"/>
  <c r="U39" i="105" s="1"/>
  <c r="AA33" i="105"/>
  <c r="U22" i="109"/>
  <c r="W20" i="96"/>
  <c r="W24" i="96" s="1"/>
  <c r="V14" i="101"/>
  <c r="V38" i="101" s="1"/>
  <c r="Y13" i="95"/>
  <c r="V14" i="97"/>
  <c r="S17" i="101"/>
  <c r="T23" i="105"/>
  <c r="Z27" i="99"/>
  <c r="Y16" i="96"/>
  <c r="AC32" i="109"/>
  <c r="AC18" i="110"/>
  <c r="W21" i="95"/>
  <c r="AC21" i="95"/>
  <c r="AC24" i="95" s="1"/>
  <c r="AB17" i="98"/>
  <c r="AB23" i="98" s="1"/>
  <c r="W16" i="96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X12" i="100"/>
  <c r="S39" i="110"/>
  <c r="AA39" i="110"/>
  <c r="T12" i="110"/>
  <c r="V12" i="110"/>
  <c r="X12" i="110"/>
  <c r="Z12" i="110"/>
  <c r="AB12" i="110"/>
  <c r="AD12" i="110"/>
  <c r="U12" i="110"/>
  <c r="W12" i="110"/>
  <c r="Y12" i="110"/>
  <c r="AA12" i="110"/>
  <c r="AC12" i="110"/>
  <c r="P21" i="110"/>
  <c r="T13" i="110"/>
  <c r="V13" i="110"/>
  <c r="X13" i="110"/>
  <c r="Z13" i="110"/>
  <c r="AB13" i="110"/>
  <c r="AD13" i="110"/>
  <c r="U13" i="110"/>
  <c r="W13" i="110"/>
  <c r="Y13" i="110"/>
  <c r="AA13" i="110"/>
  <c r="AC13" i="110"/>
  <c r="P25" i="110"/>
  <c r="T14" i="110"/>
  <c r="V14" i="110"/>
  <c r="X14" i="110"/>
  <c r="Z14" i="110"/>
  <c r="AB14" i="110"/>
  <c r="AD14" i="110"/>
  <c r="U14" i="110"/>
  <c r="W14" i="110"/>
  <c r="Y14" i="110"/>
  <c r="AA14" i="110"/>
  <c r="AC14" i="110"/>
  <c r="P29" i="110"/>
  <c r="T15" i="110"/>
  <c r="V15" i="110"/>
  <c r="X15" i="110"/>
  <c r="Z15" i="110"/>
  <c r="AB15" i="110"/>
  <c r="AD15" i="110"/>
  <c r="U15" i="110"/>
  <c r="W15" i="110"/>
  <c r="Y15" i="110"/>
  <c r="AA15" i="110"/>
  <c r="AC15" i="110"/>
  <c r="P33" i="110"/>
  <c r="P45" i="110"/>
  <c r="P49" i="110"/>
  <c r="P53" i="110"/>
  <c r="P59" i="110"/>
  <c r="P63" i="110"/>
  <c r="P67" i="110"/>
  <c r="P71" i="110"/>
  <c r="P75" i="110"/>
  <c r="P79" i="110"/>
  <c r="P83" i="110"/>
  <c r="P87" i="110"/>
  <c r="P91" i="110"/>
  <c r="X20" i="99"/>
  <c r="X27" i="99" s="1"/>
  <c r="F13" i="108"/>
  <c r="J13" i="108"/>
  <c r="N13" i="108"/>
  <c r="J14" i="108"/>
  <c r="N14" i="108"/>
  <c r="F15" i="108"/>
  <c r="N15" i="108"/>
  <c r="J16" i="108"/>
  <c r="F17" i="108"/>
  <c r="N17" i="108"/>
  <c r="J18" i="108"/>
  <c r="N18" i="108"/>
  <c r="F19" i="108"/>
  <c r="N19" i="108"/>
  <c r="F20" i="108"/>
  <c r="J20" i="108"/>
  <c r="F21" i="108"/>
  <c r="AB15" i="95"/>
  <c r="U17" i="97"/>
  <c r="U26" i="97" s="1"/>
  <c r="J21" i="108"/>
  <c r="N21" i="108"/>
  <c r="J22" i="108"/>
  <c r="N22" i="108"/>
  <c r="F23" i="108"/>
  <c r="N23" i="108"/>
  <c r="J24" i="108"/>
  <c r="H46" i="108"/>
  <c r="J46" i="108"/>
  <c r="L46" i="108"/>
  <c r="N46" i="108"/>
  <c r="D47" i="108"/>
  <c r="F47" i="108"/>
  <c r="H47" i="108"/>
  <c r="J47" i="108"/>
  <c r="L47" i="108"/>
  <c r="N47" i="108"/>
  <c r="D48" i="108"/>
  <c r="F48" i="108"/>
  <c r="H48" i="108"/>
  <c r="J48" i="108"/>
  <c r="L48" i="108"/>
  <c r="N48" i="108"/>
  <c r="D49" i="108"/>
  <c r="F49" i="108"/>
  <c r="H49" i="108"/>
  <c r="J49" i="108"/>
  <c r="L49" i="108"/>
  <c r="N49" i="108"/>
  <c r="D50" i="108"/>
  <c r="F50" i="108"/>
  <c r="H50" i="108"/>
  <c r="J50" i="108"/>
  <c r="L50" i="108"/>
  <c r="N50" i="108"/>
  <c r="D51" i="108"/>
  <c r="F51" i="108"/>
  <c r="H51" i="108"/>
  <c r="J51" i="108"/>
  <c r="L51" i="108"/>
  <c r="N51" i="108"/>
  <c r="D52" i="108"/>
  <c r="F52" i="108"/>
  <c r="H52" i="108"/>
  <c r="J52" i="108"/>
  <c r="L52" i="108"/>
  <c r="N52" i="108"/>
  <c r="D53" i="108"/>
  <c r="F53" i="108"/>
  <c r="H53" i="108"/>
  <c r="J53" i="108"/>
  <c r="L53" i="108"/>
  <c r="N53" i="108"/>
  <c r="D54" i="108"/>
  <c r="F54" i="108"/>
  <c r="H54" i="108"/>
  <c r="J54" i="108"/>
  <c r="L54" i="108"/>
  <c r="N54" i="108"/>
  <c r="D55" i="108"/>
  <c r="F55" i="108"/>
  <c r="H55" i="108"/>
  <c r="J55" i="108"/>
  <c r="L55" i="108"/>
  <c r="N55" i="108"/>
  <c r="D56" i="108"/>
  <c r="F56" i="108"/>
  <c r="H56" i="108"/>
  <c r="J56" i="108"/>
  <c r="L56" i="108"/>
  <c r="N56" i="108"/>
  <c r="D57" i="108"/>
  <c r="F57" i="108"/>
  <c r="H57" i="108"/>
  <c r="J57" i="108"/>
  <c r="L57" i="108"/>
  <c r="N57" i="108"/>
  <c r="I47" i="108"/>
  <c r="M48" i="108"/>
  <c r="I51" i="108"/>
  <c r="M52" i="108"/>
  <c r="I55" i="108"/>
  <c r="M56" i="108"/>
  <c r="E10" i="108"/>
  <c r="G10" i="108"/>
  <c r="I10" i="108"/>
  <c r="K10" i="108"/>
  <c r="M10" i="108"/>
  <c r="C11" i="108"/>
  <c r="E11" i="108"/>
  <c r="G11" i="108"/>
  <c r="I11" i="108"/>
  <c r="K11" i="108"/>
  <c r="M11" i="108"/>
  <c r="C13" i="108"/>
  <c r="E13" i="108"/>
  <c r="G13" i="108"/>
  <c r="I13" i="108"/>
  <c r="K13" i="108"/>
  <c r="M13" i="108"/>
  <c r="C14" i="108"/>
  <c r="E14" i="108"/>
  <c r="G14" i="108"/>
  <c r="I14" i="108"/>
  <c r="K14" i="108"/>
  <c r="M14" i="108"/>
  <c r="C15" i="108"/>
  <c r="E15" i="108"/>
  <c r="G15" i="108"/>
  <c r="I15" i="108"/>
  <c r="K15" i="108"/>
  <c r="M15" i="108"/>
  <c r="C16" i="108"/>
  <c r="E16" i="108"/>
  <c r="G16" i="108"/>
  <c r="I16" i="108"/>
  <c r="K16" i="108"/>
  <c r="M16" i="108"/>
  <c r="C17" i="108"/>
  <c r="E17" i="108"/>
  <c r="G17" i="108"/>
  <c r="I17" i="108"/>
  <c r="K17" i="108"/>
  <c r="M17" i="108"/>
  <c r="C18" i="108"/>
  <c r="E18" i="108"/>
  <c r="G18" i="108"/>
  <c r="I18" i="108"/>
  <c r="K18" i="108"/>
  <c r="M18" i="108"/>
  <c r="C24" i="108"/>
  <c r="E24" i="108"/>
  <c r="G24" i="108"/>
  <c r="I24" i="108"/>
  <c r="K24" i="108"/>
  <c r="M24" i="108"/>
  <c r="C25" i="108"/>
  <c r="E25" i="108"/>
  <c r="G25" i="108"/>
  <c r="I25" i="108"/>
  <c r="K25" i="108"/>
  <c r="M25" i="108"/>
  <c r="E26" i="108"/>
  <c r="I26" i="108"/>
  <c r="M26" i="108"/>
  <c r="C27" i="108"/>
  <c r="E27" i="108"/>
  <c r="G27" i="108"/>
  <c r="I27" i="108"/>
  <c r="K27" i="108"/>
  <c r="M27" i="108"/>
  <c r="C28" i="108"/>
  <c r="E28" i="108"/>
  <c r="G28" i="108"/>
  <c r="I28" i="108"/>
  <c r="K28" i="108"/>
  <c r="M28" i="108"/>
  <c r="C29" i="108"/>
  <c r="E29" i="108"/>
  <c r="G29" i="108"/>
  <c r="I29" i="108"/>
  <c r="K29" i="108"/>
  <c r="M29" i="108"/>
  <c r="E30" i="108"/>
  <c r="I30" i="108"/>
  <c r="M30" i="108"/>
  <c r="C31" i="108"/>
  <c r="E31" i="108"/>
  <c r="G31" i="108"/>
  <c r="I31" i="108"/>
  <c r="K31" i="108"/>
  <c r="M31" i="108"/>
  <c r="C32" i="108"/>
  <c r="E32" i="108"/>
  <c r="G32" i="108"/>
  <c r="I32" i="108"/>
  <c r="K32" i="108"/>
  <c r="M32" i="108"/>
  <c r="C33" i="108"/>
  <c r="E33" i="108"/>
  <c r="G33" i="108"/>
  <c r="I33" i="108"/>
  <c r="K33" i="108"/>
  <c r="M33" i="108"/>
  <c r="E34" i="108"/>
  <c r="G34" i="108"/>
  <c r="I34" i="108"/>
  <c r="M34" i="108"/>
  <c r="C35" i="108"/>
  <c r="E35" i="108"/>
  <c r="G35" i="108"/>
  <c r="I35" i="108"/>
  <c r="K35" i="108"/>
  <c r="M35" i="108"/>
  <c r="C36" i="108"/>
  <c r="E36" i="108"/>
  <c r="G36" i="108"/>
  <c r="I36" i="108"/>
  <c r="P23" i="110"/>
  <c r="S13" i="110"/>
  <c r="P31" i="110"/>
  <c r="S15" i="110"/>
  <c r="S38" i="110" s="1"/>
  <c r="K36" i="108"/>
  <c r="M36" i="108"/>
  <c r="C37" i="108"/>
  <c r="E37" i="108"/>
  <c r="G37" i="108"/>
  <c r="I37" i="108"/>
  <c r="K37" i="108"/>
  <c r="M37" i="108"/>
  <c r="E38" i="108"/>
  <c r="I38" i="108"/>
  <c r="K38" i="108"/>
  <c r="M38" i="108"/>
  <c r="C39" i="108"/>
  <c r="E39" i="108"/>
  <c r="G39" i="108"/>
  <c r="I39" i="108"/>
  <c r="K39" i="108"/>
  <c r="M39" i="108"/>
  <c r="C40" i="108"/>
  <c r="E40" i="108"/>
  <c r="G40" i="108"/>
  <c r="I40" i="108"/>
  <c r="K40" i="108"/>
  <c r="M40" i="108"/>
  <c r="C41" i="108"/>
  <c r="E41" i="108"/>
  <c r="G41" i="108"/>
  <c r="I41" i="108"/>
  <c r="K41" i="108"/>
  <c r="M41" i="108"/>
  <c r="E42" i="108"/>
  <c r="G42" i="108"/>
  <c r="I42" i="108"/>
  <c r="M42" i="108"/>
  <c r="C43" i="108"/>
  <c r="E43" i="108"/>
  <c r="G43" i="108"/>
  <c r="I43" i="108"/>
  <c r="K43" i="108"/>
  <c r="M43" i="108"/>
  <c r="C44" i="108"/>
  <c r="E44" i="108"/>
  <c r="G44" i="108"/>
  <c r="I44" i="108"/>
  <c r="K44" i="108"/>
  <c r="M44" i="108"/>
  <c r="C45" i="108"/>
  <c r="E45" i="108"/>
  <c r="G45" i="108"/>
  <c r="I45" i="108"/>
  <c r="K45" i="108"/>
  <c r="M45" i="108"/>
  <c r="E46" i="108"/>
  <c r="I46" i="108"/>
  <c r="E47" i="108"/>
  <c r="M47" i="108"/>
  <c r="I48" i="108"/>
  <c r="E49" i="108"/>
  <c r="M49" i="108"/>
  <c r="E51" i="108"/>
  <c r="M51" i="108"/>
  <c r="I52" i="108"/>
  <c r="E53" i="108"/>
  <c r="M53" i="108"/>
  <c r="E55" i="108"/>
  <c r="M55" i="108"/>
  <c r="I56" i="108"/>
  <c r="E57" i="108"/>
  <c r="M57" i="108"/>
  <c r="E48" i="108"/>
  <c r="I49" i="108"/>
  <c r="E52" i="108"/>
  <c r="I53" i="108"/>
  <c r="E56" i="108"/>
  <c r="I57" i="108"/>
  <c r="X10" i="110"/>
  <c r="P13" i="110"/>
  <c r="P15" i="110"/>
  <c r="W11" i="110"/>
  <c r="AA14" i="94"/>
  <c r="K26" i="108"/>
  <c r="AA15" i="94"/>
  <c r="K30" i="108"/>
  <c r="AA16" i="94"/>
  <c r="K34" i="108"/>
  <c r="AA18" i="94"/>
  <c r="K42" i="108"/>
  <c r="M54" i="108"/>
  <c r="M50" i="108"/>
  <c r="M46" i="108"/>
  <c r="C42" i="108"/>
  <c r="C34" i="108"/>
  <c r="C26" i="108"/>
  <c r="F10" i="108"/>
  <c r="J10" i="108"/>
  <c r="N10" i="108"/>
  <c r="D11" i="108"/>
  <c r="F11" i="108"/>
  <c r="H11" i="108"/>
  <c r="J11" i="108"/>
  <c r="L11" i="108"/>
  <c r="N11" i="108"/>
  <c r="D12" i="108"/>
  <c r="F12" i="108"/>
  <c r="J12" i="108"/>
  <c r="P19" i="110"/>
  <c r="S12" i="110"/>
  <c r="E54" i="108"/>
  <c r="E50" i="108"/>
  <c r="C46" i="108"/>
  <c r="C38" i="108"/>
  <c r="C30" i="108"/>
  <c r="C47" i="108"/>
  <c r="G47" i="108"/>
  <c r="K47" i="108"/>
  <c r="C48" i="108"/>
  <c r="G48" i="108"/>
  <c r="K48" i="108"/>
  <c r="C49" i="108"/>
  <c r="G49" i="108"/>
  <c r="K49" i="108"/>
  <c r="C51" i="108"/>
  <c r="G51" i="108"/>
  <c r="K51" i="108"/>
  <c r="C52" i="108"/>
  <c r="G52" i="108"/>
  <c r="K52" i="108"/>
  <c r="C53" i="108"/>
  <c r="G53" i="108"/>
  <c r="K53" i="108"/>
  <c r="K54" i="108"/>
  <c r="C55" i="108"/>
  <c r="G55" i="108"/>
  <c r="K55" i="108"/>
  <c r="C56" i="108"/>
  <c r="G56" i="108"/>
  <c r="K56" i="108"/>
  <c r="C57" i="108"/>
  <c r="G57" i="108"/>
  <c r="K57" i="108"/>
  <c r="N12" i="108"/>
  <c r="F14" i="108"/>
  <c r="J15" i="108"/>
  <c r="N16" i="108"/>
  <c r="F18" i="108"/>
  <c r="J19" i="108"/>
  <c r="N20" i="108"/>
  <c r="J23" i="108"/>
  <c r="N24" i="108"/>
  <c r="F24" i="108"/>
  <c r="Z13" i="109"/>
  <c r="P12" i="110"/>
  <c r="F16" i="108"/>
  <c r="J17" i="108"/>
  <c r="I54" i="108"/>
  <c r="I50" i="108"/>
  <c r="C12" i="108"/>
  <c r="E12" i="108"/>
  <c r="G12" i="108"/>
  <c r="I12" i="108"/>
  <c r="K12" i="108"/>
  <c r="M12" i="108"/>
  <c r="C19" i="108"/>
  <c r="E19" i="108"/>
  <c r="G19" i="108"/>
  <c r="I19" i="108"/>
  <c r="K19" i="108"/>
  <c r="M19" i="108"/>
  <c r="C20" i="108"/>
  <c r="E20" i="108"/>
  <c r="G20" i="108"/>
  <c r="I20" i="108"/>
  <c r="K20" i="108"/>
  <c r="M20" i="108"/>
  <c r="C21" i="108"/>
  <c r="E21" i="108"/>
  <c r="G21" i="108"/>
  <c r="I21" i="108"/>
  <c r="K21" i="108"/>
  <c r="M21" i="108"/>
  <c r="C22" i="108"/>
  <c r="E22" i="108"/>
  <c r="G22" i="108"/>
  <c r="I22" i="108"/>
  <c r="K22" i="108"/>
  <c r="M22" i="108"/>
  <c r="C23" i="108"/>
  <c r="E23" i="108"/>
  <c r="G23" i="108"/>
  <c r="I23" i="108"/>
  <c r="K23" i="108"/>
  <c r="M23" i="108"/>
  <c r="D106" i="110"/>
  <c r="L106" i="110"/>
  <c r="P27" i="110"/>
  <c r="S14" i="110"/>
  <c r="G54" i="108"/>
  <c r="C54" i="108"/>
  <c r="K50" i="108"/>
  <c r="G50" i="108"/>
  <c r="C50" i="108"/>
  <c r="K46" i="108"/>
  <c r="G46" i="108"/>
  <c r="G38" i="108"/>
  <c r="G30" i="108"/>
  <c r="G26" i="108"/>
  <c r="F22" i="108"/>
  <c r="H12" i="108"/>
  <c r="L12" i="108"/>
  <c r="D13" i="108"/>
  <c r="H13" i="108"/>
  <c r="L13" i="108"/>
  <c r="D14" i="108"/>
  <c r="H14" i="108"/>
  <c r="L14" i="108"/>
  <c r="D15" i="108"/>
  <c r="H15" i="108"/>
  <c r="L15" i="108"/>
  <c r="D16" i="108"/>
  <c r="H16" i="108"/>
  <c r="L16" i="108"/>
  <c r="D17" i="108"/>
  <c r="H17" i="108"/>
  <c r="L17" i="108"/>
  <c r="D18" i="108"/>
  <c r="H18" i="108"/>
  <c r="L18" i="108"/>
  <c r="D19" i="108"/>
  <c r="H19" i="108"/>
  <c r="L19" i="108"/>
  <c r="D20" i="108"/>
  <c r="H20" i="108"/>
  <c r="L20" i="108"/>
  <c r="D21" i="108"/>
  <c r="H21" i="108"/>
  <c r="L21" i="108"/>
  <c r="D22" i="108"/>
  <c r="H22" i="108"/>
  <c r="L22" i="108"/>
  <c r="D23" i="108"/>
  <c r="H23" i="108"/>
  <c r="L23" i="108"/>
  <c r="D24" i="108"/>
  <c r="H24" i="108"/>
  <c r="L24" i="108"/>
  <c r="D25" i="108"/>
  <c r="F25" i="108"/>
  <c r="H25" i="108"/>
  <c r="J25" i="108"/>
  <c r="L25" i="108"/>
  <c r="N25" i="108"/>
  <c r="D26" i="108"/>
  <c r="F26" i="108"/>
  <c r="H26" i="108"/>
  <c r="J26" i="108"/>
  <c r="L26" i="108"/>
  <c r="N26" i="108"/>
  <c r="D27" i="108"/>
  <c r="F27" i="108"/>
  <c r="H27" i="108"/>
  <c r="J27" i="108"/>
  <c r="L27" i="108"/>
  <c r="N27" i="108"/>
  <c r="D28" i="108"/>
  <c r="F28" i="108"/>
  <c r="H28" i="108"/>
  <c r="J28" i="108"/>
  <c r="L28" i="108"/>
  <c r="N28" i="108"/>
  <c r="D29" i="108"/>
  <c r="F29" i="108"/>
  <c r="H29" i="108"/>
  <c r="J29" i="108"/>
  <c r="L29" i="108"/>
  <c r="N29" i="108"/>
  <c r="D30" i="108"/>
  <c r="F30" i="108"/>
  <c r="H30" i="108"/>
  <c r="J30" i="108"/>
  <c r="L30" i="108"/>
  <c r="N30" i="108"/>
  <c r="D31" i="108"/>
  <c r="F31" i="108"/>
  <c r="H31" i="108"/>
  <c r="J31" i="108"/>
  <c r="L31" i="108"/>
  <c r="N31" i="108"/>
  <c r="D32" i="108"/>
  <c r="F32" i="108"/>
  <c r="H32" i="108"/>
  <c r="J32" i="108"/>
  <c r="L32" i="108"/>
  <c r="N32" i="108"/>
  <c r="D33" i="108"/>
  <c r="F33" i="108"/>
  <c r="H33" i="108"/>
  <c r="J33" i="108"/>
  <c r="L33" i="108"/>
  <c r="N33" i="108"/>
  <c r="D34" i="108"/>
  <c r="F34" i="108"/>
  <c r="H34" i="108"/>
  <c r="J34" i="108"/>
  <c r="L34" i="108"/>
  <c r="N34" i="108"/>
  <c r="D35" i="108"/>
  <c r="F35" i="108"/>
  <c r="H35" i="108"/>
  <c r="J35" i="108"/>
  <c r="L35" i="108"/>
  <c r="N35" i="108"/>
  <c r="D36" i="108"/>
  <c r="F36" i="108"/>
  <c r="H36" i="108"/>
  <c r="J36" i="108"/>
  <c r="L36" i="108"/>
  <c r="N36" i="108"/>
  <c r="D37" i="108"/>
  <c r="F37" i="108"/>
  <c r="H37" i="108"/>
  <c r="J37" i="108"/>
  <c r="L37" i="108"/>
  <c r="N37" i="108"/>
  <c r="D38" i="108"/>
  <c r="F38" i="108"/>
  <c r="H38" i="108"/>
  <c r="J38" i="108"/>
  <c r="L38" i="108"/>
  <c r="N38" i="108"/>
  <c r="D39" i="108"/>
  <c r="F39" i="108"/>
  <c r="H39" i="108"/>
  <c r="J39" i="108"/>
  <c r="L39" i="108"/>
  <c r="N39" i="108"/>
  <c r="D40" i="108"/>
  <c r="F40" i="108"/>
  <c r="H40" i="108"/>
  <c r="J40" i="108"/>
  <c r="L40" i="108"/>
  <c r="N40" i="108"/>
  <c r="D41" i="108"/>
  <c r="F41" i="108"/>
  <c r="H41" i="108"/>
  <c r="J41" i="108"/>
  <c r="L41" i="108"/>
  <c r="N41" i="108"/>
  <c r="D42" i="108"/>
  <c r="F42" i="108"/>
  <c r="H42" i="108"/>
  <c r="J42" i="108"/>
  <c r="L42" i="108"/>
  <c r="N42" i="108"/>
  <c r="D43" i="108"/>
  <c r="F43" i="108"/>
  <c r="H43" i="108"/>
  <c r="J43" i="108"/>
  <c r="L43" i="108"/>
  <c r="N43" i="108"/>
  <c r="D44" i="108"/>
  <c r="F44" i="108"/>
  <c r="H44" i="108"/>
  <c r="J44" i="108"/>
  <c r="L44" i="108"/>
  <c r="N44" i="108"/>
  <c r="D45" i="108"/>
  <c r="F45" i="108"/>
  <c r="H45" i="108"/>
  <c r="J45" i="108"/>
  <c r="L45" i="108"/>
  <c r="N45" i="108"/>
  <c r="D46" i="108"/>
  <c r="F46" i="108"/>
  <c r="V19" i="108" s="1"/>
  <c r="V12" i="109"/>
  <c r="AD12" i="109"/>
  <c r="P14" i="110"/>
  <c r="U11" i="110"/>
  <c r="Y11" i="110"/>
  <c r="AA11" i="110"/>
  <c r="AC11" i="110"/>
  <c r="X16" i="97"/>
  <c r="X26" i="97" s="1"/>
  <c r="W23" i="105"/>
  <c r="S11" i="109"/>
  <c r="AC17" i="109"/>
  <c r="V14" i="109"/>
  <c r="W10" i="110"/>
  <c r="P11" i="110"/>
  <c r="S11" i="110"/>
  <c r="T11" i="110"/>
  <c r="V11" i="110"/>
  <c r="X11" i="110"/>
  <c r="Z11" i="110"/>
  <c r="AB11" i="110"/>
  <c r="AD11" i="110"/>
  <c r="L10" i="108"/>
  <c r="H10" i="108"/>
  <c r="D10" i="108"/>
  <c r="V13" i="109"/>
  <c r="AD13" i="109"/>
  <c r="V15" i="109"/>
  <c r="AD15" i="109"/>
  <c r="C10" i="108"/>
  <c r="AA11" i="109"/>
  <c r="Z12" i="109"/>
  <c r="Z14" i="109"/>
  <c r="S10" i="110"/>
  <c r="V18" i="110"/>
  <c r="X18" i="110"/>
  <c r="Z18" i="110"/>
  <c r="AB18" i="110"/>
  <c r="AD18" i="110"/>
  <c r="P18" i="110"/>
  <c r="W39" i="110"/>
  <c r="P20" i="110"/>
  <c r="P22" i="110"/>
  <c r="P24" i="110"/>
  <c r="P26" i="110"/>
  <c r="P28" i="110"/>
  <c r="P30" i="110"/>
  <c r="P32" i="110"/>
  <c r="P34" i="110"/>
  <c r="P35" i="110"/>
  <c r="P36" i="110"/>
  <c r="P37" i="110"/>
  <c r="P38" i="110"/>
  <c r="P39" i="110"/>
  <c r="P40" i="110"/>
  <c r="P41" i="110"/>
  <c r="P42" i="110"/>
  <c r="O44" i="110"/>
  <c r="U19" i="110"/>
  <c r="Y19" i="110"/>
  <c r="AC19" i="110"/>
  <c r="O48" i="110"/>
  <c r="U20" i="110"/>
  <c r="Y20" i="110"/>
  <c r="AC20" i="110"/>
  <c r="O52" i="110"/>
  <c r="U21" i="110"/>
  <c r="Y21" i="110"/>
  <c r="AC21" i="110"/>
  <c r="O56" i="110"/>
  <c r="O58" i="110"/>
  <c r="U22" i="110"/>
  <c r="Y22" i="110"/>
  <c r="AC22" i="110"/>
  <c r="O62" i="110"/>
  <c r="O66" i="110"/>
  <c r="U24" i="110"/>
  <c r="Y24" i="110"/>
  <c r="AC24" i="110"/>
  <c r="O70" i="110"/>
  <c r="O74" i="110"/>
  <c r="U26" i="110"/>
  <c r="Y26" i="110"/>
  <c r="AC26" i="110"/>
  <c r="O78" i="110"/>
  <c r="O82" i="110"/>
  <c r="U28" i="110"/>
  <c r="Y28" i="110"/>
  <c r="AC28" i="110"/>
  <c r="O86" i="110"/>
  <c r="O90" i="110"/>
  <c r="U30" i="110"/>
  <c r="Y30" i="110"/>
  <c r="AC30" i="110"/>
  <c r="O94" i="110"/>
  <c r="O98" i="110"/>
  <c r="U32" i="110"/>
  <c r="Y32" i="110"/>
  <c r="AC32" i="110"/>
  <c r="O102" i="110"/>
  <c r="AD13" i="99"/>
  <c r="AD26" i="99" s="1"/>
  <c r="P44" i="110"/>
  <c r="P48" i="110"/>
  <c r="V19" i="110"/>
  <c r="X19" i="110"/>
  <c r="Z19" i="110"/>
  <c r="AB19" i="110"/>
  <c r="AD19" i="110"/>
  <c r="P52" i="110"/>
  <c r="V20" i="110"/>
  <c r="X20" i="110"/>
  <c r="Z20" i="110"/>
  <c r="AB20" i="110"/>
  <c r="AD20" i="110"/>
  <c r="P56" i="110"/>
  <c r="P62" i="110"/>
  <c r="P70" i="110"/>
  <c r="P78" i="110"/>
  <c r="P86" i="110"/>
  <c r="P94" i="110"/>
  <c r="P102" i="110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E106" i="110"/>
  <c r="G106" i="110"/>
  <c r="I106" i="110"/>
  <c r="K106" i="110"/>
  <c r="M106" i="110"/>
  <c r="AA10" i="110"/>
  <c r="P17" i="110"/>
  <c r="S17" i="110"/>
  <c r="P43" i="110"/>
  <c r="O46" i="110"/>
  <c r="P46" i="110"/>
  <c r="P47" i="110"/>
  <c r="O50" i="110"/>
  <c r="P50" i="110"/>
  <c r="P51" i="110"/>
  <c r="O54" i="110"/>
  <c r="P54" i="110"/>
  <c r="P55" i="110"/>
  <c r="P58" i="110"/>
  <c r="P66" i="110"/>
  <c r="P74" i="110"/>
  <c r="P82" i="110"/>
  <c r="P90" i="110"/>
  <c r="P98" i="110"/>
  <c r="P57" i="110"/>
  <c r="V21" i="110"/>
  <c r="X21" i="110"/>
  <c r="Z21" i="110"/>
  <c r="AB21" i="110"/>
  <c r="AD21" i="110"/>
  <c r="O60" i="110"/>
  <c r="P60" i="110"/>
  <c r="P61" i="110"/>
  <c r="V22" i="110"/>
  <c r="X22" i="110"/>
  <c r="Z22" i="110"/>
  <c r="AB22" i="110"/>
  <c r="AD22" i="110"/>
  <c r="O64" i="110"/>
  <c r="P64" i="110"/>
  <c r="P65" i="110"/>
  <c r="V23" i="110"/>
  <c r="X23" i="110"/>
  <c r="Z23" i="110"/>
  <c r="AB23" i="110"/>
  <c r="AD23" i="110"/>
  <c r="O68" i="110"/>
  <c r="P68" i="110"/>
  <c r="P69" i="110"/>
  <c r="V24" i="110"/>
  <c r="X24" i="110"/>
  <c r="Z24" i="110"/>
  <c r="AB24" i="110"/>
  <c r="AD24" i="110"/>
  <c r="O72" i="110"/>
  <c r="P72" i="110"/>
  <c r="P73" i="110"/>
  <c r="V25" i="110"/>
  <c r="X25" i="110"/>
  <c r="Z25" i="110"/>
  <c r="AB25" i="110"/>
  <c r="AD25" i="110"/>
  <c r="O76" i="110"/>
  <c r="P76" i="110"/>
  <c r="P77" i="110"/>
  <c r="V26" i="110"/>
  <c r="X26" i="110"/>
  <c r="Z26" i="110"/>
  <c r="AB26" i="110"/>
  <c r="AD26" i="110"/>
  <c r="O80" i="110"/>
  <c r="P80" i="110"/>
  <c r="P81" i="110"/>
  <c r="V27" i="110"/>
  <c r="X27" i="110"/>
  <c r="Z27" i="110"/>
  <c r="AB27" i="110"/>
  <c r="AD27" i="110"/>
  <c r="O84" i="110"/>
  <c r="P84" i="110"/>
  <c r="P85" i="110"/>
  <c r="V28" i="110"/>
  <c r="X28" i="110"/>
  <c r="Z28" i="110"/>
  <c r="AB28" i="110"/>
  <c r="AD28" i="110"/>
  <c r="O88" i="110"/>
  <c r="P88" i="110"/>
  <c r="P89" i="110"/>
  <c r="V29" i="110"/>
  <c r="X29" i="110"/>
  <c r="Z29" i="110"/>
  <c r="AB29" i="110"/>
  <c r="AD29" i="110"/>
  <c r="O92" i="110"/>
  <c r="P92" i="110"/>
  <c r="P93" i="110"/>
  <c r="V30" i="110"/>
  <c r="X30" i="110"/>
  <c r="Z30" i="110"/>
  <c r="O96" i="110"/>
  <c r="P96" i="110"/>
  <c r="P97" i="110"/>
  <c r="O100" i="110"/>
  <c r="P100" i="110"/>
  <c r="P101" i="110"/>
  <c r="O104" i="110"/>
  <c r="P104" i="110"/>
  <c r="P105" i="110"/>
  <c r="U38" i="110"/>
  <c r="W38" i="110"/>
  <c r="C106" i="110"/>
  <c r="P10" i="110"/>
  <c r="O10" i="110"/>
  <c r="U10" i="110"/>
  <c r="Y10" i="110"/>
  <c r="AC10" i="110"/>
  <c r="O11" i="110"/>
  <c r="O12" i="110"/>
  <c r="O13" i="110"/>
  <c r="O14" i="110"/>
  <c r="O15" i="110"/>
  <c r="P16" i="110"/>
  <c r="O16" i="110"/>
  <c r="O17" i="110"/>
  <c r="O18" i="110"/>
  <c r="O19" i="110"/>
  <c r="O20" i="110"/>
  <c r="O21" i="110"/>
  <c r="O22" i="110"/>
  <c r="O23" i="110"/>
  <c r="O24" i="110"/>
  <c r="O25" i="110"/>
  <c r="O26" i="110"/>
  <c r="O27" i="110"/>
  <c r="O28" i="110"/>
  <c r="O29" i="110"/>
  <c r="O30" i="110"/>
  <c r="S36" i="110"/>
  <c r="W36" i="110"/>
  <c r="AA36" i="110"/>
  <c r="H106" i="110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F106" i="110"/>
  <c r="J106" i="110"/>
  <c r="N106" i="110"/>
  <c r="T10" i="110"/>
  <c r="V10" i="110"/>
  <c r="Z10" i="110"/>
  <c r="AB10" i="110"/>
  <c r="AD10" i="110"/>
  <c r="T18" i="110"/>
  <c r="T19" i="110"/>
  <c r="T20" i="110"/>
  <c r="T21" i="110"/>
  <c r="T22" i="110"/>
  <c r="T23" i="110"/>
  <c r="T24" i="110"/>
  <c r="T25" i="110"/>
  <c r="T26" i="110"/>
  <c r="T27" i="110"/>
  <c r="T28" i="110"/>
  <c r="T29" i="110"/>
  <c r="T30" i="110"/>
  <c r="O31" i="110"/>
  <c r="O32" i="110"/>
  <c r="O33" i="110"/>
  <c r="O34" i="110"/>
  <c r="O35" i="110"/>
  <c r="O36" i="110"/>
  <c r="O37" i="110"/>
  <c r="O38" i="110"/>
  <c r="O39" i="110"/>
  <c r="O40" i="110"/>
  <c r="O41" i="110"/>
  <c r="O42" i="110"/>
  <c r="AB30" i="110"/>
  <c r="AD30" i="110"/>
  <c r="P95" i="110"/>
  <c r="T31" i="110"/>
  <c r="V31" i="110"/>
  <c r="X31" i="110"/>
  <c r="Z31" i="110"/>
  <c r="AB31" i="110"/>
  <c r="AD31" i="110"/>
  <c r="P99" i="110"/>
  <c r="T32" i="110"/>
  <c r="V32" i="110"/>
  <c r="X32" i="110"/>
  <c r="Z32" i="110"/>
  <c r="AB32" i="110"/>
  <c r="AD32" i="110"/>
  <c r="P103" i="110"/>
  <c r="T33" i="110"/>
  <c r="V33" i="110"/>
  <c r="X33" i="110"/>
  <c r="Z33" i="110"/>
  <c r="AB33" i="110"/>
  <c r="AD33" i="110"/>
  <c r="O43" i="110"/>
  <c r="O45" i="110"/>
  <c r="O47" i="110"/>
  <c r="O49" i="110"/>
  <c r="O51" i="110"/>
  <c r="O53" i="110"/>
  <c r="O55" i="110"/>
  <c r="O57" i="110"/>
  <c r="O59" i="110"/>
  <c r="O61" i="110"/>
  <c r="O63" i="110"/>
  <c r="O65" i="110"/>
  <c r="O67" i="110"/>
  <c r="O69" i="110"/>
  <c r="O71" i="110"/>
  <c r="O73" i="110"/>
  <c r="O75" i="110"/>
  <c r="O77" i="110"/>
  <c r="O79" i="110"/>
  <c r="O81" i="110"/>
  <c r="O83" i="110"/>
  <c r="O85" i="110"/>
  <c r="O87" i="110"/>
  <c r="O89" i="110"/>
  <c r="O91" i="110"/>
  <c r="O93" i="110"/>
  <c r="O95" i="110"/>
  <c r="O97" i="110"/>
  <c r="O99" i="110"/>
  <c r="O101" i="110"/>
  <c r="O103" i="110"/>
  <c r="O105" i="110"/>
  <c r="V19" i="95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V39" i="109" s="1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21" i="98"/>
  <c r="V27" i="98" s="1"/>
  <c r="AD29" i="105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U15" i="99"/>
  <c r="Z17" i="101"/>
  <c r="S21" i="105"/>
  <c r="S39" i="105" s="1"/>
  <c r="Y24" i="105"/>
  <c r="U20" i="95"/>
  <c r="AB20" i="105"/>
  <c r="AB39" i="105" s="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T13" i="105"/>
  <c r="AB13" i="105"/>
  <c r="T14" i="105"/>
  <c r="V14" i="105"/>
  <c r="X14" i="105"/>
  <c r="Z14" i="105"/>
  <c r="AB14" i="105"/>
  <c r="AD14" i="105"/>
  <c r="W15" i="105"/>
  <c r="Y39" i="105"/>
  <c r="T12" i="105"/>
  <c r="V12" i="105"/>
  <c r="Z12" i="105"/>
  <c r="AB12" i="105"/>
  <c r="AD12" i="105"/>
  <c r="V13" i="105"/>
  <c r="X13" i="105"/>
  <c r="Z13" i="105"/>
  <c r="AD13" i="105"/>
  <c r="V11" i="105"/>
  <c r="Z11" i="105"/>
  <c r="AD11" i="105"/>
  <c r="AC39" i="105"/>
  <c r="U12" i="105"/>
  <c r="W12" i="105"/>
  <c r="Y12" i="105"/>
  <c r="AA12" i="105"/>
  <c r="AC12" i="105"/>
  <c r="P16" i="105"/>
  <c r="U11" i="105"/>
  <c r="W11" i="105"/>
  <c r="Y11" i="105"/>
  <c r="AA11" i="105"/>
  <c r="AC11" i="105"/>
  <c r="O17" i="105"/>
  <c r="O18" i="105"/>
  <c r="O19" i="105"/>
  <c r="O20" i="105"/>
  <c r="P21" i="105"/>
  <c r="P22" i="105"/>
  <c r="U13" i="105"/>
  <c r="W13" i="105"/>
  <c r="Y13" i="105"/>
  <c r="AA13" i="105"/>
  <c r="AC13" i="105"/>
  <c r="S14" i="105"/>
  <c r="U14" i="105"/>
  <c r="W14" i="105"/>
  <c r="Y14" i="105"/>
  <c r="AA14" i="105"/>
  <c r="AC14" i="105"/>
  <c r="S15" i="105"/>
  <c r="AA15" i="105"/>
  <c r="U15" i="105"/>
  <c r="Y15" i="105"/>
  <c r="AC15" i="105"/>
  <c r="P12" i="105"/>
  <c r="S12" i="105"/>
  <c r="P13" i="105"/>
  <c r="S13" i="105"/>
  <c r="S38" i="105" s="1"/>
  <c r="P14" i="105"/>
  <c r="P15" i="105"/>
  <c r="P32" i="105"/>
  <c r="P34" i="105"/>
  <c r="P35" i="105"/>
  <c r="P36" i="105"/>
  <c r="P37" i="105"/>
  <c r="P38" i="105"/>
  <c r="P39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2" i="105"/>
  <c r="P53" i="105"/>
  <c r="P54" i="105"/>
  <c r="P55" i="105"/>
  <c r="P56" i="105"/>
  <c r="P57" i="105"/>
  <c r="P58" i="105"/>
  <c r="P59" i="105"/>
  <c r="P60" i="105"/>
  <c r="P61" i="105"/>
  <c r="P63" i="105"/>
  <c r="P64" i="105"/>
  <c r="P65" i="105"/>
  <c r="P67" i="105"/>
  <c r="P68" i="105"/>
  <c r="P69" i="105"/>
  <c r="P71" i="105"/>
  <c r="P72" i="105"/>
  <c r="P73" i="105"/>
  <c r="P75" i="105"/>
  <c r="P76" i="105"/>
  <c r="P77" i="105"/>
  <c r="P79" i="105"/>
  <c r="P80" i="105"/>
  <c r="P81" i="105"/>
  <c r="P83" i="105"/>
  <c r="P84" i="105"/>
  <c r="P85" i="105"/>
  <c r="P87" i="105"/>
  <c r="P88" i="105"/>
  <c r="P89" i="105"/>
  <c r="P91" i="105"/>
  <c r="P92" i="105"/>
  <c r="P93" i="105"/>
  <c r="P95" i="105"/>
  <c r="P96" i="105"/>
  <c r="P97" i="105"/>
  <c r="P98" i="105"/>
  <c r="P99" i="105"/>
  <c r="P100" i="105"/>
  <c r="P101" i="105"/>
  <c r="P103" i="105"/>
  <c r="P104" i="105"/>
  <c r="P105" i="105"/>
  <c r="P62" i="105"/>
  <c r="S23" i="105"/>
  <c r="P66" i="105"/>
  <c r="S24" i="105"/>
  <c r="P70" i="105"/>
  <c r="S25" i="105"/>
  <c r="P74" i="105"/>
  <c r="S26" i="105"/>
  <c r="P78" i="105"/>
  <c r="S27" i="105"/>
  <c r="P82" i="105"/>
  <c r="S28" i="105"/>
  <c r="P86" i="105"/>
  <c r="S29" i="105"/>
  <c r="P90" i="105"/>
  <c r="S30" i="105"/>
  <c r="I106" i="105"/>
  <c r="K106" i="105"/>
  <c r="M106" i="105"/>
  <c r="P11" i="105"/>
  <c r="P23" i="105"/>
  <c r="P24" i="105"/>
  <c r="P25" i="105"/>
  <c r="P26" i="105"/>
  <c r="P27" i="105"/>
  <c r="P28" i="105"/>
  <c r="P29" i="105"/>
  <c r="P30" i="105"/>
  <c r="T15" i="105"/>
  <c r="V15" i="105"/>
  <c r="X15" i="105"/>
  <c r="Z15" i="105"/>
  <c r="AB15" i="105"/>
  <c r="AD15" i="105"/>
  <c r="S11" i="105"/>
  <c r="P94" i="105"/>
  <c r="S31" i="105"/>
  <c r="P102" i="105"/>
  <c r="S33" i="105"/>
  <c r="H106" i="105"/>
  <c r="J106" i="105"/>
  <c r="L106" i="105"/>
  <c r="N106" i="105"/>
  <c r="P17" i="105"/>
  <c r="P18" i="105"/>
  <c r="P19" i="105"/>
  <c r="P20" i="105"/>
  <c r="S32" i="105"/>
  <c r="P31" i="105"/>
  <c r="P33" i="105"/>
  <c r="D106" i="105"/>
  <c r="T10" i="105"/>
  <c r="F106" i="105"/>
  <c r="V10" i="105"/>
  <c r="C106" i="105"/>
  <c r="P10" i="105"/>
  <c r="S10" i="105"/>
  <c r="O10" i="105"/>
  <c r="E106" i="105"/>
  <c r="U10" i="105"/>
  <c r="G106" i="105"/>
  <c r="W10" i="105"/>
  <c r="Y10" i="105"/>
  <c r="AA10" i="105"/>
  <c r="AC10" i="105"/>
  <c r="O11" i="105"/>
  <c r="O12" i="105"/>
  <c r="O13" i="105"/>
  <c r="O14" i="105"/>
  <c r="O15" i="105"/>
  <c r="O16" i="105"/>
  <c r="O21" i="105"/>
  <c r="O22" i="105"/>
  <c r="O23" i="105"/>
  <c r="O24" i="105"/>
  <c r="O25" i="105"/>
  <c r="O26" i="105"/>
  <c r="O27" i="105"/>
  <c r="O28" i="105"/>
  <c r="O29" i="105"/>
  <c r="O30" i="105"/>
  <c r="O31" i="105"/>
  <c r="O32" i="105"/>
  <c r="O33" i="105"/>
  <c r="O34" i="105"/>
  <c r="O35" i="105"/>
  <c r="O36" i="105"/>
  <c r="W36" i="105"/>
  <c r="Y36" i="105"/>
  <c r="AA36" i="105"/>
  <c r="AC36" i="105"/>
  <c r="O37" i="105"/>
  <c r="O38" i="105"/>
  <c r="O39" i="105"/>
  <c r="O40" i="105"/>
  <c r="O41" i="105"/>
  <c r="O42" i="105"/>
  <c r="O43" i="105"/>
  <c r="O44" i="105"/>
  <c r="O45" i="105"/>
  <c r="O46" i="105"/>
  <c r="O47" i="105"/>
  <c r="O48" i="105"/>
  <c r="O49" i="105"/>
  <c r="O50" i="105"/>
  <c r="O51" i="105"/>
  <c r="O52" i="105"/>
  <c r="O53" i="105"/>
  <c r="O54" i="105"/>
  <c r="O55" i="105"/>
  <c r="O56" i="105"/>
  <c r="O57" i="105"/>
  <c r="O58" i="105"/>
  <c r="O59" i="105"/>
  <c r="O60" i="105"/>
  <c r="O61" i="105"/>
  <c r="O62" i="105"/>
  <c r="O63" i="105"/>
  <c r="O64" i="105"/>
  <c r="O65" i="105"/>
  <c r="O66" i="105"/>
  <c r="O67" i="105"/>
  <c r="O68" i="105"/>
  <c r="O69" i="105"/>
  <c r="O70" i="105"/>
  <c r="O71" i="105"/>
  <c r="O72" i="105"/>
  <c r="O73" i="105"/>
  <c r="O74" i="105"/>
  <c r="O75" i="105"/>
  <c r="O76" i="105"/>
  <c r="O77" i="105"/>
  <c r="O78" i="105"/>
  <c r="O79" i="105"/>
  <c r="O80" i="105"/>
  <c r="O81" i="105"/>
  <c r="O82" i="105"/>
  <c r="O83" i="105"/>
  <c r="O84" i="105"/>
  <c r="X10" i="105"/>
  <c r="Z10" i="105"/>
  <c r="AB10" i="105"/>
  <c r="AD10" i="105"/>
  <c r="V36" i="105"/>
  <c r="X36" i="105"/>
  <c r="Z36" i="105"/>
  <c r="AD36" i="105"/>
  <c r="O85" i="105"/>
  <c r="O86" i="105"/>
  <c r="O87" i="105"/>
  <c r="O88" i="105"/>
  <c r="O89" i="105"/>
  <c r="O90" i="105"/>
  <c r="O91" i="105"/>
  <c r="O92" i="105"/>
  <c r="O93" i="105"/>
  <c r="O94" i="105"/>
  <c r="O95" i="105"/>
  <c r="O96" i="105"/>
  <c r="O97" i="105"/>
  <c r="O98" i="105"/>
  <c r="O99" i="105"/>
  <c r="O100" i="105"/>
  <c r="O101" i="105"/>
  <c r="O102" i="105"/>
  <c r="O103" i="105"/>
  <c r="O104" i="105"/>
  <c r="O105" i="105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U17" i="96"/>
  <c r="V18" i="98"/>
  <c r="AC16" i="96"/>
  <c r="U18" i="94"/>
  <c r="AC16" i="95"/>
  <c r="AB18" i="97"/>
  <c r="AB26" i="97" s="1"/>
  <c r="AC20" i="99"/>
  <c r="AC24" i="99" s="1"/>
  <c r="AD20" i="98"/>
  <c r="AD27" i="98" s="1"/>
  <c r="U14" i="95"/>
  <c r="U26" i="95" s="1"/>
  <c r="T39" i="101"/>
  <c r="AC18" i="95"/>
  <c r="W16" i="99"/>
  <c r="Y20" i="99"/>
  <c r="Y27" i="99" s="1"/>
  <c r="AC16" i="98"/>
  <c r="AC23" i="98" s="1"/>
  <c r="AD13" i="98"/>
  <c r="U14" i="96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AB17" i="95"/>
  <c r="S22" i="101"/>
  <c r="S23" i="101"/>
  <c r="Z19" i="95"/>
  <c r="Z27" i="95" s="1"/>
  <c r="V14" i="98"/>
  <c r="AA16" i="100"/>
  <c r="AA26" i="100" s="1"/>
  <c r="Z13" i="95"/>
  <c r="V14" i="99"/>
  <c r="V26" i="99" s="1"/>
  <c r="T21" i="98"/>
  <c r="T27" i="98" s="1"/>
  <c r="AB14" i="95"/>
  <c r="U15" i="101"/>
  <c r="P105" i="101"/>
  <c r="Y17" i="94"/>
  <c r="P77" i="101"/>
  <c r="P22" i="104"/>
  <c r="P23" i="104"/>
  <c r="P24" i="104"/>
  <c r="O30" i="104"/>
  <c r="O34" i="104"/>
  <c r="O38" i="104"/>
  <c r="O42" i="104"/>
  <c r="O46" i="104"/>
  <c r="O50" i="104"/>
  <c r="O54" i="104"/>
  <c r="P69" i="101"/>
  <c r="P91" i="101"/>
  <c r="U15" i="94"/>
  <c r="W17" i="96"/>
  <c r="Z19" i="98"/>
  <c r="AC24" i="103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Y14" i="100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O101" i="101"/>
  <c r="P100" i="101"/>
  <c r="O99" i="101"/>
  <c r="P98" i="101"/>
  <c r="AF32" i="101" s="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Y18" i="96"/>
  <c r="AC14" i="94"/>
  <c r="Y13" i="100"/>
  <c r="Y15" i="97"/>
  <c r="Y23" i="97" s="1"/>
  <c r="Y16" i="95"/>
  <c r="AA18" i="96"/>
  <c r="AA23" i="96" s="1"/>
  <c r="W20" i="98"/>
  <c r="W24" i="98" s="1"/>
  <c r="AD16" i="96"/>
  <c r="AD23" i="96" s="1"/>
  <c r="Z18" i="95"/>
  <c r="Z26" i="95" s="1"/>
  <c r="Y14" i="94"/>
  <c r="Y21" i="96"/>
  <c r="Y24" i="96" s="1"/>
  <c r="Y15" i="101"/>
  <c r="AA17" i="94"/>
  <c r="V21" i="95"/>
  <c r="X13" i="95"/>
  <c r="X23" i="95" s="1"/>
  <c r="W16" i="94"/>
  <c r="AC20" i="94"/>
  <c r="V15" i="95"/>
  <c r="V26" i="95" s="1"/>
  <c r="U14" i="94"/>
  <c r="P17" i="104"/>
  <c r="S17" i="104"/>
  <c r="V11" i="103"/>
  <c r="AD12" i="101"/>
  <c r="AD11" i="103"/>
  <c r="T11" i="104"/>
  <c r="X11" i="104"/>
  <c r="AB11" i="104"/>
  <c r="U12" i="101"/>
  <c r="W12" i="101"/>
  <c r="Y12" i="101"/>
  <c r="AA12" i="101"/>
  <c r="AC12" i="101"/>
  <c r="V26" i="103"/>
  <c r="AD26" i="103"/>
  <c r="T10" i="104"/>
  <c r="F58" i="104"/>
  <c r="X10" i="104"/>
  <c r="J58" i="104"/>
  <c r="AB10" i="104"/>
  <c r="N58" i="104"/>
  <c r="P14" i="104"/>
  <c r="U11" i="104"/>
  <c r="W11" i="104"/>
  <c r="Y11" i="104"/>
  <c r="AA11" i="104"/>
  <c r="AC11" i="104"/>
  <c r="P18" i="104"/>
  <c r="U12" i="104"/>
  <c r="W12" i="104"/>
  <c r="Y12" i="104"/>
  <c r="AA12" i="104"/>
  <c r="AC12" i="104"/>
  <c r="T12" i="104"/>
  <c r="X12" i="104"/>
  <c r="AB12" i="104"/>
  <c r="P21" i="104"/>
  <c r="S21" i="104"/>
  <c r="V11" i="101"/>
  <c r="T11" i="103"/>
  <c r="X11" i="103"/>
  <c r="Z11" i="103"/>
  <c r="AB11" i="103"/>
  <c r="S13" i="104"/>
  <c r="S15" i="104"/>
  <c r="S19" i="104"/>
  <c r="AC36" i="101"/>
  <c r="Y24" i="103"/>
  <c r="AC27" i="103"/>
  <c r="T14" i="103"/>
  <c r="X14" i="103"/>
  <c r="X26" i="103" s="1"/>
  <c r="AB14" i="103"/>
  <c r="W15" i="104"/>
  <c r="W17" i="104"/>
  <c r="W19" i="104"/>
  <c r="W21" i="104"/>
  <c r="W18" i="94"/>
  <c r="D58" i="103"/>
  <c r="F58" i="103"/>
  <c r="H58" i="103"/>
  <c r="J58" i="103"/>
  <c r="L58" i="103"/>
  <c r="N58" i="103"/>
  <c r="Z26" i="103"/>
  <c r="U11" i="103"/>
  <c r="W11" i="103"/>
  <c r="Y11" i="103"/>
  <c r="AA11" i="103"/>
  <c r="AC11" i="103"/>
  <c r="T13" i="103"/>
  <c r="T26" i="103" s="1"/>
  <c r="X13" i="103"/>
  <c r="AB13" i="103"/>
  <c r="AB26" i="103" s="1"/>
  <c r="P25" i="103"/>
  <c r="P26" i="103"/>
  <c r="P27" i="103"/>
  <c r="U27" i="103"/>
  <c r="P11" i="104"/>
  <c r="W10" i="104"/>
  <c r="S11" i="104"/>
  <c r="P12" i="104"/>
  <c r="S12" i="104"/>
  <c r="P13" i="104"/>
  <c r="P15" i="104"/>
  <c r="P16" i="104"/>
  <c r="P19" i="104"/>
  <c r="P20" i="104"/>
  <c r="AA26" i="104"/>
  <c r="P34" i="104"/>
  <c r="P42" i="104"/>
  <c r="P50" i="10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E58" i="103"/>
  <c r="G58" i="103"/>
  <c r="I58" i="103"/>
  <c r="K58" i="103"/>
  <c r="M58" i="103"/>
  <c r="P11" i="103"/>
  <c r="P12" i="103"/>
  <c r="P13" i="103"/>
  <c r="P14" i="103"/>
  <c r="P15" i="103"/>
  <c r="P16" i="103"/>
  <c r="P17" i="103"/>
  <c r="P18" i="103"/>
  <c r="P19" i="103"/>
  <c r="P20" i="103"/>
  <c r="P21" i="103"/>
  <c r="P22" i="103"/>
  <c r="U13" i="103"/>
  <c r="W13" i="103"/>
  <c r="Y13" i="103"/>
  <c r="AA13" i="103"/>
  <c r="AC13" i="103"/>
  <c r="P23" i="103"/>
  <c r="P24" i="103"/>
  <c r="P28" i="103"/>
  <c r="P29" i="103"/>
  <c r="P30" i="103"/>
  <c r="P31" i="103"/>
  <c r="U15" i="103"/>
  <c r="W15" i="103"/>
  <c r="Y15" i="103"/>
  <c r="AA15" i="103"/>
  <c r="AC15" i="103"/>
  <c r="P32" i="103"/>
  <c r="P33" i="103"/>
  <c r="P34" i="103"/>
  <c r="P35" i="103"/>
  <c r="U16" i="103"/>
  <c r="W16" i="103"/>
  <c r="Y16" i="103"/>
  <c r="AA16" i="103"/>
  <c r="S10" i="104"/>
  <c r="S16" i="104"/>
  <c r="S18" i="104"/>
  <c r="S20" i="104"/>
  <c r="U15" i="104"/>
  <c r="Y15" i="104"/>
  <c r="AC15" i="104"/>
  <c r="P30" i="104"/>
  <c r="U17" i="104"/>
  <c r="Y17" i="104"/>
  <c r="AC17" i="104"/>
  <c r="P38" i="104"/>
  <c r="U19" i="104"/>
  <c r="Y19" i="104"/>
  <c r="AC19" i="104"/>
  <c r="P46" i="104"/>
  <c r="U21" i="104"/>
  <c r="Y21" i="104"/>
  <c r="AC21" i="104"/>
  <c r="P54" i="104"/>
  <c r="AC16" i="103"/>
  <c r="P36" i="103"/>
  <c r="P37" i="103"/>
  <c r="P39" i="103"/>
  <c r="P40" i="103"/>
  <c r="P41" i="103"/>
  <c r="P42" i="103"/>
  <c r="P43" i="103"/>
  <c r="P44" i="103"/>
  <c r="P45" i="103"/>
  <c r="P46" i="103"/>
  <c r="P47" i="103"/>
  <c r="P48" i="103"/>
  <c r="P49" i="103"/>
  <c r="P50" i="103"/>
  <c r="P51" i="103"/>
  <c r="P52" i="103"/>
  <c r="P53" i="103"/>
  <c r="P54" i="103"/>
  <c r="P55" i="103"/>
  <c r="P56" i="103"/>
  <c r="P57" i="103"/>
  <c r="E58" i="104"/>
  <c r="G58" i="104"/>
  <c r="I58" i="104"/>
  <c r="K58" i="104"/>
  <c r="M58" i="104"/>
  <c r="AA10" i="104"/>
  <c r="V13" i="104"/>
  <c r="X13" i="104"/>
  <c r="Z13" i="104"/>
  <c r="AB13" i="104"/>
  <c r="AD13" i="104"/>
  <c r="P27" i="104"/>
  <c r="P28" i="104"/>
  <c r="P29" i="104"/>
  <c r="O32" i="104"/>
  <c r="P32" i="104"/>
  <c r="P33" i="104"/>
  <c r="O36" i="104"/>
  <c r="P36" i="104"/>
  <c r="P37" i="104"/>
  <c r="O40" i="104"/>
  <c r="P40" i="104"/>
  <c r="P41" i="104"/>
  <c r="O44" i="104"/>
  <c r="P44" i="104"/>
  <c r="P45" i="104"/>
  <c r="O48" i="104"/>
  <c r="P48" i="104"/>
  <c r="P49" i="104"/>
  <c r="O52" i="104"/>
  <c r="P52" i="104"/>
  <c r="P53" i="104"/>
  <c r="O56" i="104"/>
  <c r="P56" i="104"/>
  <c r="P57" i="104"/>
  <c r="P10" i="103"/>
  <c r="C58" i="103"/>
  <c r="O10" i="103"/>
  <c r="U10" i="103"/>
  <c r="Y10" i="103"/>
  <c r="AC10" i="103"/>
  <c r="O11" i="103"/>
  <c r="O12" i="103"/>
  <c r="O13" i="103"/>
  <c r="O14" i="103"/>
  <c r="O15" i="103"/>
  <c r="O16" i="103"/>
  <c r="O17" i="103"/>
  <c r="O18" i="103"/>
  <c r="O19" i="103"/>
  <c r="O20" i="103"/>
  <c r="O21" i="103"/>
  <c r="O22" i="103"/>
  <c r="O23" i="103"/>
  <c r="O24" i="103"/>
  <c r="O25" i="103"/>
  <c r="O26" i="103"/>
  <c r="O27" i="103"/>
  <c r="O28" i="103"/>
  <c r="O29" i="103"/>
  <c r="O31" i="103"/>
  <c r="O33" i="103"/>
  <c r="O35" i="103"/>
  <c r="O37" i="103"/>
  <c r="T11" i="101"/>
  <c r="X11" i="101"/>
  <c r="Z11" i="101"/>
  <c r="AB11" i="101"/>
  <c r="AD11" i="101"/>
  <c r="Y39" i="101"/>
  <c r="Y36" i="101"/>
  <c r="S10" i="103"/>
  <c r="W10" i="103"/>
  <c r="AA10" i="103"/>
  <c r="S11" i="103"/>
  <c r="S12" i="103"/>
  <c r="S13" i="103"/>
  <c r="S14" i="103"/>
  <c r="S15" i="103"/>
  <c r="S16" i="103"/>
  <c r="S24" i="103"/>
  <c r="W24" i="103"/>
  <c r="AA24" i="103"/>
  <c r="O30" i="103"/>
  <c r="O32" i="103"/>
  <c r="O34" i="103"/>
  <c r="O36" i="103"/>
  <c r="P38" i="103"/>
  <c r="O38" i="103"/>
  <c r="O39" i="103"/>
  <c r="O40" i="103"/>
  <c r="O41" i="103"/>
  <c r="O42" i="103"/>
  <c r="O43" i="103"/>
  <c r="O44" i="103"/>
  <c r="O45" i="103"/>
  <c r="O46" i="103"/>
  <c r="O47" i="103"/>
  <c r="O48" i="103"/>
  <c r="O49" i="103"/>
  <c r="O50" i="103"/>
  <c r="O51" i="103"/>
  <c r="O52" i="103"/>
  <c r="O53" i="103"/>
  <c r="O54" i="103"/>
  <c r="O55" i="103"/>
  <c r="O56" i="103"/>
  <c r="O57" i="103"/>
  <c r="AA27" i="104"/>
  <c r="AA24" i="104"/>
  <c r="AA23" i="104"/>
  <c r="P25" i="104"/>
  <c r="T13" i="104"/>
  <c r="P26" i="104"/>
  <c r="T14" i="104"/>
  <c r="H58" i="104"/>
  <c r="Z13" i="101"/>
  <c r="T10" i="103"/>
  <c r="V10" i="103"/>
  <c r="X10" i="103"/>
  <c r="Z10" i="103"/>
  <c r="AB10" i="103"/>
  <c r="AD10" i="103"/>
  <c r="V23" i="103"/>
  <c r="Z23" i="103"/>
  <c r="AD23" i="103"/>
  <c r="T24" i="103"/>
  <c r="V24" i="103"/>
  <c r="X24" i="103"/>
  <c r="Z24" i="103"/>
  <c r="AB24" i="103"/>
  <c r="AD24" i="103"/>
  <c r="C58" i="104"/>
  <c r="P10" i="104"/>
  <c r="O10" i="104"/>
  <c r="U10" i="104"/>
  <c r="Y10" i="104"/>
  <c r="AC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P31" i="104"/>
  <c r="T15" i="104"/>
  <c r="V15" i="104"/>
  <c r="X15" i="104"/>
  <c r="Z15" i="104"/>
  <c r="AB15" i="104"/>
  <c r="AD15" i="104"/>
  <c r="P35" i="104"/>
  <c r="T16" i="104"/>
  <c r="V16" i="104"/>
  <c r="X16" i="104"/>
  <c r="Z16" i="104"/>
  <c r="AB16" i="104"/>
  <c r="AD16" i="104"/>
  <c r="P39" i="104"/>
  <c r="T17" i="104"/>
  <c r="V17" i="104"/>
  <c r="X17" i="104"/>
  <c r="Z17" i="104"/>
  <c r="AB17" i="104"/>
  <c r="AD17" i="104"/>
  <c r="P43" i="104"/>
  <c r="T18" i="104"/>
  <c r="V18" i="104"/>
  <c r="X18" i="104"/>
  <c r="Z18" i="104"/>
  <c r="AB18" i="104"/>
  <c r="AD18" i="104"/>
  <c r="P47" i="104"/>
  <c r="T19" i="104"/>
  <c r="V19" i="104"/>
  <c r="X19" i="104"/>
  <c r="Z19" i="104"/>
  <c r="AB19" i="104"/>
  <c r="AD19" i="104"/>
  <c r="P51" i="104"/>
  <c r="T20" i="104"/>
  <c r="V20" i="104"/>
  <c r="X20" i="104"/>
  <c r="Z20" i="104"/>
  <c r="AB20" i="104"/>
  <c r="AD20" i="104"/>
  <c r="P55" i="104"/>
  <c r="T21" i="104"/>
  <c r="V21" i="104"/>
  <c r="X21" i="104"/>
  <c r="Z21" i="104"/>
  <c r="AB21" i="104"/>
  <c r="AD21" i="104"/>
  <c r="D58" i="104"/>
  <c r="L58" i="104"/>
  <c r="V10" i="104"/>
  <c r="Z10" i="104"/>
  <c r="AD10" i="104"/>
  <c r="O25" i="104"/>
  <c r="O26" i="104"/>
  <c r="O27" i="104"/>
  <c r="O28" i="104"/>
  <c r="O29" i="104"/>
  <c r="O31" i="104"/>
  <c r="O33" i="104"/>
  <c r="O35" i="104"/>
  <c r="O37" i="104"/>
  <c r="O39" i="104"/>
  <c r="O41" i="104"/>
  <c r="O43" i="104"/>
  <c r="O45" i="104"/>
  <c r="O47" i="104"/>
  <c r="O49" i="104"/>
  <c r="O51" i="104"/>
  <c r="O53" i="104"/>
  <c r="O55" i="104"/>
  <c r="O57" i="104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3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AC11" i="95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U11" i="96"/>
  <c r="W11" i="96"/>
  <c r="Y11" i="96"/>
  <c r="AA11" i="96"/>
  <c r="AC11" i="96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Z36" i="101"/>
  <c r="AB36" i="101"/>
  <c r="AD36" i="101"/>
  <c r="V27" i="96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5" i="96"/>
  <c r="O36" i="96"/>
  <c r="O37" i="96"/>
  <c r="O39" i="96"/>
  <c r="O40" i="96"/>
  <c r="O41" i="96"/>
  <c r="O43" i="96"/>
  <c r="O44" i="96"/>
  <c r="O45" i="96"/>
  <c r="O47" i="96"/>
  <c r="O48" i="96"/>
  <c r="O49" i="96"/>
  <c r="O50" i="96"/>
  <c r="O51" i="96"/>
  <c r="O52" i="96"/>
  <c r="O53" i="96"/>
  <c r="O55" i="96"/>
  <c r="O56" i="96"/>
  <c r="O57" i="96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C58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S11" i="95"/>
  <c r="W11" i="95"/>
  <c r="AA11" i="95"/>
  <c r="Z12" i="95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T11" i="95"/>
  <c r="V11" i="95"/>
  <c r="X11" i="95"/>
  <c r="Z11" i="95"/>
  <c r="AB11" i="95"/>
  <c r="AD11" i="95"/>
  <c r="D58" i="97"/>
  <c r="F58" i="97"/>
  <c r="H58" i="97"/>
  <c r="J58" i="97"/>
  <c r="L58" i="97"/>
  <c r="N58" i="97"/>
  <c r="T26" i="97"/>
  <c r="Z26" i="97"/>
  <c r="AD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V12" i="95"/>
  <c r="AD12" i="95"/>
  <c r="T11" i="96"/>
  <c r="V11" i="96"/>
  <c r="X11" i="96"/>
  <c r="Z11" i="96"/>
  <c r="AB11" i="96"/>
  <c r="AD11" i="96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S12" i="96"/>
  <c r="W12" i="96"/>
  <c r="AA12" i="96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O42" i="96"/>
  <c r="S18" i="96"/>
  <c r="T11" i="94"/>
  <c r="V11" i="94"/>
  <c r="X11" i="94"/>
  <c r="AB11" i="94"/>
  <c r="AD11" i="94"/>
  <c r="T12" i="94"/>
  <c r="X12" i="94"/>
  <c r="Z12" i="94"/>
  <c r="AB12" i="94"/>
  <c r="D58" i="95"/>
  <c r="F58" i="95"/>
  <c r="H58" i="95"/>
  <c r="J58" i="95"/>
  <c r="L58" i="95"/>
  <c r="N58" i="95"/>
  <c r="T26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5" i="95"/>
  <c r="O47" i="95"/>
  <c r="O48" i="95"/>
  <c r="O49" i="95"/>
  <c r="O50" i="95"/>
  <c r="O51" i="95"/>
  <c r="O52" i="95"/>
  <c r="O53" i="95"/>
  <c r="O54" i="95"/>
  <c r="O55" i="95"/>
  <c r="O56" i="95"/>
  <c r="O57" i="95"/>
  <c r="C58" i="96"/>
  <c r="E58" i="96"/>
  <c r="G58" i="96"/>
  <c r="I58" i="96"/>
  <c r="K58" i="96"/>
  <c r="M58" i="96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C58" i="95"/>
  <c r="E58" i="95"/>
  <c r="G58" i="95"/>
  <c r="I58" i="95"/>
  <c r="K58" i="95"/>
  <c r="M58" i="95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F58" i="96"/>
  <c r="H58" i="96"/>
  <c r="J58" i="96"/>
  <c r="L58" i="96"/>
  <c r="N58" i="96"/>
  <c r="V26" i="96"/>
  <c r="X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6" i="95"/>
  <c r="O27" i="95"/>
  <c r="O28" i="95"/>
  <c r="O29" i="95"/>
  <c r="O30" i="95"/>
  <c r="O31" i="95"/>
  <c r="O32" i="95"/>
  <c r="O33" i="95"/>
  <c r="O34" i="95"/>
  <c r="O35" i="95"/>
  <c r="O36" i="95"/>
  <c r="P36" i="95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5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9" i="94"/>
  <c r="O41" i="94"/>
  <c r="O43" i="94"/>
  <c r="O45" i="94"/>
  <c r="O47" i="94"/>
  <c r="O49" i="94"/>
  <c r="O51" i="94"/>
  <c r="O53" i="94"/>
  <c r="O55" i="94"/>
  <c r="O57" i="94"/>
  <c r="C11" i="107"/>
  <c r="D11" i="107"/>
  <c r="E11" i="107"/>
  <c r="F11" i="107"/>
  <c r="G11" i="107"/>
  <c r="H11" i="107"/>
  <c r="I11" i="107"/>
  <c r="J11" i="107"/>
  <c r="K11" i="107"/>
  <c r="L11" i="107"/>
  <c r="M11" i="107"/>
  <c r="N11" i="107"/>
  <c r="C12" i="107"/>
  <c r="D12" i="107"/>
  <c r="E12" i="107"/>
  <c r="F12" i="107"/>
  <c r="G12" i="107"/>
  <c r="H12" i="107"/>
  <c r="I12" i="107"/>
  <c r="J12" i="107"/>
  <c r="K12" i="107"/>
  <c r="L12" i="107"/>
  <c r="M12" i="107"/>
  <c r="N12" i="107"/>
  <c r="C13" i="107"/>
  <c r="D13" i="107"/>
  <c r="E13" i="107"/>
  <c r="F13" i="107"/>
  <c r="G13" i="107"/>
  <c r="H13" i="107"/>
  <c r="I13" i="107"/>
  <c r="J13" i="107"/>
  <c r="K13" i="107"/>
  <c r="L13" i="107"/>
  <c r="M13" i="107"/>
  <c r="N13" i="107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C15" i="107"/>
  <c r="D15" i="107"/>
  <c r="E15" i="107"/>
  <c r="F15" i="107"/>
  <c r="G15" i="107"/>
  <c r="H15" i="107"/>
  <c r="I15" i="107"/>
  <c r="J15" i="107"/>
  <c r="K15" i="107"/>
  <c r="L15" i="107"/>
  <c r="M15" i="107"/>
  <c r="N15" i="107"/>
  <c r="C16" i="107"/>
  <c r="D16" i="107"/>
  <c r="E16" i="107"/>
  <c r="F16" i="107"/>
  <c r="G16" i="107"/>
  <c r="H16" i="107"/>
  <c r="I16" i="107"/>
  <c r="J16" i="107"/>
  <c r="K16" i="107"/>
  <c r="L16" i="107"/>
  <c r="M16" i="107"/>
  <c r="N16" i="107"/>
  <c r="C17" i="107"/>
  <c r="D17" i="107"/>
  <c r="E17" i="107"/>
  <c r="F17" i="107"/>
  <c r="G17" i="107"/>
  <c r="H17" i="107"/>
  <c r="I17" i="107"/>
  <c r="J17" i="107"/>
  <c r="K17" i="107"/>
  <c r="L17" i="107"/>
  <c r="M17" i="107"/>
  <c r="N17" i="107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C19" i="107"/>
  <c r="D19" i="107"/>
  <c r="E19" i="107"/>
  <c r="F19" i="107"/>
  <c r="G19" i="107"/>
  <c r="H19" i="107"/>
  <c r="I19" i="107"/>
  <c r="J19" i="107"/>
  <c r="K19" i="107"/>
  <c r="L19" i="107"/>
  <c r="M19" i="107"/>
  <c r="N19" i="107"/>
  <c r="C20" i="107"/>
  <c r="D20" i="107"/>
  <c r="E20" i="107"/>
  <c r="F20" i="107"/>
  <c r="G20" i="107"/>
  <c r="H20" i="107"/>
  <c r="I20" i="107"/>
  <c r="J20" i="107"/>
  <c r="K20" i="107"/>
  <c r="L20" i="107"/>
  <c r="M20" i="107"/>
  <c r="N20" i="107"/>
  <c r="C21" i="107"/>
  <c r="D21" i="107"/>
  <c r="E21" i="107"/>
  <c r="F21" i="107"/>
  <c r="G21" i="107"/>
  <c r="H21" i="107"/>
  <c r="I21" i="107"/>
  <c r="J21" i="107"/>
  <c r="K21" i="107"/>
  <c r="L21" i="107"/>
  <c r="M21" i="107"/>
  <c r="N21" i="107"/>
  <c r="C22" i="107"/>
  <c r="D22" i="107"/>
  <c r="E22" i="107"/>
  <c r="F22" i="107"/>
  <c r="G22" i="107"/>
  <c r="H22" i="107"/>
  <c r="I22" i="107"/>
  <c r="J22" i="107"/>
  <c r="K22" i="107"/>
  <c r="L22" i="107"/>
  <c r="M22" i="107"/>
  <c r="N22" i="107"/>
  <c r="C23" i="107"/>
  <c r="D23" i="107"/>
  <c r="E23" i="107"/>
  <c r="F23" i="107"/>
  <c r="G23" i="107"/>
  <c r="H23" i="107"/>
  <c r="I23" i="107"/>
  <c r="J23" i="107"/>
  <c r="K23" i="107"/>
  <c r="L23" i="107"/>
  <c r="M23" i="107"/>
  <c r="N23" i="107"/>
  <c r="C24" i="107"/>
  <c r="D24" i="107"/>
  <c r="E24" i="107"/>
  <c r="F24" i="107"/>
  <c r="G24" i="107"/>
  <c r="H24" i="107"/>
  <c r="I24" i="107"/>
  <c r="J24" i="107"/>
  <c r="K24" i="107"/>
  <c r="L24" i="107"/>
  <c r="M24" i="107"/>
  <c r="N24" i="107"/>
  <c r="C25" i="107"/>
  <c r="D25" i="107"/>
  <c r="E25" i="107"/>
  <c r="F25" i="107"/>
  <c r="G25" i="107"/>
  <c r="H25" i="107"/>
  <c r="I25" i="107"/>
  <c r="J25" i="107"/>
  <c r="K25" i="107"/>
  <c r="L25" i="107"/>
  <c r="M25" i="107"/>
  <c r="N25" i="107"/>
  <c r="C26" i="107"/>
  <c r="D26" i="107"/>
  <c r="E26" i="107"/>
  <c r="F26" i="107"/>
  <c r="G26" i="107"/>
  <c r="H26" i="107"/>
  <c r="I26" i="107"/>
  <c r="J26" i="107"/>
  <c r="K26" i="107"/>
  <c r="L26" i="107"/>
  <c r="M26" i="107"/>
  <c r="N26" i="107"/>
  <c r="C27" i="107"/>
  <c r="D27" i="107"/>
  <c r="E27" i="107"/>
  <c r="F27" i="107"/>
  <c r="G27" i="107"/>
  <c r="H27" i="107"/>
  <c r="I27" i="107"/>
  <c r="J27" i="107"/>
  <c r="K27" i="107"/>
  <c r="L27" i="107"/>
  <c r="M27" i="107"/>
  <c r="N27" i="107"/>
  <c r="C28" i="107"/>
  <c r="D28" i="107"/>
  <c r="E28" i="107"/>
  <c r="F28" i="107"/>
  <c r="G28" i="107"/>
  <c r="H28" i="107"/>
  <c r="I28" i="107"/>
  <c r="J28" i="107"/>
  <c r="K28" i="107"/>
  <c r="L28" i="107"/>
  <c r="M28" i="107"/>
  <c r="N28" i="107"/>
  <c r="C29" i="107"/>
  <c r="D29" i="107"/>
  <c r="E29" i="107"/>
  <c r="F29" i="107"/>
  <c r="G29" i="107"/>
  <c r="H29" i="107"/>
  <c r="I29" i="107"/>
  <c r="J29" i="107"/>
  <c r="K29" i="107"/>
  <c r="L29" i="107"/>
  <c r="M29" i="107"/>
  <c r="N29" i="107"/>
  <c r="C30" i="107"/>
  <c r="D30" i="107"/>
  <c r="E30" i="107"/>
  <c r="F30" i="107"/>
  <c r="G30" i="107"/>
  <c r="H30" i="107"/>
  <c r="I30" i="107"/>
  <c r="J30" i="107"/>
  <c r="K30" i="107"/>
  <c r="L30" i="107"/>
  <c r="M30" i="107"/>
  <c r="N30" i="107"/>
  <c r="C31" i="107"/>
  <c r="D31" i="107"/>
  <c r="E31" i="107"/>
  <c r="F31" i="107"/>
  <c r="G31" i="107"/>
  <c r="H31" i="107"/>
  <c r="I31" i="107"/>
  <c r="J31" i="107"/>
  <c r="K31" i="107"/>
  <c r="L31" i="107"/>
  <c r="M31" i="107"/>
  <c r="N31" i="107"/>
  <c r="C32" i="107"/>
  <c r="D32" i="107"/>
  <c r="E32" i="107"/>
  <c r="F32" i="107"/>
  <c r="G32" i="107"/>
  <c r="H32" i="107"/>
  <c r="I32" i="107"/>
  <c r="J32" i="107"/>
  <c r="K32" i="107"/>
  <c r="L32" i="107"/>
  <c r="M32" i="107"/>
  <c r="N32" i="107"/>
  <c r="C33" i="107"/>
  <c r="D33" i="107"/>
  <c r="E33" i="107"/>
  <c r="F33" i="107"/>
  <c r="G33" i="107"/>
  <c r="H33" i="107"/>
  <c r="I33" i="107"/>
  <c r="J33" i="107"/>
  <c r="K33" i="107"/>
  <c r="L33" i="107"/>
  <c r="M33" i="107"/>
  <c r="N33" i="107"/>
  <c r="C34" i="107"/>
  <c r="D34" i="107"/>
  <c r="E34" i="107"/>
  <c r="F34" i="107"/>
  <c r="G34" i="107"/>
  <c r="H34" i="107"/>
  <c r="I34" i="107"/>
  <c r="J34" i="107"/>
  <c r="K34" i="107"/>
  <c r="L34" i="107"/>
  <c r="M34" i="107"/>
  <c r="N34" i="107"/>
  <c r="C35" i="107"/>
  <c r="D35" i="107"/>
  <c r="E35" i="107"/>
  <c r="F35" i="107"/>
  <c r="G35" i="107"/>
  <c r="H35" i="107"/>
  <c r="I35" i="107"/>
  <c r="J35" i="107"/>
  <c r="K35" i="107"/>
  <c r="L35" i="107"/>
  <c r="M35" i="107"/>
  <c r="N35" i="107"/>
  <c r="C36" i="107"/>
  <c r="D36" i="107"/>
  <c r="E36" i="107"/>
  <c r="F36" i="107"/>
  <c r="G36" i="107"/>
  <c r="H36" i="107"/>
  <c r="I36" i="107"/>
  <c r="J36" i="107"/>
  <c r="K36" i="107"/>
  <c r="L36" i="107"/>
  <c r="M36" i="107"/>
  <c r="N36" i="107"/>
  <c r="C37" i="107"/>
  <c r="D37" i="107"/>
  <c r="E37" i="107"/>
  <c r="F37" i="107"/>
  <c r="G37" i="107"/>
  <c r="H37" i="107"/>
  <c r="I37" i="107"/>
  <c r="J37" i="107"/>
  <c r="K37" i="107"/>
  <c r="L37" i="107"/>
  <c r="M37" i="107"/>
  <c r="N37" i="107"/>
  <c r="C38" i="107"/>
  <c r="D38" i="107"/>
  <c r="E38" i="107"/>
  <c r="F38" i="107"/>
  <c r="G38" i="107"/>
  <c r="H38" i="107"/>
  <c r="I38" i="107"/>
  <c r="J38" i="107"/>
  <c r="K38" i="107"/>
  <c r="L38" i="107"/>
  <c r="M38" i="107"/>
  <c r="N38" i="107"/>
  <c r="C39" i="107"/>
  <c r="D39" i="107"/>
  <c r="E39" i="107"/>
  <c r="F39" i="107"/>
  <c r="G39" i="107"/>
  <c r="H39" i="107"/>
  <c r="I39" i="107"/>
  <c r="J39" i="107"/>
  <c r="K39" i="107"/>
  <c r="L39" i="107"/>
  <c r="M39" i="107"/>
  <c r="N39" i="107"/>
  <c r="C40" i="107"/>
  <c r="D40" i="107"/>
  <c r="E40" i="107"/>
  <c r="F40" i="107"/>
  <c r="G40" i="107"/>
  <c r="H40" i="107"/>
  <c r="I40" i="107"/>
  <c r="J40" i="107"/>
  <c r="K40" i="107"/>
  <c r="L40" i="107"/>
  <c r="M40" i="107"/>
  <c r="N40" i="107"/>
  <c r="C41" i="107"/>
  <c r="D41" i="107"/>
  <c r="E41" i="107"/>
  <c r="F41" i="107"/>
  <c r="G41" i="107"/>
  <c r="H41" i="107"/>
  <c r="I41" i="107"/>
  <c r="J41" i="107"/>
  <c r="K41" i="107"/>
  <c r="L41" i="107"/>
  <c r="M41" i="107"/>
  <c r="N41" i="107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C43" i="107"/>
  <c r="D43" i="107"/>
  <c r="E43" i="107"/>
  <c r="F43" i="107"/>
  <c r="G43" i="107"/>
  <c r="H43" i="107"/>
  <c r="I43" i="107"/>
  <c r="J43" i="107"/>
  <c r="K43" i="107"/>
  <c r="L43" i="107"/>
  <c r="M43" i="107"/>
  <c r="N43" i="107"/>
  <c r="C44" i="107"/>
  <c r="D44" i="107"/>
  <c r="E44" i="107"/>
  <c r="F44" i="107"/>
  <c r="G44" i="107"/>
  <c r="H44" i="107"/>
  <c r="I44" i="107"/>
  <c r="J44" i="107"/>
  <c r="K44" i="107"/>
  <c r="L44" i="107"/>
  <c r="M44" i="107"/>
  <c r="N44" i="107"/>
  <c r="C45" i="107"/>
  <c r="D45" i="107"/>
  <c r="E45" i="107"/>
  <c r="F45" i="107"/>
  <c r="G45" i="107"/>
  <c r="H45" i="107"/>
  <c r="I45" i="107"/>
  <c r="J45" i="107"/>
  <c r="K45" i="107"/>
  <c r="L45" i="107"/>
  <c r="M45" i="107"/>
  <c r="N45" i="107"/>
  <c r="C46" i="107"/>
  <c r="D46" i="107"/>
  <c r="E46" i="107"/>
  <c r="F46" i="107"/>
  <c r="G46" i="107"/>
  <c r="H46" i="107"/>
  <c r="I46" i="107"/>
  <c r="J46" i="107"/>
  <c r="K46" i="107"/>
  <c r="L46" i="107"/>
  <c r="M46" i="107"/>
  <c r="N46" i="107"/>
  <c r="C47" i="107"/>
  <c r="D47" i="107"/>
  <c r="E47" i="107"/>
  <c r="F47" i="107"/>
  <c r="G47" i="107"/>
  <c r="H47" i="107"/>
  <c r="I47" i="107"/>
  <c r="J47" i="107"/>
  <c r="K47" i="107"/>
  <c r="L47" i="107"/>
  <c r="M47" i="107"/>
  <c r="N47" i="107"/>
  <c r="C48" i="107"/>
  <c r="D48" i="107"/>
  <c r="E48" i="107"/>
  <c r="F48" i="107"/>
  <c r="G48" i="107"/>
  <c r="H48" i="107"/>
  <c r="I48" i="107"/>
  <c r="J48" i="107"/>
  <c r="K48" i="107"/>
  <c r="L48" i="107"/>
  <c r="M48" i="107"/>
  <c r="N48" i="107"/>
  <c r="C49" i="107"/>
  <c r="D49" i="107"/>
  <c r="E49" i="107"/>
  <c r="F49" i="107"/>
  <c r="G49" i="107"/>
  <c r="H49" i="107"/>
  <c r="I49" i="107"/>
  <c r="J49" i="107"/>
  <c r="K49" i="107"/>
  <c r="L49" i="107"/>
  <c r="M49" i="107"/>
  <c r="N49" i="107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C52" i="107"/>
  <c r="D52" i="107"/>
  <c r="E52" i="107"/>
  <c r="F52" i="107"/>
  <c r="G52" i="107"/>
  <c r="H52" i="107"/>
  <c r="I52" i="107"/>
  <c r="J52" i="107"/>
  <c r="K52" i="107"/>
  <c r="L52" i="107"/>
  <c r="M52" i="107"/>
  <c r="N52" i="107"/>
  <c r="C53" i="107"/>
  <c r="D53" i="107"/>
  <c r="E53" i="107"/>
  <c r="F53" i="107"/>
  <c r="G53" i="107"/>
  <c r="H53" i="107"/>
  <c r="I53" i="107"/>
  <c r="J53" i="107"/>
  <c r="K53" i="107"/>
  <c r="L53" i="107"/>
  <c r="M53" i="107"/>
  <c r="N53" i="107"/>
  <c r="C54" i="107"/>
  <c r="D54" i="107"/>
  <c r="E54" i="107"/>
  <c r="F54" i="107"/>
  <c r="G54" i="107"/>
  <c r="H54" i="107"/>
  <c r="I54" i="107"/>
  <c r="J54" i="107"/>
  <c r="K54" i="107"/>
  <c r="L54" i="107"/>
  <c r="M54" i="107"/>
  <c r="N54" i="107"/>
  <c r="C55" i="107"/>
  <c r="D55" i="107"/>
  <c r="E55" i="107"/>
  <c r="F55" i="107"/>
  <c r="G55" i="107"/>
  <c r="H55" i="107"/>
  <c r="I55" i="107"/>
  <c r="J55" i="107"/>
  <c r="K55" i="107"/>
  <c r="L55" i="107"/>
  <c r="M55" i="107"/>
  <c r="N55" i="107"/>
  <c r="C56" i="107"/>
  <c r="D56" i="107"/>
  <c r="E56" i="107"/>
  <c r="F56" i="107"/>
  <c r="G56" i="107"/>
  <c r="H56" i="107"/>
  <c r="I56" i="107"/>
  <c r="J56" i="107"/>
  <c r="K56" i="107"/>
  <c r="L56" i="107"/>
  <c r="M56" i="107"/>
  <c r="N56" i="107"/>
  <c r="C57" i="107"/>
  <c r="D57" i="107"/>
  <c r="E57" i="107"/>
  <c r="F57" i="107"/>
  <c r="G57" i="107"/>
  <c r="H57" i="107"/>
  <c r="I57" i="107"/>
  <c r="J57" i="107"/>
  <c r="K57" i="107"/>
  <c r="L57" i="107"/>
  <c r="M57" i="107"/>
  <c r="N57" i="107"/>
  <c r="D10" i="107"/>
  <c r="E10" i="107"/>
  <c r="F10" i="107"/>
  <c r="G10" i="107"/>
  <c r="G106" i="107" s="1"/>
  <c r="H10" i="107"/>
  <c r="I10" i="107"/>
  <c r="I106" i="107" s="1"/>
  <c r="J10" i="107"/>
  <c r="K10" i="107"/>
  <c r="K106" i="107" s="1"/>
  <c r="L10" i="107"/>
  <c r="M10" i="107"/>
  <c r="M106" i="107" s="1"/>
  <c r="N10" i="107"/>
  <c r="C10" i="107"/>
  <c r="C106" i="107" s="1"/>
  <c r="J106" i="107" l="1"/>
  <c r="J106" i="108"/>
  <c r="AF25" i="101"/>
  <c r="S35" i="110"/>
  <c r="F106" i="108"/>
  <c r="M106" i="108"/>
  <c r="H106" i="107"/>
  <c r="Y38" i="105"/>
  <c r="D106" i="108"/>
  <c r="K106" i="108"/>
  <c r="X23" i="103"/>
  <c r="AF33" i="101"/>
  <c r="H106" i="108"/>
  <c r="T19" i="108"/>
  <c r="I106" i="108"/>
  <c r="N106" i="108"/>
  <c r="F106" i="107"/>
  <c r="T36" i="105"/>
  <c r="L106" i="108"/>
  <c r="G106" i="108"/>
  <c r="E106" i="107"/>
  <c r="AF28" i="101"/>
  <c r="C106" i="108"/>
  <c r="E106" i="108"/>
  <c r="N106" i="107"/>
  <c r="L106" i="107"/>
  <c r="D106" i="107"/>
  <c r="X36" i="101"/>
  <c r="U38" i="109"/>
  <c r="AB26" i="98"/>
  <c r="AB23" i="96"/>
  <c r="AC26" i="95"/>
  <c r="T23" i="96"/>
  <c r="W27" i="96"/>
  <c r="T23" i="98"/>
  <c r="Z24" i="98"/>
  <c r="V35" i="101"/>
  <c r="U36" i="105"/>
  <c r="Y26" i="95"/>
  <c r="AB24" i="99"/>
  <c r="V26" i="97"/>
  <c r="Y26" i="96"/>
  <c r="U27" i="94"/>
  <c r="AC27" i="95"/>
  <c r="AD23" i="98"/>
  <c r="AB39" i="109"/>
  <c r="L10" i="111"/>
  <c r="J10" i="111"/>
  <c r="D10" i="111"/>
  <c r="M57" i="111"/>
  <c r="I57" i="111"/>
  <c r="G57" i="111"/>
  <c r="M56" i="111"/>
  <c r="K56" i="111"/>
  <c r="I56" i="111"/>
  <c r="C56" i="111"/>
  <c r="G55" i="111"/>
  <c r="E55" i="111"/>
  <c r="K54" i="111"/>
  <c r="I54" i="111"/>
  <c r="G54" i="111"/>
  <c r="I53" i="111"/>
  <c r="G53" i="111"/>
  <c r="E53" i="111"/>
  <c r="M52" i="111"/>
  <c r="K52" i="111"/>
  <c r="C52" i="111"/>
  <c r="M51" i="111"/>
  <c r="G51" i="111"/>
  <c r="M50" i="111"/>
  <c r="K50" i="111"/>
  <c r="E50" i="111"/>
  <c r="C50" i="111"/>
  <c r="M49" i="111"/>
  <c r="K49" i="111"/>
  <c r="I49" i="111"/>
  <c r="C49" i="111"/>
  <c r="M48" i="111"/>
  <c r="I48" i="111"/>
  <c r="G48" i="111"/>
  <c r="K47" i="111"/>
  <c r="E47" i="111"/>
  <c r="C47" i="111"/>
  <c r="G46" i="111"/>
  <c r="E46" i="111"/>
  <c r="K45" i="111"/>
  <c r="G45" i="111"/>
  <c r="C45" i="111"/>
  <c r="K44" i="111"/>
  <c r="G44" i="111"/>
  <c r="C44" i="111"/>
  <c r="K43" i="111"/>
  <c r="G43" i="111"/>
  <c r="C43" i="111"/>
  <c r="K42" i="111"/>
  <c r="I42" i="111"/>
  <c r="E42" i="111"/>
  <c r="C42" i="111"/>
  <c r="K41" i="111"/>
  <c r="G41" i="111"/>
  <c r="C41" i="111"/>
  <c r="K40" i="111"/>
  <c r="G40" i="111"/>
  <c r="C40" i="111"/>
  <c r="K39" i="111"/>
  <c r="G39" i="111"/>
  <c r="C39" i="111"/>
  <c r="K38" i="111"/>
  <c r="E38" i="111"/>
  <c r="C38" i="111"/>
  <c r="S24" i="94"/>
  <c r="C10" i="111"/>
  <c r="M10" i="111"/>
  <c r="I10" i="111"/>
  <c r="E10" i="111"/>
  <c r="L57" i="111"/>
  <c r="H57" i="111"/>
  <c r="D57" i="111"/>
  <c r="L56" i="111"/>
  <c r="H56" i="111"/>
  <c r="D56" i="111"/>
  <c r="L55" i="111"/>
  <c r="H55" i="111"/>
  <c r="D55" i="111"/>
  <c r="L54" i="111"/>
  <c r="H54" i="111"/>
  <c r="D54" i="111"/>
  <c r="L53" i="111"/>
  <c r="H53" i="111"/>
  <c r="D53" i="111"/>
  <c r="L52" i="111"/>
  <c r="H52" i="111"/>
  <c r="D52" i="111"/>
  <c r="L51" i="111"/>
  <c r="H51" i="111"/>
  <c r="D51" i="111"/>
  <c r="L50" i="111"/>
  <c r="H50" i="111"/>
  <c r="D50" i="111"/>
  <c r="L49" i="111"/>
  <c r="H49" i="111"/>
  <c r="D49" i="111"/>
  <c r="L48" i="111"/>
  <c r="H48" i="111"/>
  <c r="D48" i="111"/>
  <c r="L47" i="111"/>
  <c r="H47" i="111"/>
  <c r="D47" i="111"/>
  <c r="L46" i="111"/>
  <c r="H46" i="111"/>
  <c r="D46" i="111"/>
  <c r="L45" i="111"/>
  <c r="H45" i="111"/>
  <c r="D45" i="111"/>
  <c r="L44" i="111"/>
  <c r="H44" i="111"/>
  <c r="D44" i="111"/>
  <c r="L43" i="111"/>
  <c r="H43" i="111"/>
  <c r="D43" i="111"/>
  <c r="L42" i="111"/>
  <c r="H42" i="111"/>
  <c r="D42" i="111"/>
  <c r="L41" i="111"/>
  <c r="H41" i="111"/>
  <c r="D41" i="111"/>
  <c r="L40" i="111"/>
  <c r="H40" i="111"/>
  <c r="D40" i="111"/>
  <c r="L39" i="111"/>
  <c r="H39" i="111"/>
  <c r="D39" i="111"/>
  <c r="L38" i="111"/>
  <c r="H38" i="111"/>
  <c r="D38" i="111"/>
  <c r="L37" i="111"/>
  <c r="H37" i="111"/>
  <c r="D37" i="111"/>
  <c r="L36" i="111"/>
  <c r="H36" i="111"/>
  <c r="D36" i="111"/>
  <c r="L35" i="111"/>
  <c r="H35" i="111"/>
  <c r="D35" i="111"/>
  <c r="L34" i="111"/>
  <c r="H34" i="111"/>
  <c r="D34" i="111"/>
  <c r="L33" i="111"/>
  <c r="H33" i="111"/>
  <c r="D33" i="111"/>
  <c r="L32" i="111"/>
  <c r="H32" i="111"/>
  <c r="D32" i="111"/>
  <c r="L31" i="111"/>
  <c r="H31" i="111"/>
  <c r="D31" i="111"/>
  <c r="L30" i="111"/>
  <c r="H30" i="111"/>
  <c r="D30" i="111"/>
  <c r="L29" i="111"/>
  <c r="H29" i="111"/>
  <c r="D29" i="111"/>
  <c r="L28" i="111"/>
  <c r="H28" i="111"/>
  <c r="D28" i="111"/>
  <c r="L27" i="111"/>
  <c r="H27" i="111"/>
  <c r="D27" i="111"/>
  <c r="L26" i="111"/>
  <c r="H26" i="111"/>
  <c r="D26" i="111"/>
  <c r="L25" i="111"/>
  <c r="H25" i="111"/>
  <c r="D25" i="111"/>
  <c r="H24" i="111"/>
  <c r="F24" i="111"/>
  <c r="N23" i="111"/>
  <c r="L23" i="111"/>
  <c r="J23" i="111"/>
  <c r="D23" i="111"/>
  <c r="N22" i="111"/>
  <c r="H22" i="111"/>
  <c r="N21" i="111"/>
  <c r="L21" i="111"/>
  <c r="F21" i="111"/>
  <c r="D21" i="111"/>
  <c r="H20" i="111"/>
  <c r="F20" i="111"/>
  <c r="L19" i="111"/>
  <c r="J19" i="111"/>
  <c r="F19" i="111"/>
  <c r="D19" i="111"/>
  <c r="J18" i="111"/>
  <c r="H18" i="111"/>
  <c r="L17" i="111"/>
  <c r="J17" i="111"/>
  <c r="F17" i="111"/>
  <c r="D17" i="111"/>
  <c r="N16" i="111"/>
  <c r="H16" i="111"/>
  <c r="N15" i="111"/>
  <c r="L15" i="111"/>
  <c r="D15" i="111"/>
  <c r="N14" i="111"/>
  <c r="H14" i="111"/>
  <c r="F14" i="111"/>
  <c r="N13" i="111"/>
  <c r="L13" i="111"/>
  <c r="F13" i="111"/>
  <c r="D13" i="111"/>
  <c r="H12" i="111"/>
  <c r="F12" i="111"/>
  <c r="N11" i="111"/>
  <c r="J11" i="111"/>
  <c r="F11" i="111"/>
  <c r="AD21" i="108"/>
  <c r="Z20" i="108"/>
  <c r="W27" i="95"/>
  <c r="W24" i="95"/>
  <c r="K37" i="111"/>
  <c r="G37" i="111"/>
  <c r="C37" i="111"/>
  <c r="K36" i="111"/>
  <c r="G36" i="111"/>
  <c r="C36" i="111"/>
  <c r="K35" i="111"/>
  <c r="G35" i="111"/>
  <c r="C35" i="111"/>
  <c r="K34" i="111"/>
  <c r="I34" i="111"/>
  <c r="E34" i="111"/>
  <c r="K33" i="111"/>
  <c r="G33" i="111"/>
  <c r="C33" i="111"/>
  <c r="K32" i="111"/>
  <c r="G32" i="111"/>
  <c r="C32" i="111"/>
  <c r="K31" i="111"/>
  <c r="G31" i="111"/>
  <c r="C31" i="111"/>
  <c r="K30" i="111"/>
  <c r="I30" i="111"/>
  <c r="G30" i="111"/>
  <c r="M29" i="111"/>
  <c r="I29" i="111"/>
  <c r="E29" i="111"/>
  <c r="M28" i="111"/>
  <c r="I28" i="111"/>
  <c r="E28" i="111"/>
  <c r="M27" i="111"/>
  <c r="I27" i="111"/>
  <c r="E27" i="111"/>
  <c r="M26" i="111"/>
  <c r="K26" i="111"/>
  <c r="E26" i="111"/>
  <c r="C26" i="111"/>
  <c r="K25" i="111"/>
  <c r="G25" i="111"/>
  <c r="C25" i="111"/>
  <c r="K24" i="111"/>
  <c r="G24" i="111"/>
  <c r="C24" i="111"/>
  <c r="K23" i="111"/>
  <c r="G23" i="111"/>
  <c r="C23" i="111"/>
  <c r="K22" i="111"/>
  <c r="G22" i="111"/>
  <c r="C22" i="111"/>
  <c r="K21" i="111"/>
  <c r="G21" i="111"/>
  <c r="C21" i="111"/>
  <c r="K20" i="111"/>
  <c r="G20" i="111"/>
  <c r="C20" i="111"/>
  <c r="K19" i="111"/>
  <c r="G19" i="111"/>
  <c r="C19" i="111"/>
  <c r="K18" i="111"/>
  <c r="G18" i="111"/>
  <c r="C18" i="111"/>
  <c r="K17" i="111"/>
  <c r="G17" i="111"/>
  <c r="C17" i="111"/>
  <c r="K16" i="111"/>
  <c r="G16" i="111"/>
  <c r="C16" i="111"/>
  <c r="K15" i="111"/>
  <c r="G15" i="111"/>
  <c r="C15" i="111"/>
  <c r="K14" i="111"/>
  <c r="G14" i="111"/>
  <c r="C14" i="111"/>
  <c r="K13" i="111"/>
  <c r="G13" i="111"/>
  <c r="C13" i="111"/>
  <c r="K12" i="111"/>
  <c r="G12" i="111"/>
  <c r="C12" i="111"/>
  <c r="K11" i="111"/>
  <c r="G11" i="111"/>
  <c r="C11" i="111"/>
  <c r="AB24" i="98"/>
  <c r="W26" i="96"/>
  <c r="V21" i="108"/>
  <c r="AD19" i="108"/>
  <c r="Z21" i="108"/>
  <c r="AD20" i="108"/>
  <c r="V20" i="108"/>
  <c r="Z19" i="108"/>
  <c r="AC26" i="97"/>
  <c r="AC23" i="97"/>
  <c r="N57" i="111"/>
  <c r="J57" i="111"/>
  <c r="F57" i="111"/>
  <c r="N56" i="111"/>
  <c r="J56" i="111"/>
  <c r="F56" i="111"/>
  <c r="N55" i="111"/>
  <c r="J55" i="111"/>
  <c r="F55" i="111"/>
  <c r="N54" i="111"/>
  <c r="J54" i="111"/>
  <c r="F54" i="111"/>
  <c r="N53" i="111"/>
  <c r="J53" i="111"/>
  <c r="F53" i="111"/>
  <c r="N52" i="111"/>
  <c r="J52" i="111"/>
  <c r="F52" i="111"/>
  <c r="N51" i="111"/>
  <c r="J51" i="111"/>
  <c r="F51" i="111"/>
  <c r="N50" i="111"/>
  <c r="J50" i="111"/>
  <c r="F50" i="111"/>
  <c r="N49" i="111"/>
  <c r="J49" i="111"/>
  <c r="F49" i="111"/>
  <c r="N48" i="111"/>
  <c r="J48" i="111"/>
  <c r="F48" i="111"/>
  <c r="N47" i="111"/>
  <c r="J47" i="111"/>
  <c r="F47" i="111"/>
  <c r="N46" i="111"/>
  <c r="J46" i="111"/>
  <c r="F46" i="111"/>
  <c r="N45" i="111"/>
  <c r="J45" i="111"/>
  <c r="F45" i="111"/>
  <c r="N44" i="111"/>
  <c r="J44" i="111"/>
  <c r="F44" i="111"/>
  <c r="N43" i="111"/>
  <c r="J43" i="111"/>
  <c r="F43" i="111"/>
  <c r="N42" i="111"/>
  <c r="J42" i="111"/>
  <c r="F42" i="111"/>
  <c r="N41" i="111"/>
  <c r="J41" i="111"/>
  <c r="F41" i="111"/>
  <c r="N40" i="111"/>
  <c r="J40" i="111"/>
  <c r="F40" i="111"/>
  <c r="N39" i="111"/>
  <c r="J39" i="111"/>
  <c r="F39" i="111"/>
  <c r="N38" i="111"/>
  <c r="J38" i="111"/>
  <c r="F38" i="111"/>
  <c r="N37" i="111"/>
  <c r="J37" i="111"/>
  <c r="F37" i="111"/>
  <c r="N36" i="111"/>
  <c r="J36" i="111"/>
  <c r="F36" i="111"/>
  <c r="N35" i="111"/>
  <c r="J35" i="111"/>
  <c r="F35" i="111"/>
  <c r="N34" i="111"/>
  <c r="J34" i="111"/>
  <c r="F34" i="111"/>
  <c r="N33" i="111"/>
  <c r="J33" i="111"/>
  <c r="F33" i="111"/>
  <c r="N32" i="111"/>
  <c r="J32" i="111"/>
  <c r="F32" i="111"/>
  <c r="N31" i="111"/>
  <c r="J31" i="111"/>
  <c r="F31" i="111"/>
  <c r="N30" i="111"/>
  <c r="J30" i="111"/>
  <c r="F30" i="111"/>
  <c r="N29" i="111"/>
  <c r="J29" i="111"/>
  <c r="F29" i="111"/>
  <c r="N28" i="111"/>
  <c r="J28" i="111"/>
  <c r="F28" i="111"/>
  <c r="N27" i="111"/>
  <c r="J27" i="111"/>
  <c r="F27" i="111"/>
  <c r="N26" i="111"/>
  <c r="J26" i="111"/>
  <c r="F26" i="111"/>
  <c r="N25" i="111"/>
  <c r="J25" i="111"/>
  <c r="F25" i="111"/>
  <c r="N24" i="111"/>
  <c r="L24" i="111"/>
  <c r="J24" i="111"/>
  <c r="D24" i="111"/>
  <c r="H23" i="111"/>
  <c r="F23" i="111"/>
  <c r="L22" i="111"/>
  <c r="J22" i="111"/>
  <c r="F22" i="111"/>
  <c r="D22" i="111"/>
  <c r="T13" i="111" s="1"/>
  <c r="J21" i="111"/>
  <c r="H21" i="111"/>
  <c r="N20" i="111"/>
  <c r="L20" i="111"/>
  <c r="J20" i="111"/>
  <c r="D20" i="111"/>
  <c r="N19" i="111"/>
  <c r="H19" i="111"/>
  <c r="N18" i="111"/>
  <c r="L18" i="111"/>
  <c r="F18" i="111"/>
  <c r="D18" i="111"/>
  <c r="T12" i="111" s="1"/>
  <c r="N17" i="111"/>
  <c r="H17" i="111"/>
  <c r="L16" i="111"/>
  <c r="J16" i="111"/>
  <c r="F16" i="111"/>
  <c r="D16" i="111"/>
  <c r="J15" i="111"/>
  <c r="H15" i="111"/>
  <c r="F15" i="111"/>
  <c r="L14" i="111"/>
  <c r="J14" i="111"/>
  <c r="D14" i="111"/>
  <c r="J13" i="111"/>
  <c r="H13" i="111"/>
  <c r="N12" i="111"/>
  <c r="L12" i="111"/>
  <c r="J12" i="111"/>
  <c r="D12" i="111"/>
  <c r="L11" i="111"/>
  <c r="H11" i="111"/>
  <c r="D11" i="111"/>
  <c r="AC24" i="94"/>
  <c r="Y24" i="94"/>
  <c r="S27" i="94"/>
  <c r="AA38" i="110"/>
  <c r="W24" i="94"/>
  <c r="N10" i="111"/>
  <c r="N106" i="111" s="1"/>
  <c r="H10" i="111"/>
  <c r="F10" i="111"/>
  <c r="K57" i="111"/>
  <c r="E57" i="111"/>
  <c r="C57" i="111"/>
  <c r="G56" i="111"/>
  <c r="E56" i="111"/>
  <c r="M55" i="111"/>
  <c r="K55" i="111"/>
  <c r="I55" i="111"/>
  <c r="C55" i="111"/>
  <c r="M54" i="111"/>
  <c r="E54" i="111"/>
  <c r="C54" i="111"/>
  <c r="M53" i="111"/>
  <c r="K53" i="111"/>
  <c r="C53" i="111"/>
  <c r="I52" i="111"/>
  <c r="G52" i="111"/>
  <c r="E52" i="111"/>
  <c r="K51" i="111"/>
  <c r="I51" i="111"/>
  <c r="E51" i="111"/>
  <c r="C51" i="111"/>
  <c r="I50" i="111"/>
  <c r="G50" i="111"/>
  <c r="G49" i="111"/>
  <c r="E49" i="111"/>
  <c r="K48" i="111"/>
  <c r="E48" i="111"/>
  <c r="C48" i="111"/>
  <c r="M47" i="111"/>
  <c r="I47" i="111"/>
  <c r="G47" i="111"/>
  <c r="M46" i="111"/>
  <c r="K46" i="111"/>
  <c r="I46" i="111"/>
  <c r="C46" i="111"/>
  <c r="M45" i="111"/>
  <c r="I45" i="111"/>
  <c r="E45" i="111"/>
  <c r="M44" i="111"/>
  <c r="I44" i="111"/>
  <c r="E44" i="111"/>
  <c r="M43" i="111"/>
  <c r="I43" i="111"/>
  <c r="E43" i="111"/>
  <c r="M42" i="111"/>
  <c r="G42" i="111"/>
  <c r="M41" i="111"/>
  <c r="I41" i="111"/>
  <c r="E41" i="111"/>
  <c r="M40" i="111"/>
  <c r="I40" i="111"/>
  <c r="E40" i="111"/>
  <c r="M39" i="111"/>
  <c r="I39" i="111"/>
  <c r="E39" i="111"/>
  <c r="M38" i="111"/>
  <c r="I38" i="111"/>
  <c r="G38" i="111"/>
  <c r="M37" i="111"/>
  <c r="W27" i="94"/>
  <c r="S26" i="94"/>
  <c r="U23" i="97"/>
  <c r="AA27" i="94"/>
  <c r="U27" i="95"/>
  <c r="U24" i="95"/>
  <c r="I37" i="111"/>
  <c r="E37" i="111"/>
  <c r="M36" i="111"/>
  <c r="I36" i="111"/>
  <c r="E36" i="111"/>
  <c r="M35" i="111"/>
  <c r="I35" i="111"/>
  <c r="E35" i="111"/>
  <c r="M34" i="111"/>
  <c r="G34" i="111"/>
  <c r="C34" i="111"/>
  <c r="M33" i="111"/>
  <c r="I33" i="111"/>
  <c r="E33" i="111"/>
  <c r="M32" i="111"/>
  <c r="I32" i="111"/>
  <c r="E32" i="111"/>
  <c r="M31" i="111"/>
  <c r="I31" i="111"/>
  <c r="E31" i="111"/>
  <c r="M30" i="111"/>
  <c r="E30" i="111"/>
  <c r="C30" i="111"/>
  <c r="K29" i="111"/>
  <c r="G29" i="111"/>
  <c r="C29" i="111"/>
  <c r="K28" i="111"/>
  <c r="G28" i="111"/>
  <c r="C28" i="111"/>
  <c r="K27" i="111"/>
  <c r="G27" i="111"/>
  <c r="C27" i="111"/>
  <c r="I26" i="111"/>
  <c r="G26" i="111"/>
  <c r="M25" i="111"/>
  <c r="I25" i="111"/>
  <c r="E25" i="111"/>
  <c r="M24" i="111"/>
  <c r="I24" i="111"/>
  <c r="E24" i="111"/>
  <c r="M23" i="111"/>
  <c r="I23" i="111"/>
  <c r="E23" i="111"/>
  <c r="M22" i="111"/>
  <c r="I22" i="111"/>
  <c r="E22" i="111"/>
  <c r="M21" i="111"/>
  <c r="I21" i="111"/>
  <c r="E21" i="111"/>
  <c r="M20" i="111"/>
  <c r="I20" i="111"/>
  <c r="E20" i="111"/>
  <c r="M19" i="111"/>
  <c r="I19" i="111"/>
  <c r="E19" i="111"/>
  <c r="M18" i="111"/>
  <c r="I18" i="111"/>
  <c r="E18" i="111"/>
  <c r="M17" i="111"/>
  <c r="I17" i="111"/>
  <c r="E17" i="111"/>
  <c r="M16" i="111"/>
  <c r="I16" i="111"/>
  <c r="E16" i="111"/>
  <c r="M15" i="111"/>
  <c r="I15" i="111"/>
  <c r="E15" i="111"/>
  <c r="M14" i="111"/>
  <c r="I14" i="111"/>
  <c r="E14" i="111"/>
  <c r="M13" i="111"/>
  <c r="I13" i="111"/>
  <c r="E13" i="111"/>
  <c r="M12" i="111"/>
  <c r="I12" i="111"/>
  <c r="E12" i="111"/>
  <c r="M11" i="111"/>
  <c r="I11" i="111"/>
  <c r="E11" i="111"/>
  <c r="X22" i="100"/>
  <c r="AC26" i="96"/>
  <c r="V10" i="108"/>
  <c r="AB21" i="108"/>
  <c r="X21" i="108"/>
  <c r="T21" i="108"/>
  <c r="AB20" i="108"/>
  <c r="X20" i="108"/>
  <c r="T20" i="108"/>
  <c r="AB19" i="108"/>
  <c r="X19" i="108"/>
  <c r="AA35" i="110"/>
  <c r="W35" i="110"/>
  <c r="Z39" i="110"/>
  <c r="AD38" i="110"/>
  <c r="Z38" i="110"/>
  <c r="V38" i="110"/>
  <c r="X37" i="110"/>
  <c r="V12" i="108"/>
  <c r="V11" i="108"/>
  <c r="AD10" i="108"/>
  <c r="AD36" i="110"/>
  <c r="V36" i="110"/>
  <c r="AC35" i="109"/>
  <c r="AD11" i="108"/>
  <c r="AC38" i="110"/>
  <c r="K10" i="111"/>
  <c r="G10" i="111"/>
  <c r="T38" i="110"/>
  <c r="AC36" i="110"/>
  <c r="Y35" i="110"/>
  <c r="AC35" i="110"/>
  <c r="U35" i="110"/>
  <c r="U26" i="99"/>
  <c r="Y38" i="110"/>
  <c r="X36" i="110"/>
  <c r="X24" i="99"/>
  <c r="U23" i="99"/>
  <c r="S36" i="105"/>
  <c r="T38" i="109"/>
  <c r="AD38" i="109"/>
  <c r="Z38" i="109"/>
  <c r="Z35" i="110"/>
  <c r="AB38" i="110"/>
  <c r="X35" i="110"/>
  <c r="AB36" i="110"/>
  <c r="X34" i="110"/>
  <c r="W37" i="110"/>
  <c r="Z11" i="108"/>
  <c r="AA35" i="109"/>
  <c r="U36" i="110"/>
  <c r="V35" i="109"/>
  <c r="X11" i="108"/>
  <c r="S41" i="110"/>
  <c r="Z10" i="108"/>
  <c r="W12" i="108"/>
  <c r="AF32" i="110"/>
  <c r="S35" i="109"/>
  <c r="T11" i="108"/>
  <c r="AA12" i="108"/>
  <c r="V24" i="98"/>
  <c r="X23" i="97"/>
  <c r="AD23" i="99"/>
  <c r="AB38" i="109"/>
  <c r="AD35" i="110"/>
  <c r="V35" i="110"/>
  <c r="AA40" i="110"/>
  <c r="Y36" i="110"/>
  <c r="S37" i="110"/>
  <c r="X10" i="108"/>
  <c r="W40" i="110"/>
  <c r="AD36" i="109"/>
  <c r="Z39" i="109"/>
  <c r="S26" i="97"/>
  <c r="AF33" i="110"/>
  <c r="AF31" i="110"/>
  <c r="AB35" i="110"/>
  <c r="X38" i="110"/>
  <c r="AA41" i="110"/>
  <c r="AA42" i="110" s="1"/>
  <c r="W41" i="110"/>
  <c r="T10" i="108"/>
  <c r="AB10" i="108"/>
  <c r="AF12" i="109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A37" i="110"/>
  <c r="AD39" i="109"/>
  <c r="Z36" i="109"/>
  <c r="V36" i="109"/>
  <c r="AC38" i="109"/>
  <c r="U35" i="109"/>
  <c r="AD39" i="110"/>
  <c r="Z36" i="110"/>
  <c r="V39" i="110"/>
  <c r="S40" i="110"/>
  <c r="S42" i="110" s="1"/>
  <c r="V38" i="109"/>
  <c r="X35" i="109"/>
  <c r="AA34" i="110"/>
  <c r="W34" i="110"/>
  <c r="S34" i="110"/>
  <c r="AF30" i="110"/>
  <c r="AB39" i="110"/>
  <c r="X40" i="110"/>
  <c r="AF15" i="110"/>
  <c r="AF14" i="110"/>
  <c r="AF13" i="110"/>
  <c r="Z35" i="109"/>
  <c r="AD35" i="109"/>
  <c r="X34" i="109"/>
  <c r="T35" i="110"/>
  <c r="Y38" i="109"/>
  <c r="AC39" i="110"/>
  <c r="U39" i="110"/>
  <c r="AF17" i="110"/>
  <c r="AF16" i="110"/>
  <c r="Z38" i="101"/>
  <c r="Y35" i="109"/>
  <c r="X39" i="110"/>
  <c r="AF11" i="110"/>
  <c r="Y39" i="110"/>
  <c r="AF12" i="110"/>
  <c r="AA38" i="109"/>
  <c r="W38" i="109"/>
  <c r="AF29" i="110"/>
  <c r="AF28" i="110"/>
  <c r="AF27" i="110"/>
  <c r="AF26" i="110"/>
  <c r="AF25" i="110"/>
  <c r="AF24" i="110"/>
  <c r="AF23" i="110"/>
  <c r="AF22" i="110"/>
  <c r="AF18" i="110"/>
  <c r="AF30" i="109"/>
  <c r="X39" i="109"/>
  <c r="X37" i="109"/>
  <c r="X41" i="110"/>
  <c r="AF21" i="110"/>
  <c r="AF20" i="110"/>
  <c r="AF19" i="110"/>
  <c r="AF15" i="109"/>
  <c r="AF14" i="109"/>
  <c r="AF13" i="109"/>
  <c r="AE18" i="110"/>
  <c r="AE17" i="110"/>
  <c r="T39" i="110"/>
  <c r="T36" i="110"/>
  <c r="AD41" i="110"/>
  <c r="AD40" i="110"/>
  <c r="AD37" i="110"/>
  <c r="AD34" i="110"/>
  <c r="Z41" i="110"/>
  <c r="Z40" i="110"/>
  <c r="Z37" i="110"/>
  <c r="Z34" i="110"/>
  <c r="AF17" i="109"/>
  <c r="AF16" i="109"/>
  <c r="AE11" i="110"/>
  <c r="Y41" i="110"/>
  <c r="Y40" i="110"/>
  <c r="Y37" i="110"/>
  <c r="Y34" i="110"/>
  <c r="O106" i="110"/>
  <c r="J108" i="110" s="1"/>
  <c r="AE10" i="110"/>
  <c r="AF10" i="110"/>
  <c r="P106" i="110"/>
  <c r="N107" i="110" s="1"/>
  <c r="T41" i="110"/>
  <c r="T40" i="110"/>
  <c r="T37" i="110"/>
  <c r="T34" i="110"/>
  <c r="AC27" i="99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E16" i="110"/>
  <c r="AB41" i="110"/>
  <c r="AB40" i="110"/>
  <c r="AB37" i="110"/>
  <c r="AB34" i="110"/>
  <c r="V41" i="110"/>
  <c r="V40" i="110"/>
  <c r="V37" i="110"/>
  <c r="V34" i="110"/>
  <c r="AE15" i="110"/>
  <c r="AE14" i="110"/>
  <c r="AE13" i="110"/>
  <c r="AE12" i="110"/>
  <c r="AC41" i="110"/>
  <c r="AC40" i="110"/>
  <c r="AC37" i="110"/>
  <c r="AC34" i="110"/>
  <c r="U41" i="110"/>
  <c r="U40" i="110"/>
  <c r="U37" i="110"/>
  <c r="U34" i="110"/>
  <c r="AB36" i="109"/>
  <c r="X36" i="109"/>
  <c r="X40" i="109"/>
  <c r="V23" i="97"/>
  <c r="AD38" i="105"/>
  <c r="AF33" i="109"/>
  <c r="AF31" i="109"/>
  <c r="X38" i="109"/>
  <c r="X41" i="109"/>
  <c r="X42" i="109" s="1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D13" i="108"/>
  <c r="AA24" i="94"/>
  <c r="AC23" i="96"/>
  <c r="AB36" i="105"/>
  <c r="P16" i="108"/>
  <c r="Z13" i="108"/>
  <c r="O56" i="108"/>
  <c r="S15" i="108"/>
  <c r="T17" i="108"/>
  <c r="O11" i="108"/>
  <c r="X18" i="108"/>
  <c r="AB15" i="108"/>
  <c r="O57" i="108"/>
  <c r="P40" i="108"/>
  <c r="AB17" i="108"/>
  <c r="O35" i="108"/>
  <c r="X16" i="108"/>
  <c r="T15" i="108"/>
  <c r="O10" i="108"/>
  <c r="AA26" i="94"/>
  <c r="AB18" i="108"/>
  <c r="T18" i="108"/>
  <c r="X17" i="108"/>
  <c r="AB16" i="108"/>
  <c r="T16" i="108"/>
  <c r="X15" i="108"/>
  <c r="P29" i="108"/>
  <c r="T13" i="108"/>
  <c r="AC11" i="108"/>
  <c r="Y12" i="108"/>
  <c r="O16" i="108"/>
  <c r="Y10" i="108"/>
  <c r="P49" i="108"/>
  <c r="P22" i="108"/>
  <c r="O49" i="108"/>
  <c r="P43" i="108"/>
  <c r="AD18" i="108"/>
  <c r="Z18" i="108"/>
  <c r="V18" i="108"/>
  <c r="AD16" i="108"/>
  <c r="Z16" i="108"/>
  <c r="V16" i="108"/>
  <c r="O28" i="108"/>
  <c r="W15" i="108"/>
  <c r="W19" i="108"/>
  <c r="S20" i="108"/>
  <c r="AA20" i="108"/>
  <c r="W21" i="108"/>
  <c r="O36" i="108"/>
  <c r="S13" i="108"/>
  <c r="O20" i="108"/>
  <c r="AA15" i="108"/>
  <c r="AA17" i="108"/>
  <c r="Y19" i="108"/>
  <c r="U20" i="108"/>
  <c r="AC20" i="108"/>
  <c r="Y21" i="108"/>
  <c r="P57" i="108"/>
  <c r="P55" i="108"/>
  <c r="P52" i="108"/>
  <c r="P35" i="108"/>
  <c r="P21" i="108"/>
  <c r="O13" i="108"/>
  <c r="P12" i="108"/>
  <c r="AA10" i="108"/>
  <c r="O53" i="108"/>
  <c r="O48" i="108"/>
  <c r="P46" i="108"/>
  <c r="O38" i="108"/>
  <c r="P45" i="108"/>
  <c r="P38" i="108"/>
  <c r="P32" i="108"/>
  <c r="O30" i="108"/>
  <c r="AB13" i="108"/>
  <c r="X13" i="108"/>
  <c r="O31" i="108"/>
  <c r="P24" i="108"/>
  <c r="P17" i="108"/>
  <c r="O14" i="108"/>
  <c r="O43" i="108"/>
  <c r="S11" i="108"/>
  <c r="P56" i="108"/>
  <c r="O55" i="108"/>
  <c r="P53" i="108"/>
  <c r="P51" i="108"/>
  <c r="P48" i="108"/>
  <c r="W18" i="108"/>
  <c r="O39" i="108"/>
  <c r="P37" i="108"/>
  <c r="W16" i="108"/>
  <c r="P27" i="108"/>
  <c r="AC12" i="108"/>
  <c r="U12" i="108"/>
  <c r="Y11" i="108"/>
  <c r="Y34" i="108" s="1"/>
  <c r="P13" i="108"/>
  <c r="O12" i="108"/>
  <c r="P11" i="108"/>
  <c r="AC10" i="108"/>
  <c r="P10" i="108"/>
  <c r="O52" i="108"/>
  <c r="P47" i="108"/>
  <c r="P26" i="108"/>
  <c r="U24" i="94"/>
  <c r="AC26" i="94"/>
  <c r="O51" i="108"/>
  <c r="O47" i="108"/>
  <c r="O26" i="108"/>
  <c r="O22" i="108"/>
  <c r="O18" i="108"/>
  <c r="U10" i="108"/>
  <c r="P54" i="108"/>
  <c r="O50" i="108"/>
  <c r="W14" i="108"/>
  <c r="W17" i="108"/>
  <c r="AA19" i="108"/>
  <c r="W20" i="108"/>
  <c r="S21" i="108"/>
  <c r="U19" i="108"/>
  <c r="AA14" i="108"/>
  <c r="AA16" i="108"/>
  <c r="AA18" i="108"/>
  <c r="AC19" i="108"/>
  <c r="Y20" i="108"/>
  <c r="U21" i="108"/>
  <c r="AC21" i="108"/>
  <c r="Z12" i="108"/>
  <c r="O44" i="108"/>
  <c r="AB14" i="108"/>
  <c r="X14" i="108"/>
  <c r="T14" i="108"/>
  <c r="V13" i="108"/>
  <c r="AA13" i="108"/>
  <c r="O46" i="108"/>
  <c r="S18" i="108"/>
  <c r="S16" i="108"/>
  <c r="S14" i="108"/>
  <c r="O45" i="108"/>
  <c r="P41" i="108"/>
  <c r="P39" i="108"/>
  <c r="AD17" i="108"/>
  <c r="Z17" i="108"/>
  <c r="V17" i="108"/>
  <c r="O37" i="108"/>
  <c r="O32" i="108"/>
  <c r="AD15" i="108"/>
  <c r="Z15" i="108"/>
  <c r="P30" i="108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W13" i="108"/>
  <c r="P20" i="108"/>
  <c r="O17" i="108"/>
  <c r="P15" i="108"/>
  <c r="AA11" i="108"/>
  <c r="P14" i="108"/>
  <c r="AA21" i="108"/>
  <c r="W10" i="108"/>
  <c r="S10" i="108"/>
  <c r="S19" i="108"/>
  <c r="S17" i="108"/>
  <c r="AD12" i="108"/>
  <c r="AD14" i="108"/>
  <c r="Z14" i="108"/>
  <c r="V14" i="108"/>
  <c r="X12" i="108"/>
  <c r="AC18" i="108"/>
  <c r="Y18" i="108"/>
  <c r="U18" i="108"/>
  <c r="AC17" i="108"/>
  <c r="Y17" i="108"/>
  <c r="AC16" i="108"/>
  <c r="Y16" i="108"/>
  <c r="U16" i="108"/>
  <c r="Y14" i="108"/>
  <c r="AC13" i="108"/>
  <c r="Y13" i="108"/>
  <c r="U13" i="108"/>
  <c r="W11" i="108"/>
  <c r="AB11" i="108"/>
  <c r="O41" i="108"/>
  <c r="O33" i="108"/>
  <c r="O25" i="108"/>
  <c r="V15" i="108"/>
  <c r="O23" i="108"/>
  <c r="O19" i="108"/>
  <c r="O15" i="108"/>
  <c r="P50" i="108"/>
  <c r="P42" i="108"/>
  <c r="P34" i="108"/>
  <c r="S12" i="108"/>
  <c r="O54" i="108"/>
  <c r="O42" i="108"/>
  <c r="O34" i="108"/>
  <c r="P18" i="108"/>
  <c r="AB12" i="108"/>
  <c r="T12" i="108"/>
  <c r="U17" i="108"/>
  <c r="AC15" i="108"/>
  <c r="Y15" i="108"/>
  <c r="U15" i="108"/>
  <c r="AC14" i="108"/>
  <c r="U14" i="108"/>
  <c r="U11" i="108"/>
  <c r="Z38" i="105"/>
  <c r="V38" i="105"/>
  <c r="AC15" i="107"/>
  <c r="W15" i="107"/>
  <c r="U15" i="107"/>
  <c r="AC10" i="107"/>
  <c r="W10" i="107"/>
  <c r="U10" i="107"/>
  <c r="X38" i="105"/>
  <c r="O57" i="107"/>
  <c r="Y15" i="107"/>
  <c r="Z11" i="107"/>
  <c r="AC35" i="105"/>
  <c r="U38" i="105"/>
  <c r="AD21" i="107"/>
  <c r="AB21" i="107"/>
  <c r="Z21" i="107"/>
  <c r="X21" i="107"/>
  <c r="V21" i="107"/>
  <c r="T21" i="107"/>
  <c r="AD20" i="107"/>
  <c r="Z20" i="107"/>
  <c r="V20" i="107"/>
  <c r="AB19" i="107"/>
  <c r="X19" i="107"/>
  <c r="T19" i="107"/>
  <c r="AB18" i="107"/>
  <c r="X18" i="107"/>
  <c r="V18" i="107"/>
  <c r="AD17" i="107"/>
  <c r="Z17" i="107"/>
  <c r="V17" i="107"/>
  <c r="O37" i="107"/>
  <c r="P36" i="107"/>
  <c r="P35" i="107"/>
  <c r="AB16" i="107"/>
  <c r="X16" i="107"/>
  <c r="T16" i="107"/>
  <c r="O32" i="107"/>
  <c r="P31" i="107"/>
  <c r="AB15" i="107"/>
  <c r="X15" i="107"/>
  <c r="T15" i="107"/>
  <c r="P28" i="107"/>
  <c r="AD14" i="107"/>
  <c r="Z14" i="107"/>
  <c r="V14" i="107"/>
  <c r="O25" i="107"/>
  <c r="AD13" i="107"/>
  <c r="Z13" i="107"/>
  <c r="V13" i="107"/>
  <c r="O19" i="107"/>
  <c r="AB12" i="107"/>
  <c r="Z12" i="107"/>
  <c r="V12" i="107"/>
  <c r="T12" i="107"/>
  <c r="P18" i="107"/>
  <c r="O17" i="107"/>
  <c r="O15" i="107"/>
  <c r="AD11" i="107"/>
  <c r="AB11" i="107"/>
  <c r="T11" i="107"/>
  <c r="P14" i="107"/>
  <c r="AB20" i="107"/>
  <c r="X20" i="107"/>
  <c r="T20" i="107"/>
  <c r="AD19" i="107"/>
  <c r="Z19" i="107"/>
  <c r="V19" i="107"/>
  <c r="AD18" i="107"/>
  <c r="Z18" i="107"/>
  <c r="T18" i="107"/>
  <c r="AB17" i="107"/>
  <c r="X17" i="107"/>
  <c r="T17" i="107"/>
  <c r="AD16" i="107"/>
  <c r="Z16" i="107"/>
  <c r="V16" i="107"/>
  <c r="P33" i="107"/>
  <c r="O33" i="107"/>
  <c r="AD15" i="107"/>
  <c r="Z15" i="107"/>
  <c r="V15" i="107"/>
  <c r="O29" i="107"/>
  <c r="O27" i="107"/>
  <c r="AB14" i="107"/>
  <c r="X14" i="107"/>
  <c r="T14" i="107"/>
  <c r="P24" i="107"/>
  <c r="AB13" i="107"/>
  <c r="X13" i="107"/>
  <c r="P22" i="107"/>
  <c r="T13" i="107"/>
  <c r="O22" i="107"/>
  <c r="O20" i="107"/>
  <c r="AD12" i="107"/>
  <c r="X12" i="107"/>
  <c r="X11" i="107"/>
  <c r="V11" i="107"/>
  <c r="O13" i="107"/>
  <c r="O11" i="107"/>
  <c r="AB10" i="107"/>
  <c r="Z10" i="107"/>
  <c r="X10" i="107"/>
  <c r="X41" i="107" s="1"/>
  <c r="T10" i="107"/>
  <c r="P57" i="107"/>
  <c r="P56" i="107"/>
  <c r="O56" i="107"/>
  <c r="P55" i="107"/>
  <c r="O55" i="107"/>
  <c r="AC21" i="107"/>
  <c r="AA21" i="107"/>
  <c r="Y21" i="107"/>
  <c r="W21" i="107"/>
  <c r="U21" i="107"/>
  <c r="S21" i="107"/>
  <c r="P54" i="107"/>
  <c r="O54" i="107"/>
  <c r="P53" i="107"/>
  <c r="O53" i="107"/>
  <c r="O52" i="107"/>
  <c r="P52" i="107"/>
  <c r="O51" i="107"/>
  <c r="P51" i="107"/>
  <c r="AC20" i="107"/>
  <c r="AA20" i="107"/>
  <c r="Y20" i="107"/>
  <c r="W20" i="107"/>
  <c r="U20" i="107"/>
  <c r="O50" i="107"/>
  <c r="P50" i="107"/>
  <c r="S20" i="107"/>
  <c r="P49" i="107"/>
  <c r="O49" i="107"/>
  <c r="P48" i="107"/>
  <c r="O48" i="107"/>
  <c r="P47" i="107"/>
  <c r="O47" i="107"/>
  <c r="AC19" i="107"/>
  <c r="AA19" i="107"/>
  <c r="Y19" i="107"/>
  <c r="W19" i="107"/>
  <c r="U19" i="107"/>
  <c r="S19" i="107"/>
  <c r="S36" i="107" s="1"/>
  <c r="O46" i="107"/>
  <c r="P46" i="107"/>
  <c r="P45" i="107"/>
  <c r="O45" i="107"/>
  <c r="O44" i="107"/>
  <c r="P44" i="107"/>
  <c r="O43" i="107"/>
  <c r="P43" i="107"/>
  <c r="AC18" i="107"/>
  <c r="AA18" i="107"/>
  <c r="Y18" i="107"/>
  <c r="W18" i="107"/>
  <c r="U18" i="107"/>
  <c r="O42" i="107"/>
  <c r="P42" i="107"/>
  <c r="S18" i="107"/>
  <c r="P41" i="107"/>
  <c r="O41" i="107"/>
  <c r="P40" i="107"/>
  <c r="P39" i="107"/>
  <c r="AC17" i="107"/>
  <c r="Y17" i="107"/>
  <c r="W17" i="107"/>
  <c r="U17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AA17" i="107"/>
  <c r="S17" i="107"/>
  <c r="AC16" i="107"/>
  <c r="AA16" i="107"/>
  <c r="Y16" i="107"/>
  <c r="W16" i="107"/>
  <c r="U16" i="107"/>
  <c r="AA15" i="107"/>
  <c r="S15" i="107"/>
  <c r="AC14" i="107"/>
  <c r="AA14" i="107"/>
  <c r="Y14" i="107"/>
  <c r="W14" i="107"/>
  <c r="U14" i="107"/>
  <c r="S14" i="107"/>
  <c r="AC13" i="107"/>
  <c r="AA13" i="107"/>
  <c r="Y13" i="107"/>
  <c r="W13" i="107"/>
  <c r="U13" i="107"/>
  <c r="S13" i="107"/>
  <c r="P20" i="107"/>
  <c r="P19" i="107"/>
  <c r="AC12" i="107"/>
  <c r="AA12" i="107"/>
  <c r="Y12" i="107"/>
  <c r="W12" i="107"/>
  <c r="U12" i="107"/>
  <c r="S12" i="107"/>
  <c r="P16" i="107"/>
  <c r="P15" i="107"/>
  <c r="AC11" i="107"/>
  <c r="AA11" i="107"/>
  <c r="Y11" i="107"/>
  <c r="W11" i="107"/>
  <c r="U11" i="107"/>
  <c r="S11" i="107"/>
  <c r="P13" i="107"/>
  <c r="P12" i="107"/>
  <c r="P11" i="107"/>
  <c r="O39" i="107"/>
  <c r="O26" i="107"/>
  <c r="O23" i="107"/>
  <c r="O21" i="107"/>
  <c r="O18" i="107"/>
  <c r="O16" i="107"/>
  <c r="O14" i="107"/>
  <c r="O12" i="107"/>
  <c r="P26" i="107"/>
  <c r="P38" i="107"/>
  <c r="P30" i="107"/>
  <c r="S16" i="107"/>
  <c r="P34" i="107"/>
  <c r="O30" i="107"/>
  <c r="Y10" i="107"/>
  <c r="AB38" i="105"/>
  <c r="T38" i="105"/>
  <c r="AD10" i="107"/>
  <c r="AD41" i="107" s="1"/>
  <c r="V10" i="107"/>
  <c r="V41" i="107" s="1"/>
  <c r="AA10" i="107"/>
  <c r="AA41" i="107" s="1"/>
  <c r="P10" i="107"/>
  <c r="S10" i="107"/>
  <c r="O10" i="107"/>
  <c r="X35" i="105"/>
  <c r="U39" i="107"/>
  <c r="AC23" i="95"/>
  <c r="U23" i="96"/>
  <c r="AA35" i="105"/>
  <c r="AD26" i="98"/>
  <c r="U35" i="105"/>
  <c r="AB35" i="105"/>
  <c r="T35" i="105"/>
  <c r="AE12" i="105"/>
  <c r="AF33" i="105"/>
  <c r="AF31" i="105"/>
  <c r="AF13" i="105"/>
  <c r="AC38" i="105"/>
  <c r="AA38" i="105"/>
  <c r="W38" i="105"/>
  <c r="W35" i="105"/>
  <c r="S35" i="105"/>
  <c r="AF11" i="105"/>
  <c r="AF32" i="105"/>
  <c r="Y35" i="105"/>
  <c r="AF15" i="105"/>
  <c r="AF30" i="105"/>
  <c r="AF29" i="105"/>
  <c r="AF28" i="105"/>
  <c r="AF27" i="105"/>
  <c r="AF26" i="105"/>
  <c r="AF25" i="105"/>
  <c r="AF24" i="105"/>
  <c r="AF23" i="105"/>
  <c r="AF22" i="105"/>
  <c r="AF21" i="105"/>
  <c r="AF20" i="105"/>
  <c r="AF19" i="105"/>
  <c r="AF18" i="105"/>
  <c r="AF17" i="105"/>
  <c r="AF16" i="105"/>
  <c r="AF14" i="105"/>
  <c r="AD35" i="105"/>
  <c r="Z35" i="105"/>
  <c r="V35" i="105"/>
  <c r="AF12" i="105"/>
  <c r="AD41" i="105"/>
  <c r="AD40" i="105"/>
  <c r="AD37" i="105"/>
  <c r="AD34" i="105"/>
  <c r="Z41" i="105"/>
  <c r="Z40" i="105"/>
  <c r="Z37" i="105"/>
  <c r="Z34" i="105"/>
  <c r="AE28" i="105"/>
  <c r="AE27" i="105"/>
  <c r="AE26" i="105"/>
  <c r="AE25" i="105"/>
  <c r="AE24" i="105"/>
  <c r="AE23" i="105"/>
  <c r="AE22" i="105"/>
  <c r="AE21" i="105"/>
  <c r="AE20" i="105"/>
  <c r="AE19" i="105"/>
  <c r="AE18" i="105"/>
  <c r="AE17" i="105"/>
  <c r="AE16" i="105"/>
  <c r="AE15" i="105"/>
  <c r="AE14" i="105"/>
  <c r="AE13" i="105"/>
  <c r="AE11" i="105"/>
  <c r="AC41" i="105"/>
  <c r="AC40" i="105"/>
  <c r="AC37" i="105"/>
  <c r="AC34" i="105"/>
  <c r="Y41" i="105"/>
  <c r="Y40" i="105"/>
  <c r="Y37" i="105"/>
  <c r="Y34" i="105"/>
  <c r="W41" i="105"/>
  <c r="W40" i="105"/>
  <c r="W37" i="105"/>
  <c r="W34" i="105"/>
  <c r="U41" i="105"/>
  <c r="U40" i="105"/>
  <c r="U37" i="105"/>
  <c r="U34" i="105"/>
  <c r="O106" i="105"/>
  <c r="G108" i="105" s="1"/>
  <c r="AE10" i="105"/>
  <c r="P106" i="105"/>
  <c r="G107" i="105" s="1"/>
  <c r="AF10" i="105"/>
  <c r="V41" i="105"/>
  <c r="V40" i="105"/>
  <c r="V37" i="105"/>
  <c r="V34" i="105"/>
  <c r="T41" i="105"/>
  <c r="T40" i="105"/>
  <c r="T37" i="105"/>
  <c r="T34" i="105"/>
  <c r="AE33" i="105"/>
  <c r="AE32" i="105"/>
  <c r="AE31" i="105"/>
  <c r="AE30" i="105"/>
  <c r="AE29" i="105"/>
  <c r="AB41" i="105"/>
  <c r="AB40" i="105"/>
  <c r="AB37" i="105"/>
  <c r="AB34" i="105"/>
  <c r="X41" i="105"/>
  <c r="X40" i="105"/>
  <c r="X37" i="105"/>
  <c r="X34" i="105"/>
  <c r="AA41" i="105"/>
  <c r="AA40" i="105"/>
  <c r="AA37" i="105"/>
  <c r="AA34" i="105"/>
  <c r="S41" i="105"/>
  <c r="S40" i="105"/>
  <c r="S37" i="105"/>
  <c r="S34" i="105"/>
  <c r="AD24" i="98"/>
  <c r="AC26" i="98"/>
  <c r="AA23" i="100"/>
  <c r="O106" i="101"/>
  <c r="C108" i="101" s="1"/>
  <c r="Y24" i="99"/>
  <c r="P106" i="101"/>
  <c r="U26" i="96"/>
  <c r="AB23" i="97"/>
  <c r="W26" i="99"/>
  <c r="U26" i="94"/>
  <c r="V26" i="98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AB23" i="95"/>
  <c r="Y24" i="100"/>
  <c r="AB26" i="95"/>
  <c r="Z24" i="95"/>
  <c r="V23" i="99"/>
  <c r="V23" i="98"/>
  <c r="Z27" i="98"/>
  <c r="T24" i="98"/>
  <c r="Y27" i="94"/>
  <c r="Y23" i="96"/>
  <c r="Y26" i="94"/>
  <c r="Y23" i="95"/>
  <c r="AF13" i="104"/>
  <c r="W23" i="96"/>
  <c r="AA26" i="96"/>
  <c r="Y26" i="97"/>
  <c r="AD26" i="96"/>
  <c r="AC23" i="94"/>
  <c r="W27" i="98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AC24" i="104"/>
  <c r="W28" i="104"/>
  <c r="V23" i="95"/>
  <c r="W23" i="104"/>
  <c r="X25" i="104"/>
  <c r="S24" i="104"/>
  <c r="AB25" i="104"/>
  <c r="W23" i="94"/>
  <c r="U24" i="104"/>
  <c r="AC23" i="104"/>
  <c r="S25" i="104"/>
  <c r="AA26" i="103"/>
  <c r="Y26" i="103"/>
  <c r="W25" i="104"/>
  <c r="W27" i="104"/>
  <c r="W26" i="104"/>
  <c r="AC27" i="104"/>
  <c r="U23" i="104"/>
  <c r="AF16" i="103"/>
  <c r="AC26" i="103"/>
  <c r="U26" i="103"/>
  <c r="AF12" i="104"/>
  <c r="AA28" i="104"/>
  <c r="AF11" i="104"/>
  <c r="AB22" i="104"/>
  <c r="T22" i="104"/>
  <c r="AB23" i="103"/>
  <c r="T23" i="103"/>
  <c r="W24" i="104"/>
  <c r="X22" i="104"/>
  <c r="AA38" i="101"/>
  <c r="T25" i="104"/>
  <c r="W22" i="104"/>
  <c r="S28" i="104"/>
  <c r="AA25" i="104"/>
  <c r="S27" i="104"/>
  <c r="Y27" i="104"/>
  <c r="W26" i="103"/>
  <c r="AC38" i="101"/>
  <c r="Y35" i="101"/>
  <c r="U38" i="101"/>
  <c r="AF18" i="104"/>
  <c r="AA22" i="104"/>
  <c r="S22" i="104"/>
  <c r="AC26" i="104"/>
  <c r="U26" i="104"/>
  <c r="Y23" i="103"/>
  <c r="U23" i="103"/>
  <c r="AF14" i="103"/>
  <c r="S26" i="104"/>
  <c r="AC23" i="103"/>
  <c r="AF15" i="103"/>
  <c r="AA23" i="103"/>
  <c r="W23" i="103"/>
  <c r="AF20" i="104"/>
  <c r="AF16" i="104"/>
  <c r="Y23" i="100"/>
  <c r="AE15" i="103"/>
  <c r="AF21" i="104"/>
  <c r="AF19" i="104"/>
  <c r="Y24" i="104"/>
  <c r="AF17" i="104"/>
  <c r="AF15" i="104"/>
  <c r="Y26" i="104"/>
  <c r="AD23" i="104"/>
  <c r="Z26" i="104"/>
  <c r="V23" i="104"/>
  <c r="Z23" i="104"/>
  <c r="AF13" i="103"/>
  <c r="AF12" i="103"/>
  <c r="AF11" i="103"/>
  <c r="W28" i="100"/>
  <c r="AB26" i="99"/>
  <c r="T26" i="99"/>
  <c r="AF13" i="100"/>
  <c r="Z35" i="101"/>
  <c r="AB23" i="104"/>
  <c r="X26" i="104"/>
  <c r="T28" i="104"/>
  <c r="Y23" i="104"/>
  <c r="AF14" i="104"/>
  <c r="AD26" i="104"/>
  <c r="V26" i="104"/>
  <c r="S23" i="104"/>
  <c r="AF17" i="103"/>
  <c r="AF21" i="103"/>
  <c r="AF20" i="103"/>
  <c r="AF19" i="103"/>
  <c r="AF18" i="103"/>
  <c r="U27" i="104"/>
  <c r="Z28" i="104"/>
  <c r="Z25" i="104"/>
  <c r="Z22" i="104"/>
  <c r="AB27" i="104"/>
  <c r="AB24" i="104"/>
  <c r="X27" i="104"/>
  <c r="X24" i="104"/>
  <c r="T24" i="104"/>
  <c r="T27" i="104"/>
  <c r="AE13" i="104"/>
  <c r="Y28" i="104"/>
  <c r="Y25" i="104"/>
  <c r="Y22" i="104"/>
  <c r="O58" i="104"/>
  <c r="L60" i="104" s="1"/>
  <c r="AE10" i="104"/>
  <c r="AF10" i="104"/>
  <c r="P58" i="104"/>
  <c r="L59" i="104" s="1"/>
  <c r="AD28" i="103"/>
  <c r="AD25" i="103"/>
  <c r="AD22" i="103"/>
  <c r="Z28" i="103"/>
  <c r="Z25" i="103"/>
  <c r="Z22" i="103"/>
  <c r="V28" i="103"/>
  <c r="V25" i="103"/>
  <c r="V22" i="103"/>
  <c r="X28" i="104"/>
  <c r="X23" i="104"/>
  <c r="AE21" i="103"/>
  <c r="AE20" i="103"/>
  <c r="AE19" i="103"/>
  <c r="AE18" i="103"/>
  <c r="AE17" i="103"/>
  <c r="S26" i="103"/>
  <c r="S23" i="103"/>
  <c r="W28" i="103"/>
  <c r="W25" i="103"/>
  <c r="W22" i="103"/>
  <c r="Y28" i="103"/>
  <c r="Y25" i="103"/>
  <c r="Y22" i="103"/>
  <c r="O58" i="103"/>
  <c r="C60" i="103" s="1"/>
  <c r="AE10" i="103"/>
  <c r="AC26" i="99"/>
  <c r="AE21" i="104"/>
  <c r="AE20" i="104"/>
  <c r="AE19" i="104"/>
  <c r="AE18" i="104"/>
  <c r="AE17" i="104"/>
  <c r="AE16" i="104"/>
  <c r="AE15" i="104"/>
  <c r="AE14" i="104"/>
  <c r="AD28" i="104"/>
  <c r="AD25" i="104"/>
  <c r="AD22" i="104"/>
  <c r="V28" i="104"/>
  <c r="V25" i="104"/>
  <c r="V22" i="104"/>
  <c r="AD27" i="104"/>
  <c r="AD24" i="104"/>
  <c r="Z27" i="104"/>
  <c r="Z24" i="104"/>
  <c r="V27" i="104"/>
  <c r="V24" i="104"/>
  <c r="AB28" i="104"/>
  <c r="AB26" i="104"/>
  <c r="AE12" i="104"/>
  <c r="AE11" i="104"/>
  <c r="AC28" i="104"/>
  <c r="AC25" i="104"/>
  <c r="AC22" i="104"/>
  <c r="U28" i="104"/>
  <c r="U25" i="104"/>
  <c r="U22" i="104"/>
  <c r="AB28" i="103"/>
  <c r="AB25" i="103"/>
  <c r="AB22" i="103"/>
  <c r="X28" i="103"/>
  <c r="X25" i="103"/>
  <c r="X22" i="103"/>
  <c r="T28" i="103"/>
  <c r="T25" i="103"/>
  <c r="T22" i="103"/>
  <c r="T23" i="104"/>
  <c r="T26" i="104"/>
  <c r="AE16" i="103"/>
  <c r="AA28" i="103"/>
  <c r="AA25" i="103"/>
  <c r="AA22" i="103"/>
  <c r="S28" i="103"/>
  <c r="S25" i="103"/>
  <c r="S22" i="103"/>
  <c r="AE14" i="103"/>
  <c r="AE13" i="103"/>
  <c r="AE12" i="103"/>
  <c r="AE11" i="103"/>
  <c r="AC28" i="103"/>
  <c r="AC25" i="103"/>
  <c r="AC22" i="103"/>
  <c r="U28" i="103"/>
  <c r="U25" i="103"/>
  <c r="U22" i="103"/>
  <c r="P58" i="103"/>
  <c r="AF10" i="103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AF13" i="96"/>
  <c r="AE19" i="96"/>
  <c r="AE17" i="96"/>
  <c r="AE15" i="96"/>
  <c r="S23" i="96"/>
  <c r="T25" i="94"/>
  <c r="AE18" i="96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E16" i="96"/>
  <c r="AE21" i="96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AE20" i="96"/>
  <c r="AE14" i="96"/>
  <c r="S23" i="95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24" i="98" s="1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AE10" i="99"/>
  <c r="AA25" i="94"/>
  <c r="AF12" i="95"/>
  <c r="S24" i="96"/>
  <c r="S26" i="96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AF12" i="96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S26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V22" i="93" s="1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T41" i="107" l="1"/>
  <c r="AB41" i="108"/>
  <c r="C106" i="111"/>
  <c r="J106" i="111"/>
  <c r="U41" i="107"/>
  <c r="U41" i="108"/>
  <c r="T41" i="108"/>
  <c r="L106" i="111"/>
  <c r="O106" i="107"/>
  <c r="Y41" i="107"/>
  <c r="U36" i="107"/>
  <c r="Z41" i="107"/>
  <c r="W41" i="107"/>
  <c r="S41" i="107"/>
  <c r="AB41" i="107"/>
  <c r="AC41" i="107"/>
  <c r="Z41" i="108"/>
  <c r="F106" i="111"/>
  <c r="AD12" i="111"/>
  <c r="P106" i="107"/>
  <c r="P106" i="108"/>
  <c r="O106" i="108"/>
  <c r="X41" i="108"/>
  <c r="H106" i="111"/>
  <c r="V36" i="108"/>
  <c r="AC41" i="108"/>
  <c r="AD41" i="108"/>
  <c r="E106" i="111"/>
  <c r="AD39" i="107"/>
  <c r="S41" i="108"/>
  <c r="AA41" i="108"/>
  <c r="G106" i="111"/>
  <c r="I106" i="111"/>
  <c r="W41" i="108"/>
  <c r="Y41" i="108"/>
  <c r="K106" i="111"/>
  <c r="V41" i="108"/>
  <c r="M106" i="111"/>
  <c r="D106" i="111"/>
  <c r="V39" i="107"/>
  <c r="AF10" i="108"/>
  <c r="E60" i="99"/>
  <c r="D60" i="99"/>
  <c r="F60" i="99"/>
  <c r="C60" i="99"/>
  <c r="T11" i="111"/>
  <c r="V17" i="111"/>
  <c r="AA12" i="111"/>
  <c r="X14" i="111"/>
  <c r="AD11" i="111"/>
  <c r="T17" i="111"/>
  <c r="AB19" i="111"/>
  <c r="AA15" i="111"/>
  <c r="O47" i="111"/>
  <c r="Z14" i="111"/>
  <c r="AD19" i="111"/>
  <c r="W11" i="111"/>
  <c r="U14" i="111"/>
  <c r="AB15" i="111"/>
  <c r="X18" i="111"/>
  <c r="T21" i="111"/>
  <c r="AA18" i="111"/>
  <c r="AD36" i="108"/>
  <c r="AB12" i="111"/>
  <c r="S18" i="111"/>
  <c r="Y14" i="111"/>
  <c r="S15" i="111"/>
  <c r="W17" i="111"/>
  <c r="W18" i="111"/>
  <c r="Y19" i="111"/>
  <c r="O52" i="111"/>
  <c r="AC20" i="111"/>
  <c r="AA21" i="111"/>
  <c r="X11" i="111"/>
  <c r="V13" i="111"/>
  <c r="AD13" i="111"/>
  <c r="V15" i="111"/>
  <c r="AD15" i="111"/>
  <c r="Z16" i="111"/>
  <c r="AD17" i="111"/>
  <c r="Z18" i="111"/>
  <c r="V19" i="111"/>
  <c r="Z20" i="111"/>
  <c r="V21" i="111"/>
  <c r="AD21" i="111"/>
  <c r="Z36" i="108"/>
  <c r="S11" i="111"/>
  <c r="AA11" i="111"/>
  <c r="S12" i="111"/>
  <c r="W12" i="111"/>
  <c r="S13" i="111"/>
  <c r="AA13" i="111"/>
  <c r="T14" i="111"/>
  <c r="AB14" i="111"/>
  <c r="X15" i="111"/>
  <c r="T15" i="111"/>
  <c r="X16" i="111"/>
  <c r="T16" i="111"/>
  <c r="AB16" i="111"/>
  <c r="X17" i="111"/>
  <c r="AB17" i="111"/>
  <c r="T18" i="111"/>
  <c r="AB18" i="111"/>
  <c r="T19" i="111"/>
  <c r="X20" i="111"/>
  <c r="T20" i="111"/>
  <c r="AB20" i="111"/>
  <c r="X21" i="111"/>
  <c r="S17" i="111"/>
  <c r="AA17" i="111"/>
  <c r="W13" i="111"/>
  <c r="AC14" i="111"/>
  <c r="X13" i="111"/>
  <c r="AB21" i="111"/>
  <c r="Z10" i="111"/>
  <c r="V39" i="108"/>
  <c r="U19" i="111"/>
  <c r="AC21" i="111"/>
  <c r="Y21" i="111"/>
  <c r="W15" i="111"/>
  <c r="AA16" i="111"/>
  <c r="O12" i="111"/>
  <c r="P26" i="111"/>
  <c r="V11" i="111"/>
  <c r="X12" i="111"/>
  <c r="Z12" i="111"/>
  <c r="P46" i="111"/>
  <c r="S10" i="111"/>
  <c r="AB36" i="108"/>
  <c r="AD37" i="108"/>
  <c r="P10" i="111"/>
  <c r="X19" i="111"/>
  <c r="W10" i="111"/>
  <c r="O22" i="111"/>
  <c r="P31" i="111"/>
  <c r="W16" i="111"/>
  <c r="V10" i="111"/>
  <c r="T10" i="111"/>
  <c r="T41" i="111" s="1"/>
  <c r="AB10" i="111"/>
  <c r="Z11" i="111"/>
  <c r="AB11" i="111"/>
  <c r="V12" i="111"/>
  <c r="AB13" i="111"/>
  <c r="Z13" i="111"/>
  <c r="V14" i="111"/>
  <c r="AD14" i="111"/>
  <c r="Z15" i="111"/>
  <c r="V16" i="111"/>
  <c r="AD16" i="111"/>
  <c r="Z17" i="111"/>
  <c r="V18" i="111"/>
  <c r="AD18" i="111"/>
  <c r="Z19" i="111"/>
  <c r="V20" i="111"/>
  <c r="AD20" i="111"/>
  <c r="Z21" i="111"/>
  <c r="AD39" i="108"/>
  <c r="Z39" i="108"/>
  <c r="O34" i="111"/>
  <c r="P17" i="111"/>
  <c r="O21" i="111"/>
  <c r="O37" i="111"/>
  <c r="P41" i="111"/>
  <c r="O42" i="111"/>
  <c r="U20" i="111"/>
  <c r="P53" i="111"/>
  <c r="X10" i="111"/>
  <c r="X41" i="111" s="1"/>
  <c r="T39" i="108"/>
  <c r="U10" i="111"/>
  <c r="AC10" i="111"/>
  <c r="P13" i="111"/>
  <c r="O14" i="111"/>
  <c r="O15" i="111"/>
  <c r="O17" i="111"/>
  <c r="O19" i="111"/>
  <c r="P20" i="111"/>
  <c r="P25" i="111"/>
  <c r="O26" i="111"/>
  <c r="P28" i="111"/>
  <c r="P30" i="111"/>
  <c r="O32" i="111"/>
  <c r="P33" i="111"/>
  <c r="U16" i="111"/>
  <c r="AC16" i="111"/>
  <c r="Y16" i="111"/>
  <c r="P38" i="111"/>
  <c r="P39" i="111"/>
  <c r="O40" i="111"/>
  <c r="P44" i="111"/>
  <c r="S19" i="111"/>
  <c r="AA19" i="111"/>
  <c r="P47" i="111"/>
  <c r="P50" i="111"/>
  <c r="P51" i="111"/>
  <c r="Y20" i="111"/>
  <c r="P54" i="111"/>
  <c r="O55" i="111"/>
  <c r="U21" i="111"/>
  <c r="P23" i="111"/>
  <c r="O23" i="111"/>
  <c r="Y18" i="111"/>
  <c r="O43" i="111"/>
  <c r="O49" i="111"/>
  <c r="P49" i="111"/>
  <c r="W21" i="111"/>
  <c r="P56" i="111"/>
  <c r="O10" i="111"/>
  <c r="C108" i="110"/>
  <c r="P15" i="111"/>
  <c r="O28" i="111"/>
  <c r="O35" i="111"/>
  <c r="O25" i="111"/>
  <c r="O44" i="111"/>
  <c r="O54" i="111"/>
  <c r="AD10" i="111"/>
  <c r="AD41" i="111" s="1"/>
  <c r="P36" i="111"/>
  <c r="O57" i="111"/>
  <c r="X36" i="108"/>
  <c r="V34" i="108"/>
  <c r="O11" i="111"/>
  <c r="Y10" i="111"/>
  <c r="O13" i="111"/>
  <c r="Y11" i="111"/>
  <c r="U11" i="111"/>
  <c r="AC11" i="111"/>
  <c r="O16" i="111"/>
  <c r="Y12" i="111"/>
  <c r="U12" i="111"/>
  <c r="AC12" i="111"/>
  <c r="O20" i="111"/>
  <c r="P21" i="111"/>
  <c r="Y13" i="111"/>
  <c r="U13" i="111"/>
  <c r="AC13" i="111"/>
  <c r="P24" i="111"/>
  <c r="W14" i="111"/>
  <c r="AA14" i="111"/>
  <c r="P29" i="111"/>
  <c r="O30" i="111"/>
  <c r="AC15" i="111"/>
  <c r="Y15" i="111"/>
  <c r="U15" i="111"/>
  <c r="O33" i="111"/>
  <c r="P34" i="111"/>
  <c r="P35" i="111"/>
  <c r="O36" i="111"/>
  <c r="P37" i="111"/>
  <c r="O38" i="111"/>
  <c r="AC17" i="111"/>
  <c r="Y17" i="111"/>
  <c r="U17" i="111"/>
  <c r="O41" i="111"/>
  <c r="P42" i="111"/>
  <c r="U18" i="111"/>
  <c r="AC18" i="111"/>
  <c r="P45" i="111"/>
  <c r="O46" i="111"/>
  <c r="AC19" i="111"/>
  <c r="O48" i="111"/>
  <c r="W19" i="111"/>
  <c r="O50" i="111"/>
  <c r="O51" i="111"/>
  <c r="AA20" i="111"/>
  <c r="W20" i="111"/>
  <c r="O53" i="111"/>
  <c r="P55" i="111"/>
  <c r="O56" i="111"/>
  <c r="P57" i="111"/>
  <c r="P14" i="111"/>
  <c r="P16" i="111"/>
  <c r="O18" i="111"/>
  <c r="S14" i="111"/>
  <c r="O27" i="111"/>
  <c r="O29" i="111"/>
  <c r="S16" i="111"/>
  <c r="O39" i="111"/>
  <c r="P48" i="111"/>
  <c r="S20" i="111"/>
  <c r="P52" i="111"/>
  <c r="P12" i="111"/>
  <c r="P19" i="111"/>
  <c r="O24" i="111"/>
  <c r="O31" i="111"/>
  <c r="O45" i="111"/>
  <c r="S21" i="111"/>
  <c r="P11" i="111"/>
  <c r="P18" i="111"/>
  <c r="P22" i="111"/>
  <c r="P27" i="111"/>
  <c r="P32" i="111"/>
  <c r="P40" i="111"/>
  <c r="P43" i="111"/>
  <c r="X39" i="108"/>
  <c r="T36" i="108"/>
  <c r="AB39" i="108"/>
  <c r="V37" i="108"/>
  <c r="T34" i="108"/>
  <c r="F108" i="110"/>
  <c r="AA10" i="111"/>
  <c r="AA41" i="111" s="1"/>
  <c r="H108" i="110"/>
  <c r="N108" i="110"/>
  <c r="X34" i="108"/>
  <c r="AE39" i="110"/>
  <c r="W42" i="110"/>
  <c r="Z34" i="108"/>
  <c r="AE36" i="110"/>
  <c r="F107" i="110"/>
  <c r="C107" i="110"/>
  <c r="H107" i="110"/>
  <c r="T42" i="110"/>
  <c r="Y42" i="110"/>
  <c r="X42" i="110"/>
  <c r="AF36" i="110"/>
  <c r="AF39" i="110"/>
  <c r="AF35" i="110"/>
  <c r="AF38" i="110"/>
  <c r="U42" i="110"/>
  <c r="AC42" i="110"/>
  <c r="AE38" i="110"/>
  <c r="AE35" i="110"/>
  <c r="V42" i="110"/>
  <c r="AB42" i="110"/>
  <c r="M107" i="110"/>
  <c r="D107" i="110"/>
  <c r="L107" i="110"/>
  <c r="E107" i="110"/>
  <c r="G107" i="110"/>
  <c r="I107" i="110"/>
  <c r="K107" i="110"/>
  <c r="AE41" i="110"/>
  <c r="AE40" i="110"/>
  <c r="AE37" i="110"/>
  <c r="AE34" i="110"/>
  <c r="Z42" i="110"/>
  <c r="AD42" i="110"/>
  <c r="AF41" i="110"/>
  <c r="AF40" i="110"/>
  <c r="AF37" i="110"/>
  <c r="AF34" i="110"/>
  <c r="D108" i="110"/>
  <c r="L108" i="110"/>
  <c r="E108" i="110"/>
  <c r="G108" i="110"/>
  <c r="I108" i="110"/>
  <c r="K108" i="110"/>
  <c r="J107" i="110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AE21" i="108"/>
  <c r="AD38" i="108"/>
  <c r="AE20" i="107"/>
  <c r="T39" i="107"/>
  <c r="AB39" i="107"/>
  <c r="Z37" i="108"/>
  <c r="Z38" i="108"/>
  <c r="AF11" i="108"/>
  <c r="AC36" i="108"/>
  <c r="Y39" i="108"/>
  <c r="AF21" i="108"/>
  <c r="AC34" i="108"/>
  <c r="AE10" i="108"/>
  <c r="AF19" i="108"/>
  <c r="U39" i="108"/>
  <c r="W36" i="108"/>
  <c r="T38" i="108"/>
  <c r="Y37" i="108"/>
  <c r="AD34" i="107"/>
  <c r="S38" i="107"/>
  <c r="AC34" i="107"/>
  <c r="V34" i="107"/>
  <c r="AD40" i="108"/>
  <c r="AA39" i="108"/>
  <c r="AA35" i="108"/>
  <c r="T35" i="108"/>
  <c r="AB35" i="108"/>
  <c r="AE12" i="108"/>
  <c r="X38" i="108"/>
  <c r="AC37" i="108"/>
  <c r="X40" i="108"/>
  <c r="AE18" i="108"/>
  <c r="S37" i="108"/>
  <c r="AE19" i="108"/>
  <c r="W39" i="108"/>
  <c r="AD38" i="107"/>
  <c r="X35" i="108"/>
  <c r="AF20" i="108"/>
  <c r="AE17" i="108"/>
  <c r="AC40" i="108"/>
  <c r="AA40" i="108"/>
  <c r="AE14" i="108"/>
  <c r="AF14" i="108"/>
  <c r="AE15" i="108"/>
  <c r="V38" i="108"/>
  <c r="AF17" i="108"/>
  <c r="S35" i="108"/>
  <c r="Y36" i="108"/>
  <c r="AC39" i="108"/>
  <c r="AE20" i="108"/>
  <c r="AE13" i="108"/>
  <c r="H108" i="108"/>
  <c r="U36" i="108"/>
  <c r="V36" i="107"/>
  <c r="AD37" i="107"/>
  <c r="AD35" i="107"/>
  <c r="C107" i="107"/>
  <c r="V37" i="107"/>
  <c r="Y37" i="107"/>
  <c r="W34" i="107"/>
  <c r="U40" i="108"/>
  <c r="AF12" i="108"/>
  <c r="AF18" i="108"/>
  <c r="AA38" i="108"/>
  <c r="AE11" i="108"/>
  <c r="AD36" i="107"/>
  <c r="Y34" i="107"/>
  <c r="Z40" i="107"/>
  <c r="AB35" i="107"/>
  <c r="Z36" i="107"/>
  <c r="AD34" i="108"/>
  <c r="U37" i="108"/>
  <c r="AB38" i="108"/>
  <c r="AB40" i="108"/>
  <c r="S38" i="108"/>
  <c r="S40" i="108"/>
  <c r="AA34" i="108"/>
  <c r="Y40" i="108"/>
  <c r="V35" i="108"/>
  <c r="AD35" i="108"/>
  <c r="AF13" i="108"/>
  <c r="AF15" i="108"/>
  <c r="AE16" i="108"/>
  <c r="Z40" i="108"/>
  <c r="F107" i="105"/>
  <c r="AE12" i="107"/>
  <c r="AE16" i="107"/>
  <c r="AF18" i="107"/>
  <c r="S39" i="108"/>
  <c r="S36" i="108"/>
  <c r="W38" i="108"/>
  <c r="W35" i="108"/>
  <c r="H107" i="108"/>
  <c r="V40" i="108"/>
  <c r="Z35" i="108"/>
  <c r="U34" i="108"/>
  <c r="T40" i="108"/>
  <c r="S34" i="108"/>
  <c r="AF16" i="108"/>
  <c r="AA37" i="108"/>
  <c r="AA36" i="108"/>
  <c r="AB34" i="108"/>
  <c r="AB37" i="108"/>
  <c r="W40" i="108"/>
  <c r="W37" i="108"/>
  <c r="W34" i="108"/>
  <c r="Y38" i="108"/>
  <c r="Y35" i="108"/>
  <c r="T37" i="108"/>
  <c r="X37" i="108"/>
  <c r="Y40" i="107"/>
  <c r="AE14" i="107"/>
  <c r="AE18" i="107"/>
  <c r="T38" i="107"/>
  <c r="V38" i="107"/>
  <c r="X36" i="107"/>
  <c r="U37" i="107"/>
  <c r="U38" i="108"/>
  <c r="U35" i="108"/>
  <c r="AC38" i="108"/>
  <c r="AC35" i="108"/>
  <c r="X35" i="107"/>
  <c r="T36" i="107"/>
  <c r="AB36" i="107"/>
  <c r="AC40" i="107"/>
  <c r="E107" i="105"/>
  <c r="V40" i="107"/>
  <c r="V42" i="107" s="1"/>
  <c r="Z37" i="107"/>
  <c r="AE10" i="107"/>
  <c r="AF10" i="107"/>
  <c r="AC38" i="107"/>
  <c r="D107" i="105"/>
  <c r="C107" i="105"/>
  <c r="Z34" i="107"/>
  <c r="AE15" i="107"/>
  <c r="S35" i="107"/>
  <c r="U40" i="107"/>
  <c r="AC37" i="107"/>
  <c r="U35" i="107"/>
  <c r="Y35" i="107"/>
  <c r="AC35" i="107"/>
  <c r="AE19" i="107"/>
  <c r="AE21" i="107"/>
  <c r="X40" i="107"/>
  <c r="X42" i="107" s="1"/>
  <c r="AB40" i="107"/>
  <c r="X38" i="107"/>
  <c r="Z35" i="107"/>
  <c r="AF35" i="105"/>
  <c r="AE17" i="107"/>
  <c r="AE13" i="107"/>
  <c r="AF15" i="107"/>
  <c r="H108" i="107"/>
  <c r="T40" i="107"/>
  <c r="AE11" i="107"/>
  <c r="V35" i="107"/>
  <c r="AD40" i="107"/>
  <c r="AD42" i="107" s="1"/>
  <c r="AB38" i="107"/>
  <c r="X39" i="107"/>
  <c r="Z39" i="107"/>
  <c r="W40" i="107"/>
  <c r="D108" i="105"/>
  <c r="F108" i="105"/>
  <c r="C108" i="105"/>
  <c r="E108" i="105"/>
  <c r="U34" i="107"/>
  <c r="T35" i="107"/>
  <c r="Z38" i="107"/>
  <c r="U38" i="107"/>
  <c r="Y38" i="107"/>
  <c r="W37" i="107"/>
  <c r="AF16" i="107"/>
  <c r="AF14" i="107"/>
  <c r="W38" i="107"/>
  <c r="W35" i="107"/>
  <c r="AA35" i="107"/>
  <c r="AA38" i="107"/>
  <c r="Y39" i="107"/>
  <c r="Y36" i="107"/>
  <c r="AC39" i="107"/>
  <c r="AC36" i="107"/>
  <c r="AF19" i="107"/>
  <c r="AF21" i="107"/>
  <c r="T37" i="107"/>
  <c r="T34" i="107"/>
  <c r="AF13" i="107"/>
  <c r="AF17" i="107"/>
  <c r="W39" i="107"/>
  <c r="W36" i="107"/>
  <c r="AA36" i="107"/>
  <c r="AA39" i="107"/>
  <c r="S39" i="107"/>
  <c r="AF20" i="107"/>
  <c r="X37" i="107"/>
  <c r="X34" i="107"/>
  <c r="AB34" i="107"/>
  <c r="AB37" i="107"/>
  <c r="AF11" i="107"/>
  <c r="AF12" i="107"/>
  <c r="AA40" i="107"/>
  <c r="AA42" i="107" s="1"/>
  <c r="AA37" i="107"/>
  <c r="AA34" i="107"/>
  <c r="S37" i="107"/>
  <c r="S40" i="107"/>
  <c r="S34" i="107"/>
  <c r="AF38" i="105"/>
  <c r="T42" i="105"/>
  <c r="V42" i="105"/>
  <c r="U42" i="105"/>
  <c r="W42" i="105"/>
  <c r="Y42" i="105"/>
  <c r="AC42" i="105"/>
  <c r="AF39" i="105"/>
  <c r="AF36" i="105"/>
  <c r="M107" i="105"/>
  <c r="N107" i="105"/>
  <c r="I107" i="105"/>
  <c r="K107" i="105"/>
  <c r="H107" i="105"/>
  <c r="J107" i="105"/>
  <c r="L107" i="105"/>
  <c r="I108" i="105"/>
  <c r="K108" i="105"/>
  <c r="H108" i="105"/>
  <c r="J108" i="105"/>
  <c r="L108" i="105"/>
  <c r="N108" i="105"/>
  <c r="AE38" i="105"/>
  <c r="AE35" i="105"/>
  <c r="AE39" i="105"/>
  <c r="AE36" i="105"/>
  <c r="S42" i="105"/>
  <c r="AA42" i="105"/>
  <c r="X42" i="105"/>
  <c r="AB42" i="105"/>
  <c r="AF41" i="105"/>
  <c r="AF40" i="105"/>
  <c r="AF37" i="105"/>
  <c r="AF34" i="105"/>
  <c r="AE41" i="105"/>
  <c r="AE40" i="105"/>
  <c r="AE37" i="105"/>
  <c r="AE34" i="105"/>
  <c r="Z42" i="105"/>
  <c r="AD42" i="105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AF23" i="104"/>
  <c r="AF27" i="104"/>
  <c r="H60" i="104"/>
  <c r="C60" i="104"/>
  <c r="AF26" i="104"/>
  <c r="AF24" i="104"/>
  <c r="H59" i="104"/>
  <c r="AF26" i="103"/>
  <c r="AF23" i="103"/>
  <c r="H60" i="94"/>
  <c r="C59" i="104"/>
  <c r="AF27" i="103"/>
  <c r="AF24" i="103"/>
  <c r="M59" i="103"/>
  <c r="D59" i="103"/>
  <c r="H59" i="103"/>
  <c r="L59" i="103"/>
  <c r="E59" i="103"/>
  <c r="G59" i="103"/>
  <c r="I59" i="103"/>
  <c r="K59" i="103"/>
  <c r="F59" i="103"/>
  <c r="J59" i="103"/>
  <c r="N59" i="103"/>
  <c r="AE27" i="104"/>
  <c r="AE24" i="104"/>
  <c r="E60" i="103"/>
  <c r="G60" i="103"/>
  <c r="I60" i="103"/>
  <c r="K60" i="103"/>
  <c r="F60" i="103"/>
  <c r="J60" i="103"/>
  <c r="N60" i="103"/>
  <c r="D60" i="103"/>
  <c r="H60" i="103"/>
  <c r="L60" i="103"/>
  <c r="AF22" i="104"/>
  <c r="AF28" i="104"/>
  <c r="AF25" i="104"/>
  <c r="F60" i="104"/>
  <c r="E60" i="104"/>
  <c r="G60" i="104"/>
  <c r="I60" i="104"/>
  <c r="K60" i="104"/>
  <c r="J60" i="104"/>
  <c r="N60" i="104"/>
  <c r="AE26" i="104"/>
  <c r="AE23" i="104"/>
  <c r="D60" i="104"/>
  <c r="AF35" i="101"/>
  <c r="AF28" i="103"/>
  <c r="AF25" i="103"/>
  <c r="AF22" i="103"/>
  <c r="AE26" i="103"/>
  <c r="AE23" i="103"/>
  <c r="C59" i="103"/>
  <c r="AE28" i="103"/>
  <c r="AE25" i="103"/>
  <c r="AE22" i="103"/>
  <c r="AE27" i="103"/>
  <c r="AE24" i="103"/>
  <c r="F59" i="104"/>
  <c r="M59" i="104"/>
  <c r="J59" i="104"/>
  <c r="E59" i="104"/>
  <c r="G59" i="104"/>
  <c r="I59" i="104"/>
  <c r="K59" i="104"/>
  <c r="N59" i="104"/>
  <c r="AE28" i="104"/>
  <c r="AE25" i="104"/>
  <c r="AE22" i="104"/>
  <c r="D59" i="104"/>
  <c r="AF24" i="100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4" i="96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G60" i="99"/>
  <c r="I60" i="99"/>
  <c r="K60" i="99"/>
  <c r="J60" i="99"/>
  <c r="N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C60" i="95"/>
  <c r="E60" i="95"/>
  <c r="G60" i="95"/>
  <c r="I60" i="95"/>
  <c r="K60" i="95"/>
  <c r="D60" i="95"/>
  <c r="F60" i="95"/>
  <c r="H60" i="95"/>
  <c r="J60" i="95"/>
  <c r="L60" i="95"/>
  <c r="N60" i="95"/>
  <c r="AE26" i="95"/>
  <c r="AE23" i="95"/>
  <c r="C59" i="96"/>
  <c r="E59" i="96"/>
  <c r="G59" i="96"/>
  <c r="I59" i="96"/>
  <c r="K59" i="96"/>
  <c r="D59" i="96"/>
  <c r="F59" i="96"/>
  <c r="H59" i="96"/>
  <c r="J59" i="96"/>
  <c r="L59" i="96"/>
  <c r="N59" i="96"/>
  <c r="M59" i="96"/>
  <c r="AF23" i="95"/>
  <c r="AF23" i="96"/>
  <c r="L60" i="94"/>
  <c r="M59" i="95"/>
  <c r="C59" i="95"/>
  <c r="E59" i="95"/>
  <c r="G59" i="95"/>
  <c r="I59" i="95"/>
  <c r="K59" i="95"/>
  <c r="D59" i="95"/>
  <c r="F59" i="95"/>
  <c r="H59" i="95"/>
  <c r="J59" i="95"/>
  <c r="L59" i="95"/>
  <c r="N59" i="95"/>
  <c r="AF27" i="95"/>
  <c r="AF24" i="95"/>
  <c r="C60" i="96"/>
  <c r="E60" i="96"/>
  <c r="G60" i="96"/>
  <c r="I60" i="96"/>
  <c r="K60" i="96"/>
  <c r="D60" i="96"/>
  <c r="F60" i="96"/>
  <c r="H60" i="96"/>
  <c r="J60" i="96"/>
  <c r="L60" i="96"/>
  <c r="N60" i="96"/>
  <c r="AE26" i="96"/>
  <c r="AE23" i="96"/>
  <c r="AE28" i="95"/>
  <c r="AE25" i="95"/>
  <c r="AE22" i="95"/>
  <c r="AF28" i="96"/>
  <c r="AF25" i="96"/>
  <c r="AF22" i="96"/>
  <c r="AF27" i="96"/>
  <c r="AF24" i="96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AE41" i="107" l="1"/>
  <c r="X42" i="108"/>
  <c r="AB42" i="107"/>
  <c r="T42" i="108"/>
  <c r="AB41" i="111"/>
  <c r="P106" i="111"/>
  <c r="Z41" i="111"/>
  <c r="Y42" i="108"/>
  <c r="S42" i="107"/>
  <c r="U42" i="108"/>
  <c r="AC41" i="111"/>
  <c r="W42" i="108"/>
  <c r="W42" i="107"/>
  <c r="U42" i="107"/>
  <c r="U41" i="111"/>
  <c r="V41" i="111"/>
  <c r="AF41" i="108"/>
  <c r="AD42" i="108"/>
  <c r="Z42" i="107"/>
  <c r="AE41" i="108"/>
  <c r="S41" i="111"/>
  <c r="S42" i="111" s="1"/>
  <c r="AC42" i="108"/>
  <c r="O106" i="111"/>
  <c r="Y42" i="107"/>
  <c r="AA42" i="108"/>
  <c r="Z42" i="108"/>
  <c r="AB42" i="108"/>
  <c r="AF41" i="107"/>
  <c r="Y41" i="111"/>
  <c r="W41" i="111"/>
  <c r="V42" i="108"/>
  <c r="S42" i="108"/>
  <c r="AC42" i="107"/>
  <c r="T42" i="107"/>
  <c r="AD37" i="111"/>
  <c r="X34" i="111"/>
  <c r="AD39" i="111"/>
  <c r="T34" i="111"/>
  <c r="W37" i="111"/>
  <c r="X36" i="111"/>
  <c r="Z39" i="111"/>
  <c r="AD38" i="111"/>
  <c r="V40" i="111"/>
  <c r="AA35" i="111"/>
  <c r="AF12" i="111"/>
  <c r="S34" i="111"/>
  <c r="T39" i="111"/>
  <c r="AC34" i="111"/>
  <c r="AD34" i="111"/>
  <c r="T37" i="111"/>
  <c r="AE15" i="111"/>
  <c r="AF19" i="111"/>
  <c r="AE12" i="111"/>
  <c r="AA36" i="111"/>
  <c r="AF14" i="111"/>
  <c r="AE14" i="111"/>
  <c r="AF11" i="111"/>
  <c r="AE18" i="111"/>
  <c r="Z37" i="111"/>
  <c r="T38" i="111"/>
  <c r="AF10" i="111"/>
  <c r="W36" i="111"/>
  <c r="Y40" i="111"/>
  <c r="U36" i="111"/>
  <c r="Z36" i="111"/>
  <c r="V35" i="111"/>
  <c r="AB40" i="111"/>
  <c r="X39" i="111"/>
  <c r="S37" i="111"/>
  <c r="AB36" i="111"/>
  <c r="AE20" i="111"/>
  <c r="AE10" i="111"/>
  <c r="X35" i="111"/>
  <c r="S40" i="111"/>
  <c r="Z38" i="111"/>
  <c r="AE13" i="111"/>
  <c r="V34" i="111"/>
  <c r="W35" i="111"/>
  <c r="AC35" i="111"/>
  <c r="AB38" i="111"/>
  <c r="W40" i="111"/>
  <c r="V39" i="111"/>
  <c r="AD40" i="111"/>
  <c r="AD42" i="111" s="1"/>
  <c r="X40" i="111"/>
  <c r="X42" i="111" s="1"/>
  <c r="V38" i="111"/>
  <c r="AB39" i="111"/>
  <c r="AB37" i="111"/>
  <c r="W34" i="111"/>
  <c r="AF15" i="111"/>
  <c r="AF13" i="111"/>
  <c r="AE21" i="111"/>
  <c r="W38" i="111"/>
  <c r="X38" i="111"/>
  <c r="AF20" i="111"/>
  <c r="S36" i="111"/>
  <c r="AE11" i="111"/>
  <c r="U39" i="111"/>
  <c r="Z35" i="111"/>
  <c r="Z40" i="111"/>
  <c r="V37" i="111"/>
  <c r="T36" i="111"/>
  <c r="T40" i="111"/>
  <c r="T42" i="111" s="1"/>
  <c r="AB35" i="111"/>
  <c r="AA38" i="111"/>
  <c r="V36" i="111"/>
  <c r="AD35" i="111"/>
  <c r="X37" i="111"/>
  <c r="AC39" i="111"/>
  <c r="Y39" i="111"/>
  <c r="U35" i="111"/>
  <c r="AD36" i="111"/>
  <c r="AE19" i="111"/>
  <c r="U40" i="111"/>
  <c r="Z34" i="111"/>
  <c r="T35" i="111"/>
  <c r="AB34" i="111"/>
  <c r="U34" i="111"/>
  <c r="AF17" i="111"/>
  <c r="AC36" i="111"/>
  <c r="Y36" i="111"/>
  <c r="U37" i="111"/>
  <c r="AA39" i="111"/>
  <c r="S39" i="111"/>
  <c r="S38" i="111"/>
  <c r="Y38" i="111"/>
  <c r="AF16" i="111"/>
  <c r="K108" i="111"/>
  <c r="N107" i="111"/>
  <c r="AF21" i="111"/>
  <c r="W39" i="111"/>
  <c r="AE17" i="111"/>
  <c r="AC38" i="111"/>
  <c r="U38" i="111"/>
  <c r="AC40" i="111"/>
  <c r="Y37" i="111"/>
  <c r="AE16" i="111"/>
  <c r="Y35" i="111"/>
  <c r="S35" i="111"/>
  <c r="AF18" i="111"/>
  <c r="Y34" i="111"/>
  <c r="AC37" i="111"/>
  <c r="AA37" i="111"/>
  <c r="AA40" i="111"/>
  <c r="AA42" i="111" s="1"/>
  <c r="AA34" i="111"/>
  <c r="M107" i="107"/>
  <c r="AF39" i="108"/>
  <c r="F108" i="107"/>
  <c r="J107" i="108"/>
  <c r="AF42" i="110"/>
  <c r="AE42" i="110"/>
  <c r="AE42" i="109"/>
  <c r="AF42" i="109"/>
  <c r="K107" i="107"/>
  <c r="C108" i="107"/>
  <c r="L107" i="108"/>
  <c r="G107" i="108"/>
  <c r="L107" i="107"/>
  <c r="G108" i="108"/>
  <c r="AE39" i="108"/>
  <c r="AE37" i="108"/>
  <c r="F108" i="108"/>
  <c r="AE36" i="108"/>
  <c r="AF36" i="108"/>
  <c r="AF34" i="108"/>
  <c r="C108" i="108"/>
  <c r="K108" i="108"/>
  <c r="N108" i="108"/>
  <c r="AF40" i="108"/>
  <c r="K108" i="107"/>
  <c r="L108" i="108"/>
  <c r="D108" i="108"/>
  <c r="I108" i="108"/>
  <c r="E108" i="108"/>
  <c r="J108" i="108"/>
  <c r="AF37" i="108"/>
  <c r="AE38" i="108"/>
  <c r="AE39" i="107"/>
  <c r="AF35" i="108"/>
  <c r="AE35" i="108"/>
  <c r="D107" i="107"/>
  <c r="G107" i="107"/>
  <c r="J107" i="107"/>
  <c r="N108" i="107"/>
  <c r="G108" i="107"/>
  <c r="D107" i="108"/>
  <c r="M107" i="108"/>
  <c r="K107" i="108"/>
  <c r="L108" i="107"/>
  <c r="AE40" i="108"/>
  <c r="AF40" i="107"/>
  <c r="F107" i="107"/>
  <c r="I107" i="107"/>
  <c r="E107" i="107"/>
  <c r="N107" i="107"/>
  <c r="C107" i="108"/>
  <c r="AE34" i="108"/>
  <c r="N107" i="108"/>
  <c r="F107" i="108"/>
  <c r="I107" i="108"/>
  <c r="E107" i="108"/>
  <c r="H107" i="107"/>
  <c r="AF38" i="108"/>
  <c r="AE37" i="107"/>
  <c r="AE35" i="107"/>
  <c r="AF34" i="107"/>
  <c r="AE40" i="107"/>
  <c r="AE38" i="107"/>
  <c r="AE36" i="107"/>
  <c r="AE34" i="107"/>
  <c r="D108" i="107"/>
  <c r="J108" i="107"/>
  <c r="I108" i="107"/>
  <c r="E108" i="107"/>
  <c r="AF37" i="107"/>
  <c r="AF35" i="107"/>
  <c r="AF38" i="107"/>
  <c r="AF36" i="107"/>
  <c r="AF39" i="107"/>
  <c r="AE42" i="105"/>
  <c r="AF42" i="105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AF42" i="107" l="1"/>
  <c r="Z42" i="111"/>
  <c r="AE42" i="108"/>
  <c r="AB42" i="111"/>
  <c r="AE41" i="111"/>
  <c r="AC42" i="111"/>
  <c r="AF42" i="108"/>
  <c r="W42" i="111"/>
  <c r="V42" i="111"/>
  <c r="AF34" i="111"/>
  <c r="AF41" i="111"/>
  <c r="AF42" i="111" s="1"/>
  <c r="Y42" i="111"/>
  <c r="U42" i="111"/>
  <c r="AE42" i="107"/>
  <c r="AF37" i="111"/>
  <c r="K107" i="111"/>
  <c r="E108" i="111"/>
  <c r="AE34" i="111"/>
  <c r="F108" i="111"/>
  <c r="AE39" i="111"/>
  <c r="AE37" i="111"/>
  <c r="H107" i="111"/>
  <c r="F107" i="111"/>
  <c r="E107" i="111"/>
  <c r="C107" i="111"/>
  <c r="I107" i="111"/>
  <c r="AE40" i="111"/>
  <c r="AF40" i="111"/>
  <c r="N108" i="111"/>
  <c r="H108" i="111"/>
  <c r="C108" i="111"/>
  <c r="AE35" i="111"/>
  <c r="AE36" i="111"/>
  <c r="AF36" i="111"/>
  <c r="M107" i="111"/>
  <c r="D107" i="111"/>
  <c r="L107" i="111"/>
  <c r="G107" i="111"/>
  <c r="J107" i="111"/>
  <c r="AF38" i="111"/>
  <c r="AF39" i="111"/>
  <c r="AE38" i="111"/>
  <c r="J108" i="111"/>
  <c r="I108" i="111"/>
  <c r="D108" i="111"/>
  <c r="L108" i="111"/>
  <c r="G108" i="111"/>
  <c r="AF35" i="111"/>
  <c r="AE42" i="111" l="1"/>
</calcChain>
</file>

<file path=xl/sharedStrings.xml><?xml version="1.0" encoding="utf-8"?>
<sst xmlns="http://schemas.openxmlformats.org/spreadsheetml/2006/main" count="2327" uniqueCount="180">
  <si>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</si>
  <si>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</si>
  <si>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</si>
  <si>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</si>
  <si>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</si>
  <si>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</si>
  <si>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</si>
  <si>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</si>
  <si>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</si>
  <si>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</si>
  <si>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</si>
  <si>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</si>
  <si>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</si>
  <si>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</si>
  <si>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</si>
  <si>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</si>
  <si>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</si>
  <si>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</si>
  <si>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</si>
  <si>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</si>
  <si>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</si>
  <si>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</si>
  <si>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</si>
  <si>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</si>
  <si>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</si>
  <si>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</si>
  <si>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</si>
  <si>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</si>
  <si>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</si>
  <si>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</si>
  <si>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</si>
  <si>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</si>
  <si>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</si>
  <si>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</si>
  <si>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</si>
  <si>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</si>
  <si>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</si>
  <si>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</si>
  <si>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</si>
  <si>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</si>
  <si>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</si>
  <si>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</si>
  <si>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</si>
  <si>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</si>
  <si>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</si>
  <si>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</si>
  <si>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</si>
  <si>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</si>
  <si>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</si>
  <si>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</si>
  <si>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</si>
  <si>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</si>
  <si>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</si>
  <si>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</si>
  <si>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</si>
  <si>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</si>
  <si>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</si>
  <si>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</si>
  <si>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</si>
  <si>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</si>
  <si>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</si>
  <si>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</si>
  <si>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</si>
  <si>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</si>
  <si>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</si>
  <si>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</si>
  <si>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</si>
  <si>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</si>
  <si>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</si>
  <si>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</si>
  <si>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</si>
  <si>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</si>
  <si>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</si>
  <si>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</si>
  <si>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</si>
  <si>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</si>
  <si>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</si>
  <si>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</si>
  <si>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</si>
  <si>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</si>
  <si>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</si>
  <si>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</si>
  <si>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</si>
  <si>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</si>
  <si>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</si>
  <si>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</si>
  <si>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</si>
  <si>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</si>
  <si>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</si>
  <si>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</si>
  <si>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</si>
  <si>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</si>
  <si>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</si>
  <si>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</si>
  <si>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</si>
  <si>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</si>
  <si>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</si>
  <si>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</si>
  <si>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</si>
  <si>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</si>
  <si>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</si>
  <si>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</si>
  <si>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</si>
  <si>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</si>
  <si>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</si>
  <si>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</si>
  <si>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</si>
  <si>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</si>
  <si>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</si>
  <si>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</si>
  <si>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</si>
  <si>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</si>
  <si>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</si>
  <si>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</si>
  <si>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</si>
  <si>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</si>
  <si>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</si>
  <si>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</si>
  <si>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</si>
  <si>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</si>
  <si>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</si>
  <si>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</si>
  <si>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</si>
  <si>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</si>
  <si>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</si>
  <si>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</si>
  <si>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</si>
  <si>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</si>
  <si>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</si>
  <si>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</si>
  <si>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</si>
  <si>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</si>
  <si>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</si>
  <si>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</si>
  <si>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</si>
  <si>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</si>
  <si>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</si>
  <si>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</si>
  <si>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</si>
  <si>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</si>
  <si>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</si>
  <si>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</si>
  <si>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</si>
  <si>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</si>
  <si>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</si>
  <si>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</si>
  <si>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</si>
  <si>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</si>
  <si>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</si>
  <si>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</si>
  <si>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</si>
  <si>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</si>
  <si>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</si>
  <si>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</si>
  <si>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</si>
  <si>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</si>
  <si>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</si>
  <si>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</si>
  <si>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</si>
  <si>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</si>
  <si>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</si>
  <si>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</si>
  <si>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AVERAGE WEEK</t>
  </si>
  <si>
    <t>MCC - C1 - STN039 - NAMUGONGO ROAD</t>
  </si>
  <si>
    <t>O1.08.2019</t>
  </si>
  <si>
    <t>AGENDA</t>
  </si>
  <si>
    <t>KIREKA</t>
  </si>
  <si>
    <t>STEVEN</t>
  </si>
  <si>
    <t>NAIDO GRACE BRENDA</t>
  </si>
  <si>
    <t>NAMUGONGO</t>
  </si>
  <si>
    <t xml:space="preserve">                                               </t>
  </si>
  <si>
    <t>02.08.19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</si>
  <si>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</si>
  <si>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03.08.19</t>
  </si>
  <si>
    <t>`</t>
  </si>
  <si>
    <t>04.08.19</t>
  </si>
  <si>
    <t>29.07.19</t>
  </si>
  <si>
    <t>30.07.19</t>
  </si>
  <si>
    <t>31.07.19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</si>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</sst>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164" formatCode="0.0%"/>
    <numFmt numFmtId="165" formatCode="0.000"/>
    <numFmt numFmtId="166" formatCode="_-* #,##0_-;\-* #,##0_-;_-* &quot;-&quot;_-;_-@_-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70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4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" fontId="0" fillId="3" borderId="4" xfId="0" applyNumberForma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166" fontId="1" fillId="0" borderId="1" xfId="2" applyNumberFormat="1" applyFont="1" applyBorder="1" applyAlignment="1">
      <alignment horizontal="center"/>
    </xf>
    <xf numFmtId="166" fontId="1" fillId="3" borderId="1" xfId="2" applyNumberFormat="1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'29.07 NAMUGONGO-KIREKA'!$AE$9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'29.07 NAMUGONGO-KIREKA'!$R$10:$R$21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NAMUGONGO-KIREKA'!$AE$10:$AE$21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82</c:v>
                </c:pt>
                <c:pt idx="3">
                  <c:v>505</c:v>
                </c:pt>
                <c:pt idx="4">
                  <c:v>423</c:v>
                </c:pt>
                <c:pt idx="5">
                  <c:v>347</c:v>
                </c:pt>
                <c:pt idx="6">
                  <c:v>342</c:v>
                </c:pt>
                <c:pt idx="7">
                  <c:v>339</c:v>
                </c:pt>
                <c:pt idx="8">
                  <c:v>359</c:v>
                </c:pt>
                <c:pt idx="9">
                  <c:v>355</c:v>
                </c:pt>
                <c:pt idx="10">
                  <c:v>415</c:v>
                </c:pt>
                <c:pt idx="11">
                  <c:v>351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'29.07 NAMUGONGO-KIREKA'!$AF$9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'29.07 NAMUGONGO-KIREKA'!$R$10:$R$21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NAMUGONGO-KIREKA'!$AF$10:$AF$21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176</c:v>
                </c:pt>
                <c:pt idx="3">
                  <c:v>990</c:v>
                </c:pt>
                <c:pt idx="4">
                  <c:v>934</c:v>
                </c:pt>
                <c:pt idx="5">
                  <c:v>788</c:v>
                </c:pt>
                <c:pt idx="6">
                  <c:v>770</c:v>
                </c:pt>
                <c:pt idx="7">
                  <c:v>722</c:v>
                </c:pt>
                <c:pt idx="8">
                  <c:v>790</c:v>
                </c:pt>
                <c:pt idx="9">
                  <c:v>866</c:v>
                </c:pt>
                <c:pt idx="10">
                  <c:v>909</c:v>
                </c:pt>
                <c:pt idx="11">
                  <c:v>938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267264"/>
        <c:axId val="94268800"/>
      </c:lineChart>
      <c:catAx>
        <c:axId val="942672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4268800"/>
        <c:crosses val="autoZero"/>
        <c:auto val="1"/>
        <c:lblAlgn val="ctr"/>
        <c:lblOffset val="100"/>
        <c:noMultiLvlLbl val="0"/>
      </c:catAx>
      <c:valAx>
        <c:axId val="942688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426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'29.07 NAMUGONGO-KIREKA'!$C$9:$N$9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NAMUGONGO-KIREKA'!$C$59:$N$59</c:f>
              <c:numCache>
                <c:formatCode>0.0%</c:formatCode>
                <c:ptCount val="12"/>
                <c:pt idx="0">
                  <c:v>0.24191297729290878</c:v>
                </c:pt>
                <c:pt idx="1">
                  <c:v>3.1967525053913481E-2</c:v>
                </c:pt>
                <c:pt idx="2">
                  <c:v>3.8310287961435999E-2</c:v>
                </c:pt>
                <c:pt idx="3">
                  <c:v>8.7276417607509829E-2</c:v>
                </c:pt>
                <c:pt idx="4">
                  <c:v>3.6788024863630597E-3</c:v>
                </c:pt>
                <c:pt idx="5">
                  <c:v>1.2685525815045033E-4</c:v>
                </c:pt>
                <c:pt idx="6">
                  <c:v>3.7929722186984649E-2</c:v>
                </c:pt>
                <c:pt idx="7">
                  <c:v>1.6491183559558544E-3</c:v>
                </c:pt>
                <c:pt idx="8">
                  <c:v>2.0296841304072053E-3</c:v>
                </c:pt>
                <c:pt idx="9">
                  <c:v>1.3954078396549536E-3</c:v>
                </c:pt>
                <c:pt idx="10">
                  <c:v>0.55372320182671575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65"/>
          <c:y val="2.29602266373237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'29.07 NAMUGONGO-KIREKA'!$S$9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'29.07 NAMUGONGO-KIREKA'!$R$10:$R$21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NAMUGONGO-KIREKA'!$S$10:$S$21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52</c:v>
                </c:pt>
                <c:pt idx="3">
                  <c:v>291</c:v>
                </c:pt>
                <c:pt idx="4">
                  <c:v>239</c:v>
                </c:pt>
                <c:pt idx="5">
                  <c:v>175</c:v>
                </c:pt>
                <c:pt idx="6">
                  <c:v>174</c:v>
                </c:pt>
                <c:pt idx="7">
                  <c:v>191</c:v>
                </c:pt>
                <c:pt idx="8">
                  <c:v>165</c:v>
                </c:pt>
                <c:pt idx="9">
                  <c:v>200</c:v>
                </c:pt>
                <c:pt idx="10">
                  <c:v>230</c:v>
                </c:pt>
                <c:pt idx="11">
                  <c:v>190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'29.07 NAMUGONGO-KIREKA'!$T$9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'29.07 NAMUGONGO-KIREKA'!$R$10:$R$21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NAMUGONGO-KIREKA'!$T$10:$T$21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42</c:v>
                </c:pt>
                <c:pt idx="4">
                  <c:v>32</c:v>
                </c:pt>
                <c:pt idx="5">
                  <c:v>22</c:v>
                </c:pt>
                <c:pt idx="6">
                  <c:v>31</c:v>
                </c:pt>
                <c:pt idx="7">
                  <c:v>23</c:v>
                </c:pt>
                <c:pt idx="8">
                  <c:v>30</c:v>
                </c:pt>
                <c:pt idx="9">
                  <c:v>21</c:v>
                </c:pt>
                <c:pt idx="10">
                  <c:v>17</c:v>
                </c:pt>
                <c:pt idx="11">
                  <c:v>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'29.07 NAMUGONGO-KIREKA'!$U$9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'29.07 NAMUGONGO-KIREKA'!$U$10:$U$21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54</c:v>
                </c:pt>
                <c:pt idx="4">
                  <c:v>27</c:v>
                </c:pt>
                <c:pt idx="5">
                  <c:v>40</c:v>
                </c:pt>
                <c:pt idx="6">
                  <c:v>29</c:v>
                </c:pt>
                <c:pt idx="7">
                  <c:v>22</c:v>
                </c:pt>
                <c:pt idx="8">
                  <c:v>31</c:v>
                </c:pt>
                <c:pt idx="9">
                  <c:v>24</c:v>
                </c:pt>
                <c:pt idx="10">
                  <c:v>39</c:v>
                </c:pt>
                <c:pt idx="1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'29.07 NAMUGONGO-KIREKA'!$V$9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'29.07 NAMUGONGO-KIREKA'!$V$10:$V$21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78</c:v>
                </c:pt>
                <c:pt idx="4">
                  <c:v>86</c:v>
                </c:pt>
                <c:pt idx="5">
                  <c:v>70</c:v>
                </c:pt>
                <c:pt idx="6">
                  <c:v>75</c:v>
                </c:pt>
                <c:pt idx="7">
                  <c:v>66</c:v>
                </c:pt>
                <c:pt idx="8">
                  <c:v>74</c:v>
                </c:pt>
                <c:pt idx="9">
                  <c:v>68</c:v>
                </c:pt>
                <c:pt idx="10">
                  <c:v>87</c:v>
                </c:pt>
                <c:pt idx="11">
                  <c:v>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'29.07 NAMUGONGO-KIREKA'!$W$9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'29.07 NAMUGONGO-KIREKA'!$W$10:$W$21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11</c:v>
                </c:pt>
                <c:pt idx="9">
                  <c:v>2</c:v>
                </c:pt>
                <c:pt idx="10">
                  <c:v>4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'29.07 NAMUGONGO-KIREKA'!$X$9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'29.07 NAMUGONGO-KIREKA'!$X$10:$X$21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'29.07 NAMUGONGO-KIREKA'!$Y$9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NAMUGONGO-KIREKA'!$Y$10:$Y$21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32</c:v>
                </c:pt>
                <c:pt idx="4">
                  <c:v>33</c:v>
                </c:pt>
                <c:pt idx="5">
                  <c:v>33</c:v>
                </c:pt>
                <c:pt idx="6">
                  <c:v>31</c:v>
                </c:pt>
                <c:pt idx="7">
                  <c:v>33</c:v>
                </c:pt>
                <c:pt idx="8">
                  <c:v>44</c:v>
                </c:pt>
                <c:pt idx="9">
                  <c:v>33</c:v>
                </c:pt>
                <c:pt idx="10">
                  <c:v>35</c:v>
                </c:pt>
                <c:pt idx="11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'29.07 NAMUGONGO-KIREKA'!$Z$9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NAMUGONGO-KIREKA'!$Z$10:$Z$21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'29.07 NAMUGONGO-KIREKA'!$AA$9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NAMUGONGO-KIREKA'!$AA$10:$AA$21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3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'29.07 NAMUGONGO-KIREKA'!$AB$9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NAMUGONGO-KIREKA'!$AB$10:$AB$21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6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'29.07 NAMUGONGO-KIREKA'!$AC$9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NAMUGONGO-KIREKA'!$AC$10:$AC$21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94</c:v>
                </c:pt>
                <c:pt idx="3">
                  <c:v>485</c:v>
                </c:pt>
                <c:pt idx="4">
                  <c:v>511</c:v>
                </c:pt>
                <c:pt idx="5">
                  <c:v>441</c:v>
                </c:pt>
                <c:pt idx="6">
                  <c:v>428</c:v>
                </c:pt>
                <c:pt idx="7">
                  <c:v>383</c:v>
                </c:pt>
                <c:pt idx="8">
                  <c:v>431</c:v>
                </c:pt>
                <c:pt idx="9">
                  <c:v>511</c:v>
                </c:pt>
                <c:pt idx="10">
                  <c:v>494</c:v>
                </c:pt>
                <c:pt idx="11">
                  <c:v>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'29.07 NAMUGONGO-KIREKA'!$AD$9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NAMUGONGO-KIREKA'!$AD$10:$AD$21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181120"/>
        <c:axId val="98182656"/>
      </c:lineChart>
      <c:catAx>
        <c:axId val="98181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8182656"/>
        <c:crosses val="autoZero"/>
        <c:auto val="1"/>
        <c:lblAlgn val="ctr"/>
        <c:lblOffset val="100"/>
        <c:noMultiLvlLbl val="0"/>
      </c:catAx>
      <c:valAx>
        <c:axId val="9818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818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'29.07 NAMUGONGO-KIREKA'!$C$9:$N$9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NAMUGONGO-KIREKA'!$C$60:$N$60</c:f>
              <c:numCache>
                <c:formatCode>0.00%</c:formatCode>
                <c:ptCount val="12"/>
                <c:pt idx="0">
                  <c:v>0.54206935758953956</c:v>
                </c:pt>
                <c:pt idx="1">
                  <c:v>7.1631608868675381E-2</c:v>
                </c:pt>
                <c:pt idx="2">
                  <c:v>8.5844229675952247E-2</c:v>
                </c:pt>
                <c:pt idx="3">
                  <c:v>0.19556566230812961</c:v>
                </c:pt>
                <c:pt idx="4">
                  <c:v>8.2433200682205804E-3</c:v>
                </c:pt>
                <c:pt idx="5">
                  <c:v>2.8425241614553722E-4</c:v>
                </c:pt>
                <c:pt idx="6">
                  <c:v>8.4991472427515632E-2</c:v>
                </c:pt>
                <c:pt idx="7">
                  <c:v>3.695281409891984E-3</c:v>
                </c:pt>
                <c:pt idx="8">
                  <c:v>4.5480386583285955E-3</c:v>
                </c:pt>
                <c:pt idx="9">
                  <c:v>3.1267765776009098E-3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'29.07 KIREKA-NAMUGONGO'!$AE$9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'29.07 KIREKA-NAMUGONGO'!$R$10:$R$21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KIREKA-NAMUGONGO'!$AE$10:$AE$21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68</c:v>
                </c:pt>
                <c:pt idx="3">
                  <c:v>272</c:v>
                </c:pt>
                <c:pt idx="4">
                  <c:v>286</c:v>
                </c:pt>
                <c:pt idx="5">
                  <c:v>263</c:v>
                </c:pt>
                <c:pt idx="6">
                  <c:v>256</c:v>
                </c:pt>
                <c:pt idx="7">
                  <c:v>223</c:v>
                </c:pt>
                <c:pt idx="8">
                  <c:v>281</c:v>
                </c:pt>
                <c:pt idx="9">
                  <c:v>441</c:v>
                </c:pt>
                <c:pt idx="10">
                  <c:v>625</c:v>
                </c:pt>
                <c:pt idx="11">
                  <c:v>599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'29.07 KIREKA-NAMUGONGO'!$AF$9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'29.07 KIREKA-NAMUGONGO'!$R$10:$R$21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KIREKA-NAMUGONGO'!$AF$10:$AF$21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188</c:v>
                </c:pt>
                <c:pt idx="3">
                  <c:v>747</c:v>
                </c:pt>
                <c:pt idx="4">
                  <c:v>759</c:v>
                </c:pt>
                <c:pt idx="5">
                  <c:v>727</c:v>
                </c:pt>
                <c:pt idx="6">
                  <c:v>719</c:v>
                </c:pt>
                <c:pt idx="7">
                  <c:v>679</c:v>
                </c:pt>
                <c:pt idx="8">
                  <c:v>729</c:v>
                </c:pt>
                <c:pt idx="9">
                  <c:v>940</c:v>
                </c:pt>
                <c:pt idx="10">
                  <c:v>1101</c:v>
                </c:pt>
                <c:pt idx="11">
                  <c:v>1079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327936"/>
        <c:axId val="98346112"/>
      </c:lineChart>
      <c:catAx>
        <c:axId val="983279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8346112"/>
        <c:crosses val="autoZero"/>
        <c:auto val="1"/>
        <c:lblAlgn val="ctr"/>
        <c:lblOffset val="100"/>
        <c:noMultiLvlLbl val="0"/>
      </c:catAx>
      <c:valAx>
        <c:axId val="983461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832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'29.07 KIREKA-NAMUGONGO'!$C$9:$N$9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KIREKA-NAMUGONGO'!$C$59:$N$59</c:f>
              <c:numCache>
                <c:formatCode>0.0%</c:formatCode>
                <c:ptCount val="12"/>
                <c:pt idx="0">
                  <c:v>0.25443401147626499</c:v>
                </c:pt>
                <c:pt idx="1">
                  <c:v>3.41679707876891E-2</c:v>
                </c:pt>
                <c:pt idx="2">
                  <c:v>2.8299426186750132E-2</c:v>
                </c:pt>
                <c:pt idx="3">
                  <c:v>5.2947313510693796E-2</c:v>
                </c:pt>
                <c:pt idx="4">
                  <c:v>2.0865936358894104E-3</c:v>
                </c:pt>
                <c:pt idx="5">
                  <c:v>1.3041210224308815E-4</c:v>
                </c:pt>
                <c:pt idx="6">
                  <c:v>3.8210745957224831E-2</c:v>
                </c:pt>
                <c:pt idx="7">
                  <c:v>1.3823682837767345E-2</c:v>
                </c:pt>
                <c:pt idx="8">
                  <c:v>7.6943140323422017E-3</c:v>
                </c:pt>
                <c:pt idx="9">
                  <c:v>3.9123630672926448E-4</c:v>
                </c:pt>
                <c:pt idx="10">
                  <c:v>0.56781429316640586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65"/>
          <c:y val="2.29602266373237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'29.07 KIREKA-NAMUGONGO'!$S$9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'29.07 KIREKA-NAMUGONGO'!$R$10:$R$21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KIREKA-NAMUGONGO'!$S$10:$S$21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33</c:v>
                </c:pt>
                <c:pt idx="3">
                  <c:v>124</c:v>
                </c:pt>
                <c:pt idx="4">
                  <c:v>130</c:v>
                </c:pt>
                <c:pt idx="5">
                  <c:v>136</c:v>
                </c:pt>
                <c:pt idx="6">
                  <c:v>139</c:v>
                </c:pt>
                <c:pt idx="7">
                  <c:v>112</c:v>
                </c:pt>
                <c:pt idx="8">
                  <c:v>144</c:v>
                </c:pt>
                <c:pt idx="9">
                  <c:v>283</c:v>
                </c:pt>
                <c:pt idx="10">
                  <c:v>432</c:v>
                </c:pt>
                <c:pt idx="11">
                  <c:v>418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'29.07 KIREKA-NAMUGONGO'!$T$9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'29.07 KIREKA-NAMUGONGO'!$R$10:$R$21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KIREKA-NAMUGONGO'!$T$10:$T$21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23</c:v>
                </c:pt>
                <c:pt idx="4">
                  <c:v>20</c:v>
                </c:pt>
                <c:pt idx="5">
                  <c:v>19</c:v>
                </c:pt>
                <c:pt idx="6">
                  <c:v>13</c:v>
                </c:pt>
                <c:pt idx="7">
                  <c:v>17</c:v>
                </c:pt>
                <c:pt idx="8">
                  <c:v>26</c:v>
                </c:pt>
                <c:pt idx="9">
                  <c:v>40</c:v>
                </c:pt>
                <c:pt idx="10">
                  <c:v>51</c:v>
                </c:pt>
                <c:pt idx="11">
                  <c:v>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'29.07 KIREKA-NAMUGONGO'!$U$9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'29.07 KIREKA-NAMUGONGO'!$U$10:$U$21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20</c:v>
                </c:pt>
                <c:pt idx="4">
                  <c:v>19</c:v>
                </c:pt>
                <c:pt idx="5">
                  <c:v>15</c:v>
                </c:pt>
                <c:pt idx="6">
                  <c:v>15</c:v>
                </c:pt>
                <c:pt idx="7">
                  <c:v>16</c:v>
                </c:pt>
                <c:pt idx="8">
                  <c:v>18</c:v>
                </c:pt>
                <c:pt idx="9">
                  <c:v>39</c:v>
                </c:pt>
                <c:pt idx="10">
                  <c:v>35</c:v>
                </c:pt>
                <c:pt idx="11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'29.07 KIREKA-NAMUGONGO'!$V$9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'29.07 KIREKA-NAMUGONGO'!$V$10:$V$21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19</c:v>
                </c:pt>
                <c:pt idx="3">
                  <c:v>46</c:v>
                </c:pt>
                <c:pt idx="4">
                  <c:v>53</c:v>
                </c:pt>
                <c:pt idx="5">
                  <c:v>32</c:v>
                </c:pt>
                <c:pt idx="6">
                  <c:v>33</c:v>
                </c:pt>
                <c:pt idx="7">
                  <c:v>33</c:v>
                </c:pt>
                <c:pt idx="8">
                  <c:v>34</c:v>
                </c:pt>
                <c:pt idx="9">
                  <c:v>35</c:v>
                </c:pt>
                <c:pt idx="10">
                  <c:v>51</c:v>
                </c:pt>
                <c:pt idx="11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'29.07 KIREKA-NAMUGONGO'!$W$9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'29.07 KIREKA-NAMUGONGO'!$W$10:$W$21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'29.07 KIREKA-NAMUGONGO'!$X$9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'29.07 KIREKA-NAMUGONGO'!$X$10:$X$21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'29.07 KIREKA-NAMUGONGO'!$Y$9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KIREKA-NAMUGONGO'!$Y$10:$Y$21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42</c:v>
                </c:pt>
                <c:pt idx="4">
                  <c:v>40</c:v>
                </c:pt>
                <c:pt idx="5">
                  <c:v>30</c:v>
                </c:pt>
                <c:pt idx="6">
                  <c:v>37</c:v>
                </c:pt>
                <c:pt idx="7">
                  <c:v>23</c:v>
                </c:pt>
                <c:pt idx="8">
                  <c:v>37</c:v>
                </c:pt>
                <c:pt idx="9">
                  <c:v>33</c:v>
                </c:pt>
                <c:pt idx="10">
                  <c:v>34</c:v>
                </c:pt>
                <c:pt idx="1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'29.07 KIREKA-NAMUGONGO'!$Z$9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KIREKA-NAMUGONGO'!$Z$10:$Z$21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10</c:v>
                </c:pt>
                <c:pt idx="4">
                  <c:v>10</c:v>
                </c:pt>
                <c:pt idx="5">
                  <c:v>16</c:v>
                </c:pt>
                <c:pt idx="6">
                  <c:v>12</c:v>
                </c:pt>
                <c:pt idx="7">
                  <c:v>16</c:v>
                </c:pt>
                <c:pt idx="8">
                  <c:v>12</c:v>
                </c:pt>
                <c:pt idx="9">
                  <c:v>7</c:v>
                </c:pt>
                <c:pt idx="10">
                  <c:v>12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'29.07 KIREKA-NAMUGONGO'!$AA$9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KIREKA-NAMUGONGO'!$AA$10:$AA$21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4</c:v>
                </c:pt>
                <c:pt idx="4">
                  <c:v>13</c:v>
                </c:pt>
                <c:pt idx="5">
                  <c:v>14</c:v>
                </c:pt>
                <c:pt idx="6">
                  <c:v>5</c:v>
                </c:pt>
                <c:pt idx="7">
                  <c:v>4</c:v>
                </c:pt>
                <c:pt idx="8">
                  <c:v>6</c:v>
                </c:pt>
                <c:pt idx="9">
                  <c:v>3</c:v>
                </c:pt>
                <c:pt idx="10">
                  <c:v>6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'29.07 KIREKA-NAMUGONGO'!$AB$9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KIREKA-NAMUGONGO'!$AB$10:$AB$21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'29.07 KIREKA-NAMUGONGO'!$AC$9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KIREKA-NAMUGONGO'!$AC$10:$AC$21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120</c:v>
                </c:pt>
                <c:pt idx="3">
                  <c:v>475</c:v>
                </c:pt>
                <c:pt idx="4">
                  <c:v>473</c:v>
                </c:pt>
                <c:pt idx="5">
                  <c:v>464</c:v>
                </c:pt>
                <c:pt idx="6">
                  <c:v>463</c:v>
                </c:pt>
                <c:pt idx="7">
                  <c:v>456</c:v>
                </c:pt>
                <c:pt idx="8">
                  <c:v>448</c:v>
                </c:pt>
                <c:pt idx="9">
                  <c:v>499</c:v>
                </c:pt>
                <c:pt idx="10">
                  <c:v>476</c:v>
                </c:pt>
                <c:pt idx="11">
                  <c:v>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'29.07 KIREKA-NAMUGONGO'!$AD$9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KIREKA-NAMUGONGO'!$AD$10:$AD$21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091968"/>
        <c:axId val="99093504"/>
      </c:lineChart>
      <c:catAx>
        <c:axId val="9909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9093504"/>
        <c:crosses val="autoZero"/>
        <c:auto val="1"/>
        <c:lblAlgn val="ctr"/>
        <c:lblOffset val="100"/>
        <c:noMultiLvlLbl val="0"/>
      </c:catAx>
      <c:valAx>
        <c:axId val="9909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9091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'29.07 KIREKA-NAMUGONGO'!$C$9:$N$9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KIREKA-NAMUGONGO'!$C$60:$N$60</c:f>
              <c:numCache>
                <c:formatCode>0.00%</c:formatCode>
                <c:ptCount val="12"/>
                <c:pt idx="0">
                  <c:v>0.58871454435727222</c:v>
                </c:pt>
                <c:pt idx="1">
                  <c:v>7.9058539529269764E-2</c:v>
                </c:pt>
                <c:pt idx="2">
                  <c:v>6.5479782739891371E-2</c:v>
                </c:pt>
                <c:pt idx="3">
                  <c:v>0.12251056125528063</c:v>
                </c:pt>
                <c:pt idx="4">
                  <c:v>4.8280024140012071E-3</c:v>
                </c:pt>
                <c:pt idx="5">
                  <c:v>3.0175015087507544E-4</c:v>
                </c:pt>
                <c:pt idx="6">
                  <c:v>8.8412794206397097E-2</c:v>
                </c:pt>
                <c:pt idx="7">
                  <c:v>3.1985515992757993E-2</c:v>
                </c:pt>
                <c:pt idx="8">
                  <c:v>1.7803258901629451E-2</c:v>
                </c:pt>
                <c:pt idx="9">
                  <c:v>9.0525045262522627E-4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'30.07 NAMUGONGO-KIREKA'!$AE$9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'30.07 NAMUGONGO-KIREKA'!$R$10:$R$21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NAMUGONGO-KIREKA'!$AE$10:$AE$21</c:f>
              <c:numCache>
                <c:formatCode>0</c:formatCode>
                <c:ptCount val="12"/>
                <c:pt idx="0">
                  <c:v>647</c:v>
                </c:pt>
                <c:pt idx="1">
                  <c:v>616</c:v>
                </c:pt>
                <c:pt idx="2">
                  <c:v>496</c:v>
                </c:pt>
                <c:pt idx="3">
                  <c:v>447</c:v>
                </c:pt>
                <c:pt idx="4">
                  <c:v>387</c:v>
                </c:pt>
                <c:pt idx="5">
                  <c:v>389</c:v>
                </c:pt>
                <c:pt idx="6">
                  <c:v>349</c:v>
                </c:pt>
                <c:pt idx="7">
                  <c:v>374</c:v>
                </c:pt>
                <c:pt idx="8">
                  <c:v>331</c:v>
                </c:pt>
                <c:pt idx="9">
                  <c:v>347</c:v>
                </c:pt>
                <c:pt idx="10">
                  <c:v>357</c:v>
                </c:pt>
                <c:pt idx="11">
                  <c:v>382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'30.07 NAMUGONGO-KIREKA'!$AF$9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'30.07 NAMUGONGO-KIREKA'!$R$10:$R$21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NAMUGONGO-KIREKA'!$AF$10:$AF$21</c:f>
              <c:numCache>
                <c:formatCode>0</c:formatCode>
                <c:ptCount val="12"/>
                <c:pt idx="0">
                  <c:v>1248</c:v>
                </c:pt>
                <c:pt idx="1">
                  <c:v>1221</c:v>
                </c:pt>
                <c:pt idx="2">
                  <c:v>1024</c:v>
                </c:pt>
                <c:pt idx="3">
                  <c:v>928</c:v>
                </c:pt>
                <c:pt idx="4">
                  <c:v>828</c:v>
                </c:pt>
                <c:pt idx="5">
                  <c:v>786</c:v>
                </c:pt>
                <c:pt idx="6">
                  <c:v>708</c:v>
                </c:pt>
                <c:pt idx="7">
                  <c:v>778</c:v>
                </c:pt>
                <c:pt idx="8">
                  <c:v>792</c:v>
                </c:pt>
                <c:pt idx="9">
                  <c:v>816</c:v>
                </c:pt>
                <c:pt idx="10">
                  <c:v>903</c:v>
                </c:pt>
                <c:pt idx="11">
                  <c:v>952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177600"/>
        <c:axId val="99179136"/>
      </c:lineChart>
      <c:catAx>
        <c:axId val="991776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9179136"/>
        <c:crosses val="autoZero"/>
        <c:auto val="1"/>
        <c:lblAlgn val="ctr"/>
        <c:lblOffset val="100"/>
        <c:noMultiLvlLbl val="0"/>
      </c:catAx>
      <c:valAx>
        <c:axId val="991791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9177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'30.07 NAMUGONGO-KIREKA'!$C$9:$N$9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 NAMUGONGO-KIREKA'!$C$59:$N$59</c:f>
              <c:numCache>
                <c:formatCode>0.0%</c:formatCode>
                <c:ptCount val="12"/>
                <c:pt idx="0">
                  <c:v>0.25455207574654043</c:v>
                </c:pt>
                <c:pt idx="1">
                  <c:v>2.931536780772032E-2</c:v>
                </c:pt>
                <c:pt idx="2">
                  <c:v>3.9785142024763291E-2</c:v>
                </c:pt>
                <c:pt idx="3">
                  <c:v>0.1046067006554989</c:v>
                </c:pt>
                <c:pt idx="4">
                  <c:v>1.820830298616169E-3</c:v>
                </c:pt>
                <c:pt idx="5">
                  <c:v>9.1041514930808448E-4</c:v>
                </c:pt>
                <c:pt idx="6">
                  <c:v>2.8040786598689003E-2</c:v>
                </c:pt>
                <c:pt idx="7">
                  <c:v>3.0954115076474872E-3</c:v>
                </c:pt>
                <c:pt idx="8">
                  <c:v>3.3685360524399128E-3</c:v>
                </c:pt>
                <c:pt idx="9">
                  <c:v>8.1937363437727606E-4</c:v>
                </c:pt>
                <c:pt idx="10">
                  <c:v>0.53368536052439908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65"/>
          <c:y val="2.29602266373237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'30.07 NAMUGONGO-KIREKA'!$S$9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'30.07 NAMUGONGO-KIREKA'!$R$10:$R$21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NAMUGONGO-KIREKA'!$S$10:$S$21</c:f>
              <c:numCache>
                <c:formatCode>0</c:formatCode>
                <c:ptCount val="12"/>
                <c:pt idx="0">
                  <c:v>420</c:v>
                </c:pt>
                <c:pt idx="1">
                  <c:v>389</c:v>
                </c:pt>
                <c:pt idx="2">
                  <c:v>304</c:v>
                </c:pt>
                <c:pt idx="3">
                  <c:v>246</c:v>
                </c:pt>
                <c:pt idx="4">
                  <c:v>202</c:v>
                </c:pt>
                <c:pt idx="5">
                  <c:v>203</c:v>
                </c:pt>
                <c:pt idx="6">
                  <c:v>173</c:v>
                </c:pt>
                <c:pt idx="7">
                  <c:v>141</c:v>
                </c:pt>
                <c:pt idx="8">
                  <c:v>181</c:v>
                </c:pt>
                <c:pt idx="9">
                  <c:v>178</c:v>
                </c:pt>
                <c:pt idx="10">
                  <c:v>185</c:v>
                </c:pt>
                <c:pt idx="11">
                  <c:v>174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'30.07 NAMUGONGO-KIREKA'!$T$9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'30.07 NAMUGONGO-KIREKA'!$R$10:$R$21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NAMUGONGO-KIREKA'!$T$10:$T$21</c:f>
              <c:numCache>
                <c:formatCode>0</c:formatCode>
                <c:ptCount val="12"/>
                <c:pt idx="0">
                  <c:v>49</c:v>
                </c:pt>
                <c:pt idx="1">
                  <c:v>35</c:v>
                </c:pt>
                <c:pt idx="2">
                  <c:v>35</c:v>
                </c:pt>
                <c:pt idx="3">
                  <c:v>39</c:v>
                </c:pt>
                <c:pt idx="4">
                  <c:v>31</c:v>
                </c:pt>
                <c:pt idx="5">
                  <c:v>15</c:v>
                </c:pt>
                <c:pt idx="6">
                  <c:v>20</c:v>
                </c:pt>
                <c:pt idx="7">
                  <c:v>21</c:v>
                </c:pt>
                <c:pt idx="8">
                  <c:v>14</c:v>
                </c:pt>
                <c:pt idx="9">
                  <c:v>25</c:v>
                </c:pt>
                <c:pt idx="10">
                  <c:v>18</c:v>
                </c:pt>
                <c:pt idx="11">
                  <c:v>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'30.07 NAMUGONGO-KIREKA'!$U$9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'30.07 NAMUGONGO-KIREKA'!$U$10:$U$21</c:f>
              <c:numCache>
                <c:formatCode>0</c:formatCode>
                <c:ptCount val="12"/>
                <c:pt idx="0">
                  <c:v>49</c:v>
                </c:pt>
                <c:pt idx="1">
                  <c:v>55</c:v>
                </c:pt>
                <c:pt idx="2">
                  <c:v>28</c:v>
                </c:pt>
                <c:pt idx="3">
                  <c:v>32</c:v>
                </c:pt>
                <c:pt idx="4">
                  <c:v>45</c:v>
                </c:pt>
                <c:pt idx="5">
                  <c:v>36</c:v>
                </c:pt>
                <c:pt idx="6">
                  <c:v>32</c:v>
                </c:pt>
                <c:pt idx="7">
                  <c:v>38</c:v>
                </c:pt>
                <c:pt idx="8">
                  <c:v>19</c:v>
                </c:pt>
                <c:pt idx="9">
                  <c:v>30</c:v>
                </c:pt>
                <c:pt idx="10">
                  <c:v>26</c:v>
                </c:pt>
                <c:pt idx="11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'30.07 NAMUGONGO-KIREKA'!$V$9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'30.07 NAMUGONGO-KIREKA'!$V$10:$V$21</c:f>
              <c:numCache>
                <c:formatCode>0</c:formatCode>
                <c:ptCount val="12"/>
                <c:pt idx="0">
                  <c:v>111</c:v>
                </c:pt>
                <c:pt idx="1">
                  <c:v>108</c:v>
                </c:pt>
                <c:pt idx="2">
                  <c:v>94</c:v>
                </c:pt>
                <c:pt idx="3">
                  <c:v>96</c:v>
                </c:pt>
                <c:pt idx="4">
                  <c:v>82</c:v>
                </c:pt>
                <c:pt idx="5">
                  <c:v>95</c:v>
                </c:pt>
                <c:pt idx="6">
                  <c:v>85</c:v>
                </c:pt>
                <c:pt idx="7">
                  <c:v>140</c:v>
                </c:pt>
                <c:pt idx="8">
                  <c:v>76</c:v>
                </c:pt>
                <c:pt idx="9">
                  <c:v>71</c:v>
                </c:pt>
                <c:pt idx="10">
                  <c:v>87</c:v>
                </c:pt>
                <c:pt idx="11">
                  <c:v>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'30.07 NAMUGONGO-KIREKA'!$W$9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'30.07 NAMUGONGO-KIREKA'!$W$10:$W$21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3</c:v>
                </c:pt>
                <c:pt idx="10">
                  <c:v>5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'30.07 NAMUGONGO-KIREKA'!$X$9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'30.07 NAMUGONGO-KIREKA'!$X$10:$X$21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'30.07 NAMUGONGO-KIREKA'!$Y$9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NAMUGONGO-KIREKA'!$Y$10:$Y$21</c:f>
              <c:numCache>
                <c:formatCode>0</c:formatCode>
                <c:ptCount val="12"/>
                <c:pt idx="0">
                  <c:v>14</c:v>
                </c:pt>
                <c:pt idx="1">
                  <c:v>25</c:v>
                </c:pt>
                <c:pt idx="2">
                  <c:v>24</c:v>
                </c:pt>
                <c:pt idx="3">
                  <c:v>20</c:v>
                </c:pt>
                <c:pt idx="4">
                  <c:v>22</c:v>
                </c:pt>
                <c:pt idx="5">
                  <c:v>33</c:v>
                </c:pt>
                <c:pt idx="6">
                  <c:v>34</c:v>
                </c:pt>
                <c:pt idx="7">
                  <c:v>18</c:v>
                </c:pt>
                <c:pt idx="8">
                  <c:v>34</c:v>
                </c:pt>
                <c:pt idx="9">
                  <c:v>29</c:v>
                </c:pt>
                <c:pt idx="10">
                  <c:v>30</c:v>
                </c:pt>
                <c:pt idx="1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'30.07 NAMUGONGO-KIREKA'!$Z$9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NAMUGONGO-KIREKA'!$Z$10:$Z$21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0</c:v>
                </c:pt>
                <c:pt idx="5">
                  <c:v>6</c:v>
                </c:pt>
                <c:pt idx="6">
                  <c:v>2</c:v>
                </c:pt>
                <c:pt idx="7">
                  <c:v>4</c:v>
                </c:pt>
                <c:pt idx="8">
                  <c:v>3</c:v>
                </c:pt>
                <c:pt idx="9">
                  <c:v>4</c:v>
                </c:pt>
                <c:pt idx="10">
                  <c:v>1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'30.07 NAMUGONGO-KIREKA'!$AA$9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NAMUGONGO-KIREKA'!$AA$10:$AA$21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8</c:v>
                </c:pt>
                <c:pt idx="3">
                  <c:v>7</c:v>
                </c:pt>
                <c:pt idx="4">
                  <c:v>4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4</c:v>
                </c:pt>
                <c:pt idx="9">
                  <c:v>6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'30.07 NAMUGONGO-KIREKA'!$AB$9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NAMUGONGO-KIREKA'!$AB$10:$AB$21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5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'30.07 NAMUGONGO-KIREKA'!$AC$9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NAMUGONGO-KIREKA'!$AC$10:$AC$21</c:f>
              <c:numCache>
                <c:formatCode>0</c:formatCode>
                <c:ptCount val="12"/>
                <c:pt idx="0">
                  <c:v>601</c:v>
                </c:pt>
                <c:pt idx="1">
                  <c:v>605</c:v>
                </c:pt>
                <c:pt idx="2">
                  <c:v>528</c:v>
                </c:pt>
                <c:pt idx="3">
                  <c:v>481</c:v>
                </c:pt>
                <c:pt idx="4">
                  <c:v>441</c:v>
                </c:pt>
                <c:pt idx="5">
                  <c:v>397</c:v>
                </c:pt>
                <c:pt idx="6">
                  <c:v>359</c:v>
                </c:pt>
                <c:pt idx="7">
                  <c:v>404</c:v>
                </c:pt>
                <c:pt idx="8">
                  <c:v>461</c:v>
                </c:pt>
                <c:pt idx="9">
                  <c:v>469</c:v>
                </c:pt>
                <c:pt idx="10">
                  <c:v>546</c:v>
                </c:pt>
                <c:pt idx="11">
                  <c:v>570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'30.07 NAMUGONGO-KIREKA'!$AD$9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NAMUGONGO-KIREKA'!$AD$10:$AD$21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051392"/>
        <c:axId val="102384384"/>
      </c:lineChart>
      <c:catAx>
        <c:axId val="101051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2384384"/>
        <c:crosses val="autoZero"/>
        <c:auto val="1"/>
        <c:lblAlgn val="ctr"/>
        <c:lblOffset val="100"/>
        <c:noMultiLvlLbl val="0"/>
      </c:catAx>
      <c:valAx>
        <c:axId val="10238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105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'30.07 NAMUGONGO-KIREKA'!$C$9:$N$9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 NAMUGONGO-KIREKA'!$C$60:$N$60</c:f>
              <c:numCache>
                <c:formatCode>0.00%</c:formatCode>
                <c:ptCount val="12"/>
                <c:pt idx="0">
                  <c:v>0.54588051542366267</c:v>
                </c:pt>
                <c:pt idx="1">
                  <c:v>6.2866067942210072E-2</c:v>
                </c:pt>
                <c:pt idx="2">
                  <c:v>8.5318235064427955E-2</c:v>
                </c:pt>
                <c:pt idx="3">
                  <c:v>0.22432643498633345</c:v>
                </c:pt>
                <c:pt idx="4">
                  <c:v>3.9047247169074579E-3</c:v>
                </c:pt>
                <c:pt idx="5">
                  <c:v>1.952362358453729E-3</c:v>
                </c:pt>
                <c:pt idx="6">
                  <c:v>6.0132760640374851E-2</c:v>
                </c:pt>
                <c:pt idx="7">
                  <c:v>6.6380320187426787E-3</c:v>
                </c:pt>
                <c:pt idx="8">
                  <c:v>7.2237407262787977E-3</c:v>
                </c:pt>
                <c:pt idx="9">
                  <c:v>1.7571261226083561E-3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'30.07 KIREKA-NAMUGONGO'!$AE$9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'30.07 KIREKA-NAMUGONGO'!$R$10:$R$21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KIREKA-NAMUGONGO'!$AE$10:$AE$21</c:f>
              <c:numCache>
                <c:formatCode>0</c:formatCode>
                <c:ptCount val="12"/>
                <c:pt idx="0">
                  <c:v>206</c:v>
                </c:pt>
                <c:pt idx="1">
                  <c:v>247</c:v>
                </c:pt>
                <c:pt idx="2">
                  <c:v>303</c:v>
                </c:pt>
                <c:pt idx="3">
                  <c:v>342</c:v>
                </c:pt>
                <c:pt idx="4">
                  <c:v>287</c:v>
                </c:pt>
                <c:pt idx="5">
                  <c:v>322</c:v>
                </c:pt>
                <c:pt idx="6">
                  <c:v>348</c:v>
                </c:pt>
                <c:pt idx="7">
                  <c:v>359</c:v>
                </c:pt>
                <c:pt idx="8">
                  <c:v>360</c:v>
                </c:pt>
                <c:pt idx="9">
                  <c:v>536</c:v>
                </c:pt>
                <c:pt idx="10">
                  <c:v>689</c:v>
                </c:pt>
                <c:pt idx="11">
                  <c:v>651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'30.07 KIREKA-NAMUGONGO'!$AF$9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'30.07 KIREKA-NAMUGONGO'!$R$10:$R$21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KIREKA-NAMUGONGO'!$AF$10:$AF$21</c:f>
              <c:numCache>
                <c:formatCode>0</c:formatCode>
                <c:ptCount val="12"/>
                <c:pt idx="0">
                  <c:v>206</c:v>
                </c:pt>
                <c:pt idx="1">
                  <c:v>247</c:v>
                </c:pt>
                <c:pt idx="2">
                  <c:v>806</c:v>
                </c:pt>
                <c:pt idx="3">
                  <c:v>813</c:v>
                </c:pt>
                <c:pt idx="4">
                  <c:v>687</c:v>
                </c:pt>
                <c:pt idx="5">
                  <c:v>678</c:v>
                </c:pt>
                <c:pt idx="6">
                  <c:v>742</c:v>
                </c:pt>
                <c:pt idx="7">
                  <c:v>691</c:v>
                </c:pt>
                <c:pt idx="8">
                  <c:v>765</c:v>
                </c:pt>
                <c:pt idx="9">
                  <c:v>947</c:v>
                </c:pt>
                <c:pt idx="10">
                  <c:v>1254</c:v>
                </c:pt>
                <c:pt idx="11">
                  <c:v>1356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718080"/>
        <c:axId val="102826368"/>
      </c:lineChart>
      <c:catAx>
        <c:axId val="10271808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2826368"/>
        <c:crosses val="autoZero"/>
        <c:auto val="1"/>
        <c:lblAlgn val="ctr"/>
        <c:lblOffset val="100"/>
        <c:noMultiLvlLbl val="0"/>
      </c:catAx>
      <c:valAx>
        <c:axId val="1028263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2718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'30.07 KIREKA-NAMUGONGO'!$C$9:$N$9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 KIREKA-NAMUGONGO'!$C$59:$N$59</c:f>
              <c:numCache>
                <c:formatCode>0.0%</c:formatCode>
                <c:ptCount val="12"/>
                <c:pt idx="0">
                  <c:v>0.25554830287206265</c:v>
                </c:pt>
                <c:pt idx="1">
                  <c:v>7.0713664055700606E-2</c:v>
                </c:pt>
                <c:pt idx="2">
                  <c:v>3.6879895561357699E-2</c:v>
                </c:pt>
                <c:pt idx="3">
                  <c:v>8.5073977371627502E-2</c:v>
                </c:pt>
                <c:pt idx="4">
                  <c:v>6.3098346388163621E-3</c:v>
                </c:pt>
                <c:pt idx="5">
                  <c:v>4.351610095735422E-4</c:v>
                </c:pt>
                <c:pt idx="6">
                  <c:v>2.7306353350739773E-2</c:v>
                </c:pt>
                <c:pt idx="7">
                  <c:v>1.4469103568320279E-2</c:v>
                </c:pt>
                <c:pt idx="8">
                  <c:v>6.6362053959965186E-3</c:v>
                </c:pt>
                <c:pt idx="9">
                  <c:v>2.3933855526544821E-3</c:v>
                </c:pt>
                <c:pt idx="10">
                  <c:v>0.49412532637075718</c:v>
                </c:pt>
                <c:pt idx="11">
                  <c:v>1.0879025239338555E-4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65"/>
          <c:y val="2.29602266373237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'30.07 KIREKA-NAMUGONGO'!$S$9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'30.07 KIREKA-NAMUGONGO'!$R$10:$R$21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KIREKA-NAMUGONGO'!$S$10:$S$21</c:f>
              <c:numCache>
                <c:formatCode>0</c:formatCode>
                <c:ptCount val="12"/>
                <c:pt idx="0">
                  <c:v>122</c:v>
                </c:pt>
                <c:pt idx="1">
                  <c:v>136</c:v>
                </c:pt>
                <c:pt idx="2">
                  <c:v>138</c:v>
                </c:pt>
                <c:pt idx="3">
                  <c:v>156</c:v>
                </c:pt>
                <c:pt idx="4">
                  <c:v>122</c:v>
                </c:pt>
                <c:pt idx="5">
                  <c:v>138</c:v>
                </c:pt>
                <c:pt idx="6">
                  <c:v>167</c:v>
                </c:pt>
                <c:pt idx="7">
                  <c:v>157</c:v>
                </c:pt>
                <c:pt idx="8">
                  <c:v>179</c:v>
                </c:pt>
                <c:pt idx="9">
                  <c:v>285</c:v>
                </c:pt>
                <c:pt idx="10">
                  <c:v>409</c:v>
                </c:pt>
                <c:pt idx="11">
                  <c:v>340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'30.07 KIREKA-NAMUGONGO'!$T$9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'30.07 KIREKA-NAMUGONGO'!$R$10:$R$21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KIREKA-NAMUGONGO'!$T$10:$T$21</c:f>
              <c:numCache>
                <c:formatCode>0</c:formatCode>
                <c:ptCount val="12"/>
                <c:pt idx="0">
                  <c:v>39</c:v>
                </c:pt>
                <c:pt idx="1">
                  <c:v>33</c:v>
                </c:pt>
                <c:pt idx="2">
                  <c:v>30</c:v>
                </c:pt>
                <c:pt idx="3">
                  <c:v>66</c:v>
                </c:pt>
                <c:pt idx="4">
                  <c:v>35</c:v>
                </c:pt>
                <c:pt idx="5">
                  <c:v>42</c:v>
                </c:pt>
                <c:pt idx="6">
                  <c:v>37</c:v>
                </c:pt>
                <c:pt idx="7">
                  <c:v>58</c:v>
                </c:pt>
                <c:pt idx="8">
                  <c:v>44</c:v>
                </c:pt>
                <c:pt idx="9">
                  <c:v>77</c:v>
                </c:pt>
                <c:pt idx="10">
                  <c:v>85</c:v>
                </c:pt>
                <c:pt idx="11">
                  <c:v>104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'30.07 KIREKA-NAMUGONGO'!$U$9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'30.07 KIREKA-NAMUGONGO'!$U$10:$U$21</c:f>
              <c:numCache>
                <c:formatCode>0</c:formatCode>
                <c:ptCount val="12"/>
                <c:pt idx="0">
                  <c:v>14</c:v>
                </c:pt>
                <c:pt idx="1">
                  <c:v>15</c:v>
                </c:pt>
                <c:pt idx="2">
                  <c:v>23</c:v>
                </c:pt>
                <c:pt idx="3">
                  <c:v>18</c:v>
                </c:pt>
                <c:pt idx="4">
                  <c:v>20</c:v>
                </c:pt>
                <c:pt idx="5">
                  <c:v>34</c:v>
                </c:pt>
                <c:pt idx="6">
                  <c:v>27</c:v>
                </c:pt>
                <c:pt idx="7">
                  <c:v>26</c:v>
                </c:pt>
                <c:pt idx="8">
                  <c:v>23</c:v>
                </c:pt>
                <c:pt idx="9">
                  <c:v>47</c:v>
                </c:pt>
                <c:pt idx="10">
                  <c:v>47</c:v>
                </c:pt>
                <c:pt idx="11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'30.07 KIREKA-NAMUGONGO'!$V$9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'30.07 KIREKA-NAMUGONGO'!$V$10:$V$21</c:f>
              <c:numCache>
                <c:formatCode>0</c:formatCode>
                <c:ptCount val="12"/>
                <c:pt idx="0">
                  <c:v>29</c:v>
                </c:pt>
                <c:pt idx="1">
                  <c:v>62</c:v>
                </c:pt>
                <c:pt idx="2">
                  <c:v>70</c:v>
                </c:pt>
                <c:pt idx="3">
                  <c:v>45</c:v>
                </c:pt>
                <c:pt idx="4">
                  <c:v>40</c:v>
                </c:pt>
                <c:pt idx="5">
                  <c:v>50</c:v>
                </c:pt>
                <c:pt idx="6">
                  <c:v>62</c:v>
                </c:pt>
                <c:pt idx="7">
                  <c:v>71</c:v>
                </c:pt>
                <c:pt idx="8">
                  <c:v>62</c:v>
                </c:pt>
                <c:pt idx="9">
                  <c:v>79</c:v>
                </c:pt>
                <c:pt idx="10">
                  <c:v>96</c:v>
                </c:pt>
                <c:pt idx="11">
                  <c:v>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'30.07 KIREKA-NAMUGONGO'!$W$9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'30.07 KIREKA-NAMUGONGO'!$W$10:$W$21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4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3</c:v>
                </c:pt>
                <c:pt idx="10">
                  <c:v>17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'30.07 KIREKA-NAMUGONGO'!$X$9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'30.07 KIREKA-NAMUGONGO'!$X$10:$X$21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'30.07 KIREKA-NAMUGONGO'!$Y$9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KIREKA-NAMUGONGO'!$Y$10:$Y$21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27</c:v>
                </c:pt>
                <c:pt idx="3">
                  <c:v>9</c:v>
                </c:pt>
                <c:pt idx="4">
                  <c:v>36</c:v>
                </c:pt>
                <c:pt idx="5">
                  <c:v>20</c:v>
                </c:pt>
                <c:pt idx="6">
                  <c:v>28</c:v>
                </c:pt>
                <c:pt idx="7">
                  <c:v>26</c:v>
                </c:pt>
                <c:pt idx="8">
                  <c:v>30</c:v>
                </c:pt>
                <c:pt idx="9">
                  <c:v>32</c:v>
                </c:pt>
                <c:pt idx="10">
                  <c:v>26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'30.07 KIREKA-NAMUGONGO'!$Z$9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KIREKA-NAMUGONGO'!$Z$10:$Z$21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18</c:v>
                </c:pt>
                <c:pt idx="4">
                  <c:v>19</c:v>
                </c:pt>
                <c:pt idx="5">
                  <c:v>23</c:v>
                </c:pt>
                <c:pt idx="6">
                  <c:v>21</c:v>
                </c:pt>
                <c:pt idx="7">
                  <c:v>13</c:v>
                </c:pt>
                <c:pt idx="8">
                  <c:v>14</c:v>
                </c:pt>
                <c:pt idx="9">
                  <c:v>7</c:v>
                </c:pt>
                <c:pt idx="10">
                  <c:v>2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'30.07 KIREKA-NAMUGONGO'!$AA$9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KIREKA-NAMUGONGO'!$AA$10:$AA$21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9</c:v>
                </c:pt>
                <c:pt idx="3">
                  <c:v>7</c:v>
                </c:pt>
                <c:pt idx="4">
                  <c:v>0</c:v>
                </c:pt>
                <c:pt idx="5">
                  <c:v>9</c:v>
                </c:pt>
                <c:pt idx="6">
                  <c:v>5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  <c:pt idx="10">
                  <c:v>3</c:v>
                </c:pt>
                <c:pt idx="1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'30.07 KIREKA-NAMUGONGO'!$AB$9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KIREKA-NAMUGONGO'!$AB$10:$AB$21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7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3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'30.07 KIREKA-NAMUGONGO'!$AC$9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KIREKA-NAMUGONGO'!$AC$10:$AC$21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503</c:v>
                </c:pt>
                <c:pt idx="3">
                  <c:v>471</c:v>
                </c:pt>
                <c:pt idx="4">
                  <c:v>400</c:v>
                </c:pt>
                <c:pt idx="5">
                  <c:v>356</c:v>
                </c:pt>
                <c:pt idx="6">
                  <c:v>394</c:v>
                </c:pt>
                <c:pt idx="7">
                  <c:v>332</c:v>
                </c:pt>
                <c:pt idx="8">
                  <c:v>405</c:v>
                </c:pt>
                <c:pt idx="9">
                  <c:v>411</c:v>
                </c:pt>
                <c:pt idx="10">
                  <c:v>565</c:v>
                </c:pt>
                <c:pt idx="11">
                  <c:v>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'30.07 KIREKA-NAMUGONGO'!$AD$9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KIREKA-NAMUGONGO'!$AD$10:$AD$21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994688"/>
        <c:axId val="102996224"/>
      </c:lineChart>
      <c:catAx>
        <c:axId val="102994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2996224"/>
        <c:crosses val="autoZero"/>
        <c:auto val="1"/>
        <c:lblAlgn val="ctr"/>
        <c:lblOffset val="100"/>
        <c:noMultiLvlLbl val="0"/>
      </c:catAx>
      <c:valAx>
        <c:axId val="10299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299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'30.07 KIREKA-NAMUGONGO'!$C$9:$N$9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 KIREKA-NAMUGONGO'!$C$60:$N$60</c:f>
              <c:numCache>
                <c:formatCode>0.00%</c:formatCode>
                <c:ptCount val="12"/>
                <c:pt idx="0">
                  <c:v>0.50516129032258061</c:v>
                </c:pt>
                <c:pt idx="1">
                  <c:v>0.13978494623655913</c:v>
                </c:pt>
                <c:pt idx="2">
                  <c:v>7.2903225806451616E-2</c:v>
                </c:pt>
                <c:pt idx="3">
                  <c:v>0.1681720430107527</c:v>
                </c:pt>
                <c:pt idx="4">
                  <c:v>1.2473118279569893E-2</c:v>
                </c:pt>
                <c:pt idx="5">
                  <c:v>8.6021505376344086E-4</c:v>
                </c:pt>
                <c:pt idx="6">
                  <c:v>5.3978494623655913E-2</c:v>
                </c:pt>
                <c:pt idx="7">
                  <c:v>2.8602150537634409E-2</c:v>
                </c:pt>
                <c:pt idx="8">
                  <c:v>1.3118279569892474E-2</c:v>
                </c:pt>
                <c:pt idx="9">
                  <c:v>4.7311827956989247E-3</c:v>
                </c:pt>
                <c:pt idx="11">
                  <c:v>2.1505376344086021E-4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4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'31.07 NAMUGONGO-KIREKA-24h'!$AE$9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'31.07 NAMUGONGO-KIREKA-24h'!$R$10:$R$33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'31.07 NAMUGONGO-KIREKA-24h'!$AE$10:$AE$33</c:f>
              <c:numCache>
                <c:formatCode>0</c:formatCode>
                <c:ptCount val="24"/>
                <c:pt idx="0">
                  <c:v>649</c:v>
                </c:pt>
                <c:pt idx="1">
                  <c:v>632</c:v>
                </c:pt>
                <c:pt idx="2">
                  <c:v>567</c:v>
                </c:pt>
                <c:pt idx="3">
                  <c:v>417</c:v>
                </c:pt>
                <c:pt idx="4">
                  <c:v>376</c:v>
                </c:pt>
                <c:pt idx="5">
                  <c:v>379</c:v>
                </c:pt>
                <c:pt idx="6">
                  <c:v>361</c:v>
                </c:pt>
                <c:pt idx="7">
                  <c:v>334</c:v>
                </c:pt>
                <c:pt idx="8">
                  <c:v>318</c:v>
                </c:pt>
                <c:pt idx="9">
                  <c:v>352</c:v>
                </c:pt>
                <c:pt idx="10">
                  <c:v>384</c:v>
                </c:pt>
                <c:pt idx="11">
                  <c:v>367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'31.07 NAMUGONGO-KIREKA-24h'!$AF$9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'31.07 NAMUGONGO-KIREKA-24h'!$R$10:$R$33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'31.07 NAMUGONGO-KIREKA-24h'!$AF$10:$AF$33</c:f>
              <c:numCache>
                <c:formatCode>0</c:formatCode>
                <c:ptCount val="24"/>
                <c:pt idx="0">
                  <c:v>1175</c:v>
                </c:pt>
                <c:pt idx="1">
                  <c:v>1700</c:v>
                </c:pt>
                <c:pt idx="2">
                  <c:v>1118</c:v>
                </c:pt>
                <c:pt idx="3">
                  <c:v>862</c:v>
                </c:pt>
                <c:pt idx="4">
                  <c:v>828</c:v>
                </c:pt>
                <c:pt idx="5">
                  <c:v>798</c:v>
                </c:pt>
                <c:pt idx="6">
                  <c:v>772</c:v>
                </c:pt>
                <c:pt idx="7">
                  <c:v>1061</c:v>
                </c:pt>
                <c:pt idx="8">
                  <c:v>723</c:v>
                </c:pt>
                <c:pt idx="9">
                  <c:v>836</c:v>
                </c:pt>
                <c:pt idx="10">
                  <c:v>884</c:v>
                </c:pt>
                <c:pt idx="11">
                  <c:v>937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163008"/>
        <c:axId val="103164544"/>
      </c:lineChart>
      <c:catAx>
        <c:axId val="1031630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3164544"/>
        <c:crosses val="autoZero"/>
        <c:auto val="1"/>
        <c:lblAlgn val="ctr"/>
        <c:lblOffset val="100"/>
        <c:noMultiLvlLbl val="0"/>
      </c:catAx>
      <c:valAx>
        <c:axId val="1031645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316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'31.07 NAMUGONGO-KIREKA-24h'!$C$9:$N$9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NAMUGONGO-KIREKA-24h'!$C$107:$N$107</c:f>
              <c:numCache>
                <c:formatCode>0.0%</c:formatCode>
                <c:ptCount val="12"/>
                <c:pt idx="0">
                  <c:v>0.2483324781939456</c:v>
                </c:pt>
                <c:pt idx="1">
                  <c:v>2.6936890713186248E-2</c:v>
                </c:pt>
                <c:pt idx="2">
                  <c:v>3.813921669232085E-2</c:v>
                </c:pt>
                <c:pt idx="3">
                  <c:v>8.5428424833247821E-2</c:v>
                </c:pt>
                <c:pt idx="4">
                  <c:v>2.3943902856165553E-3</c:v>
                </c:pt>
                <c:pt idx="5">
                  <c:v>8.5513938772019844E-5</c:v>
                </c:pt>
                <c:pt idx="6">
                  <c:v>2.5226611937745853E-2</c:v>
                </c:pt>
                <c:pt idx="7">
                  <c:v>7.4397126731657257E-3</c:v>
                </c:pt>
                <c:pt idx="8">
                  <c:v>4.0191551222849321E-3</c:v>
                </c:pt>
                <c:pt idx="9">
                  <c:v>1.1116812040362579E-3</c:v>
                </c:pt>
                <c:pt idx="10">
                  <c:v>0.5608004104669061</c:v>
                </c:pt>
                <c:pt idx="11">
                  <c:v>8.5513938772019844E-5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'31.07 NAMUGONGO-KIREKA-24h'!$C$9:$N$9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NAMUGONGO-KIREKA-24h'!$C$108:$N$108</c:f>
              <c:numCache>
                <c:formatCode>0.00%</c:formatCode>
                <c:ptCount val="12"/>
                <c:pt idx="0">
                  <c:v>0.56542056074766356</c:v>
                </c:pt>
                <c:pt idx="1">
                  <c:v>6.1331775700934579E-2</c:v>
                </c:pt>
                <c:pt idx="2">
                  <c:v>8.6838006230529591E-2</c:v>
                </c:pt>
                <c:pt idx="3">
                  <c:v>0.19450934579439252</c:v>
                </c:pt>
                <c:pt idx="4">
                  <c:v>5.451713395638629E-3</c:v>
                </c:pt>
                <c:pt idx="5">
                  <c:v>1.9470404984423675E-4</c:v>
                </c:pt>
                <c:pt idx="6">
                  <c:v>5.7437694704049844E-2</c:v>
                </c:pt>
                <c:pt idx="7">
                  <c:v>1.6939252336448597E-2</c:v>
                </c:pt>
                <c:pt idx="8">
                  <c:v>9.151090342679127E-3</c:v>
                </c:pt>
                <c:pt idx="9">
                  <c:v>2.5311526479750777E-3</c:v>
                </c:pt>
                <c:pt idx="11">
                  <c:v>1.9470404984423675E-4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4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'31.07 KIREKA-NAMUGONGO-24h'!$AE$9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'31.07 KIREKA-NAMUGONGO-24h'!$R$10:$R$33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'31.07 KIREKA-NAMUGONGO-24h'!$AE$10:$AE$33</c:f>
              <c:numCache>
                <c:formatCode>0</c:formatCode>
                <c:ptCount val="24"/>
                <c:pt idx="0">
                  <c:v>317</c:v>
                </c:pt>
                <c:pt idx="1">
                  <c:v>298</c:v>
                </c:pt>
                <c:pt idx="2">
                  <c:v>272</c:v>
                </c:pt>
                <c:pt idx="3">
                  <c:v>297</c:v>
                </c:pt>
                <c:pt idx="4">
                  <c:v>324</c:v>
                </c:pt>
                <c:pt idx="5">
                  <c:v>333</c:v>
                </c:pt>
                <c:pt idx="6">
                  <c:v>323</c:v>
                </c:pt>
                <c:pt idx="7">
                  <c:v>404</c:v>
                </c:pt>
                <c:pt idx="8">
                  <c:v>401</c:v>
                </c:pt>
                <c:pt idx="9">
                  <c:v>578</c:v>
                </c:pt>
                <c:pt idx="10">
                  <c:v>691</c:v>
                </c:pt>
                <c:pt idx="11">
                  <c:v>714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'31.07 KIREKA-NAMUGONGO-24h'!$AF$9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'31.07 KIREKA-NAMUGONGO-24h'!$R$10:$R$33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'31.07 KIREKA-NAMUGONGO-24h'!$AF$10:$AF$33</c:f>
              <c:numCache>
                <c:formatCode>0</c:formatCode>
                <c:ptCount val="24"/>
                <c:pt idx="0">
                  <c:v>797</c:v>
                </c:pt>
                <c:pt idx="1">
                  <c:v>860</c:v>
                </c:pt>
                <c:pt idx="2">
                  <c:v>789</c:v>
                </c:pt>
                <c:pt idx="3">
                  <c:v>752</c:v>
                </c:pt>
                <c:pt idx="4">
                  <c:v>774</c:v>
                </c:pt>
                <c:pt idx="5">
                  <c:v>780</c:v>
                </c:pt>
                <c:pt idx="6">
                  <c:v>754</c:v>
                </c:pt>
                <c:pt idx="7">
                  <c:v>740</c:v>
                </c:pt>
                <c:pt idx="8">
                  <c:v>864</c:v>
                </c:pt>
                <c:pt idx="9">
                  <c:v>1061</c:v>
                </c:pt>
                <c:pt idx="10">
                  <c:v>1239</c:v>
                </c:pt>
                <c:pt idx="11">
                  <c:v>1395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464320"/>
        <c:axId val="103482496"/>
      </c:lineChart>
      <c:catAx>
        <c:axId val="1034643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3482496"/>
        <c:crosses val="autoZero"/>
        <c:auto val="1"/>
        <c:lblAlgn val="ctr"/>
        <c:lblOffset val="100"/>
        <c:noMultiLvlLbl val="0"/>
      </c:catAx>
      <c:valAx>
        <c:axId val="1034824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3464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'31.07 KIREKA-NAMUGONGO-24h'!$C$9:$N$9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KIREKA-NAMUGONGO-24h'!$C$107:$N$107</c:f>
              <c:numCache>
                <c:formatCode>0.0%</c:formatCode>
                <c:ptCount val="12"/>
                <c:pt idx="0">
                  <c:v>0.23970384081443777</c:v>
                </c:pt>
                <c:pt idx="1">
                  <c:v>6.385932438685793E-2</c:v>
                </c:pt>
                <c:pt idx="2">
                  <c:v>3.8223044886626562E-2</c:v>
                </c:pt>
                <c:pt idx="3">
                  <c:v>6.4969921332716341E-2</c:v>
                </c:pt>
                <c:pt idx="4">
                  <c:v>6.4784821841739936E-3</c:v>
                </c:pt>
                <c:pt idx="5">
                  <c:v>5.5529847292919946E-4</c:v>
                </c:pt>
                <c:pt idx="6">
                  <c:v>2.8227672373900971E-2</c:v>
                </c:pt>
                <c:pt idx="7">
                  <c:v>8.6996760758907919E-3</c:v>
                </c:pt>
                <c:pt idx="8">
                  <c:v>6.4784821841739936E-3</c:v>
                </c:pt>
                <c:pt idx="9">
                  <c:v>1.1105969458583989E-3</c:v>
                </c:pt>
                <c:pt idx="10">
                  <c:v>0.54169366034243405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'31.07 KIREKA-NAMUGONGO-24h'!$C$9:$N$9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KIREKA-NAMUGONGO-24h'!$C$108:$N$108</c:f>
              <c:numCache>
                <c:formatCode>0.00%</c:formatCode>
                <c:ptCount val="12"/>
                <c:pt idx="0">
                  <c:v>0.52302100161550891</c:v>
                </c:pt>
                <c:pt idx="1">
                  <c:v>0.13933764135702748</c:v>
                </c:pt>
                <c:pt idx="2">
                  <c:v>8.3400646203554113E-2</c:v>
                </c:pt>
                <c:pt idx="3">
                  <c:v>0.14176090468497576</c:v>
                </c:pt>
                <c:pt idx="4">
                  <c:v>1.4135702746365105E-2</c:v>
                </c:pt>
                <c:pt idx="5">
                  <c:v>1.2116316639741518E-3</c:v>
                </c:pt>
                <c:pt idx="6">
                  <c:v>6.1591276252019385E-2</c:v>
                </c:pt>
                <c:pt idx="7">
                  <c:v>1.8982229402261713E-2</c:v>
                </c:pt>
                <c:pt idx="8">
                  <c:v>1.4135702746365105E-2</c:v>
                </c:pt>
                <c:pt idx="9">
                  <c:v>2.4232633279483036E-3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'01.08 NAMUGONGO-KIREKA'!$AE$9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'01.08 NAMUGONGO-KIREKA'!$R$10:$R$21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'01.08 NAMUGONGO-KIREKA'!$AE$10:$AE$21</c:f>
              <c:numCache>
                <c:formatCode>0</c:formatCode>
                <c:ptCount val="12"/>
                <c:pt idx="0">
                  <c:v>678</c:v>
                </c:pt>
                <c:pt idx="1">
                  <c:v>615</c:v>
                </c:pt>
                <c:pt idx="2">
                  <c:v>486</c:v>
                </c:pt>
                <c:pt idx="3">
                  <c:v>396</c:v>
                </c:pt>
                <c:pt idx="4">
                  <c:v>418</c:v>
                </c:pt>
                <c:pt idx="5">
                  <c:v>321</c:v>
                </c:pt>
                <c:pt idx="6">
                  <c:v>320</c:v>
                </c:pt>
                <c:pt idx="7">
                  <c:v>312</c:v>
                </c:pt>
                <c:pt idx="8">
                  <c:v>301</c:v>
                </c:pt>
                <c:pt idx="9">
                  <c:v>334</c:v>
                </c:pt>
                <c:pt idx="10">
                  <c:v>393</c:v>
                </c:pt>
                <c:pt idx="11">
                  <c:v>363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'01.08 NAMUGONGO-KIREKA'!$AF$9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'01.08 NAMUGONGO-KIREKA'!$R$10:$R$21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'01.08 NAMUGONGO-KIREKA'!$AF$10:$AF$21</c:f>
              <c:numCache>
                <c:formatCode>0</c:formatCode>
                <c:ptCount val="12"/>
                <c:pt idx="0">
                  <c:v>1313</c:v>
                </c:pt>
                <c:pt idx="1">
                  <c:v>1223</c:v>
                </c:pt>
                <c:pt idx="2">
                  <c:v>1017</c:v>
                </c:pt>
                <c:pt idx="3">
                  <c:v>849</c:v>
                </c:pt>
                <c:pt idx="4">
                  <c:v>828</c:v>
                </c:pt>
                <c:pt idx="5">
                  <c:v>718</c:v>
                </c:pt>
                <c:pt idx="6">
                  <c:v>625</c:v>
                </c:pt>
                <c:pt idx="7">
                  <c:v>697</c:v>
                </c:pt>
                <c:pt idx="8">
                  <c:v>690</c:v>
                </c:pt>
                <c:pt idx="9">
                  <c:v>761</c:v>
                </c:pt>
                <c:pt idx="10">
                  <c:v>939</c:v>
                </c:pt>
                <c:pt idx="11">
                  <c:v>943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666816"/>
        <c:axId val="103668352"/>
      </c:lineChart>
      <c:catAx>
        <c:axId val="10366681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3668352"/>
        <c:crosses val="autoZero"/>
        <c:auto val="1"/>
        <c:lblAlgn val="ctr"/>
        <c:lblOffset val="100"/>
        <c:noMultiLvlLbl val="0"/>
      </c:catAx>
      <c:valAx>
        <c:axId val="1036683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366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'01.08 NAMUGONGO-KIREKA'!$C$9:$N$9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NAMUGONGO-KIREKA'!$C$59:$N$59</c:f>
              <c:numCache>
                <c:formatCode>0.0%</c:formatCode>
                <c:ptCount val="12"/>
                <c:pt idx="0">
                  <c:v>0.26643402810525324</c:v>
                </c:pt>
                <c:pt idx="1">
                  <c:v>2.9425634254456285E-2</c:v>
                </c:pt>
                <c:pt idx="2">
                  <c:v>3.8102423842308782E-2</c:v>
                </c:pt>
                <c:pt idx="3">
                  <c:v>9.4029991511836275E-2</c:v>
                </c:pt>
                <c:pt idx="4">
                  <c:v>2.1691973969631237E-3</c:v>
                </c:pt>
                <c:pt idx="5">
                  <c:v>5.6587758181646708E-4</c:v>
                </c:pt>
                <c:pt idx="6">
                  <c:v>1.0374422333301896E-2</c:v>
                </c:pt>
                <c:pt idx="7">
                  <c:v>1.4995755918136377E-2</c:v>
                </c:pt>
                <c:pt idx="8">
                  <c:v>7.3564085636140713E-3</c:v>
                </c:pt>
                <c:pt idx="9">
                  <c:v>2.1691973969631237E-3</c:v>
                </c:pt>
                <c:pt idx="10">
                  <c:v>0.53437706309535038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'01.08 NAMUGONGO-KIREKA'!$C$9:$N$9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NAMUGONGO-KIREKA'!$C$60:$N$60</c:f>
              <c:numCache>
                <c:formatCode>0.00%</c:formatCode>
                <c:ptCount val="12"/>
                <c:pt idx="0">
                  <c:v>0.57220984403483899</c:v>
                </c:pt>
                <c:pt idx="1">
                  <c:v>6.3196273040307879E-2</c:v>
                </c:pt>
                <c:pt idx="2">
                  <c:v>8.1831071500911484E-2</c:v>
                </c:pt>
                <c:pt idx="3">
                  <c:v>0.20194450070893255</c:v>
                </c:pt>
                <c:pt idx="4">
                  <c:v>4.6586996151509012E-3</c:v>
                </c:pt>
                <c:pt idx="5">
                  <c:v>1.2153129430828439E-3</c:v>
                </c:pt>
                <c:pt idx="6">
                  <c:v>2.2280737289852137E-2</c:v>
                </c:pt>
                <c:pt idx="7">
                  <c:v>3.2205792991695362E-2</c:v>
                </c:pt>
                <c:pt idx="8">
                  <c:v>1.579906826007697E-2</c:v>
                </c:pt>
                <c:pt idx="9">
                  <c:v>4.6586996151509012E-3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'01.08 KIREKA-NAMUGONGO'!$AE$9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'01.08 KIREKA-NAMUGONGO'!$R$10:$R$21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'01.08 KIREKA-NAMUGONGO'!$AE$10:$AE$21</c:f>
              <c:numCache>
                <c:formatCode>0</c:formatCode>
                <c:ptCount val="12"/>
                <c:pt idx="0">
                  <c:v>303</c:v>
                </c:pt>
                <c:pt idx="1">
                  <c:v>331</c:v>
                </c:pt>
                <c:pt idx="2">
                  <c:v>266</c:v>
                </c:pt>
                <c:pt idx="3">
                  <c:v>281</c:v>
                </c:pt>
                <c:pt idx="4">
                  <c:v>351</c:v>
                </c:pt>
                <c:pt idx="5">
                  <c:v>355</c:v>
                </c:pt>
                <c:pt idx="6">
                  <c:v>398</c:v>
                </c:pt>
                <c:pt idx="7">
                  <c:v>334</c:v>
                </c:pt>
                <c:pt idx="8">
                  <c:v>418</c:v>
                </c:pt>
                <c:pt idx="9">
                  <c:v>547</c:v>
                </c:pt>
                <c:pt idx="10">
                  <c:v>718</c:v>
                </c:pt>
                <c:pt idx="11">
                  <c:v>1162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'01.08 KIREKA-NAMUGONGO'!$AF$9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'01.08 KIREKA-NAMUGONGO'!$R$10:$R$21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'01.08 KIREKA-NAMUGONGO'!$AF$10:$AF$21</c:f>
              <c:numCache>
                <c:formatCode>0</c:formatCode>
                <c:ptCount val="12"/>
                <c:pt idx="0">
                  <c:v>777</c:v>
                </c:pt>
                <c:pt idx="1">
                  <c:v>923</c:v>
                </c:pt>
                <c:pt idx="2">
                  <c:v>780</c:v>
                </c:pt>
                <c:pt idx="3">
                  <c:v>722</c:v>
                </c:pt>
                <c:pt idx="4">
                  <c:v>845</c:v>
                </c:pt>
                <c:pt idx="5">
                  <c:v>767</c:v>
                </c:pt>
                <c:pt idx="6">
                  <c:v>797</c:v>
                </c:pt>
                <c:pt idx="7">
                  <c:v>727</c:v>
                </c:pt>
                <c:pt idx="8">
                  <c:v>817</c:v>
                </c:pt>
                <c:pt idx="9">
                  <c:v>1023</c:v>
                </c:pt>
                <c:pt idx="10">
                  <c:v>1219</c:v>
                </c:pt>
                <c:pt idx="11">
                  <c:v>1487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939456"/>
        <c:axId val="103982208"/>
      </c:lineChart>
      <c:catAx>
        <c:axId val="1039394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3982208"/>
        <c:crosses val="autoZero"/>
        <c:auto val="1"/>
        <c:lblAlgn val="ctr"/>
        <c:lblOffset val="100"/>
        <c:noMultiLvlLbl val="0"/>
      </c:catAx>
      <c:valAx>
        <c:axId val="1039822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3939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'01.08 KIREKA-NAMUGONGO'!$C$9:$N$9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KIREKA-NAMUGONGO'!$C$59:$N$59</c:f>
              <c:numCache>
                <c:formatCode>0.0%</c:formatCode>
                <c:ptCount val="12"/>
                <c:pt idx="0">
                  <c:v>0.25082690187431089</c:v>
                </c:pt>
                <c:pt idx="1">
                  <c:v>6.4590224182285924E-2</c:v>
                </c:pt>
                <c:pt idx="2">
                  <c:v>3.8313120176405736E-2</c:v>
                </c:pt>
                <c:pt idx="3">
                  <c:v>7.8371922087467849E-2</c:v>
                </c:pt>
                <c:pt idx="4">
                  <c:v>2.2969496508636529E-3</c:v>
                </c:pt>
                <c:pt idx="5">
                  <c:v>4.5938993017273057E-3</c:v>
                </c:pt>
                <c:pt idx="6">
                  <c:v>1.754869533259831E-2</c:v>
                </c:pt>
                <c:pt idx="7">
                  <c:v>8.2690187431091518E-3</c:v>
                </c:pt>
                <c:pt idx="8">
                  <c:v>5.512679162072767E-3</c:v>
                </c:pt>
                <c:pt idx="9">
                  <c:v>3.1697905181918409E-2</c:v>
                </c:pt>
                <c:pt idx="10">
                  <c:v>0.49797868430723996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65"/>
          <c:y val="2.29602266373237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'01.08 KIREKA-NAMUGONGO'!$S$9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'01.08 KIREKA-NAMUGONGO'!$R$10:$R$21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'01.08 KIREKA-NAMUGONGO'!$S$10:$S$21</c:f>
              <c:numCache>
                <c:formatCode>0</c:formatCode>
                <c:ptCount val="12"/>
                <c:pt idx="0">
                  <c:v>160</c:v>
                </c:pt>
                <c:pt idx="1">
                  <c:v>145</c:v>
                </c:pt>
                <c:pt idx="2">
                  <c:v>137</c:v>
                </c:pt>
                <c:pt idx="3">
                  <c:v>133</c:v>
                </c:pt>
                <c:pt idx="4">
                  <c:v>176</c:v>
                </c:pt>
                <c:pt idx="5">
                  <c:v>184</c:v>
                </c:pt>
                <c:pt idx="6">
                  <c:v>211</c:v>
                </c:pt>
                <c:pt idx="7">
                  <c:v>180</c:v>
                </c:pt>
                <c:pt idx="8">
                  <c:v>226</c:v>
                </c:pt>
                <c:pt idx="9">
                  <c:v>320</c:v>
                </c:pt>
                <c:pt idx="10">
                  <c:v>418</c:v>
                </c:pt>
                <c:pt idx="11">
                  <c:v>440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'01.08 KIREKA-NAMUGONGO'!$T$9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'01.08 KIREKA-NAMUGONGO'!$R$10:$R$21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'01.08 KIREKA-NAMUGONGO'!$T$10:$T$21</c:f>
              <c:numCache>
                <c:formatCode>0</c:formatCode>
                <c:ptCount val="12"/>
                <c:pt idx="0">
                  <c:v>27</c:v>
                </c:pt>
                <c:pt idx="1">
                  <c:v>30</c:v>
                </c:pt>
                <c:pt idx="2">
                  <c:v>32</c:v>
                </c:pt>
                <c:pt idx="3">
                  <c:v>39</c:v>
                </c:pt>
                <c:pt idx="4">
                  <c:v>36</c:v>
                </c:pt>
                <c:pt idx="5">
                  <c:v>46</c:v>
                </c:pt>
                <c:pt idx="6">
                  <c:v>49</c:v>
                </c:pt>
                <c:pt idx="7">
                  <c:v>31</c:v>
                </c:pt>
                <c:pt idx="8">
                  <c:v>68</c:v>
                </c:pt>
                <c:pt idx="9">
                  <c:v>85</c:v>
                </c:pt>
                <c:pt idx="10">
                  <c:v>119</c:v>
                </c:pt>
                <c:pt idx="11">
                  <c:v>141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'01.08 KIREKA-NAMUGONGO'!$U$9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'01.08 KIREKA-NAMUGONGO'!$U$10:$U$21</c:f>
              <c:numCache>
                <c:formatCode>0</c:formatCode>
                <c:ptCount val="12"/>
                <c:pt idx="0">
                  <c:v>24</c:v>
                </c:pt>
                <c:pt idx="1">
                  <c:v>23</c:v>
                </c:pt>
                <c:pt idx="2">
                  <c:v>17</c:v>
                </c:pt>
                <c:pt idx="3">
                  <c:v>22</c:v>
                </c:pt>
                <c:pt idx="4">
                  <c:v>29</c:v>
                </c:pt>
                <c:pt idx="5">
                  <c:v>28</c:v>
                </c:pt>
                <c:pt idx="6">
                  <c:v>28</c:v>
                </c:pt>
                <c:pt idx="7">
                  <c:v>30</c:v>
                </c:pt>
                <c:pt idx="8">
                  <c:v>26</c:v>
                </c:pt>
                <c:pt idx="9">
                  <c:v>39</c:v>
                </c:pt>
                <c:pt idx="10">
                  <c:v>60</c:v>
                </c:pt>
                <c:pt idx="11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'01.08 KIREKA-NAMUGONGO'!$V$9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'01.08 KIREKA-NAMUGONGO'!$V$10:$V$21</c:f>
              <c:numCache>
                <c:formatCode>0</c:formatCode>
                <c:ptCount val="12"/>
                <c:pt idx="0">
                  <c:v>67</c:v>
                </c:pt>
                <c:pt idx="1">
                  <c:v>87</c:v>
                </c:pt>
                <c:pt idx="2">
                  <c:v>52</c:v>
                </c:pt>
                <c:pt idx="3">
                  <c:v>51</c:v>
                </c:pt>
                <c:pt idx="4">
                  <c:v>66</c:v>
                </c:pt>
                <c:pt idx="5">
                  <c:v>53</c:v>
                </c:pt>
                <c:pt idx="6">
                  <c:v>60</c:v>
                </c:pt>
                <c:pt idx="7">
                  <c:v>57</c:v>
                </c:pt>
                <c:pt idx="8">
                  <c:v>68</c:v>
                </c:pt>
                <c:pt idx="9">
                  <c:v>73</c:v>
                </c:pt>
                <c:pt idx="10">
                  <c:v>80</c:v>
                </c:pt>
                <c:pt idx="11">
                  <c:v>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'01.08 KIREKA-NAMUGONGO'!$W$9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'01.08 KIREKA-NAMUGONGO'!$W$10:$W$21</c:f>
              <c:numCache>
                <c:formatCode>0</c:formatCode>
                <c:ptCount val="12"/>
                <c:pt idx="0">
                  <c:v>1</c:v>
                </c:pt>
                <c:pt idx="1">
                  <c:v>6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7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'01.08 KIREKA-NAMUGONGO'!$X$9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'01.08 KIREKA-NAMUGONGO'!$X$10:$X$21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7</c:v>
                </c:pt>
                <c:pt idx="3">
                  <c:v>8</c:v>
                </c:pt>
                <c:pt idx="4">
                  <c:v>11</c:v>
                </c:pt>
                <c:pt idx="5">
                  <c:v>5</c:v>
                </c:pt>
                <c:pt idx="6">
                  <c:v>1</c:v>
                </c:pt>
                <c:pt idx="7">
                  <c:v>0</c:v>
                </c:pt>
                <c:pt idx="8">
                  <c:v>11</c:v>
                </c:pt>
                <c:pt idx="9">
                  <c:v>0</c:v>
                </c:pt>
                <c:pt idx="10">
                  <c:v>0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'01.08 KIREKA-NAMUGONGO'!$Y$9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'01.08 KIREKA-NAMUGONGO'!$Y$10:$Y$21</c:f>
              <c:numCache>
                <c:formatCode>0</c:formatCode>
                <c:ptCount val="12"/>
                <c:pt idx="0">
                  <c:v>5</c:v>
                </c:pt>
                <c:pt idx="1">
                  <c:v>27</c:v>
                </c:pt>
                <c:pt idx="2">
                  <c:v>9</c:v>
                </c:pt>
                <c:pt idx="3">
                  <c:v>14</c:v>
                </c:pt>
                <c:pt idx="4">
                  <c:v>14</c:v>
                </c:pt>
                <c:pt idx="5">
                  <c:v>19</c:v>
                </c:pt>
                <c:pt idx="6">
                  <c:v>25</c:v>
                </c:pt>
                <c:pt idx="7">
                  <c:v>17</c:v>
                </c:pt>
                <c:pt idx="8">
                  <c:v>14</c:v>
                </c:pt>
                <c:pt idx="9">
                  <c:v>22</c:v>
                </c:pt>
                <c:pt idx="10">
                  <c:v>21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'01.08 KIREKA-NAMUGONGO'!$Z$9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'01.08 KIREKA-NAMUGONGO'!$Z$10:$Z$21</c:f>
              <c:numCache>
                <c:formatCode>0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9</c:v>
                </c:pt>
                <c:pt idx="3">
                  <c:v>11</c:v>
                </c:pt>
                <c:pt idx="4">
                  <c:v>3</c:v>
                </c:pt>
                <c:pt idx="5">
                  <c:v>12</c:v>
                </c:pt>
                <c:pt idx="6">
                  <c:v>15</c:v>
                </c:pt>
                <c:pt idx="7">
                  <c:v>12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'01.08 KIREKA-NAMUGONGO'!$AA$9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'01.08 KIREKA-NAMUGONGO'!$AA$10:$AA$21</c:f>
              <c:numCache>
                <c:formatCode>0</c:formatCode>
                <c:ptCount val="12"/>
                <c:pt idx="0">
                  <c:v>10</c:v>
                </c:pt>
                <c:pt idx="1">
                  <c:v>7</c:v>
                </c:pt>
                <c:pt idx="2">
                  <c:v>1</c:v>
                </c:pt>
                <c:pt idx="3">
                  <c:v>1</c:v>
                </c:pt>
                <c:pt idx="4">
                  <c:v>11</c:v>
                </c:pt>
                <c:pt idx="5">
                  <c:v>7</c:v>
                </c:pt>
                <c:pt idx="6">
                  <c:v>8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4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'01.08 KIREKA-NAMUGONGO'!$AB$9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'01.08 KIREKA-NAMUGONGO'!$AB$10:$AB$21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5</c:v>
                </c:pt>
                <c:pt idx="11">
                  <c:v>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'01.08 KIREKA-NAMUGONGO'!$AC$9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'01.08 KIREKA-NAMUGONGO'!$AC$10:$AC$21</c:f>
              <c:numCache>
                <c:formatCode>0</c:formatCode>
                <c:ptCount val="12"/>
                <c:pt idx="0">
                  <c:v>474</c:v>
                </c:pt>
                <c:pt idx="1">
                  <c:v>592</c:v>
                </c:pt>
                <c:pt idx="2">
                  <c:v>514</c:v>
                </c:pt>
                <c:pt idx="3">
                  <c:v>441</c:v>
                </c:pt>
                <c:pt idx="4">
                  <c:v>494</c:v>
                </c:pt>
                <c:pt idx="5">
                  <c:v>412</c:v>
                </c:pt>
                <c:pt idx="6">
                  <c:v>399</c:v>
                </c:pt>
                <c:pt idx="7">
                  <c:v>393</c:v>
                </c:pt>
                <c:pt idx="8">
                  <c:v>399</c:v>
                </c:pt>
                <c:pt idx="9">
                  <c:v>476</c:v>
                </c:pt>
                <c:pt idx="10">
                  <c:v>501</c:v>
                </c:pt>
                <c:pt idx="11">
                  <c:v>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'01.08 KIREKA-NAMUGONGO'!$AD$9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'01.08 KIREKA-NAMUGONGO'!$AD$10:$AD$21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79200"/>
        <c:axId val="104180736"/>
      </c:lineChart>
      <c:catAx>
        <c:axId val="104179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4180736"/>
        <c:crosses val="autoZero"/>
        <c:auto val="1"/>
        <c:lblAlgn val="ctr"/>
        <c:lblOffset val="100"/>
        <c:noMultiLvlLbl val="0"/>
      </c:catAx>
      <c:valAx>
        <c:axId val="10418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417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'01.08 KIREKA-NAMUGONGO'!$C$9:$N$9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KIREKA-NAMUGONGO'!$C$60:$N$60</c:f>
              <c:numCache>
                <c:formatCode>0.00%</c:formatCode>
                <c:ptCount val="12"/>
                <c:pt idx="0">
                  <c:v>0.49963396778916547</c:v>
                </c:pt>
                <c:pt idx="1">
                  <c:v>0.12866032210834552</c:v>
                </c:pt>
                <c:pt idx="2">
                  <c:v>7.6317715959004398E-2</c:v>
                </c:pt>
                <c:pt idx="3">
                  <c:v>0.15611273792093705</c:v>
                </c:pt>
                <c:pt idx="4">
                  <c:v>4.5754026354319181E-3</c:v>
                </c:pt>
                <c:pt idx="5">
                  <c:v>9.1508052708638363E-3</c:v>
                </c:pt>
                <c:pt idx="6">
                  <c:v>3.4956076134699851E-2</c:v>
                </c:pt>
                <c:pt idx="7">
                  <c:v>1.6471449487554905E-2</c:v>
                </c:pt>
                <c:pt idx="8">
                  <c:v>1.0980966325036604E-2</c:v>
                </c:pt>
                <c:pt idx="9">
                  <c:v>6.3140556368960474E-2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'02.08 NAMUGONGO-KIREKA'!$AE$9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'02.08 NAMUGONGO-KIREKA'!$R$10:$R$21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NAMUGONGO-KIREKA'!$AE$10:$AE$21</c:f>
              <c:numCache>
                <c:formatCode>0</c:formatCode>
                <c:ptCount val="12"/>
                <c:pt idx="0">
                  <c:v>616</c:v>
                </c:pt>
                <c:pt idx="1">
                  <c:v>673</c:v>
                </c:pt>
                <c:pt idx="2">
                  <c:v>499</c:v>
                </c:pt>
                <c:pt idx="3">
                  <c:v>373</c:v>
                </c:pt>
                <c:pt idx="4">
                  <c:v>375</c:v>
                </c:pt>
                <c:pt idx="5">
                  <c:v>374</c:v>
                </c:pt>
                <c:pt idx="6">
                  <c:v>320</c:v>
                </c:pt>
                <c:pt idx="7">
                  <c:v>353</c:v>
                </c:pt>
                <c:pt idx="8">
                  <c:v>414</c:v>
                </c:pt>
                <c:pt idx="9">
                  <c:v>387</c:v>
                </c:pt>
                <c:pt idx="10">
                  <c:v>422</c:v>
                </c:pt>
                <c:pt idx="11">
                  <c:v>410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'02.08 NAMUGONGO-KIREKA'!$AF$9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'02.08 NAMUGONGO-KIREKA'!$R$10:$R$21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NAMUGONGO-KIREKA'!$AF$10:$AF$21</c:f>
              <c:numCache>
                <c:formatCode>0</c:formatCode>
                <c:ptCount val="12"/>
                <c:pt idx="0">
                  <c:v>1265</c:v>
                </c:pt>
                <c:pt idx="1">
                  <c:v>1349</c:v>
                </c:pt>
                <c:pt idx="2">
                  <c:v>1057</c:v>
                </c:pt>
                <c:pt idx="3">
                  <c:v>900</c:v>
                </c:pt>
                <c:pt idx="4">
                  <c:v>908</c:v>
                </c:pt>
                <c:pt idx="5">
                  <c:v>832</c:v>
                </c:pt>
                <c:pt idx="6">
                  <c:v>714</c:v>
                </c:pt>
                <c:pt idx="7">
                  <c:v>826</c:v>
                </c:pt>
                <c:pt idx="8">
                  <c:v>873</c:v>
                </c:pt>
                <c:pt idx="9">
                  <c:v>865</c:v>
                </c:pt>
                <c:pt idx="10">
                  <c:v>930</c:v>
                </c:pt>
                <c:pt idx="11">
                  <c:v>1011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313984"/>
        <c:axId val="104315520"/>
      </c:lineChart>
      <c:catAx>
        <c:axId val="10431398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4315520"/>
        <c:crosses val="autoZero"/>
        <c:auto val="1"/>
        <c:lblAlgn val="ctr"/>
        <c:lblOffset val="100"/>
        <c:noMultiLvlLbl val="0"/>
      </c:catAx>
      <c:valAx>
        <c:axId val="1043155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431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'02.08 NAMUGONGO-KIREKA'!$C$9:$N$9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NAMUGONGO-KIREKA'!$C$59:$N$59</c:f>
              <c:numCache>
                <c:formatCode>0.0%</c:formatCode>
                <c:ptCount val="12"/>
                <c:pt idx="0">
                  <c:v>0.24362532523850824</c:v>
                </c:pt>
                <c:pt idx="1">
                  <c:v>3.2090199479618386E-2</c:v>
                </c:pt>
                <c:pt idx="2">
                  <c:v>3.7640936686903728E-2</c:v>
                </c:pt>
                <c:pt idx="3">
                  <c:v>9.3148308759757159E-2</c:v>
                </c:pt>
                <c:pt idx="4">
                  <c:v>4.3365134431916736E-3</c:v>
                </c:pt>
                <c:pt idx="5">
                  <c:v>1.647875108412836E-3</c:v>
                </c:pt>
                <c:pt idx="6">
                  <c:v>1.873373807458803E-2</c:v>
                </c:pt>
                <c:pt idx="7">
                  <c:v>1.2402428447528188E-2</c:v>
                </c:pt>
                <c:pt idx="8">
                  <c:v>6.6782307025151774E-3</c:v>
                </c:pt>
                <c:pt idx="9">
                  <c:v>1.9947961838681699E-3</c:v>
                </c:pt>
                <c:pt idx="10">
                  <c:v>0.54761491760624459</c:v>
                </c:pt>
                <c:pt idx="11">
                  <c:v>8.6730268863833478E-5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65"/>
          <c:y val="2.29602266373237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'02.08 NAMUGONGO-KIREKA'!$S$9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'02.08 NAMUGONGO-KIREKA'!$R$10:$R$21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NAMUGONGO-KIREKA'!$S$10:$S$21</c:f>
              <c:numCache>
                <c:formatCode>0</c:formatCode>
                <c:ptCount val="12"/>
                <c:pt idx="0">
                  <c:v>400</c:v>
                </c:pt>
                <c:pt idx="1">
                  <c:v>407</c:v>
                </c:pt>
                <c:pt idx="2">
                  <c:v>237</c:v>
                </c:pt>
                <c:pt idx="3">
                  <c:v>207</c:v>
                </c:pt>
                <c:pt idx="4">
                  <c:v>195</c:v>
                </c:pt>
                <c:pt idx="5">
                  <c:v>185</c:v>
                </c:pt>
                <c:pt idx="6">
                  <c:v>154</c:v>
                </c:pt>
                <c:pt idx="7">
                  <c:v>174</c:v>
                </c:pt>
                <c:pt idx="8">
                  <c:v>214</c:v>
                </c:pt>
                <c:pt idx="9">
                  <c:v>217</c:v>
                </c:pt>
                <c:pt idx="10">
                  <c:v>222</c:v>
                </c:pt>
                <c:pt idx="11">
                  <c:v>197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'02.08 NAMUGONGO-KIREKA'!$T$9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'02.08 NAMUGONGO-KIREKA'!$R$10:$R$21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NAMUGONGO-KIREKA'!$T$10:$T$21</c:f>
              <c:numCache>
                <c:formatCode>0</c:formatCode>
                <c:ptCount val="12"/>
                <c:pt idx="0">
                  <c:v>43</c:v>
                </c:pt>
                <c:pt idx="1">
                  <c:v>60</c:v>
                </c:pt>
                <c:pt idx="2">
                  <c:v>55</c:v>
                </c:pt>
                <c:pt idx="3">
                  <c:v>15</c:v>
                </c:pt>
                <c:pt idx="4">
                  <c:v>19</c:v>
                </c:pt>
                <c:pt idx="5">
                  <c:v>30</c:v>
                </c:pt>
                <c:pt idx="6">
                  <c:v>23</c:v>
                </c:pt>
                <c:pt idx="7">
                  <c:v>16</c:v>
                </c:pt>
                <c:pt idx="8">
                  <c:v>25</c:v>
                </c:pt>
                <c:pt idx="9">
                  <c:v>21</c:v>
                </c:pt>
                <c:pt idx="10">
                  <c:v>32</c:v>
                </c:pt>
                <c:pt idx="11">
                  <c:v>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'02.08 NAMUGONGO-KIREKA'!$U$9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'02.08 NAMUGONGO-KIREKA'!$U$10:$U$21</c:f>
              <c:numCache>
                <c:formatCode>0</c:formatCode>
                <c:ptCount val="12"/>
                <c:pt idx="0">
                  <c:v>35</c:v>
                </c:pt>
                <c:pt idx="1">
                  <c:v>36</c:v>
                </c:pt>
                <c:pt idx="2">
                  <c:v>50</c:v>
                </c:pt>
                <c:pt idx="3">
                  <c:v>27</c:v>
                </c:pt>
                <c:pt idx="4">
                  <c:v>42</c:v>
                </c:pt>
                <c:pt idx="5">
                  <c:v>32</c:v>
                </c:pt>
                <c:pt idx="6">
                  <c:v>16</c:v>
                </c:pt>
                <c:pt idx="7">
                  <c:v>31</c:v>
                </c:pt>
                <c:pt idx="8">
                  <c:v>52</c:v>
                </c:pt>
                <c:pt idx="9">
                  <c:v>32</c:v>
                </c:pt>
                <c:pt idx="10">
                  <c:v>42</c:v>
                </c:pt>
                <c:pt idx="11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'02.08 NAMUGONGO-KIREKA'!$V$9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'02.08 NAMUGONGO-KIREKA'!$V$10:$V$21</c:f>
              <c:numCache>
                <c:formatCode>0</c:formatCode>
                <c:ptCount val="12"/>
                <c:pt idx="0">
                  <c:v>105</c:v>
                </c:pt>
                <c:pt idx="1">
                  <c:v>136</c:v>
                </c:pt>
                <c:pt idx="2">
                  <c:v>105</c:v>
                </c:pt>
                <c:pt idx="3">
                  <c:v>65</c:v>
                </c:pt>
                <c:pt idx="4">
                  <c:v>68</c:v>
                </c:pt>
                <c:pt idx="5">
                  <c:v>82</c:v>
                </c:pt>
                <c:pt idx="6">
                  <c:v>83</c:v>
                </c:pt>
                <c:pt idx="7">
                  <c:v>87</c:v>
                </c:pt>
                <c:pt idx="8">
                  <c:v>73</c:v>
                </c:pt>
                <c:pt idx="9">
                  <c:v>73</c:v>
                </c:pt>
                <c:pt idx="10">
                  <c:v>84</c:v>
                </c:pt>
                <c:pt idx="11">
                  <c:v>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'02.08 NAMUGONGO-KIREKA'!$W$9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'02.08 NAMUGONGO-KIREKA'!$W$10:$W$21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4</c:v>
                </c:pt>
                <c:pt idx="3">
                  <c:v>13</c:v>
                </c:pt>
                <c:pt idx="4">
                  <c:v>5</c:v>
                </c:pt>
                <c:pt idx="5">
                  <c:v>3</c:v>
                </c:pt>
                <c:pt idx="6">
                  <c:v>2</c:v>
                </c:pt>
                <c:pt idx="7">
                  <c:v>4</c:v>
                </c:pt>
                <c:pt idx="8">
                  <c:v>1</c:v>
                </c:pt>
                <c:pt idx="9">
                  <c:v>2</c:v>
                </c:pt>
                <c:pt idx="10">
                  <c:v>9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'02.08 NAMUGONGO-KIREKA'!$X$9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'02.08 NAMUGONGO-KIREKA'!$X$10:$X$21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7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'02.08 NAMUGONGO-KIREKA'!$Y$9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NAMUGONGO-KIREKA'!$Y$10:$Y$21</c:f>
              <c:numCache>
                <c:formatCode>0</c:formatCode>
                <c:ptCount val="12"/>
                <c:pt idx="0">
                  <c:v>18</c:v>
                </c:pt>
                <c:pt idx="1">
                  <c:v>9</c:v>
                </c:pt>
                <c:pt idx="2">
                  <c:v>12</c:v>
                </c:pt>
                <c:pt idx="3">
                  <c:v>20</c:v>
                </c:pt>
                <c:pt idx="4">
                  <c:v>17</c:v>
                </c:pt>
                <c:pt idx="5">
                  <c:v>27</c:v>
                </c:pt>
                <c:pt idx="6">
                  <c:v>32</c:v>
                </c:pt>
                <c:pt idx="7">
                  <c:v>13</c:v>
                </c:pt>
                <c:pt idx="8">
                  <c:v>20</c:v>
                </c:pt>
                <c:pt idx="9">
                  <c:v>31</c:v>
                </c:pt>
                <c:pt idx="10">
                  <c:v>11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'02.08 NAMUGONGO-KIREKA'!$Z$9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NAMUGONGO-KIREKA'!$Z$10:$Z$21</c:f>
              <c:numCache>
                <c:formatCode>0</c:formatCode>
                <c:ptCount val="12"/>
                <c:pt idx="0">
                  <c:v>6</c:v>
                </c:pt>
                <c:pt idx="1">
                  <c:v>13</c:v>
                </c:pt>
                <c:pt idx="2">
                  <c:v>15</c:v>
                </c:pt>
                <c:pt idx="3">
                  <c:v>7</c:v>
                </c:pt>
                <c:pt idx="4">
                  <c:v>15</c:v>
                </c:pt>
                <c:pt idx="5">
                  <c:v>11</c:v>
                </c:pt>
                <c:pt idx="6">
                  <c:v>6</c:v>
                </c:pt>
                <c:pt idx="7">
                  <c:v>18</c:v>
                </c:pt>
                <c:pt idx="8">
                  <c:v>14</c:v>
                </c:pt>
                <c:pt idx="9">
                  <c:v>7</c:v>
                </c:pt>
                <c:pt idx="10">
                  <c:v>19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'02.08 NAMUGONGO-KIREKA'!$AA$9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NAMUGONGO-KIREKA'!$AA$10:$AA$21</c:f>
              <c:numCache>
                <c:formatCode>0</c:formatCode>
                <c:ptCount val="12"/>
                <c:pt idx="0">
                  <c:v>5</c:v>
                </c:pt>
                <c:pt idx="1">
                  <c:v>9</c:v>
                </c:pt>
                <c:pt idx="2">
                  <c:v>16</c:v>
                </c:pt>
                <c:pt idx="3">
                  <c:v>14</c:v>
                </c:pt>
                <c:pt idx="4">
                  <c:v>4</c:v>
                </c:pt>
                <c:pt idx="5">
                  <c:v>2</c:v>
                </c:pt>
                <c:pt idx="6">
                  <c:v>3</c:v>
                </c:pt>
                <c:pt idx="7">
                  <c:v>6</c:v>
                </c:pt>
                <c:pt idx="8">
                  <c:v>9</c:v>
                </c:pt>
                <c:pt idx="9">
                  <c:v>4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'02.08 NAMUGONGO-KIREKA'!$AB$9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NAMUGONGO-KIREKA'!$AB$10:$AB$21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3</c:v>
                </c:pt>
                <c:pt idx="4">
                  <c:v>3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5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'02.08 NAMUGONGO-KIREKA'!$AC$9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NAMUGONGO-KIREKA'!$AC$10:$AC$21</c:f>
              <c:numCache>
                <c:formatCode>0</c:formatCode>
                <c:ptCount val="12"/>
                <c:pt idx="0">
                  <c:v>649</c:v>
                </c:pt>
                <c:pt idx="1">
                  <c:v>676</c:v>
                </c:pt>
                <c:pt idx="2">
                  <c:v>558</c:v>
                </c:pt>
                <c:pt idx="3">
                  <c:v>527</c:v>
                </c:pt>
                <c:pt idx="4">
                  <c:v>533</c:v>
                </c:pt>
                <c:pt idx="5">
                  <c:v>458</c:v>
                </c:pt>
                <c:pt idx="6">
                  <c:v>394</c:v>
                </c:pt>
                <c:pt idx="7">
                  <c:v>473</c:v>
                </c:pt>
                <c:pt idx="8">
                  <c:v>459</c:v>
                </c:pt>
                <c:pt idx="9">
                  <c:v>478</c:v>
                </c:pt>
                <c:pt idx="10">
                  <c:v>508</c:v>
                </c:pt>
                <c:pt idx="11">
                  <c:v>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'02.08 NAMUGONGO-KIREKA'!$AD$9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NAMUGONGO-KIREKA'!$AD$10:$AD$21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614912"/>
        <c:axId val="104669952"/>
      </c:lineChart>
      <c:catAx>
        <c:axId val="104614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4669952"/>
        <c:crosses val="autoZero"/>
        <c:auto val="1"/>
        <c:lblAlgn val="ctr"/>
        <c:lblOffset val="100"/>
        <c:noMultiLvlLbl val="0"/>
      </c:catAx>
      <c:valAx>
        <c:axId val="10466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4614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'02.08 NAMUGONGO-KIREKA'!$C$9:$N$9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NAMUGONGO-KIREKA'!$C$60:$N$60</c:f>
              <c:numCache>
                <c:formatCode>0.00%</c:formatCode>
                <c:ptCount val="12"/>
                <c:pt idx="0">
                  <c:v>0.53853527607361962</c:v>
                </c:pt>
                <c:pt idx="1">
                  <c:v>7.0935582822085896E-2</c:v>
                </c:pt>
                <c:pt idx="2">
                  <c:v>8.3205521472392643E-2</c:v>
                </c:pt>
                <c:pt idx="3">
                  <c:v>0.20590490797546013</c:v>
                </c:pt>
                <c:pt idx="4">
                  <c:v>9.5858895705521474E-3</c:v>
                </c:pt>
                <c:pt idx="5">
                  <c:v>3.6426380368098157E-3</c:v>
                </c:pt>
                <c:pt idx="6">
                  <c:v>4.1411042944785273E-2</c:v>
                </c:pt>
                <c:pt idx="7">
                  <c:v>2.7415644171779142E-2</c:v>
                </c:pt>
                <c:pt idx="8">
                  <c:v>1.4762269938650307E-2</c:v>
                </c:pt>
                <c:pt idx="9">
                  <c:v>4.4095092024539874E-3</c:v>
                </c:pt>
                <c:pt idx="11">
                  <c:v>1.9171779141104295E-4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'02.08 KIREKA-NAMUGONGO'!$AE$9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'02.08 KIREKA-NAMUGONGO'!$R$10:$R$21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KIREKA-NAMUGONGO'!$AE$10:$AE$21</c:f>
              <c:numCache>
                <c:formatCode>0</c:formatCode>
                <c:ptCount val="12"/>
                <c:pt idx="0">
                  <c:v>300</c:v>
                </c:pt>
                <c:pt idx="1">
                  <c:v>324</c:v>
                </c:pt>
                <c:pt idx="2">
                  <c:v>285</c:v>
                </c:pt>
                <c:pt idx="3">
                  <c:v>379</c:v>
                </c:pt>
                <c:pt idx="4">
                  <c:v>336</c:v>
                </c:pt>
                <c:pt idx="5">
                  <c:v>383</c:v>
                </c:pt>
                <c:pt idx="6">
                  <c:v>362</c:v>
                </c:pt>
                <c:pt idx="7">
                  <c:v>381</c:v>
                </c:pt>
                <c:pt idx="8">
                  <c:v>438</c:v>
                </c:pt>
                <c:pt idx="9">
                  <c:v>472</c:v>
                </c:pt>
                <c:pt idx="10">
                  <c:v>657</c:v>
                </c:pt>
                <c:pt idx="11">
                  <c:v>618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'02.08 KIREKA-NAMUGONGO'!$AF$9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'02.08 KIREKA-NAMUGONGO'!$R$10:$R$21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KIREKA-NAMUGONGO'!$AF$10:$AF$21</c:f>
              <c:numCache>
                <c:formatCode>0</c:formatCode>
                <c:ptCount val="12"/>
                <c:pt idx="0">
                  <c:v>808</c:v>
                </c:pt>
                <c:pt idx="1">
                  <c:v>1015</c:v>
                </c:pt>
                <c:pt idx="2">
                  <c:v>826</c:v>
                </c:pt>
                <c:pt idx="3">
                  <c:v>971</c:v>
                </c:pt>
                <c:pt idx="4">
                  <c:v>893</c:v>
                </c:pt>
                <c:pt idx="5">
                  <c:v>863</c:v>
                </c:pt>
                <c:pt idx="6">
                  <c:v>803</c:v>
                </c:pt>
                <c:pt idx="7">
                  <c:v>858</c:v>
                </c:pt>
                <c:pt idx="8">
                  <c:v>932</c:v>
                </c:pt>
                <c:pt idx="9">
                  <c:v>954</c:v>
                </c:pt>
                <c:pt idx="10">
                  <c:v>1247</c:v>
                </c:pt>
                <c:pt idx="11">
                  <c:v>1235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848000"/>
        <c:axId val="104927616"/>
      </c:lineChart>
      <c:catAx>
        <c:axId val="1048480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4927616"/>
        <c:crosses val="autoZero"/>
        <c:auto val="1"/>
        <c:lblAlgn val="ctr"/>
        <c:lblOffset val="100"/>
        <c:noMultiLvlLbl val="0"/>
      </c:catAx>
      <c:valAx>
        <c:axId val="1049276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484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'02.08 KIREKA-NAMUGONGO'!$C$9:$N$9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KIREKA-NAMUGONGO'!$C$59:$N$59</c:f>
              <c:numCache>
                <c:formatCode>0.0%</c:formatCode>
                <c:ptCount val="12"/>
                <c:pt idx="0">
                  <c:v>0.21420429636124508</c:v>
                </c:pt>
                <c:pt idx="1">
                  <c:v>5.8921525646646211E-2</c:v>
                </c:pt>
                <c:pt idx="2">
                  <c:v>4.3752740026304256E-2</c:v>
                </c:pt>
                <c:pt idx="3">
                  <c:v>6.9969311705392376E-2</c:v>
                </c:pt>
                <c:pt idx="4">
                  <c:v>2.5427444103463394E-3</c:v>
                </c:pt>
                <c:pt idx="5">
                  <c:v>2.8057869355545815E-3</c:v>
                </c:pt>
                <c:pt idx="6">
                  <c:v>2.35861464270057E-2</c:v>
                </c:pt>
                <c:pt idx="7">
                  <c:v>1.1310828583954406E-2</c:v>
                </c:pt>
                <c:pt idx="8">
                  <c:v>3.6825953529153882E-3</c:v>
                </c:pt>
                <c:pt idx="9">
                  <c:v>1.8412976764576941E-3</c:v>
                </c:pt>
                <c:pt idx="10">
                  <c:v>0.56729504603244196</c:v>
                </c:pt>
                <c:pt idx="11">
                  <c:v>8.7680841736080672E-5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65"/>
          <c:y val="2.29602266373237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'02.08 KIREKA-NAMUGONGO'!$S$9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'02.08 KIREKA-NAMUGONGO'!$R$10:$R$21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KIREKA-NAMUGONGO'!$S$10:$S$21</c:f>
              <c:numCache>
                <c:formatCode>0</c:formatCode>
                <c:ptCount val="12"/>
                <c:pt idx="0">
                  <c:v>140</c:v>
                </c:pt>
                <c:pt idx="1">
                  <c:v>163</c:v>
                </c:pt>
                <c:pt idx="2">
                  <c:v>143</c:v>
                </c:pt>
                <c:pt idx="3">
                  <c:v>160</c:v>
                </c:pt>
                <c:pt idx="4">
                  <c:v>177</c:v>
                </c:pt>
                <c:pt idx="5">
                  <c:v>184</c:v>
                </c:pt>
                <c:pt idx="6">
                  <c:v>166</c:v>
                </c:pt>
                <c:pt idx="7">
                  <c:v>198</c:v>
                </c:pt>
                <c:pt idx="8">
                  <c:v>218</c:v>
                </c:pt>
                <c:pt idx="9">
                  <c:v>237</c:v>
                </c:pt>
                <c:pt idx="10">
                  <c:v>317</c:v>
                </c:pt>
                <c:pt idx="11">
                  <c:v>340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'02.08 KIREKA-NAMUGONGO'!$T$9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'02.08 KIREKA-NAMUGONGO'!$R$10:$R$21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KIREKA-NAMUGONGO'!$T$10:$T$21</c:f>
              <c:numCache>
                <c:formatCode>0</c:formatCode>
                <c:ptCount val="12"/>
                <c:pt idx="0">
                  <c:v>34</c:v>
                </c:pt>
                <c:pt idx="1">
                  <c:v>36</c:v>
                </c:pt>
                <c:pt idx="2">
                  <c:v>25</c:v>
                </c:pt>
                <c:pt idx="3">
                  <c:v>80</c:v>
                </c:pt>
                <c:pt idx="4">
                  <c:v>24</c:v>
                </c:pt>
                <c:pt idx="5">
                  <c:v>43</c:v>
                </c:pt>
                <c:pt idx="6">
                  <c:v>34</c:v>
                </c:pt>
                <c:pt idx="7">
                  <c:v>38</c:v>
                </c:pt>
                <c:pt idx="8">
                  <c:v>52</c:v>
                </c:pt>
                <c:pt idx="9">
                  <c:v>67</c:v>
                </c:pt>
                <c:pt idx="10">
                  <c:v>126</c:v>
                </c:pt>
                <c:pt idx="11">
                  <c:v>113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'02.08 KIREKA-NAMUGONGO'!$U$9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'02.08 KIREKA-NAMUGONGO'!$U$10:$U$21</c:f>
              <c:numCache>
                <c:formatCode>0</c:formatCode>
                <c:ptCount val="12"/>
                <c:pt idx="0">
                  <c:v>32</c:v>
                </c:pt>
                <c:pt idx="1">
                  <c:v>26</c:v>
                </c:pt>
                <c:pt idx="2">
                  <c:v>26</c:v>
                </c:pt>
                <c:pt idx="3">
                  <c:v>34</c:v>
                </c:pt>
                <c:pt idx="4">
                  <c:v>35</c:v>
                </c:pt>
                <c:pt idx="5">
                  <c:v>36</c:v>
                </c:pt>
                <c:pt idx="6">
                  <c:v>41</c:v>
                </c:pt>
                <c:pt idx="7">
                  <c:v>39</c:v>
                </c:pt>
                <c:pt idx="8">
                  <c:v>48</c:v>
                </c:pt>
                <c:pt idx="9">
                  <c:v>49</c:v>
                </c:pt>
                <c:pt idx="10">
                  <c:v>69</c:v>
                </c:pt>
                <c:pt idx="11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'02.08 KIREKA-NAMUGONGO'!$V$9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'02.08 KIREKA-NAMUGONGO'!$V$10:$V$21</c:f>
              <c:numCache>
                <c:formatCode>0</c:formatCode>
                <c:ptCount val="12"/>
                <c:pt idx="0">
                  <c:v>56</c:v>
                </c:pt>
                <c:pt idx="1">
                  <c:v>65</c:v>
                </c:pt>
                <c:pt idx="2">
                  <c:v>61</c:v>
                </c:pt>
                <c:pt idx="3">
                  <c:v>59</c:v>
                </c:pt>
                <c:pt idx="4">
                  <c:v>58</c:v>
                </c:pt>
                <c:pt idx="5">
                  <c:v>69</c:v>
                </c:pt>
                <c:pt idx="6">
                  <c:v>70</c:v>
                </c:pt>
                <c:pt idx="7">
                  <c:v>62</c:v>
                </c:pt>
                <c:pt idx="8">
                  <c:v>69</c:v>
                </c:pt>
                <c:pt idx="9">
                  <c:v>74</c:v>
                </c:pt>
                <c:pt idx="10">
                  <c:v>87</c:v>
                </c:pt>
                <c:pt idx="1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'02.08 KIREKA-NAMUGONGO'!$W$9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'02.08 KIREKA-NAMUGONGO'!$W$10:$W$21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</c:v>
                </c:pt>
                <c:pt idx="7">
                  <c:v>4</c:v>
                </c:pt>
                <c:pt idx="8">
                  <c:v>0</c:v>
                </c:pt>
                <c:pt idx="9">
                  <c:v>2</c:v>
                </c:pt>
                <c:pt idx="10">
                  <c:v>14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'02.08 KIREKA-NAMUGONGO'!$X$9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'02.08 KIREKA-NAMUGONGO'!$X$10:$X$21</c:f>
              <c:numCache>
                <c:formatCode>0</c:formatCode>
                <c:ptCount val="12"/>
                <c:pt idx="0">
                  <c:v>1</c:v>
                </c:pt>
                <c:pt idx="1">
                  <c:v>16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8</c:v>
                </c:pt>
                <c:pt idx="10">
                  <c:v>0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'02.08 KIREKA-NAMUGONGO'!$Y$9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KIREKA-NAMUGONGO'!$Y$10:$Y$21</c:f>
              <c:numCache>
                <c:formatCode>0</c:formatCode>
                <c:ptCount val="12"/>
                <c:pt idx="0">
                  <c:v>14</c:v>
                </c:pt>
                <c:pt idx="1">
                  <c:v>8</c:v>
                </c:pt>
                <c:pt idx="2">
                  <c:v>20</c:v>
                </c:pt>
                <c:pt idx="3">
                  <c:v>31</c:v>
                </c:pt>
                <c:pt idx="4">
                  <c:v>36</c:v>
                </c:pt>
                <c:pt idx="5">
                  <c:v>31</c:v>
                </c:pt>
                <c:pt idx="6">
                  <c:v>15</c:v>
                </c:pt>
                <c:pt idx="7">
                  <c:v>27</c:v>
                </c:pt>
                <c:pt idx="8">
                  <c:v>30</c:v>
                </c:pt>
                <c:pt idx="9">
                  <c:v>23</c:v>
                </c:pt>
                <c:pt idx="10">
                  <c:v>19</c:v>
                </c:pt>
                <c:pt idx="1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'02.08 KIREKA-NAMUGONGO'!$Z$9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KIREKA-NAMUGONGO'!$Z$10:$Z$21</c:f>
              <c:numCache>
                <c:formatCode>0</c:formatCode>
                <c:ptCount val="12"/>
                <c:pt idx="0">
                  <c:v>10</c:v>
                </c:pt>
                <c:pt idx="1">
                  <c:v>10</c:v>
                </c:pt>
                <c:pt idx="2">
                  <c:v>6</c:v>
                </c:pt>
                <c:pt idx="3">
                  <c:v>13</c:v>
                </c:pt>
                <c:pt idx="4">
                  <c:v>4</c:v>
                </c:pt>
                <c:pt idx="5">
                  <c:v>10</c:v>
                </c:pt>
                <c:pt idx="6">
                  <c:v>18</c:v>
                </c:pt>
                <c:pt idx="7">
                  <c:v>10</c:v>
                </c:pt>
                <c:pt idx="8">
                  <c:v>15</c:v>
                </c:pt>
                <c:pt idx="9">
                  <c:v>7</c:v>
                </c:pt>
                <c:pt idx="10">
                  <c:v>20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'02.08 KIREKA-NAMUGONGO'!$AA$9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KIREKA-NAMUGONGO'!$AA$10:$AA$21</c:f>
              <c:numCache>
                <c:formatCode>0</c:formatCode>
                <c:ptCount val="12"/>
                <c:pt idx="0">
                  <c:v>4</c:v>
                </c:pt>
                <c:pt idx="1">
                  <c:v>0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  <c:pt idx="5">
                  <c:v>6</c:v>
                </c:pt>
                <c:pt idx="6">
                  <c:v>9</c:v>
                </c:pt>
                <c:pt idx="7">
                  <c:v>2</c:v>
                </c:pt>
                <c:pt idx="8">
                  <c:v>4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'02.08 KIREKA-NAMUGONGO'!$AB$9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KIREKA-NAMUGONGO'!$AB$10:$AB$21</c:f>
              <c:numCache>
                <c:formatCode>0</c:formatCode>
                <c:ptCount val="12"/>
                <c:pt idx="0">
                  <c:v>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3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'02.08 KIREKA-NAMUGONGO'!$AC$9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KIREKA-NAMUGONGO'!$AC$10:$AC$21</c:f>
              <c:numCache>
                <c:formatCode>0</c:formatCode>
                <c:ptCount val="12"/>
                <c:pt idx="0">
                  <c:v>508</c:v>
                </c:pt>
                <c:pt idx="1">
                  <c:v>691</c:v>
                </c:pt>
                <c:pt idx="2">
                  <c:v>541</c:v>
                </c:pt>
                <c:pt idx="3">
                  <c:v>592</c:v>
                </c:pt>
                <c:pt idx="4">
                  <c:v>557</c:v>
                </c:pt>
                <c:pt idx="5">
                  <c:v>480</c:v>
                </c:pt>
                <c:pt idx="6">
                  <c:v>441</c:v>
                </c:pt>
                <c:pt idx="7">
                  <c:v>477</c:v>
                </c:pt>
                <c:pt idx="8">
                  <c:v>494</c:v>
                </c:pt>
                <c:pt idx="9">
                  <c:v>482</c:v>
                </c:pt>
                <c:pt idx="10">
                  <c:v>590</c:v>
                </c:pt>
                <c:pt idx="11">
                  <c:v>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'02.08 KIREKA-NAMUGONGO'!$AD$9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KIREKA-NAMUGONGO'!$AD$10:$AD$21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299584"/>
        <c:axId val="107301120"/>
      </c:lineChart>
      <c:catAx>
        <c:axId val="107299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7301120"/>
        <c:crosses val="autoZero"/>
        <c:auto val="1"/>
        <c:lblAlgn val="ctr"/>
        <c:lblOffset val="100"/>
        <c:noMultiLvlLbl val="0"/>
      </c:catAx>
      <c:valAx>
        <c:axId val="10730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7299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'02.08 KIREKA-NAMUGONGO'!$C$9:$N$9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KIREKA-NAMUGONGO'!$C$60:$N$60</c:f>
              <c:numCache>
                <c:formatCode>0.00%</c:formatCode>
                <c:ptCount val="12"/>
                <c:pt idx="0">
                  <c:v>0.49503546099290779</c:v>
                </c:pt>
                <c:pt idx="1">
                  <c:v>0.13617021276595745</c:v>
                </c:pt>
                <c:pt idx="2">
                  <c:v>0.1011144883485309</c:v>
                </c:pt>
                <c:pt idx="3">
                  <c:v>0.16170212765957448</c:v>
                </c:pt>
                <c:pt idx="4">
                  <c:v>5.8763931104356638E-3</c:v>
                </c:pt>
                <c:pt idx="5">
                  <c:v>6.4842958459979732E-3</c:v>
                </c:pt>
                <c:pt idx="6">
                  <c:v>5.4508611955420463E-2</c:v>
                </c:pt>
                <c:pt idx="7">
                  <c:v>2.6139817629179333E-2</c:v>
                </c:pt>
                <c:pt idx="8">
                  <c:v>8.5106382978723406E-3</c:v>
                </c:pt>
                <c:pt idx="9">
                  <c:v>4.2553191489361703E-3</c:v>
                </c:pt>
                <c:pt idx="11">
                  <c:v>2.0263424518743666E-4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4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'03.08 NAMUGONGO-KIREKA-24h'!$AE$9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'03.08 NAMUGONGO-KIREKA-24h'!$R$10:$R$33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NAMUGONGO-KIREKA-24h'!$AE$10:$AE$33</c:f>
              <c:numCache>
                <c:formatCode>0</c:formatCode>
                <c:ptCount val="24"/>
                <c:pt idx="0">
                  <c:v>317</c:v>
                </c:pt>
                <c:pt idx="1">
                  <c:v>584</c:v>
                </c:pt>
                <c:pt idx="2">
                  <c:v>576</c:v>
                </c:pt>
                <c:pt idx="3">
                  <c:v>557</c:v>
                </c:pt>
                <c:pt idx="4">
                  <c:v>580</c:v>
                </c:pt>
                <c:pt idx="5">
                  <c:v>492</c:v>
                </c:pt>
                <c:pt idx="6">
                  <c:v>518</c:v>
                </c:pt>
                <c:pt idx="7">
                  <c:v>408</c:v>
                </c:pt>
                <c:pt idx="8">
                  <c:v>383</c:v>
                </c:pt>
                <c:pt idx="9">
                  <c:v>384</c:v>
                </c:pt>
                <c:pt idx="10">
                  <c:v>467</c:v>
                </c:pt>
                <c:pt idx="11">
                  <c:v>415</c:v>
                </c:pt>
                <c:pt idx="12">
                  <c:v>426</c:v>
                </c:pt>
                <c:pt idx="13">
                  <c:v>365</c:v>
                </c:pt>
                <c:pt idx="14">
                  <c:v>267</c:v>
                </c:pt>
                <c:pt idx="15">
                  <c:v>288</c:v>
                </c:pt>
                <c:pt idx="16">
                  <c:v>271</c:v>
                </c:pt>
                <c:pt idx="17">
                  <c:v>210</c:v>
                </c:pt>
                <c:pt idx="18">
                  <c:v>94</c:v>
                </c:pt>
                <c:pt idx="19">
                  <c:v>61</c:v>
                </c:pt>
                <c:pt idx="20">
                  <c:v>41</c:v>
                </c:pt>
                <c:pt idx="21">
                  <c:v>38</c:v>
                </c:pt>
                <c:pt idx="22">
                  <c:v>49</c:v>
                </c:pt>
                <c:pt idx="23">
                  <c:v>112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'03.08 NAMUGONGO-KIREKA-24h'!$AF$9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'03.08 NAMUGONGO-KIREKA-24h'!$R$10:$R$33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NAMUGONGO-KIREKA-24h'!$AF$10:$AF$33</c:f>
              <c:numCache>
                <c:formatCode>0</c:formatCode>
                <c:ptCount val="24"/>
                <c:pt idx="0">
                  <c:v>656</c:v>
                </c:pt>
                <c:pt idx="1">
                  <c:v>1207</c:v>
                </c:pt>
                <c:pt idx="2">
                  <c:v>1152</c:v>
                </c:pt>
                <c:pt idx="3">
                  <c:v>1071</c:v>
                </c:pt>
                <c:pt idx="4">
                  <c:v>1117</c:v>
                </c:pt>
                <c:pt idx="5">
                  <c:v>1048</c:v>
                </c:pt>
                <c:pt idx="6">
                  <c:v>981</c:v>
                </c:pt>
                <c:pt idx="7">
                  <c:v>907</c:v>
                </c:pt>
                <c:pt idx="8">
                  <c:v>861</c:v>
                </c:pt>
                <c:pt idx="9">
                  <c:v>870</c:v>
                </c:pt>
                <c:pt idx="10">
                  <c:v>978</c:v>
                </c:pt>
                <c:pt idx="11">
                  <c:v>1011</c:v>
                </c:pt>
                <c:pt idx="12">
                  <c:v>1209</c:v>
                </c:pt>
                <c:pt idx="13">
                  <c:v>879</c:v>
                </c:pt>
                <c:pt idx="14">
                  <c:v>562</c:v>
                </c:pt>
                <c:pt idx="15">
                  <c:v>489</c:v>
                </c:pt>
                <c:pt idx="16">
                  <c:v>512</c:v>
                </c:pt>
                <c:pt idx="17">
                  <c:v>367</c:v>
                </c:pt>
                <c:pt idx="18">
                  <c:v>211</c:v>
                </c:pt>
                <c:pt idx="19">
                  <c:v>147</c:v>
                </c:pt>
                <c:pt idx="20">
                  <c:v>107</c:v>
                </c:pt>
                <c:pt idx="21">
                  <c:v>99</c:v>
                </c:pt>
                <c:pt idx="22">
                  <c:v>128</c:v>
                </c:pt>
                <c:pt idx="23">
                  <c:v>239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701376"/>
        <c:axId val="107702912"/>
      </c:lineChart>
      <c:catAx>
        <c:axId val="10770137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7702912"/>
        <c:crosses val="autoZero"/>
        <c:auto val="1"/>
        <c:lblAlgn val="ctr"/>
        <c:lblOffset val="100"/>
        <c:noMultiLvlLbl val="0"/>
      </c:catAx>
      <c:valAx>
        <c:axId val="1077029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770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'03.08 NAMUGONGO-KIREKA-24h'!$C$9:$N$9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NAMUGONGO-KIREKA-24h'!$C$107:$N$107</c:f>
              <c:numCache>
                <c:formatCode>0.0%</c:formatCode>
                <c:ptCount val="12"/>
                <c:pt idx="0">
                  <c:v>0.28724416944312231</c:v>
                </c:pt>
                <c:pt idx="1">
                  <c:v>2.6951451689671585E-2</c:v>
                </c:pt>
                <c:pt idx="2">
                  <c:v>3.3614945264159923E-2</c:v>
                </c:pt>
                <c:pt idx="3">
                  <c:v>9.1623036649214659E-2</c:v>
                </c:pt>
                <c:pt idx="4">
                  <c:v>1.1899095668729176E-3</c:v>
                </c:pt>
                <c:pt idx="5">
                  <c:v>4.224178962398858E-3</c:v>
                </c:pt>
                <c:pt idx="6">
                  <c:v>1.5349833412660639E-2</c:v>
                </c:pt>
                <c:pt idx="7">
                  <c:v>6.3660161827701093E-3</c:v>
                </c:pt>
                <c:pt idx="8">
                  <c:v>3.0342693955259402E-3</c:v>
                </c:pt>
                <c:pt idx="9">
                  <c:v>5.949547834364588E-4</c:v>
                </c:pt>
                <c:pt idx="10">
                  <c:v>0.52980723465016655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'03.08 NAMUGONGO-KIREKA-24h'!$C$9:$N$9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NAMUGONGO-KIREKA-24h'!$C$108:$N$108</c:f>
              <c:numCache>
                <c:formatCode>0.00%</c:formatCode>
                <c:ptCount val="12"/>
                <c:pt idx="0">
                  <c:v>0.61090725041123628</c:v>
                </c:pt>
                <c:pt idx="1">
                  <c:v>5.7320005061369098E-2</c:v>
                </c:pt>
                <c:pt idx="2">
                  <c:v>7.14918385423257E-2</c:v>
                </c:pt>
                <c:pt idx="3">
                  <c:v>0.19486271036315322</c:v>
                </c:pt>
                <c:pt idx="4">
                  <c:v>2.5306845501708213E-3</c:v>
                </c:pt>
                <c:pt idx="5">
                  <c:v>8.9839301531064158E-3</c:v>
                </c:pt>
                <c:pt idx="6">
                  <c:v>3.2645830697203594E-2</c:v>
                </c:pt>
                <c:pt idx="7">
                  <c:v>1.3539162343413893E-2</c:v>
                </c:pt>
                <c:pt idx="8">
                  <c:v>6.4532456029355945E-3</c:v>
                </c:pt>
                <c:pt idx="9">
                  <c:v>1.2653422750854106E-3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4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'03.08 KIREKA-NAMUGONGO-24h'!$AE$9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'03.08 KIREKA-NAMUGONGO-24h'!$R$10:$R$33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KIREKA-NAMUGONGO-24h'!$AE$10:$AE$33</c:f>
              <c:numCache>
                <c:formatCode>0</c:formatCode>
                <c:ptCount val="24"/>
                <c:pt idx="0">
                  <c:v>216</c:v>
                </c:pt>
                <c:pt idx="1">
                  <c:v>302</c:v>
                </c:pt>
                <c:pt idx="2">
                  <c:v>349</c:v>
                </c:pt>
                <c:pt idx="3">
                  <c:v>425</c:v>
                </c:pt>
                <c:pt idx="4">
                  <c:v>443</c:v>
                </c:pt>
                <c:pt idx="5">
                  <c:v>510</c:v>
                </c:pt>
                <c:pt idx="6">
                  <c:v>540</c:v>
                </c:pt>
                <c:pt idx="7">
                  <c:v>619</c:v>
                </c:pt>
                <c:pt idx="8">
                  <c:v>630</c:v>
                </c:pt>
                <c:pt idx="9">
                  <c:v>614</c:v>
                </c:pt>
                <c:pt idx="10">
                  <c:v>714</c:v>
                </c:pt>
                <c:pt idx="11">
                  <c:v>610</c:v>
                </c:pt>
                <c:pt idx="12">
                  <c:v>411</c:v>
                </c:pt>
                <c:pt idx="13">
                  <c:v>530</c:v>
                </c:pt>
                <c:pt idx="14">
                  <c:v>386</c:v>
                </c:pt>
                <c:pt idx="15">
                  <c:v>571</c:v>
                </c:pt>
                <c:pt idx="16">
                  <c:v>296</c:v>
                </c:pt>
                <c:pt idx="17">
                  <c:v>175</c:v>
                </c:pt>
                <c:pt idx="18">
                  <c:v>87</c:v>
                </c:pt>
                <c:pt idx="19">
                  <c:v>88</c:v>
                </c:pt>
                <c:pt idx="20">
                  <c:v>89</c:v>
                </c:pt>
                <c:pt idx="21">
                  <c:v>132</c:v>
                </c:pt>
                <c:pt idx="22">
                  <c:v>102</c:v>
                </c:pt>
                <c:pt idx="23">
                  <c:v>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'03.08 KIREKA-NAMUGONGO-24h'!$AF$9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'03.08 KIREKA-NAMUGONGO-24h'!$R$10:$R$33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KIREKA-NAMUGONGO-24h'!$AF$10:$AF$33</c:f>
              <c:numCache>
                <c:formatCode>0</c:formatCode>
                <c:ptCount val="24"/>
                <c:pt idx="0">
                  <c:v>503</c:v>
                </c:pt>
                <c:pt idx="1">
                  <c:v>792</c:v>
                </c:pt>
                <c:pt idx="2">
                  <c:v>862</c:v>
                </c:pt>
                <c:pt idx="3">
                  <c:v>946</c:v>
                </c:pt>
                <c:pt idx="4">
                  <c:v>956</c:v>
                </c:pt>
                <c:pt idx="5">
                  <c:v>1062</c:v>
                </c:pt>
                <c:pt idx="6">
                  <c:v>987</c:v>
                </c:pt>
                <c:pt idx="7">
                  <c:v>1008</c:v>
                </c:pt>
                <c:pt idx="8">
                  <c:v>1123</c:v>
                </c:pt>
                <c:pt idx="9">
                  <c:v>1132</c:v>
                </c:pt>
                <c:pt idx="10">
                  <c:v>1311</c:v>
                </c:pt>
                <c:pt idx="11">
                  <c:v>1182</c:v>
                </c:pt>
                <c:pt idx="12">
                  <c:v>984</c:v>
                </c:pt>
                <c:pt idx="13">
                  <c:v>1207</c:v>
                </c:pt>
                <c:pt idx="14">
                  <c:v>920</c:v>
                </c:pt>
                <c:pt idx="15">
                  <c:v>1041</c:v>
                </c:pt>
                <c:pt idx="16">
                  <c:v>565</c:v>
                </c:pt>
                <c:pt idx="17">
                  <c:v>345</c:v>
                </c:pt>
                <c:pt idx="18">
                  <c:v>233</c:v>
                </c:pt>
                <c:pt idx="19">
                  <c:v>160</c:v>
                </c:pt>
                <c:pt idx="20">
                  <c:v>150</c:v>
                </c:pt>
                <c:pt idx="21">
                  <c:v>172</c:v>
                </c:pt>
                <c:pt idx="22">
                  <c:v>174</c:v>
                </c:pt>
                <c:pt idx="23">
                  <c:v>215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060032"/>
        <c:axId val="108070016"/>
      </c:lineChart>
      <c:catAx>
        <c:axId val="1080600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8070016"/>
        <c:crosses val="autoZero"/>
        <c:auto val="1"/>
        <c:lblAlgn val="ctr"/>
        <c:lblOffset val="100"/>
        <c:noMultiLvlLbl val="0"/>
      </c:catAx>
      <c:valAx>
        <c:axId val="1080700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8060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'03.08 KIREKA-NAMUGONGO-24h'!$C$9:$N$9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KIREKA-NAMUGONGO-24h'!$C$107:$N$107</c:f>
              <c:numCache>
                <c:formatCode>0.0%</c:formatCode>
                <c:ptCount val="12"/>
                <c:pt idx="0">
                  <c:v>0.2641708264004437</c:v>
                </c:pt>
                <c:pt idx="1">
                  <c:v>9.262340543538547E-2</c:v>
                </c:pt>
                <c:pt idx="2">
                  <c:v>3.8824181919023849E-2</c:v>
                </c:pt>
                <c:pt idx="3">
                  <c:v>6.8718801996672213E-2</c:v>
                </c:pt>
                <c:pt idx="4">
                  <c:v>1.1647254575707154E-3</c:v>
                </c:pt>
                <c:pt idx="5">
                  <c:v>4.9916805324459236E-4</c:v>
                </c:pt>
                <c:pt idx="6">
                  <c:v>1.9744869661674987E-2</c:v>
                </c:pt>
                <c:pt idx="7">
                  <c:v>5.9900166389351079E-3</c:v>
                </c:pt>
                <c:pt idx="8">
                  <c:v>1.8857459789240155E-3</c:v>
                </c:pt>
                <c:pt idx="9">
                  <c:v>6.6555740432612314E-4</c:v>
                </c:pt>
                <c:pt idx="10">
                  <c:v>0.50571270105379917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'03.08 KIREKA-NAMUGONGO-24h'!$C$9:$N$9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KIREKA-NAMUGONGO-24h'!$C$108:$N$108</c:f>
              <c:numCache>
                <c:formatCode>0.00%</c:formatCode>
                <c:ptCount val="12"/>
                <c:pt idx="0">
                  <c:v>0.53444793536804314</c:v>
                </c:pt>
                <c:pt idx="1">
                  <c:v>0.18738779174147216</c:v>
                </c:pt>
                <c:pt idx="2">
                  <c:v>7.8545780969479354E-2</c:v>
                </c:pt>
                <c:pt idx="3">
                  <c:v>0.13902603231597846</c:v>
                </c:pt>
                <c:pt idx="4">
                  <c:v>2.3563734290843806E-3</c:v>
                </c:pt>
                <c:pt idx="5">
                  <c:v>1.0098743267504488E-3</c:v>
                </c:pt>
                <c:pt idx="6">
                  <c:v>3.9946140035906644E-2</c:v>
                </c:pt>
                <c:pt idx="7">
                  <c:v>1.2118491921005385E-2</c:v>
                </c:pt>
                <c:pt idx="8">
                  <c:v>3.81508078994614E-3</c:v>
                </c:pt>
                <c:pt idx="9">
                  <c:v>1.3464991023339318E-3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'04.08 NAMUGONGO-KIREKA'!$AE$9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'04.08 NAMUGONGO-KIREKA'!$R$10:$R$21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NAMUGONGO-KIREKA'!$AE$10:$AE$21</c:f>
              <c:numCache>
                <c:formatCode>0</c:formatCode>
                <c:ptCount val="12"/>
                <c:pt idx="0">
                  <c:v>314</c:v>
                </c:pt>
                <c:pt idx="1">
                  <c:v>386</c:v>
                </c:pt>
                <c:pt idx="2">
                  <c:v>448</c:v>
                </c:pt>
                <c:pt idx="3">
                  <c:v>546</c:v>
                </c:pt>
                <c:pt idx="4">
                  <c:v>551</c:v>
                </c:pt>
                <c:pt idx="5">
                  <c:v>462</c:v>
                </c:pt>
                <c:pt idx="6">
                  <c:v>391</c:v>
                </c:pt>
                <c:pt idx="7">
                  <c:v>460</c:v>
                </c:pt>
                <c:pt idx="8">
                  <c:v>396</c:v>
                </c:pt>
                <c:pt idx="9">
                  <c:v>543</c:v>
                </c:pt>
                <c:pt idx="10">
                  <c:v>360</c:v>
                </c:pt>
                <c:pt idx="11">
                  <c:v>326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'04.08 NAMUGONGO-KIREKA'!$AF$9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'04.08 NAMUGONGO-KIREKA'!$R$10:$R$21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NAMUGONGO-KIREKA'!$AF$10:$AF$21</c:f>
              <c:numCache>
                <c:formatCode>0</c:formatCode>
                <c:ptCount val="12"/>
                <c:pt idx="0">
                  <c:v>612</c:v>
                </c:pt>
                <c:pt idx="1">
                  <c:v>814</c:v>
                </c:pt>
                <c:pt idx="2">
                  <c:v>934</c:v>
                </c:pt>
                <c:pt idx="3">
                  <c:v>1057</c:v>
                </c:pt>
                <c:pt idx="4">
                  <c:v>1023</c:v>
                </c:pt>
                <c:pt idx="5">
                  <c:v>888</c:v>
                </c:pt>
                <c:pt idx="6">
                  <c:v>805</c:v>
                </c:pt>
                <c:pt idx="7">
                  <c:v>890</c:v>
                </c:pt>
                <c:pt idx="8">
                  <c:v>819</c:v>
                </c:pt>
                <c:pt idx="9">
                  <c:v>965</c:v>
                </c:pt>
                <c:pt idx="10">
                  <c:v>815</c:v>
                </c:pt>
                <c:pt idx="11">
                  <c:v>794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262528"/>
        <c:axId val="108264064"/>
      </c:lineChart>
      <c:catAx>
        <c:axId val="10826252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8264064"/>
        <c:crosses val="autoZero"/>
        <c:auto val="1"/>
        <c:lblAlgn val="ctr"/>
        <c:lblOffset val="100"/>
        <c:noMultiLvlLbl val="0"/>
      </c:catAx>
      <c:valAx>
        <c:axId val="1082640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826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'04.08 NAMUGONGO-KIREKA'!$C$9:$N$9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NAMUGONGO-KIREKA'!$C$59:$N$59</c:f>
              <c:numCache>
                <c:formatCode>0.0%</c:formatCode>
                <c:ptCount val="12"/>
                <c:pt idx="0">
                  <c:v>0.31365207373271892</c:v>
                </c:pt>
                <c:pt idx="1">
                  <c:v>3.1778033794162823E-2</c:v>
                </c:pt>
                <c:pt idx="2">
                  <c:v>2.4673579109062978E-2</c:v>
                </c:pt>
                <c:pt idx="3">
                  <c:v>0.10263056835637481</c:v>
                </c:pt>
                <c:pt idx="4">
                  <c:v>5.76036866359447E-4</c:v>
                </c:pt>
                <c:pt idx="5">
                  <c:v>0</c:v>
                </c:pt>
                <c:pt idx="6">
                  <c:v>1.3344854070660522E-2</c:v>
                </c:pt>
                <c:pt idx="7">
                  <c:v>7.0084485407066049E-3</c:v>
                </c:pt>
                <c:pt idx="8">
                  <c:v>3.0721966205837174E-3</c:v>
                </c:pt>
                <c:pt idx="9">
                  <c:v>8.6405529953917056E-4</c:v>
                </c:pt>
                <c:pt idx="10">
                  <c:v>0.50240015360983103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65"/>
          <c:y val="2.29602266373237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'04.08 NAMUGONGO-KIREKA'!$S$9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'04.08 NAMUGONGO-KIREKA'!$R$10:$R$21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NAMUGONGO-KIREKA'!$S$10:$S$21</c:f>
              <c:numCache>
                <c:formatCode>0</c:formatCode>
                <c:ptCount val="12"/>
                <c:pt idx="0">
                  <c:v>155</c:v>
                </c:pt>
                <c:pt idx="1">
                  <c:v>233</c:v>
                </c:pt>
                <c:pt idx="2">
                  <c:v>279</c:v>
                </c:pt>
                <c:pt idx="3">
                  <c:v>360</c:v>
                </c:pt>
                <c:pt idx="4">
                  <c:v>363</c:v>
                </c:pt>
                <c:pt idx="5">
                  <c:v>312</c:v>
                </c:pt>
                <c:pt idx="6">
                  <c:v>250</c:v>
                </c:pt>
                <c:pt idx="7">
                  <c:v>310</c:v>
                </c:pt>
                <c:pt idx="8">
                  <c:v>254</c:v>
                </c:pt>
                <c:pt idx="9">
                  <c:v>343</c:v>
                </c:pt>
                <c:pt idx="10">
                  <c:v>220</c:v>
                </c:pt>
                <c:pt idx="11">
                  <c:v>188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'04.08 NAMUGONGO-KIREKA'!$T$9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'04.08 NAMUGONGO-KIREKA'!$R$10:$R$21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NAMUGONGO-KIREKA'!$T$10:$T$21</c:f>
              <c:numCache>
                <c:formatCode>0</c:formatCode>
                <c:ptCount val="12"/>
                <c:pt idx="0">
                  <c:v>11</c:v>
                </c:pt>
                <c:pt idx="1">
                  <c:v>13</c:v>
                </c:pt>
                <c:pt idx="2">
                  <c:v>28</c:v>
                </c:pt>
                <c:pt idx="3">
                  <c:v>41</c:v>
                </c:pt>
                <c:pt idx="4">
                  <c:v>21</c:v>
                </c:pt>
                <c:pt idx="5">
                  <c:v>23</c:v>
                </c:pt>
                <c:pt idx="6">
                  <c:v>17</c:v>
                </c:pt>
                <c:pt idx="7">
                  <c:v>26</c:v>
                </c:pt>
                <c:pt idx="8">
                  <c:v>35</c:v>
                </c:pt>
                <c:pt idx="9">
                  <c:v>55</c:v>
                </c:pt>
                <c:pt idx="10">
                  <c:v>20</c:v>
                </c:pt>
                <c:pt idx="11">
                  <c:v>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'04.08 NAMUGONGO-KIREKA'!$U$9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'04.08 NAMUGONGO-KIREKA'!$U$10:$U$21</c:f>
              <c:numCache>
                <c:formatCode>0</c:formatCode>
                <c:ptCount val="12"/>
                <c:pt idx="0">
                  <c:v>10</c:v>
                </c:pt>
                <c:pt idx="1">
                  <c:v>12</c:v>
                </c:pt>
                <c:pt idx="2">
                  <c:v>24</c:v>
                </c:pt>
                <c:pt idx="3">
                  <c:v>17</c:v>
                </c:pt>
                <c:pt idx="4">
                  <c:v>35</c:v>
                </c:pt>
                <c:pt idx="5">
                  <c:v>28</c:v>
                </c:pt>
                <c:pt idx="6">
                  <c:v>12</c:v>
                </c:pt>
                <c:pt idx="7">
                  <c:v>18</c:v>
                </c:pt>
                <c:pt idx="8">
                  <c:v>24</c:v>
                </c:pt>
                <c:pt idx="9">
                  <c:v>28</c:v>
                </c:pt>
                <c:pt idx="10">
                  <c:v>24</c:v>
                </c:pt>
                <c:pt idx="1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'04.08 NAMUGONGO-KIREKA'!$V$9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'04.08 NAMUGONGO-KIREKA'!$V$10:$V$21</c:f>
              <c:numCache>
                <c:formatCode>0</c:formatCode>
                <c:ptCount val="12"/>
                <c:pt idx="0">
                  <c:v>118</c:v>
                </c:pt>
                <c:pt idx="1">
                  <c:v>113</c:v>
                </c:pt>
                <c:pt idx="2">
                  <c:v>82</c:v>
                </c:pt>
                <c:pt idx="3">
                  <c:v>99</c:v>
                </c:pt>
                <c:pt idx="4">
                  <c:v>103</c:v>
                </c:pt>
                <c:pt idx="5">
                  <c:v>76</c:v>
                </c:pt>
                <c:pt idx="6">
                  <c:v>88</c:v>
                </c:pt>
                <c:pt idx="7">
                  <c:v>85</c:v>
                </c:pt>
                <c:pt idx="8">
                  <c:v>69</c:v>
                </c:pt>
                <c:pt idx="9">
                  <c:v>98</c:v>
                </c:pt>
                <c:pt idx="10">
                  <c:v>78</c:v>
                </c:pt>
                <c:pt idx="11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'04.08 NAMUGONGO-KIREKA'!$W$9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'04.08 NAMUGONGO-KIREKA'!$W$10:$W$21</c:f>
              <c:numCache>
                <c:formatCode>0</c:formatCode>
                <c:ptCount val="12"/>
                <c:pt idx="0">
                  <c:v>4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'04.08 NAMUGONGO-KIREKA'!$X$9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'04.08 NAMUGONGO-KIREKA'!$X$10:$X$21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'04.08 NAMUGONGO-KIREKA'!$Y$9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NAMUGONGO-KIREKA'!$Y$10:$Y$21</c:f>
              <c:numCache>
                <c:formatCode>0</c:formatCode>
                <c:ptCount val="12"/>
                <c:pt idx="0">
                  <c:v>9</c:v>
                </c:pt>
                <c:pt idx="1">
                  <c:v>5</c:v>
                </c:pt>
                <c:pt idx="2">
                  <c:v>22</c:v>
                </c:pt>
                <c:pt idx="3">
                  <c:v>13</c:v>
                </c:pt>
                <c:pt idx="4">
                  <c:v>12</c:v>
                </c:pt>
                <c:pt idx="5">
                  <c:v>11</c:v>
                </c:pt>
                <c:pt idx="6">
                  <c:v>11</c:v>
                </c:pt>
                <c:pt idx="7">
                  <c:v>12</c:v>
                </c:pt>
                <c:pt idx="8">
                  <c:v>11</c:v>
                </c:pt>
                <c:pt idx="9">
                  <c:v>14</c:v>
                </c:pt>
                <c:pt idx="10">
                  <c:v>11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'04.08 NAMUGONGO-KIREKA'!$Z$9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NAMUGONGO-KIREKA'!$Z$10:$Z$21</c:f>
              <c:numCache>
                <c:formatCode>0</c:formatCode>
                <c:ptCount val="12"/>
                <c:pt idx="0">
                  <c:v>6</c:v>
                </c:pt>
                <c:pt idx="1">
                  <c:v>4</c:v>
                </c:pt>
                <c:pt idx="2">
                  <c:v>11</c:v>
                </c:pt>
                <c:pt idx="3">
                  <c:v>10</c:v>
                </c:pt>
                <c:pt idx="4">
                  <c:v>13</c:v>
                </c:pt>
                <c:pt idx="5">
                  <c:v>6</c:v>
                </c:pt>
                <c:pt idx="6">
                  <c:v>8</c:v>
                </c:pt>
                <c:pt idx="7">
                  <c:v>3</c:v>
                </c:pt>
                <c:pt idx="8">
                  <c:v>2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'04.08 NAMUGONGO-KIREKA'!$AA$9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NAMUGONGO-KIREKA'!$AA$10:$AA$21</c:f>
              <c:numCache>
                <c:formatCode>0</c:formatCode>
                <c:ptCount val="12"/>
                <c:pt idx="0">
                  <c:v>1</c:v>
                </c:pt>
                <c:pt idx="1">
                  <c:v>6</c:v>
                </c:pt>
                <c:pt idx="2">
                  <c:v>1</c:v>
                </c:pt>
                <c:pt idx="3">
                  <c:v>4</c:v>
                </c:pt>
                <c:pt idx="4">
                  <c:v>2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'04.08 NAMUGONGO-KIREKA'!$AB$9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NAMUGONGO-KIREKA'!$AB$10:$AB$21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'04.08 NAMUGONGO-KIREKA'!$AC$9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NAMUGONGO-KIREKA'!$AC$10:$AC$21</c:f>
              <c:numCache>
                <c:formatCode>0</c:formatCode>
                <c:ptCount val="12"/>
                <c:pt idx="0">
                  <c:v>298</c:v>
                </c:pt>
                <c:pt idx="1">
                  <c:v>428</c:v>
                </c:pt>
                <c:pt idx="2">
                  <c:v>486</c:v>
                </c:pt>
                <c:pt idx="3">
                  <c:v>511</c:v>
                </c:pt>
                <c:pt idx="4">
                  <c:v>472</c:v>
                </c:pt>
                <c:pt idx="5">
                  <c:v>426</c:v>
                </c:pt>
                <c:pt idx="6">
                  <c:v>414</c:v>
                </c:pt>
                <c:pt idx="7">
                  <c:v>430</c:v>
                </c:pt>
                <c:pt idx="8">
                  <c:v>423</c:v>
                </c:pt>
                <c:pt idx="9">
                  <c:v>422</c:v>
                </c:pt>
                <c:pt idx="10">
                  <c:v>455</c:v>
                </c:pt>
                <c:pt idx="11">
                  <c:v>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'04.08 NAMUGONGO-KIREKA'!$AD$9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NAMUGONGO-KIREKA'!$AD$10:$AD$21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657664"/>
        <c:axId val="108679936"/>
      </c:lineChart>
      <c:catAx>
        <c:axId val="108657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8679936"/>
        <c:crosses val="autoZero"/>
        <c:auto val="1"/>
        <c:lblAlgn val="ctr"/>
        <c:lblOffset val="100"/>
        <c:noMultiLvlLbl val="0"/>
      </c:catAx>
      <c:valAx>
        <c:axId val="10867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8657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'04.08 NAMUGONGO-KIREKA'!$C$9:$N$9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NAMUGONGO-KIREKA'!$C$60:$N$60</c:f>
              <c:numCache>
                <c:formatCode>0.00%</c:formatCode>
                <c:ptCount val="12"/>
                <c:pt idx="0">
                  <c:v>0.63032992475400351</c:v>
                </c:pt>
                <c:pt idx="1">
                  <c:v>6.3862627821724874E-2</c:v>
                </c:pt>
                <c:pt idx="2">
                  <c:v>4.9585182326837736E-2</c:v>
                </c:pt>
                <c:pt idx="3">
                  <c:v>0.20625120586532897</c:v>
                </c:pt>
                <c:pt idx="4">
                  <c:v>1.1576307158016593E-3</c:v>
                </c:pt>
                <c:pt idx="5">
                  <c:v>0</c:v>
                </c:pt>
                <c:pt idx="6">
                  <c:v>2.6818444916071774E-2</c:v>
                </c:pt>
                <c:pt idx="7">
                  <c:v>1.4084507042253521E-2</c:v>
                </c:pt>
                <c:pt idx="8">
                  <c:v>6.174030484275516E-3</c:v>
                </c:pt>
                <c:pt idx="9">
                  <c:v>1.736446073702489E-3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'04.08 KIREKA-NAMUGONGO'!$AE$9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'04.08 KIREKA-NAMUGONGO'!$R$10:$R$21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KIREKA-NAMUGONGO'!$AE$10:$AE$21</c:f>
              <c:numCache>
                <c:formatCode>0</c:formatCode>
                <c:ptCount val="12"/>
                <c:pt idx="0">
                  <c:v>167</c:v>
                </c:pt>
                <c:pt idx="1">
                  <c:v>232</c:v>
                </c:pt>
                <c:pt idx="2">
                  <c:v>305</c:v>
                </c:pt>
                <c:pt idx="3">
                  <c:v>397</c:v>
                </c:pt>
                <c:pt idx="4">
                  <c:v>403</c:v>
                </c:pt>
                <c:pt idx="5">
                  <c:v>432</c:v>
                </c:pt>
                <c:pt idx="6">
                  <c:v>564</c:v>
                </c:pt>
                <c:pt idx="7">
                  <c:v>507</c:v>
                </c:pt>
                <c:pt idx="8">
                  <c:v>498</c:v>
                </c:pt>
                <c:pt idx="9">
                  <c:v>542</c:v>
                </c:pt>
                <c:pt idx="10">
                  <c:v>483</c:v>
                </c:pt>
                <c:pt idx="11">
                  <c:v>514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'04.08 KIREKA-NAMUGONGO'!$AF$9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'04.08 KIREKA-NAMUGONGO'!$R$10:$R$21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KIREKA-NAMUGONGO'!$AF$10:$AF$21</c:f>
              <c:numCache>
                <c:formatCode>0</c:formatCode>
                <c:ptCount val="12"/>
                <c:pt idx="0">
                  <c:v>471</c:v>
                </c:pt>
                <c:pt idx="1">
                  <c:v>621</c:v>
                </c:pt>
                <c:pt idx="2">
                  <c:v>756</c:v>
                </c:pt>
                <c:pt idx="3">
                  <c:v>891</c:v>
                </c:pt>
                <c:pt idx="4">
                  <c:v>948</c:v>
                </c:pt>
                <c:pt idx="5">
                  <c:v>888</c:v>
                </c:pt>
                <c:pt idx="6">
                  <c:v>974</c:v>
                </c:pt>
                <c:pt idx="7">
                  <c:v>950</c:v>
                </c:pt>
                <c:pt idx="8">
                  <c:v>988</c:v>
                </c:pt>
                <c:pt idx="9">
                  <c:v>1035</c:v>
                </c:pt>
                <c:pt idx="10">
                  <c:v>950</c:v>
                </c:pt>
                <c:pt idx="11">
                  <c:v>977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903040"/>
        <c:axId val="108913024"/>
      </c:lineChart>
      <c:catAx>
        <c:axId val="1089030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8913024"/>
        <c:crosses val="autoZero"/>
        <c:auto val="1"/>
        <c:lblAlgn val="ctr"/>
        <c:lblOffset val="100"/>
        <c:noMultiLvlLbl val="0"/>
      </c:catAx>
      <c:valAx>
        <c:axId val="1089130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890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'04.08 KIREKA-NAMUGONGO'!$C$9:$N$9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KIREKA-NAMUGONGO'!$C$59:$N$59</c:f>
              <c:numCache>
                <c:formatCode>0.0%</c:formatCode>
                <c:ptCount val="12"/>
                <c:pt idx="0">
                  <c:v>0.28060101445114366</c:v>
                </c:pt>
                <c:pt idx="1">
                  <c:v>8.1347497368169208E-2</c:v>
                </c:pt>
                <c:pt idx="2">
                  <c:v>2.9189396114460715E-2</c:v>
                </c:pt>
                <c:pt idx="3">
                  <c:v>6.833189778926213E-2</c:v>
                </c:pt>
                <c:pt idx="4">
                  <c:v>6.6992056656139346E-4</c:v>
                </c:pt>
                <c:pt idx="5">
                  <c:v>0</c:v>
                </c:pt>
                <c:pt idx="6">
                  <c:v>1.6652311225954636E-2</c:v>
                </c:pt>
                <c:pt idx="7">
                  <c:v>3.8281175232079624E-3</c:v>
                </c:pt>
                <c:pt idx="8">
                  <c:v>1.6269499473633841E-3</c:v>
                </c:pt>
                <c:pt idx="9">
                  <c:v>4.785146904009953E-4</c:v>
                </c:pt>
                <c:pt idx="10">
                  <c:v>0.51727438032347595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'04.08 KIREKA-NAMUGONGO'!$C$9:$N$9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KIREKA-NAMUGONGO'!$C$60:$N$60</c:f>
              <c:numCache>
                <c:formatCode>0.00%</c:formatCode>
                <c:ptCount val="12"/>
                <c:pt idx="0">
                  <c:v>0.58128469468675659</c:v>
                </c:pt>
                <c:pt idx="1">
                  <c:v>0.16851704996034894</c:v>
                </c:pt>
                <c:pt idx="2">
                  <c:v>6.0467882632831087E-2</c:v>
                </c:pt>
                <c:pt idx="3">
                  <c:v>0.1415543219666931</c:v>
                </c:pt>
                <c:pt idx="4">
                  <c:v>1.3877874702616971E-3</c:v>
                </c:pt>
                <c:pt idx="5">
                  <c:v>0</c:v>
                </c:pt>
                <c:pt idx="6">
                  <c:v>3.4496431403647901E-2</c:v>
                </c:pt>
                <c:pt idx="7">
                  <c:v>7.9302141157811257E-3</c:v>
                </c:pt>
                <c:pt idx="8">
                  <c:v>3.3703409992069788E-3</c:v>
                </c:pt>
                <c:pt idx="9">
                  <c:v>9.9127676447264071E-4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Namugongo-Kireka'!$AE$9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Namugongo-Kireka'!$R$10:$R$33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Namugongo-Kireka'!$AE$10:$AE$33</c:f>
              <c:numCache>
                <c:formatCode>0</c:formatCode>
                <c:ptCount val="24"/>
                <c:pt idx="0">
                  <c:v>460.26190476190476</c:v>
                </c:pt>
                <c:pt idx="1">
                  <c:v>500.85714285714278</c:v>
                </c:pt>
                <c:pt idx="2">
                  <c:v>450.57142857142861</c:v>
                </c:pt>
                <c:pt idx="3">
                  <c:v>463</c:v>
                </c:pt>
                <c:pt idx="4">
                  <c:v>444.35714285714283</c:v>
                </c:pt>
                <c:pt idx="5">
                  <c:v>394.92857142857139</c:v>
                </c:pt>
                <c:pt idx="6">
                  <c:v>371.57142857142856</c:v>
                </c:pt>
                <c:pt idx="7">
                  <c:v>368.5714285714285</c:v>
                </c:pt>
                <c:pt idx="8">
                  <c:v>357.42857142857139</c:v>
                </c:pt>
                <c:pt idx="9">
                  <c:v>386</c:v>
                </c:pt>
                <c:pt idx="10">
                  <c:v>399.71428571428578</c:v>
                </c:pt>
                <c:pt idx="11">
                  <c:v>373.8095238095238</c:v>
                </c:pt>
                <c:pt idx="12">
                  <c:v>213</c:v>
                </c:pt>
                <c:pt idx="13">
                  <c:v>182.5</c:v>
                </c:pt>
                <c:pt idx="14">
                  <c:v>133.5</c:v>
                </c:pt>
                <c:pt idx="15">
                  <c:v>144</c:v>
                </c:pt>
                <c:pt idx="16">
                  <c:v>135.5</c:v>
                </c:pt>
                <c:pt idx="17">
                  <c:v>105</c:v>
                </c:pt>
                <c:pt idx="18">
                  <c:v>47</c:v>
                </c:pt>
                <c:pt idx="19">
                  <c:v>30.5</c:v>
                </c:pt>
                <c:pt idx="20">
                  <c:v>20.5</c:v>
                </c:pt>
                <c:pt idx="21">
                  <c:v>19</c:v>
                </c:pt>
                <c:pt idx="22">
                  <c:v>24.5</c:v>
                </c:pt>
                <c:pt idx="23">
                  <c:v>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Namugongo-Kireka'!$AF$9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Namugongo-Kireka'!$R$10:$R$33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Namugongo-Kireka'!$AF$10:$AF$33</c:f>
              <c:numCache>
                <c:formatCode>0</c:formatCode>
                <c:ptCount val="24"/>
                <c:pt idx="0">
                  <c:v>895.69047619047615</c:v>
                </c:pt>
                <c:pt idx="1">
                  <c:v>1073.4285714285711</c:v>
                </c:pt>
                <c:pt idx="2">
                  <c:v>925.42857142857133</c:v>
                </c:pt>
                <c:pt idx="3">
                  <c:v>951</c:v>
                </c:pt>
                <c:pt idx="4">
                  <c:v>923.78571428571422</c:v>
                </c:pt>
                <c:pt idx="5">
                  <c:v>836.92857142857144</c:v>
                </c:pt>
                <c:pt idx="6">
                  <c:v>767.85714285714289</c:v>
                </c:pt>
                <c:pt idx="7">
                  <c:v>840.14285714285711</c:v>
                </c:pt>
                <c:pt idx="8">
                  <c:v>792.57142857142844</c:v>
                </c:pt>
                <c:pt idx="9">
                  <c:v>854.14285714285711</c:v>
                </c:pt>
                <c:pt idx="10">
                  <c:v>908.28571428571422</c:v>
                </c:pt>
                <c:pt idx="11">
                  <c:v>941.2380952380953</c:v>
                </c:pt>
                <c:pt idx="12">
                  <c:v>604.5</c:v>
                </c:pt>
                <c:pt idx="13">
                  <c:v>439.5</c:v>
                </c:pt>
                <c:pt idx="14">
                  <c:v>281</c:v>
                </c:pt>
                <c:pt idx="15">
                  <c:v>244.5</c:v>
                </c:pt>
                <c:pt idx="16">
                  <c:v>256</c:v>
                </c:pt>
                <c:pt idx="17">
                  <c:v>183.5</c:v>
                </c:pt>
                <c:pt idx="18">
                  <c:v>105.5</c:v>
                </c:pt>
                <c:pt idx="19">
                  <c:v>73.5</c:v>
                </c:pt>
                <c:pt idx="20">
                  <c:v>53.5</c:v>
                </c:pt>
                <c:pt idx="21">
                  <c:v>49.5</c:v>
                </c:pt>
                <c:pt idx="22">
                  <c:v>64</c:v>
                </c:pt>
                <c:pt idx="23">
                  <c:v>119.5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569152"/>
        <c:axId val="109570688"/>
      </c:lineChart>
      <c:catAx>
        <c:axId val="1095691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9570688"/>
        <c:crosses val="autoZero"/>
        <c:auto val="1"/>
        <c:lblAlgn val="ctr"/>
        <c:lblOffset val="100"/>
        <c:noMultiLvlLbl val="0"/>
      </c:catAx>
      <c:valAx>
        <c:axId val="1095706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956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Namugongo-Kireka'!$C$9:$N$9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Namugongo-Kireka'!$C$107:$N$107</c:f>
              <c:numCache>
                <c:formatCode>0.0%</c:formatCode>
                <c:ptCount val="12"/>
                <c:pt idx="0">
                  <c:v>0.26866027412102489</c:v>
                </c:pt>
                <c:pt idx="1">
                  <c:v>2.7574624844249412E-2</c:v>
                </c:pt>
                <c:pt idx="2">
                  <c:v>3.4048431659353146E-2</c:v>
                </c:pt>
                <c:pt idx="3">
                  <c:v>9.5032233598786472E-2</c:v>
                </c:pt>
                <c:pt idx="4">
                  <c:v>2.1380717626451411E-3</c:v>
                </c:pt>
                <c:pt idx="5">
                  <c:v>1.251422070534698E-3</c:v>
                </c:pt>
                <c:pt idx="6">
                  <c:v>1.9448507503115008E-2</c:v>
                </c:pt>
                <c:pt idx="7">
                  <c:v>7.8137132744641267E-3</c:v>
                </c:pt>
                <c:pt idx="8">
                  <c:v>4.209328782707621E-3</c:v>
                </c:pt>
                <c:pt idx="9">
                  <c:v>1.0888997237120102E-3</c:v>
                </c:pt>
                <c:pt idx="10">
                  <c:v>0.53871282301316414</c:v>
                </c:pt>
                <c:pt idx="11">
                  <c:v>2.1669646243025075E-5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Namugongo-Kireka'!$C$9:$N$9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Namugongo-Kireka'!$C$108:$N$108</c:f>
              <c:numCache>
                <c:formatCode>0.00%</c:formatCode>
                <c:ptCount val="12"/>
                <c:pt idx="0">
                  <c:v>0.58241435601122749</c:v>
                </c:pt>
                <c:pt idx="1">
                  <c:v>5.9777566383633414E-2</c:v>
                </c:pt>
                <c:pt idx="2">
                  <c:v>7.3811788746785054E-2</c:v>
                </c:pt>
                <c:pt idx="3">
                  <c:v>0.20601533781958686</c:v>
                </c:pt>
                <c:pt idx="4">
                  <c:v>4.6350123508986218E-3</c:v>
                </c:pt>
                <c:pt idx="5">
                  <c:v>2.7128915195715744E-3</c:v>
                </c:pt>
                <c:pt idx="6">
                  <c:v>4.2161387685116687E-2</c:v>
                </c:pt>
                <c:pt idx="7">
                  <c:v>1.6938934495218192E-2</c:v>
                </c:pt>
                <c:pt idx="8">
                  <c:v>9.1251805658316611E-3</c:v>
                </c:pt>
                <c:pt idx="9">
                  <c:v>2.360567945601241E-3</c:v>
                </c:pt>
                <c:pt idx="11">
                  <c:v>4.697647652937792E-5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Kireka-Namugongo'!$AE$9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Kireka-Namugongo'!$R$10:$R$33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Kireka-Namugongo'!$AE$10:$AE$33</c:f>
              <c:numCache>
                <c:formatCode>0</c:formatCode>
                <c:ptCount val="24"/>
                <c:pt idx="0">
                  <c:v>215.57142857142861</c:v>
                </c:pt>
                <c:pt idx="1">
                  <c:v>247.71428571428572</c:v>
                </c:pt>
                <c:pt idx="2">
                  <c:v>264</c:v>
                </c:pt>
                <c:pt idx="3">
                  <c:v>341.85714285714289</c:v>
                </c:pt>
                <c:pt idx="4">
                  <c:v>347.14285714285711</c:v>
                </c:pt>
                <c:pt idx="5">
                  <c:v>371.14285714285717</c:v>
                </c:pt>
                <c:pt idx="6">
                  <c:v>398.71428571428572</c:v>
                </c:pt>
                <c:pt idx="7">
                  <c:v>403.85714285714283</c:v>
                </c:pt>
                <c:pt idx="8">
                  <c:v>432.28571428571428</c:v>
                </c:pt>
                <c:pt idx="9">
                  <c:v>532.85714285714289</c:v>
                </c:pt>
                <c:pt idx="10">
                  <c:v>653.85714285714278</c:v>
                </c:pt>
                <c:pt idx="11">
                  <c:v>695.42857142857133</c:v>
                </c:pt>
                <c:pt idx="12">
                  <c:v>205.5</c:v>
                </c:pt>
                <c:pt idx="13">
                  <c:v>265</c:v>
                </c:pt>
                <c:pt idx="14">
                  <c:v>193</c:v>
                </c:pt>
                <c:pt idx="15">
                  <c:v>285.5</c:v>
                </c:pt>
                <c:pt idx="16">
                  <c:v>148</c:v>
                </c:pt>
                <c:pt idx="17">
                  <c:v>87.5</c:v>
                </c:pt>
                <c:pt idx="18">
                  <c:v>43.5</c:v>
                </c:pt>
                <c:pt idx="19">
                  <c:v>44</c:v>
                </c:pt>
                <c:pt idx="20">
                  <c:v>44.5</c:v>
                </c:pt>
                <c:pt idx="21">
                  <c:v>66</c:v>
                </c:pt>
                <c:pt idx="22">
                  <c:v>51</c:v>
                </c:pt>
                <c:pt idx="23">
                  <c:v>36.5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Kireka-Namugongo'!$AF$9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Kireka-Namugongo'!$R$10:$R$33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Kireka-Namugongo'!$AF$10:$AF$33</c:f>
              <c:numCache>
                <c:formatCode>0</c:formatCode>
                <c:ptCount val="24"/>
                <c:pt idx="0">
                  <c:v>508.85714285714283</c:v>
                </c:pt>
                <c:pt idx="1">
                  <c:v>636.85714285714289</c:v>
                </c:pt>
                <c:pt idx="2">
                  <c:v>715.28571428571422</c:v>
                </c:pt>
                <c:pt idx="3">
                  <c:v>834.57142857142844</c:v>
                </c:pt>
                <c:pt idx="4">
                  <c:v>837.42857142857133</c:v>
                </c:pt>
                <c:pt idx="5">
                  <c:v>823.57142857142856</c:v>
                </c:pt>
                <c:pt idx="6">
                  <c:v>825.14285714285711</c:v>
                </c:pt>
                <c:pt idx="7">
                  <c:v>807.57142857142867</c:v>
                </c:pt>
                <c:pt idx="8">
                  <c:v>888.28571428571422</c:v>
                </c:pt>
                <c:pt idx="9">
                  <c:v>1013.1428571428571</c:v>
                </c:pt>
                <c:pt idx="10">
                  <c:v>1188.7142857142858</c:v>
                </c:pt>
                <c:pt idx="11">
                  <c:v>1244.4285714285713</c:v>
                </c:pt>
                <c:pt idx="12">
                  <c:v>492</c:v>
                </c:pt>
                <c:pt idx="13">
                  <c:v>603.5</c:v>
                </c:pt>
                <c:pt idx="14">
                  <c:v>460</c:v>
                </c:pt>
                <c:pt idx="15">
                  <c:v>520.5</c:v>
                </c:pt>
                <c:pt idx="16">
                  <c:v>282.5</c:v>
                </c:pt>
                <c:pt idx="17">
                  <c:v>172.5</c:v>
                </c:pt>
                <c:pt idx="18">
                  <c:v>116.5</c:v>
                </c:pt>
                <c:pt idx="19">
                  <c:v>80</c:v>
                </c:pt>
                <c:pt idx="20">
                  <c:v>75</c:v>
                </c:pt>
                <c:pt idx="21">
                  <c:v>86</c:v>
                </c:pt>
                <c:pt idx="22">
                  <c:v>87</c:v>
                </c:pt>
                <c:pt idx="23">
                  <c:v>107.5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590016"/>
        <c:axId val="111600000"/>
      </c:lineChart>
      <c:catAx>
        <c:axId val="11159001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600000"/>
        <c:crosses val="autoZero"/>
        <c:auto val="1"/>
        <c:lblAlgn val="ctr"/>
        <c:lblOffset val="100"/>
        <c:noMultiLvlLbl val="0"/>
      </c:catAx>
      <c:valAx>
        <c:axId val="1116000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590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Kireka-Namugongo'!$C$9:$N$9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Kireka-Namugongo'!$C$107:$N$107</c:f>
              <c:numCache>
                <c:formatCode>0.0%</c:formatCode>
                <c:ptCount val="12"/>
                <c:pt idx="0">
                  <c:v>0.25318067513425974</c:v>
                </c:pt>
                <c:pt idx="1">
                  <c:v>7.5062867615719037E-2</c:v>
                </c:pt>
                <c:pt idx="2">
                  <c:v>3.5722657914926272E-2</c:v>
                </c:pt>
                <c:pt idx="3">
                  <c:v>7.0022802830108283E-2</c:v>
                </c:pt>
                <c:pt idx="4">
                  <c:v>2.4347881681016119E-3</c:v>
                </c:pt>
                <c:pt idx="5">
                  <c:v>1.1401415054130084E-3</c:v>
                </c:pt>
                <c:pt idx="6">
                  <c:v>2.1113928906316602E-2</c:v>
                </c:pt>
                <c:pt idx="7">
                  <c:v>8.5244224703776364E-3</c:v>
                </c:pt>
                <c:pt idx="8">
                  <c:v>3.7347625948342001E-3</c:v>
                </c:pt>
                <c:pt idx="9">
                  <c:v>4.5019606171681874E-3</c:v>
                </c:pt>
                <c:pt idx="10">
                  <c:v>0.52453968118659977</c:v>
                </c:pt>
                <c:pt idx="11">
                  <c:v>2.1311056175944084E-5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2314147839233145E-2"/>
          <c:y val="0.23022134733158361"/>
          <c:w val="0.82051102030882139"/>
          <c:h val="0.75846019247594054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Kireka-Namugongo'!$C$9:$N$9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Kireka-Namugongo'!$C$108:$N$108</c:f>
              <c:numCache>
                <c:formatCode>0.00%</c:formatCode>
                <c:ptCount val="12"/>
                <c:pt idx="0">
                  <c:v>0.53249590999753482</c:v>
                </c:pt>
                <c:pt idx="1">
                  <c:v>0.15787409515698883</c:v>
                </c:pt>
                <c:pt idx="2">
                  <c:v>7.513278501154165E-2</c:v>
                </c:pt>
                <c:pt idx="3">
                  <c:v>0.14727370520606889</c:v>
                </c:pt>
                <c:pt idx="4">
                  <c:v>5.120907196163242E-3</c:v>
                </c:pt>
                <c:pt idx="5">
                  <c:v>2.3979740480939461E-3</c:v>
                </c:pt>
                <c:pt idx="6">
                  <c:v>4.44073418345622E-2</c:v>
                </c:pt>
                <c:pt idx="7">
                  <c:v>1.7928777929674372E-2</c:v>
                </c:pt>
                <c:pt idx="8">
                  <c:v>7.8550458304385805E-3</c:v>
                </c:pt>
                <c:pt idx="9">
                  <c:v>9.4686358441092751E-3</c:v>
                </c:pt>
                <c:pt idx="11">
                  <c:v>4.482194482418592E-5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Namugongo-Kireka-2Dir'!$C$9:$N$9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Namugongo-Kireka-2Dir'!$C$107:$N$107</c:f>
              <c:numCache>
                <c:formatCode>0.0%</c:formatCode>
                <c:ptCount val="12"/>
                <c:pt idx="0">
                  <c:v>0.26085590110828777</c:v>
                </c:pt>
                <c:pt idx="1">
                  <c:v>5.1516844576481535E-2</c:v>
                </c:pt>
                <c:pt idx="2">
                  <c:v>3.4892528862218844E-2</c:v>
                </c:pt>
                <c:pt idx="3">
                  <c:v>8.2423190772685548E-2</c:v>
                </c:pt>
                <c:pt idx="4">
                  <c:v>2.287667724992793E-3</c:v>
                </c:pt>
                <c:pt idx="5">
                  <c:v>1.1953175784208915E-3</c:v>
                </c:pt>
                <c:pt idx="6">
                  <c:v>2.0288165550141561E-2</c:v>
                </c:pt>
                <c:pt idx="7">
                  <c:v>8.1720326129194592E-3</c:v>
                </c:pt>
                <c:pt idx="8">
                  <c:v>3.9700660245080401E-3</c:v>
                </c:pt>
                <c:pt idx="9">
                  <c:v>2.8096678360185457E-3</c:v>
                </c:pt>
                <c:pt idx="10">
                  <c:v>0.53156712849798282</c:v>
                </c:pt>
                <c:pt idx="11">
                  <c:v>2.1488855342398053E-5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3776526013825764E-2"/>
          <c:y val="0.22466579177602802"/>
          <c:w val="0.82819162811050895"/>
          <c:h val="0.75846019247594054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Namugongo-Kireka-2Dir'!$C$9:$N$9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Namugongo-Kireka-2Dir'!$C$108:$N$108</c:f>
              <c:numCache>
                <c:formatCode>0.00%</c:formatCode>
                <c:ptCount val="12"/>
                <c:pt idx="0">
                  <c:v>0.55686933385323789</c:v>
                </c:pt>
                <c:pt idx="1">
                  <c:v>0.1099770056941012</c:v>
                </c:pt>
                <c:pt idx="2">
                  <c:v>7.448778893406198E-2</c:v>
                </c:pt>
                <c:pt idx="3">
                  <c:v>0.17595518117334039</c:v>
                </c:pt>
                <c:pt idx="4">
                  <c:v>4.8836618097646486E-3</c:v>
                </c:pt>
                <c:pt idx="5">
                  <c:v>2.5517371882723301E-3</c:v>
                </c:pt>
                <c:pt idx="6">
                  <c:v>4.3310721310159353E-2</c:v>
                </c:pt>
                <c:pt idx="7">
                  <c:v>1.7445472147836375E-2</c:v>
                </c:pt>
                <c:pt idx="8">
                  <c:v>8.4752080095876498E-3</c:v>
                </c:pt>
                <c:pt idx="9">
                  <c:v>5.9980159526581084E-3</c:v>
                </c:pt>
                <c:pt idx="11">
                  <c:v>4.5873926980176727E-5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37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Namugongo-Kireka-2Dir'!$AE$9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Namugongo-Kireka-2Dir'!$R$10:$R$33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Namugongo-Kireka-2Dir'!$AE$10:$AE$33</c:f>
              <c:numCache>
                <c:formatCode>0</c:formatCode>
                <c:ptCount val="24"/>
                <c:pt idx="0">
                  <c:v>675.83333333333326</c:v>
                </c:pt>
                <c:pt idx="1">
                  <c:v>748.57142857142844</c:v>
                </c:pt>
                <c:pt idx="2">
                  <c:v>714.57142857142844</c:v>
                </c:pt>
                <c:pt idx="3">
                  <c:v>804.85714285714289</c:v>
                </c:pt>
                <c:pt idx="4">
                  <c:v>791.49999999999989</c:v>
                </c:pt>
                <c:pt idx="5">
                  <c:v>766.07142857142856</c:v>
                </c:pt>
                <c:pt idx="6">
                  <c:v>770.28571428571433</c:v>
                </c:pt>
                <c:pt idx="7">
                  <c:v>772.42857142857133</c:v>
                </c:pt>
                <c:pt idx="8">
                  <c:v>789.71428571428578</c:v>
                </c:pt>
                <c:pt idx="9">
                  <c:v>918.85714285714289</c:v>
                </c:pt>
                <c:pt idx="10">
                  <c:v>1053.5714285714287</c:v>
                </c:pt>
                <c:pt idx="11">
                  <c:v>1069.2380952380954</c:v>
                </c:pt>
                <c:pt idx="12">
                  <c:v>418.5</c:v>
                </c:pt>
                <c:pt idx="13">
                  <c:v>447.5</c:v>
                </c:pt>
                <c:pt idx="14">
                  <c:v>326.5</c:v>
                </c:pt>
                <c:pt idx="15">
                  <c:v>429.5</c:v>
                </c:pt>
                <c:pt idx="16">
                  <c:v>283.5</c:v>
                </c:pt>
                <c:pt idx="17">
                  <c:v>192.5</c:v>
                </c:pt>
                <c:pt idx="18">
                  <c:v>90.5</c:v>
                </c:pt>
                <c:pt idx="19">
                  <c:v>74.5</c:v>
                </c:pt>
                <c:pt idx="20">
                  <c:v>65</c:v>
                </c:pt>
                <c:pt idx="21">
                  <c:v>85</c:v>
                </c:pt>
                <c:pt idx="22">
                  <c:v>75.5</c:v>
                </c:pt>
                <c:pt idx="23">
                  <c:v>92.5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289-4DCF-B882-877A22CF008F}"/>
            </c:ext>
          </c:extLst>
        </c:ser>
        <c:ser>
          <c:idx val="1"/>
          <c:order val="1"/>
          <c:tx>
            <c:strRef>
              <c:f>'Avg Week Namugongo-Kireka-2Dir'!$AF$9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Namugongo-Kireka-2Dir'!$R$10:$R$33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Namugongo-Kireka-2Dir'!$AF$10:$AF$33</c:f>
              <c:numCache>
                <c:formatCode>0</c:formatCode>
                <c:ptCount val="24"/>
                <c:pt idx="0">
                  <c:v>1404.547619047619</c:v>
                </c:pt>
                <c:pt idx="1">
                  <c:v>1710.285714285714</c:v>
                </c:pt>
                <c:pt idx="2">
                  <c:v>1640.7142857142856</c:v>
                </c:pt>
                <c:pt idx="3">
                  <c:v>1785.5714285714284</c:v>
                </c:pt>
                <c:pt idx="4">
                  <c:v>1761.2142857142858</c:v>
                </c:pt>
                <c:pt idx="5">
                  <c:v>1660.5000000000002</c:v>
                </c:pt>
                <c:pt idx="6">
                  <c:v>1593</c:v>
                </c:pt>
                <c:pt idx="7">
                  <c:v>1647.7142857142858</c:v>
                </c:pt>
                <c:pt idx="8">
                  <c:v>1680.8571428571429</c:v>
                </c:pt>
                <c:pt idx="9">
                  <c:v>1867.2857142857142</c:v>
                </c:pt>
                <c:pt idx="10">
                  <c:v>2097</c:v>
                </c:pt>
                <c:pt idx="11">
                  <c:v>2185.6666666666665</c:v>
                </c:pt>
                <c:pt idx="12">
                  <c:v>1096.5</c:v>
                </c:pt>
                <c:pt idx="13">
                  <c:v>1043</c:v>
                </c:pt>
                <c:pt idx="14">
                  <c:v>741</c:v>
                </c:pt>
                <c:pt idx="15">
                  <c:v>765</c:v>
                </c:pt>
                <c:pt idx="16">
                  <c:v>538.5</c:v>
                </c:pt>
                <c:pt idx="17">
                  <c:v>356</c:v>
                </c:pt>
                <c:pt idx="18">
                  <c:v>222</c:v>
                </c:pt>
                <c:pt idx="19">
                  <c:v>153.5</c:v>
                </c:pt>
                <c:pt idx="20">
                  <c:v>128.5</c:v>
                </c:pt>
                <c:pt idx="21">
                  <c:v>135.5</c:v>
                </c:pt>
                <c:pt idx="22">
                  <c:v>151</c:v>
                </c:pt>
                <c:pt idx="23">
                  <c:v>227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289-4DCF-B882-877A22CF008F}"/>
            </c:ext>
          </c:extLst>
        </c:ser>
        <c:ser>
          <c:idx val="5"/>
          <c:order val="2"/>
          <c:tx>
            <c:strRef>
              <c:f>'Avg Week Namugongo-Kireka-2Dir'!$AC$9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Namugongo-Kireka-2Dir'!$R$10:$R$33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Namugongo-Kireka-2Dir'!$AC$10:$AC$33</c:f>
              <c:numCache>
                <c:formatCode>0</c:formatCode>
                <c:ptCount val="24"/>
                <c:pt idx="0">
                  <c:v>728.71428571428567</c:v>
                </c:pt>
                <c:pt idx="1">
                  <c:v>961.71428571428567</c:v>
                </c:pt>
                <c:pt idx="2">
                  <c:v>926.14285714285711</c:v>
                </c:pt>
                <c:pt idx="3">
                  <c:v>980.71428571428567</c:v>
                </c:pt>
                <c:pt idx="4">
                  <c:v>969.71428571428567</c:v>
                </c:pt>
                <c:pt idx="5">
                  <c:v>894.42857142857144</c:v>
                </c:pt>
                <c:pt idx="6">
                  <c:v>822.71428571428578</c:v>
                </c:pt>
                <c:pt idx="7">
                  <c:v>875.28571428571422</c:v>
                </c:pt>
                <c:pt idx="8">
                  <c:v>891.14285714285711</c:v>
                </c:pt>
                <c:pt idx="9">
                  <c:v>948.42857142857156</c:v>
                </c:pt>
                <c:pt idx="10">
                  <c:v>1043.4285714285713</c:v>
                </c:pt>
                <c:pt idx="11">
                  <c:v>1116.4285714285713</c:v>
                </c:pt>
                <c:pt idx="12">
                  <c:v>678</c:v>
                </c:pt>
                <c:pt idx="13">
                  <c:v>595.5</c:v>
                </c:pt>
                <c:pt idx="14">
                  <c:v>414.5</c:v>
                </c:pt>
                <c:pt idx="15">
                  <c:v>335.5</c:v>
                </c:pt>
                <c:pt idx="16">
                  <c:v>255</c:v>
                </c:pt>
                <c:pt idx="17">
                  <c:v>163.5</c:v>
                </c:pt>
                <c:pt idx="18">
                  <c:v>131.5</c:v>
                </c:pt>
                <c:pt idx="19">
                  <c:v>79</c:v>
                </c:pt>
                <c:pt idx="20">
                  <c:v>63.5</c:v>
                </c:pt>
                <c:pt idx="21">
                  <c:v>50.5</c:v>
                </c:pt>
                <c:pt idx="22">
                  <c:v>75.5</c:v>
                </c:pt>
                <c:pt idx="23">
                  <c:v>134.5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DC-4269-83A4-9C67FBDC4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088384"/>
        <c:axId val="113089920"/>
      </c:lineChart>
      <c:catAx>
        <c:axId val="11308838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089920"/>
        <c:crosses val="autoZero"/>
        <c:auto val="1"/>
        <c:lblAlgn val="ctr"/>
        <c:lblOffset val="100"/>
        <c:noMultiLvlLbl val="0"/>
      </c:catAx>
      <c:valAx>
        <c:axId val="1130899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088384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77"/>
          <c:y val="2.254314649517314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7"/>
          <c:w val="0.64701098217985964"/>
          <c:h val="0.7828249624521266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Namugongo-Kireka-2Dir'!$S$9:$AF$9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Namugongo-Kireka-2Dir'!$S$41:$AF$41</c:f>
              <c:numCache>
                <c:formatCode>_-* #,##0_-;\-* #,##0_-;_-* "-"_-;_-@_-</c:formatCode>
                <c:ptCount val="14"/>
                <c:pt idx="0">
                  <c:v>6936.6428571428569</c:v>
                </c:pt>
                <c:pt idx="1">
                  <c:v>1369.9285714285716</c:v>
                </c:pt>
                <c:pt idx="2">
                  <c:v>927.85714285714289</c:v>
                </c:pt>
                <c:pt idx="3">
                  <c:v>2191.7857142857142</c:v>
                </c:pt>
                <c:pt idx="4">
                  <c:v>60.833333333333336</c:v>
                </c:pt>
                <c:pt idx="5">
                  <c:v>31.785714285714285</c:v>
                </c:pt>
                <c:pt idx="6">
                  <c:v>539.5</c:v>
                </c:pt>
                <c:pt idx="7">
                  <c:v>217.30952380952377</c:v>
                </c:pt>
                <c:pt idx="8">
                  <c:v>105.57142857142857</c:v>
                </c:pt>
                <c:pt idx="9">
                  <c:v>74.714285714285708</c:v>
                </c:pt>
                <c:pt idx="10">
                  <c:v>14135.357142857141</c:v>
                </c:pt>
                <c:pt idx="11">
                  <c:v>0.5714285714285714</c:v>
                </c:pt>
                <c:pt idx="12">
                  <c:v>12456.500000000002</c:v>
                </c:pt>
                <c:pt idx="13">
                  <c:v>26591.857142857145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4-4A20-879A-D9A0A0F905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13581056"/>
        <c:axId val="113603328"/>
      </c:barChart>
      <c:catAx>
        <c:axId val="11358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603328"/>
        <c:crosses val="autoZero"/>
        <c:auto val="1"/>
        <c:lblAlgn val="ctr"/>
        <c:lblOffset val="100"/>
        <c:noMultiLvlLbl val="0"/>
      </c:catAx>
      <c:valAx>
        <c:axId val="113603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58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77"/>
          <c:y val="2.254314649517314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7"/>
          <c:w val="0.64701098217985964"/>
          <c:h val="0.7828249624521266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Namugongo-Kireka-2Dir'!$S$9:$AF$9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Namugongo-Kireka-2Dir'!$S$42:$AF$42</c:f>
              <c:numCache>
                <c:formatCode>0.000</c:formatCode>
                <c:ptCount val="14"/>
                <c:pt idx="0">
                  <c:v>1.2741478390931276</c:v>
                </c:pt>
                <c:pt idx="1">
                  <c:v>1.3398770434539613</c:v>
                </c:pt>
                <c:pt idx="2">
                  <c:v>1.1959123549990793</c:v>
                </c:pt>
                <c:pt idx="3">
                  <c:v>1.2703899975159394</c:v>
                </c:pt>
                <c:pt idx="4">
                  <c:v>1.0798816568047338</c:v>
                </c:pt>
                <c:pt idx="5">
                  <c:v>1.0853658536585367</c:v>
                </c:pt>
                <c:pt idx="6">
                  <c:v>1.1310272536687631</c:v>
                </c:pt>
                <c:pt idx="7">
                  <c:v>1.2290600592512793</c:v>
                </c:pt>
                <c:pt idx="8">
                  <c:v>1.1222475322703114</c:v>
                </c:pt>
                <c:pt idx="9">
                  <c:v>1.0135658914728682</c:v>
                </c:pt>
                <c:pt idx="10">
                  <c:v>1.2667387853338796</c:v>
                </c:pt>
                <c:pt idx="11">
                  <c:v>1</c:v>
                </c:pt>
                <c:pt idx="12">
                  <c:v>1.2613538555009873</c:v>
                </c:pt>
                <c:pt idx="13">
                  <c:v>1.264210594231886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4-4A20-879A-D9A0A0F905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13672576"/>
        <c:axId val="113674112"/>
      </c:barChart>
      <c:catAx>
        <c:axId val="11367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674112"/>
        <c:crosses val="autoZero"/>
        <c:auto val="1"/>
        <c:lblAlgn val="ctr"/>
        <c:lblOffset val="100"/>
        <c:noMultiLvlLbl val="0"/>
      </c:catAx>
      <c:valAx>
        <c:axId val="113674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672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4.xml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4.jpeg"/><Relationship Id="rId2" Type="http://schemas.openxmlformats.org/officeDocument/2006/relationships/image" Target="../media/image1.emf"/><Relationship Id="rId16" Type="http://schemas.openxmlformats.org/officeDocument/2006/relationships/chart" Target="../charts/chart8.xml"/><Relationship Id="rId1" Type="http://schemas.openxmlformats.org/officeDocument/2006/relationships/chart" Target="../charts/chart5.xml"/><Relationship Id="rId6" Type="http://schemas.openxmlformats.org/officeDocument/2006/relationships/image" Target="../media/image5.emf"/><Relationship Id="rId11" Type="http://schemas.openxmlformats.org/officeDocument/2006/relationships/image" Target="../media/image13.jpeg"/><Relationship Id="rId5" Type="http://schemas.openxmlformats.org/officeDocument/2006/relationships/image" Target="../media/image4.emf"/><Relationship Id="rId15" Type="http://schemas.openxmlformats.org/officeDocument/2006/relationships/chart" Target="../charts/chart7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2.xml"/><Relationship Id="rId1" Type="http://schemas.openxmlformats.org/officeDocument/2006/relationships/chart" Target="../charts/chart9.xml"/><Relationship Id="rId6" Type="http://schemas.openxmlformats.org/officeDocument/2006/relationships/image" Target="../media/image5.emf"/><Relationship Id="rId11" Type="http://schemas.openxmlformats.org/officeDocument/2006/relationships/image" Target="../media/image13.jpeg"/><Relationship Id="rId5" Type="http://schemas.openxmlformats.org/officeDocument/2006/relationships/image" Target="../media/image4.emf"/><Relationship Id="rId15" Type="http://schemas.openxmlformats.org/officeDocument/2006/relationships/chart" Target="../charts/chart1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6.xml"/><Relationship Id="rId1" Type="http://schemas.openxmlformats.org/officeDocument/2006/relationships/chart" Target="../charts/chart13.xml"/><Relationship Id="rId6" Type="http://schemas.openxmlformats.org/officeDocument/2006/relationships/image" Target="../media/image5.emf"/><Relationship Id="rId11" Type="http://schemas.openxmlformats.org/officeDocument/2006/relationships/image" Target="../media/image13.jpeg"/><Relationship Id="rId5" Type="http://schemas.openxmlformats.org/officeDocument/2006/relationships/image" Target="../media/image4.emf"/><Relationship Id="rId15" Type="http://schemas.openxmlformats.org/officeDocument/2006/relationships/chart" Target="../charts/chart1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7.xml"/><Relationship Id="rId6" Type="http://schemas.openxmlformats.org/officeDocument/2006/relationships/image" Target="../media/image5.emf"/><Relationship Id="rId11" Type="http://schemas.openxmlformats.org/officeDocument/2006/relationships/image" Target="../media/image15.jpeg"/><Relationship Id="rId5" Type="http://schemas.openxmlformats.org/officeDocument/2006/relationships/image" Target="../media/image4.emf"/><Relationship Id="rId15" Type="http://schemas.openxmlformats.org/officeDocument/2006/relationships/chart" Target="../charts/chart1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8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20.xml"/><Relationship Id="rId6" Type="http://schemas.openxmlformats.org/officeDocument/2006/relationships/image" Target="../media/image5.emf"/><Relationship Id="rId11" Type="http://schemas.openxmlformats.org/officeDocument/2006/relationships/image" Target="../media/image13.jpeg"/><Relationship Id="rId5" Type="http://schemas.openxmlformats.org/officeDocument/2006/relationships/image" Target="../media/image4.emf"/><Relationship Id="rId15" Type="http://schemas.openxmlformats.org/officeDocument/2006/relationships/chart" Target="../charts/chart2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23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2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4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29.xml"/><Relationship Id="rId1" Type="http://schemas.openxmlformats.org/officeDocument/2006/relationships/chart" Target="../charts/chart26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28.xml"/><Relationship Id="rId10" Type="http://schemas.openxmlformats.org/officeDocument/2006/relationships/image" Target="../media/image16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7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33.xml"/><Relationship Id="rId1" Type="http://schemas.openxmlformats.org/officeDocument/2006/relationships/chart" Target="../charts/chart30.xml"/><Relationship Id="rId6" Type="http://schemas.openxmlformats.org/officeDocument/2006/relationships/image" Target="../media/image5.emf"/><Relationship Id="rId11" Type="http://schemas.openxmlformats.org/officeDocument/2006/relationships/image" Target="../media/image13.jpeg"/><Relationship Id="rId5" Type="http://schemas.openxmlformats.org/officeDocument/2006/relationships/image" Target="../media/image4.emf"/><Relationship Id="rId15" Type="http://schemas.openxmlformats.org/officeDocument/2006/relationships/chart" Target="../charts/chart3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1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7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37.xml"/><Relationship Id="rId1" Type="http://schemas.openxmlformats.org/officeDocument/2006/relationships/chart" Target="../charts/chart34.xml"/><Relationship Id="rId6" Type="http://schemas.openxmlformats.org/officeDocument/2006/relationships/image" Target="../media/image5.emf"/><Relationship Id="rId11" Type="http://schemas.openxmlformats.org/officeDocument/2006/relationships/image" Target="../media/image13.jpeg"/><Relationship Id="rId5" Type="http://schemas.openxmlformats.org/officeDocument/2006/relationships/image" Target="../media/image4.emf"/><Relationship Id="rId15" Type="http://schemas.openxmlformats.org/officeDocument/2006/relationships/chart" Target="../charts/chart3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5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7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9.png"/><Relationship Id="rId2" Type="http://schemas.openxmlformats.org/officeDocument/2006/relationships/image" Target="../media/image1.emf"/><Relationship Id="rId1" Type="http://schemas.openxmlformats.org/officeDocument/2006/relationships/chart" Target="../charts/chart38.xml"/><Relationship Id="rId6" Type="http://schemas.openxmlformats.org/officeDocument/2006/relationships/image" Target="../media/image5.emf"/><Relationship Id="rId11" Type="http://schemas.openxmlformats.org/officeDocument/2006/relationships/image" Target="../media/image18.jpeg"/><Relationship Id="rId5" Type="http://schemas.openxmlformats.org/officeDocument/2006/relationships/image" Target="../media/image4.emf"/><Relationship Id="rId15" Type="http://schemas.openxmlformats.org/officeDocument/2006/relationships/chart" Target="../charts/chart4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9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41.xml"/><Relationship Id="rId6" Type="http://schemas.openxmlformats.org/officeDocument/2006/relationships/image" Target="../media/image5.emf"/><Relationship Id="rId11" Type="http://schemas.openxmlformats.org/officeDocument/2006/relationships/image" Target="../media/image15.jpeg"/><Relationship Id="rId5" Type="http://schemas.openxmlformats.org/officeDocument/2006/relationships/image" Target="../media/image4.emf"/><Relationship Id="rId15" Type="http://schemas.openxmlformats.org/officeDocument/2006/relationships/chart" Target="../charts/chart4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2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47.xml"/><Relationship Id="rId1" Type="http://schemas.openxmlformats.org/officeDocument/2006/relationships/chart" Target="../charts/chart44.xml"/><Relationship Id="rId6" Type="http://schemas.openxmlformats.org/officeDocument/2006/relationships/image" Target="../media/image5.emf"/><Relationship Id="rId11" Type="http://schemas.openxmlformats.org/officeDocument/2006/relationships/image" Target="../media/image18.jpeg"/><Relationship Id="rId5" Type="http://schemas.openxmlformats.org/officeDocument/2006/relationships/image" Target="../media/image4.emf"/><Relationship Id="rId15" Type="http://schemas.openxmlformats.org/officeDocument/2006/relationships/chart" Target="../charts/chart4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5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9.png"/><Relationship Id="rId2" Type="http://schemas.openxmlformats.org/officeDocument/2006/relationships/image" Target="../media/image1.emf"/><Relationship Id="rId1" Type="http://schemas.openxmlformats.org/officeDocument/2006/relationships/chart" Target="../charts/chart48.xml"/><Relationship Id="rId6" Type="http://schemas.openxmlformats.org/officeDocument/2006/relationships/image" Target="../media/image5.emf"/><Relationship Id="rId11" Type="http://schemas.openxmlformats.org/officeDocument/2006/relationships/image" Target="../media/image13.jpeg"/><Relationship Id="rId5" Type="http://schemas.openxmlformats.org/officeDocument/2006/relationships/image" Target="../media/image4.emf"/><Relationship Id="rId15" Type="http://schemas.openxmlformats.org/officeDocument/2006/relationships/chart" Target="../charts/chart5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9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51.xml"/><Relationship Id="rId6" Type="http://schemas.openxmlformats.org/officeDocument/2006/relationships/image" Target="../media/image5.emf"/><Relationship Id="rId11" Type="http://schemas.openxmlformats.org/officeDocument/2006/relationships/image" Target="../media/image13.jpeg"/><Relationship Id="rId5" Type="http://schemas.openxmlformats.org/officeDocument/2006/relationships/image" Target="../media/image4.emf"/><Relationship Id="rId15" Type="http://schemas.openxmlformats.org/officeDocument/2006/relationships/chart" Target="../charts/chart5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54.xml"/><Relationship Id="rId6" Type="http://schemas.openxmlformats.org/officeDocument/2006/relationships/image" Target="../media/image5.emf"/><Relationship Id="rId11" Type="http://schemas.openxmlformats.org/officeDocument/2006/relationships/image" Target="../media/image13.jpeg"/><Relationship Id="rId5" Type="http://schemas.openxmlformats.org/officeDocument/2006/relationships/image" Target="../media/image4.emf"/><Relationship Id="rId15" Type="http://schemas.openxmlformats.org/officeDocument/2006/relationships/chart" Target="../charts/chart5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5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7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20.jpeg"/><Relationship Id="rId17" Type="http://schemas.openxmlformats.org/officeDocument/2006/relationships/chart" Target="../charts/chart61.xml"/><Relationship Id="rId2" Type="http://schemas.openxmlformats.org/officeDocument/2006/relationships/image" Target="../media/image2.emf"/><Relationship Id="rId16" Type="http://schemas.openxmlformats.org/officeDocument/2006/relationships/chart" Target="../charts/chart60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9.png"/><Relationship Id="rId5" Type="http://schemas.openxmlformats.org/officeDocument/2006/relationships/image" Target="../media/image5.emf"/><Relationship Id="rId15" Type="http://schemas.openxmlformats.org/officeDocument/2006/relationships/chart" Target="../charts/chart59.xml"/><Relationship Id="rId10" Type="http://schemas.openxmlformats.org/officeDocument/2006/relationships/image" Target="../media/image13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4085</xdr:colOff>
      <xdr:row>43</xdr:row>
      <xdr:rowOff>6349</xdr:rowOff>
    </xdr:from>
    <xdr:to>
      <xdr:col>27</xdr:col>
      <xdr:colOff>714374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25</xdr:col>
      <xdr:colOff>1</xdr:colOff>
      <xdr:row>58</xdr:row>
      <xdr:rowOff>279400</xdr:rowOff>
    </xdr:from>
    <xdr:to>
      <xdr:col>31</xdr:col>
      <xdr:colOff>539751</xdr:colOff>
      <xdr:row>75</xdr:row>
      <xdr:rowOff>15875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59</xdr:row>
      <xdr:rowOff>1</xdr:rowOff>
    </xdr:from>
    <xdr:to>
      <xdr:col>24</xdr:col>
      <xdr:colOff>0</xdr:colOff>
      <xdr:row>75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4085</xdr:colOff>
      <xdr:row>43</xdr:row>
      <xdr:rowOff>6349</xdr:rowOff>
    </xdr:from>
    <xdr:to>
      <xdr:col>27</xdr:col>
      <xdr:colOff>714374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25</xdr:col>
      <xdr:colOff>15876</xdr:colOff>
      <xdr:row>58</xdr:row>
      <xdr:rowOff>279400</xdr:rowOff>
    </xdr:from>
    <xdr:to>
      <xdr:col>31</xdr:col>
      <xdr:colOff>460376</xdr:colOff>
      <xdr:row>75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158749</xdr:colOff>
      <xdr:row>59</xdr:row>
      <xdr:rowOff>1</xdr:rowOff>
    </xdr:from>
    <xdr:to>
      <xdr:col>23</xdr:col>
      <xdr:colOff>714374</xdr:colOff>
      <xdr:row>75</xdr:row>
      <xdr:rowOff>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74</xdr:row>
      <xdr:rowOff>279400</xdr:rowOff>
    </xdr:from>
    <xdr:to>
      <xdr:col>25</xdr:col>
      <xdr:colOff>0</xdr:colOff>
      <xdr:row>92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0</xdr:colOff>
      <xdr:row>59</xdr:row>
      <xdr:rowOff>1</xdr:rowOff>
    </xdr:from>
    <xdr:to>
      <xdr:col>24</xdr:col>
      <xdr:colOff>714374</xdr:colOff>
      <xdr:row>75</xdr:row>
      <xdr:rowOff>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43</xdr:row>
      <xdr:rowOff>0</xdr:rowOff>
    </xdr:from>
    <xdr:to>
      <xdr:col>28</xdr:col>
      <xdr:colOff>0</xdr:colOff>
      <xdr:row>58</xdr:row>
      <xdr:rowOff>285749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F3C755B-FA06-4641-8226-864954F6E9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714374</xdr:colOff>
      <xdr:row>59</xdr:row>
      <xdr:rowOff>0</xdr:rowOff>
    </xdr:from>
    <xdr:to>
      <xdr:col>31</xdr:col>
      <xdr:colOff>444500</xdr:colOff>
      <xdr:row>74</xdr:row>
      <xdr:rowOff>284163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3627A04-1E0E-4C3A-8B25-FA92ABCB63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25</xdr:col>
      <xdr:colOff>0</xdr:colOff>
      <xdr:row>75</xdr:row>
      <xdr:rowOff>0</xdr:rowOff>
    </xdr:from>
    <xdr:to>
      <xdr:col>31</xdr:col>
      <xdr:colOff>444500</xdr:colOff>
      <xdr:row>92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CD2BF54-C297-4A9B-8975-0C4CE3D1A6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16" zoomScale="60" workbookViewId="0">
      <selection activeCell="H24" sqref="H2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0" t="str">
        <f>'01.08 NAMUGONGO-KIREKA'!C3:G3</f>
        <v>MCC - C1 - STN039 - NAMUGONGO ROAD</v>
      </c>
      <c r="D3" s="60"/>
      <c r="E3" s="60"/>
      <c r="F3" s="60"/>
      <c r="G3" s="6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176</v>
      </c>
      <c r="E5" s="3"/>
      <c r="F5" s="41" t="s">
        <v>1</v>
      </c>
      <c r="G5" s="56" t="str">
        <f>'04.08 KIREKA-NAMUGONGO'!G5:H5</f>
        <v>AGENDA</v>
      </c>
      <c r="H5" s="57"/>
      <c r="I5" s="14"/>
      <c r="J5" s="2" t="s">
        <v>5</v>
      </c>
      <c r="K5" s="56" t="str">
        <f>'04.08 KIREKA-NAMUGONGO'!K5:L5</f>
        <v>STEVEN</v>
      </c>
      <c r="L5" s="57"/>
      <c r="M5" s="10"/>
      <c r="N5" s="10"/>
      <c r="O5" s="3"/>
      <c r="P5" s="3"/>
    </row>
    <row r="6" spans="2:32" ht="23.25" customHeight="1" x14ac:dyDescent="0.25">
      <c r="C6" s="2" t="s">
        <v>4</v>
      </c>
      <c r="D6" s="56" t="str">
        <f>'01.08 NAMUGONGO-KIREKA'!D6:E6</f>
        <v>NAMUGONGO</v>
      </c>
      <c r="E6" s="57"/>
      <c r="F6" s="2" t="s">
        <v>2</v>
      </c>
      <c r="G6" s="56" t="str">
        <f>'01.08 NAMUGONGO-KIREKA'!G6:H6</f>
        <v>KIREKA</v>
      </c>
      <c r="H6" s="57"/>
      <c r="J6" s="2" t="s">
        <v>21</v>
      </c>
      <c r="K6" s="56" t="str">
        <f>'04.08 KIREKA-NAMUGONGO'!K6:L6</f>
        <v>NAIDO GRACE BRENDA</v>
      </c>
      <c r="L6" s="5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5" t="s">
        <v>88</v>
      </c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0</v>
      </c>
      <c r="R10" s="1" t="s">
        <v>6</v>
      </c>
      <c r="S10" s="17">
        <f t="shared" ref="S10:AF10" si="2">SUM(C10:C13)</f>
        <v>0</v>
      </c>
      <c r="T10" s="17">
        <f t="shared" si="2"/>
        <v>0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0</v>
      </c>
      <c r="AD10" s="17">
        <f t="shared" si="2"/>
        <v>0</v>
      </c>
      <c r="AE10" s="31">
        <f t="shared" si="2"/>
        <v>0</v>
      </c>
      <c r="AF10" s="31">
        <f t="shared" si="2"/>
        <v>0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15">
        <f t="shared" si="0"/>
        <v>0</v>
      </c>
      <c r="P11" s="15">
        <f t="shared" si="1"/>
        <v>0</v>
      </c>
      <c r="R11" s="1" t="s">
        <v>7</v>
      </c>
      <c r="S11" s="17">
        <f t="shared" ref="S11:AF11" si="3">SUM(C14:C17)</f>
        <v>0</v>
      </c>
      <c r="T11" s="17">
        <f t="shared" si="3"/>
        <v>0</v>
      </c>
      <c r="U11" s="17">
        <f t="shared" si="3"/>
        <v>0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0</v>
      </c>
      <c r="AD11" s="17">
        <f t="shared" si="3"/>
        <v>0</v>
      </c>
      <c r="AE11" s="31">
        <f t="shared" si="3"/>
        <v>0</v>
      </c>
      <c r="AF11" s="31">
        <f t="shared" si="3"/>
        <v>0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15">
        <f t="shared" si="0"/>
        <v>0</v>
      </c>
      <c r="P12" s="15">
        <f t="shared" si="1"/>
        <v>0</v>
      </c>
      <c r="R12" s="1" t="s">
        <v>8</v>
      </c>
      <c r="S12" s="17">
        <f t="shared" ref="S12:AF12" si="4">SUM(C18:C21)</f>
        <v>52</v>
      </c>
      <c r="T12" s="17">
        <f t="shared" si="4"/>
        <v>10</v>
      </c>
      <c r="U12" s="17">
        <f t="shared" si="4"/>
        <v>4</v>
      </c>
      <c r="V12" s="17">
        <f t="shared" si="4"/>
        <v>10</v>
      </c>
      <c r="W12" s="17">
        <f t="shared" si="4"/>
        <v>0</v>
      </c>
      <c r="X12" s="17">
        <f t="shared" si="4"/>
        <v>0</v>
      </c>
      <c r="Y12" s="17">
        <f t="shared" si="4"/>
        <v>4</v>
      </c>
      <c r="Z12" s="17">
        <f t="shared" si="4"/>
        <v>2</v>
      </c>
      <c r="AA12" s="17">
        <f t="shared" si="4"/>
        <v>0</v>
      </c>
      <c r="AB12" s="17">
        <f t="shared" si="4"/>
        <v>0</v>
      </c>
      <c r="AC12" s="17">
        <f t="shared" si="4"/>
        <v>94</v>
      </c>
      <c r="AD12" s="17">
        <f t="shared" si="4"/>
        <v>0</v>
      </c>
      <c r="AE12" s="31">
        <f t="shared" si="4"/>
        <v>82</v>
      </c>
      <c r="AF12" s="31">
        <f t="shared" si="4"/>
        <v>176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15">
        <f t="shared" si="0"/>
        <v>0</v>
      </c>
      <c r="P13" s="15">
        <f t="shared" si="1"/>
        <v>0</v>
      </c>
      <c r="R13" s="1" t="s">
        <v>9</v>
      </c>
      <c r="S13" s="17">
        <f t="shared" ref="S13:AF13" si="5">SUM(C22:C25)</f>
        <v>291</v>
      </c>
      <c r="T13" s="17">
        <f t="shared" si="5"/>
        <v>42</v>
      </c>
      <c r="U13" s="17">
        <f t="shared" si="5"/>
        <v>54</v>
      </c>
      <c r="V13" s="17">
        <f t="shared" si="5"/>
        <v>78</v>
      </c>
      <c r="W13" s="17">
        <f t="shared" si="5"/>
        <v>1</v>
      </c>
      <c r="X13" s="17">
        <f t="shared" si="5"/>
        <v>0</v>
      </c>
      <c r="Y13" s="17">
        <f t="shared" si="5"/>
        <v>32</v>
      </c>
      <c r="Z13" s="17">
        <f t="shared" si="5"/>
        <v>3</v>
      </c>
      <c r="AA13" s="17">
        <f t="shared" si="5"/>
        <v>2</v>
      </c>
      <c r="AB13" s="17">
        <f t="shared" si="5"/>
        <v>2</v>
      </c>
      <c r="AC13" s="17">
        <f t="shared" si="5"/>
        <v>485</v>
      </c>
      <c r="AD13" s="17">
        <f t="shared" si="5"/>
        <v>0</v>
      </c>
      <c r="AE13" s="31">
        <f t="shared" si="5"/>
        <v>505</v>
      </c>
      <c r="AF13" s="31">
        <f t="shared" si="5"/>
        <v>990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15">
        <f t="shared" si="0"/>
        <v>0</v>
      </c>
      <c r="P14" s="15">
        <f t="shared" si="1"/>
        <v>0</v>
      </c>
      <c r="R14" s="1" t="s">
        <v>10</v>
      </c>
      <c r="S14" s="17">
        <f t="shared" ref="S14:AF14" si="6">SUM(C26:C29)</f>
        <v>239</v>
      </c>
      <c r="T14" s="17">
        <f t="shared" si="6"/>
        <v>32</v>
      </c>
      <c r="U14" s="17">
        <f t="shared" si="6"/>
        <v>27</v>
      </c>
      <c r="V14" s="17">
        <f t="shared" si="6"/>
        <v>86</v>
      </c>
      <c r="W14" s="17">
        <f t="shared" si="6"/>
        <v>0</v>
      </c>
      <c r="X14" s="17">
        <f t="shared" si="6"/>
        <v>0</v>
      </c>
      <c r="Y14" s="17">
        <f t="shared" si="6"/>
        <v>33</v>
      </c>
      <c r="Z14" s="17">
        <f t="shared" si="6"/>
        <v>1</v>
      </c>
      <c r="AA14" s="17">
        <f t="shared" si="6"/>
        <v>5</v>
      </c>
      <c r="AB14" s="17">
        <f t="shared" si="6"/>
        <v>0</v>
      </c>
      <c r="AC14" s="17">
        <f t="shared" si="6"/>
        <v>511</v>
      </c>
      <c r="AD14" s="17">
        <f t="shared" si="6"/>
        <v>0</v>
      </c>
      <c r="AE14" s="31">
        <f t="shared" si="6"/>
        <v>423</v>
      </c>
      <c r="AF14" s="31">
        <f t="shared" si="6"/>
        <v>934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15">
        <f t="shared" si="0"/>
        <v>0</v>
      </c>
      <c r="P15" s="15">
        <f t="shared" si="1"/>
        <v>0</v>
      </c>
      <c r="R15" s="1" t="s">
        <v>11</v>
      </c>
      <c r="S15" s="17">
        <f t="shared" ref="S15:AF15" si="7">SUM(C30:C33)</f>
        <v>175</v>
      </c>
      <c r="T15" s="17">
        <f t="shared" si="7"/>
        <v>22</v>
      </c>
      <c r="U15" s="17">
        <f t="shared" si="7"/>
        <v>40</v>
      </c>
      <c r="V15" s="17">
        <f t="shared" si="7"/>
        <v>70</v>
      </c>
      <c r="W15" s="17">
        <f t="shared" si="7"/>
        <v>2</v>
      </c>
      <c r="X15" s="17">
        <f t="shared" si="7"/>
        <v>0</v>
      </c>
      <c r="Y15" s="17">
        <f t="shared" si="7"/>
        <v>33</v>
      </c>
      <c r="Z15" s="17">
        <f t="shared" si="7"/>
        <v>2</v>
      </c>
      <c r="AA15" s="17">
        <f t="shared" si="7"/>
        <v>3</v>
      </c>
      <c r="AB15" s="17">
        <f t="shared" si="7"/>
        <v>0</v>
      </c>
      <c r="AC15" s="17">
        <f t="shared" si="7"/>
        <v>441</v>
      </c>
      <c r="AD15" s="17">
        <f t="shared" si="7"/>
        <v>0</v>
      </c>
      <c r="AE15" s="31">
        <f t="shared" si="7"/>
        <v>347</v>
      </c>
      <c r="AF15" s="31">
        <f t="shared" si="7"/>
        <v>788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15">
        <f t="shared" si="0"/>
        <v>0</v>
      </c>
      <c r="P16" s="15">
        <f t="shared" si="1"/>
        <v>0</v>
      </c>
      <c r="R16" s="1" t="s">
        <v>12</v>
      </c>
      <c r="S16" s="17">
        <f t="shared" ref="S16:AF16" si="8">SUM(C34:C37)</f>
        <v>174</v>
      </c>
      <c r="T16" s="17">
        <f t="shared" si="8"/>
        <v>31</v>
      </c>
      <c r="U16" s="17">
        <f t="shared" si="8"/>
        <v>29</v>
      </c>
      <c r="V16" s="17">
        <f t="shared" si="8"/>
        <v>75</v>
      </c>
      <c r="W16" s="17">
        <f t="shared" si="8"/>
        <v>2</v>
      </c>
      <c r="X16" s="17">
        <f t="shared" si="8"/>
        <v>0</v>
      </c>
      <c r="Y16" s="17">
        <f t="shared" si="8"/>
        <v>31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428</v>
      </c>
      <c r="AD16" s="17">
        <f t="shared" si="8"/>
        <v>0</v>
      </c>
      <c r="AE16" s="31">
        <f t="shared" si="8"/>
        <v>342</v>
      </c>
      <c r="AF16" s="31">
        <f t="shared" si="8"/>
        <v>770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15">
        <f t="shared" si="0"/>
        <v>0</v>
      </c>
      <c r="P17" s="15">
        <f t="shared" si="1"/>
        <v>0</v>
      </c>
      <c r="R17" s="1" t="s">
        <v>13</v>
      </c>
      <c r="S17" s="17">
        <f t="shared" ref="S17:AF17" si="9">SUM(C38:C41)</f>
        <v>191</v>
      </c>
      <c r="T17" s="17">
        <f t="shared" si="9"/>
        <v>23</v>
      </c>
      <c r="U17" s="17">
        <f t="shared" si="9"/>
        <v>22</v>
      </c>
      <c r="V17" s="17">
        <f t="shared" si="9"/>
        <v>66</v>
      </c>
      <c r="W17" s="17">
        <f t="shared" si="9"/>
        <v>2</v>
      </c>
      <c r="X17" s="17">
        <f t="shared" si="9"/>
        <v>0</v>
      </c>
      <c r="Y17" s="17">
        <f t="shared" si="9"/>
        <v>33</v>
      </c>
      <c r="Z17" s="17">
        <f t="shared" si="9"/>
        <v>0</v>
      </c>
      <c r="AA17" s="17">
        <f t="shared" si="9"/>
        <v>2</v>
      </c>
      <c r="AB17" s="17">
        <f t="shared" si="9"/>
        <v>0</v>
      </c>
      <c r="AC17" s="17">
        <f t="shared" si="9"/>
        <v>383</v>
      </c>
      <c r="AD17" s="17">
        <f t="shared" si="9"/>
        <v>0</v>
      </c>
      <c r="AE17" s="31">
        <f t="shared" si="9"/>
        <v>339</v>
      </c>
      <c r="AF17" s="31">
        <f t="shared" si="9"/>
        <v>722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15">
        <f t="shared" si="0"/>
        <v>0</v>
      </c>
      <c r="P18" s="15">
        <f t="shared" si="1"/>
        <v>0</v>
      </c>
      <c r="R18" s="1" t="s">
        <v>14</v>
      </c>
      <c r="S18" s="17">
        <f t="shared" ref="S18:AF18" si="10">SUM(C42:C45)</f>
        <v>165</v>
      </c>
      <c r="T18" s="17">
        <f t="shared" si="10"/>
        <v>30</v>
      </c>
      <c r="U18" s="17">
        <f t="shared" si="10"/>
        <v>31</v>
      </c>
      <c r="V18" s="17">
        <f t="shared" si="10"/>
        <v>74</v>
      </c>
      <c r="W18" s="17">
        <f t="shared" si="10"/>
        <v>11</v>
      </c>
      <c r="X18" s="17">
        <f t="shared" si="10"/>
        <v>1</v>
      </c>
      <c r="Y18" s="17">
        <f t="shared" si="10"/>
        <v>44</v>
      </c>
      <c r="Z18" s="17">
        <f t="shared" si="10"/>
        <v>0</v>
      </c>
      <c r="AA18" s="17">
        <f t="shared" si="10"/>
        <v>1</v>
      </c>
      <c r="AB18" s="17">
        <f t="shared" si="10"/>
        <v>2</v>
      </c>
      <c r="AC18" s="17">
        <f t="shared" si="10"/>
        <v>431</v>
      </c>
      <c r="AD18" s="17">
        <f t="shared" si="10"/>
        <v>0</v>
      </c>
      <c r="AE18" s="31">
        <f t="shared" si="10"/>
        <v>359</v>
      </c>
      <c r="AF18" s="31">
        <f t="shared" si="10"/>
        <v>790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15">
        <f t="shared" si="0"/>
        <v>0</v>
      </c>
      <c r="P19" s="15">
        <f t="shared" si="1"/>
        <v>0</v>
      </c>
      <c r="R19" s="1" t="s">
        <v>15</v>
      </c>
      <c r="S19" s="17">
        <f t="shared" ref="S19:AF19" si="11">SUM(C46:C49)</f>
        <v>200</v>
      </c>
      <c r="T19" s="17">
        <f t="shared" si="11"/>
        <v>21</v>
      </c>
      <c r="U19" s="17">
        <f t="shared" si="11"/>
        <v>24</v>
      </c>
      <c r="V19" s="17">
        <f t="shared" si="11"/>
        <v>68</v>
      </c>
      <c r="W19" s="17">
        <f t="shared" si="11"/>
        <v>2</v>
      </c>
      <c r="X19" s="17">
        <f t="shared" si="11"/>
        <v>0</v>
      </c>
      <c r="Y19" s="17">
        <f t="shared" si="11"/>
        <v>33</v>
      </c>
      <c r="Z19" s="17">
        <f t="shared" si="11"/>
        <v>0</v>
      </c>
      <c r="AA19" s="17">
        <f t="shared" si="11"/>
        <v>1</v>
      </c>
      <c r="AB19" s="17">
        <f t="shared" si="11"/>
        <v>6</v>
      </c>
      <c r="AC19" s="17">
        <f t="shared" si="11"/>
        <v>511</v>
      </c>
      <c r="AD19" s="17">
        <f t="shared" si="11"/>
        <v>0</v>
      </c>
      <c r="AE19" s="31">
        <f t="shared" si="11"/>
        <v>355</v>
      </c>
      <c r="AF19" s="31">
        <f t="shared" si="11"/>
        <v>866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15">
        <f t="shared" si="0"/>
        <v>0</v>
      </c>
      <c r="P20" s="15">
        <f t="shared" si="1"/>
        <v>0</v>
      </c>
      <c r="R20" s="1" t="s">
        <v>16</v>
      </c>
      <c r="S20" s="17">
        <f t="shared" ref="S20:AF20" si="12">SUM(C50:C53)</f>
        <v>230</v>
      </c>
      <c r="T20" s="17">
        <f t="shared" si="12"/>
        <v>17</v>
      </c>
      <c r="U20" s="17">
        <f t="shared" si="12"/>
        <v>39</v>
      </c>
      <c r="V20" s="17">
        <f t="shared" si="12"/>
        <v>87</v>
      </c>
      <c r="W20" s="17">
        <f t="shared" si="12"/>
        <v>4</v>
      </c>
      <c r="X20" s="17">
        <f t="shared" si="12"/>
        <v>0</v>
      </c>
      <c r="Y20" s="17">
        <f t="shared" si="12"/>
        <v>35</v>
      </c>
      <c r="Z20" s="17">
        <f t="shared" si="12"/>
        <v>0</v>
      </c>
      <c r="AA20" s="17">
        <f t="shared" si="12"/>
        <v>2</v>
      </c>
      <c r="AB20" s="17">
        <f t="shared" si="12"/>
        <v>1</v>
      </c>
      <c r="AC20" s="17">
        <f t="shared" si="12"/>
        <v>494</v>
      </c>
      <c r="AD20" s="17">
        <f t="shared" si="12"/>
        <v>0</v>
      </c>
      <c r="AE20" s="31">
        <f t="shared" si="12"/>
        <v>415</v>
      </c>
      <c r="AF20" s="31">
        <f t="shared" si="12"/>
        <v>909</v>
      </c>
    </row>
    <row r="21" spans="2:32" ht="23.1" customHeight="1" x14ac:dyDescent="0.25">
      <c r="B21" s="23" t="s">
        <v>48</v>
      </c>
      <c r="C21" s="50">
        <v>52</v>
      </c>
      <c r="D21" s="50">
        <v>10</v>
      </c>
      <c r="E21" s="50">
        <v>4</v>
      </c>
      <c r="F21" s="50">
        <v>10</v>
      </c>
      <c r="G21" s="50">
        <v>0</v>
      </c>
      <c r="H21" s="50">
        <v>0</v>
      </c>
      <c r="I21" s="50">
        <v>4</v>
      </c>
      <c r="J21" s="50">
        <v>2</v>
      </c>
      <c r="K21" s="50">
        <v>0</v>
      </c>
      <c r="L21" s="50">
        <v>0</v>
      </c>
      <c r="M21" s="50">
        <v>94</v>
      </c>
      <c r="N21" s="50">
        <v>0</v>
      </c>
      <c r="O21" s="15">
        <f t="shared" si="0"/>
        <v>82</v>
      </c>
      <c r="P21" s="15">
        <f t="shared" si="1"/>
        <v>176</v>
      </c>
      <c r="R21" s="36" t="s">
        <v>20</v>
      </c>
      <c r="S21" s="34">
        <f t="shared" ref="S21:AF21" si="13">SUM(C54:C57)</f>
        <v>190</v>
      </c>
      <c r="T21" s="17">
        <f t="shared" si="13"/>
        <v>24</v>
      </c>
      <c r="U21" s="17">
        <f t="shared" si="13"/>
        <v>32</v>
      </c>
      <c r="V21" s="17">
        <f t="shared" si="13"/>
        <v>74</v>
      </c>
      <c r="W21" s="17">
        <f t="shared" si="13"/>
        <v>5</v>
      </c>
      <c r="X21" s="17">
        <f t="shared" si="13"/>
        <v>0</v>
      </c>
      <c r="Y21" s="17">
        <f t="shared" si="13"/>
        <v>21</v>
      </c>
      <c r="Z21" s="17">
        <f t="shared" si="13"/>
        <v>5</v>
      </c>
      <c r="AA21" s="17">
        <f t="shared" si="13"/>
        <v>0</v>
      </c>
      <c r="AB21" s="17">
        <f t="shared" si="13"/>
        <v>0</v>
      </c>
      <c r="AC21" s="17">
        <f t="shared" si="13"/>
        <v>587</v>
      </c>
      <c r="AD21" s="17">
        <f t="shared" si="13"/>
        <v>0</v>
      </c>
      <c r="AE21" s="31">
        <f t="shared" si="13"/>
        <v>351</v>
      </c>
      <c r="AF21" s="31">
        <f t="shared" si="13"/>
        <v>938</v>
      </c>
    </row>
    <row r="22" spans="2:32" ht="23.1" customHeight="1" x14ac:dyDescent="0.25">
      <c r="B22" s="23" t="s">
        <v>49</v>
      </c>
      <c r="C22" s="50">
        <v>67</v>
      </c>
      <c r="D22" s="50">
        <v>13</v>
      </c>
      <c r="E22" s="50">
        <v>19</v>
      </c>
      <c r="F22" s="50">
        <v>20</v>
      </c>
      <c r="G22" s="50">
        <v>0</v>
      </c>
      <c r="H22" s="50">
        <v>0</v>
      </c>
      <c r="I22" s="50">
        <v>3</v>
      </c>
      <c r="J22" s="50">
        <v>0</v>
      </c>
      <c r="K22" s="50">
        <v>0</v>
      </c>
      <c r="L22" s="50">
        <v>0</v>
      </c>
      <c r="M22" s="50">
        <v>101</v>
      </c>
      <c r="N22" s="50">
        <v>0</v>
      </c>
      <c r="O22" s="15">
        <f t="shared" si="0"/>
        <v>122</v>
      </c>
      <c r="P22" s="15">
        <f t="shared" si="1"/>
        <v>223</v>
      </c>
      <c r="R22" s="38" t="s">
        <v>90</v>
      </c>
      <c r="S22" s="39">
        <f>MAX(S10:S12)</f>
        <v>52</v>
      </c>
      <c r="T22" s="39">
        <f t="shared" ref="T22:AF22" si="14">MAX(T10:T12)</f>
        <v>10</v>
      </c>
      <c r="U22" s="39">
        <f t="shared" si="14"/>
        <v>4</v>
      </c>
      <c r="V22" s="39">
        <f t="shared" si="14"/>
        <v>10</v>
      </c>
      <c r="W22" s="39">
        <f t="shared" si="14"/>
        <v>0</v>
      </c>
      <c r="X22" s="39">
        <f t="shared" si="14"/>
        <v>0</v>
      </c>
      <c r="Y22" s="39">
        <f t="shared" si="14"/>
        <v>4</v>
      </c>
      <c r="Z22" s="39">
        <f t="shared" si="14"/>
        <v>2</v>
      </c>
      <c r="AA22" s="39">
        <f t="shared" si="14"/>
        <v>0</v>
      </c>
      <c r="AB22" s="39">
        <f t="shared" si="14"/>
        <v>0</v>
      </c>
      <c r="AC22" s="39">
        <f t="shared" si="14"/>
        <v>94</v>
      </c>
      <c r="AD22" s="39">
        <f t="shared" si="14"/>
        <v>0</v>
      </c>
      <c r="AE22" s="40">
        <f t="shared" si="14"/>
        <v>82</v>
      </c>
      <c r="AF22" s="40">
        <f t="shared" si="14"/>
        <v>176</v>
      </c>
    </row>
    <row r="23" spans="2:32" ht="23.1" customHeight="1" x14ac:dyDescent="0.25">
      <c r="B23" s="23" t="s">
        <v>50</v>
      </c>
      <c r="C23" s="50">
        <v>72</v>
      </c>
      <c r="D23" s="50">
        <v>4</v>
      </c>
      <c r="E23" s="50">
        <v>15</v>
      </c>
      <c r="F23" s="50">
        <v>20</v>
      </c>
      <c r="G23" s="50">
        <v>1</v>
      </c>
      <c r="H23" s="50">
        <v>0</v>
      </c>
      <c r="I23" s="50">
        <v>10</v>
      </c>
      <c r="J23" s="50">
        <v>1</v>
      </c>
      <c r="K23" s="50">
        <v>0</v>
      </c>
      <c r="L23" s="50">
        <v>2</v>
      </c>
      <c r="M23" s="50">
        <v>144</v>
      </c>
      <c r="N23" s="50">
        <v>0</v>
      </c>
      <c r="O23" s="15">
        <f t="shared" si="0"/>
        <v>125</v>
      </c>
      <c r="P23" s="15">
        <f t="shared" si="1"/>
        <v>269</v>
      </c>
      <c r="R23" s="38" t="s">
        <v>91</v>
      </c>
      <c r="S23" s="39">
        <f>MAX(S13:S18)</f>
        <v>291</v>
      </c>
      <c r="T23" s="39">
        <f t="shared" ref="T23:AF23" si="15">MAX(T13:T18)</f>
        <v>42</v>
      </c>
      <c r="U23" s="39">
        <f t="shared" si="15"/>
        <v>54</v>
      </c>
      <c r="V23" s="39">
        <f t="shared" si="15"/>
        <v>86</v>
      </c>
      <c r="W23" s="39">
        <f t="shared" si="15"/>
        <v>11</v>
      </c>
      <c r="X23" s="39">
        <f t="shared" si="15"/>
        <v>1</v>
      </c>
      <c r="Y23" s="39">
        <f t="shared" si="15"/>
        <v>44</v>
      </c>
      <c r="Z23" s="39">
        <f t="shared" si="15"/>
        <v>3</v>
      </c>
      <c r="AA23" s="39">
        <f t="shared" si="15"/>
        <v>5</v>
      </c>
      <c r="AB23" s="39">
        <f t="shared" si="15"/>
        <v>2</v>
      </c>
      <c r="AC23" s="39">
        <f t="shared" si="15"/>
        <v>511</v>
      </c>
      <c r="AD23" s="39">
        <f t="shared" si="15"/>
        <v>0</v>
      </c>
      <c r="AE23" s="40">
        <f t="shared" si="15"/>
        <v>505</v>
      </c>
      <c r="AF23" s="40">
        <f t="shared" si="15"/>
        <v>990</v>
      </c>
    </row>
    <row r="24" spans="2:32" ht="23.1" customHeight="1" x14ac:dyDescent="0.25">
      <c r="B24" s="23" t="s">
        <v>51</v>
      </c>
      <c r="C24" s="50">
        <v>75</v>
      </c>
      <c r="D24" s="50">
        <v>12</v>
      </c>
      <c r="E24" s="50">
        <v>6</v>
      </c>
      <c r="F24" s="50">
        <v>15</v>
      </c>
      <c r="G24" s="50">
        <v>0</v>
      </c>
      <c r="H24" s="50">
        <v>0</v>
      </c>
      <c r="I24" s="50">
        <v>8</v>
      </c>
      <c r="J24" s="50">
        <v>2</v>
      </c>
      <c r="K24" s="50">
        <v>0</v>
      </c>
      <c r="L24" s="50">
        <v>0</v>
      </c>
      <c r="M24" s="50">
        <v>133</v>
      </c>
      <c r="N24" s="50">
        <v>0</v>
      </c>
      <c r="O24" s="15">
        <f t="shared" si="0"/>
        <v>118</v>
      </c>
      <c r="P24" s="15">
        <f t="shared" si="1"/>
        <v>251</v>
      </c>
      <c r="R24" s="38" t="s">
        <v>92</v>
      </c>
      <c r="S24" s="39">
        <f>MAX(S19:S21)</f>
        <v>230</v>
      </c>
      <c r="T24" s="39">
        <f t="shared" ref="T24:AF24" si="16">MAX(T19:T21)</f>
        <v>24</v>
      </c>
      <c r="U24" s="39">
        <f t="shared" si="16"/>
        <v>39</v>
      </c>
      <c r="V24" s="39">
        <f t="shared" si="16"/>
        <v>87</v>
      </c>
      <c r="W24" s="39">
        <f t="shared" si="16"/>
        <v>5</v>
      </c>
      <c r="X24" s="39">
        <f t="shared" si="16"/>
        <v>0</v>
      </c>
      <c r="Y24" s="39">
        <f t="shared" si="16"/>
        <v>35</v>
      </c>
      <c r="Z24" s="39">
        <f t="shared" si="16"/>
        <v>5</v>
      </c>
      <c r="AA24" s="39">
        <f t="shared" si="16"/>
        <v>2</v>
      </c>
      <c r="AB24" s="39">
        <f t="shared" si="16"/>
        <v>6</v>
      </c>
      <c r="AC24" s="39">
        <f t="shared" si="16"/>
        <v>587</v>
      </c>
      <c r="AD24" s="39">
        <f t="shared" si="16"/>
        <v>0</v>
      </c>
      <c r="AE24" s="40">
        <f t="shared" si="16"/>
        <v>415</v>
      </c>
      <c r="AF24" s="40">
        <f t="shared" si="16"/>
        <v>938</v>
      </c>
    </row>
    <row r="25" spans="2:32" ht="23.1" customHeight="1" x14ac:dyDescent="0.25">
      <c r="B25" s="23" t="s">
        <v>52</v>
      </c>
      <c r="C25" s="50">
        <v>77</v>
      </c>
      <c r="D25" s="50">
        <v>13</v>
      </c>
      <c r="E25" s="50">
        <v>14</v>
      </c>
      <c r="F25" s="50">
        <v>23</v>
      </c>
      <c r="G25" s="50">
        <v>0</v>
      </c>
      <c r="H25" s="50">
        <v>0</v>
      </c>
      <c r="I25" s="50">
        <v>11</v>
      </c>
      <c r="J25" s="50">
        <v>0</v>
      </c>
      <c r="K25" s="50">
        <v>2</v>
      </c>
      <c r="L25" s="50">
        <v>0</v>
      </c>
      <c r="M25" s="50">
        <v>107</v>
      </c>
      <c r="N25" s="50">
        <v>0</v>
      </c>
      <c r="O25" s="15">
        <f t="shared" si="0"/>
        <v>140</v>
      </c>
      <c r="P25" s="15">
        <f t="shared" si="1"/>
        <v>247</v>
      </c>
      <c r="R25" s="37" t="s">
        <v>85</v>
      </c>
      <c r="S25" s="35">
        <f t="shared" ref="S25:AF25" si="17">SUM(S10:S12)</f>
        <v>52</v>
      </c>
      <c r="T25" s="16">
        <f t="shared" si="17"/>
        <v>10</v>
      </c>
      <c r="U25" s="16">
        <f t="shared" si="17"/>
        <v>4</v>
      </c>
      <c r="V25" s="16">
        <f t="shared" si="17"/>
        <v>10</v>
      </c>
      <c r="W25" s="16">
        <f t="shared" si="17"/>
        <v>0</v>
      </c>
      <c r="X25" s="16">
        <f t="shared" si="17"/>
        <v>0</v>
      </c>
      <c r="Y25" s="16">
        <f t="shared" si="17"/>
        <v>4</v>
      </c>
      <c r="Z25" s="16">
        <f t="shared" si="17"/>
        <v>2</v>
      </c>
      <c r="AA25" s="16">
        <f t="shared" si="17"/>
        <v>0</v>
      </c>
      <c r="AB25" s="16">
        <f t="shared" si="17"/>
        <v>0</v>
      </c>
      <c r="AC25" s="16">
        <f t="shared" si="17"/>
        <v>94</v>
      </c>
      <c r="AD25" s="16">
        <f t="shared" si="17"/>
        <v>0</v>
      </c>
      <c r="AE25" s="32">
        <f t="shared" si="17"/>
        <v>82</v>
      </c>
      <c r="AF25" s="32">
        <f t="shared" si="17"/>
        <v>176</v>
      </c>
    </row>
    <row r="26" spans="2:32" ht="23.1" customHeight="1" x14ac:dyDescent="0.25">
      <c r="B26" s="23" t="s">
        <v>53</v>
      </c>
      <c r="C26" s="50">
        <v>69</v>
      </c>
      <c r="D26" s="50">
        <v>5</v>
      </c>
      <c r="E26" s="50">
        <v>5</v>
      </c>
      <c r="F26" s="50">
        <v>24</v>
      </c>
      <c r="G26" s="50">
        <v>0</v>
      </c>
      <c r="H26" s="50">
        <v>0</v>
      </c>
      <c r="I26" s="50">
        <v>13</v>
      </c>
      <c r="J26" s="50">
        <v>0</v>
      </c>
      <c r="K26" s="50">
        <v>2</v>
      </c>
      <c r="L26" s="50">
        <v>0</v>
      </c>
      <c r="M26" s="50">
        <v>135</v>
      </c>
      <c r="N26" s="50">
        <v>0</v>
      </c>
      <c r="O26" s="15">
        <f t="shared" si="0"/>
        <v>118</v>
      </c>
      <c r="P26" s="15">
        <f t="shared" si="1"/>
        <v>253</v>
      </c>
      <c r="R26" s="28" t="s">
        <v>86</v>
      </c>
      <c r="S26" s="16">
        <f t="shared" ref="S26:AF26" si="18">SUM(S13:S18)</f>
        <v>1235</v>
      </c>
      <c r="T26" s="16">
        <f t="shared" si="18"/>
        <v>180</v>
      </c>
      <c r="U26" s="16">
        <f t="shared" si="18"/>
        <v>203</v>
      </c>
      <c r="V26" s="16">
        <f t="shared" si="18"/>
        <v>449</v>
      </c>
      <c r="W26" s="16">
        <f t="shared" si="18"/>
        <v>18</v>
      </c>
      <c r="X26" s="16">
        <f t="shared" si="18"/>
        <v>1</v>
      </c>
      <c r="Y26" s="16">
        <f t="shared" si="18"/>
        <v>206</v>
      </c>
      <c r="Z26" s="16">
        <f t="shared" si="18"/>
        <v>6</v>
      </c>
      <c r="AA26" s="16">
        <f t="shared" si="18"/>
        <v>13</v>
      </c>
      <c r="AB26" s="16">
        <f t="shared" si="18"/>
        <v>4</v>
      </c>
      <c r="AC26" s="16">
        <f t="shared" si="18"/>
        <v>2679</v>
      </c>
      <c r="AD26" s="16">
        <f t="shared" si="18"/>
        <v>0</v>
      </c>
      <c r="AE26" s="32">
        <f t="shared" si="18"/>
        <v>2315</v>
      </c>
      <c r="AF26" s="32">
        <f t="shared" si="18"/>
        <v>4994</v>
      </c>
    </row>
    <row r="27" spans="2:32" ht="23.1" customHeight="1" x14ac:dyDescent="0.25">
      <c r="B27" s="23" t="s">
        <v>54</v>
      </c>
      <c r="C27" s="50">
        <v>72</v>
      </c>
      <c r="D27" s="50">
        <v>10</v>
      </c>
      <c r="E27" s="50">
        <v>4</v>
      </c>
      <c r="F27" s="50">
        <v>20</v>
      </c>
      <c r="G27" s="50">
        <v>0</v>
      </c>
      <c r="H27" s="50">
        <v>0</v>
      </c>
      <c r="I27" s="50">
        <v>4</v>
      </c>
      <c r="J27" s="50">
        <v>1</v>
      </c>
      <c r="K27" s="50">
        <v>0</v>
      </c>
      <c r="L27" s="50">
        <v>0</v>
      </c>
      <c r="M27" s="50">
        <v>129</v>
      </c>
      <c r="N27" s="50">
        <v>0</v>
      </c>
      <c r="O27" s="15">
        <f t="shared" si="0"/>
        <v>111</v>
      </c>
      <c r="P27" s="15">
        <f t="shared" si="1"/>
        <v>240</v>
      </c>
      <c r="R27" s="29" t="s">
        <v>87</v>
      </c>
      <c r="S27" s="16">
        <f t="shared" ref="S27:AF27" si="19">SUM(S19:S21)</f>
        <v>620</v>
      </c>
      <c r="T27" s="16">
        <f t="shared" si="19"/>
        <v>62</v>
      </c>
      <c r="U27" s="16">
        <f t="shared" si="19"/>
        <v>95</v>
      </c>
      <c r="V27" s="16">
        <f t="shared" si="19"/>
        <v>229</v>
      </c>
      <c r="W27" s="16">
        <f t="shared" si="19"/>
        <v>11</v>
      </c>
      <c r="X27" s="16">
        <f t="shared" si="19"/>
        <v>0</v>
      </c>
      <c r="Y27" s="16">
        <f t="shared" si="19"/>
        <v>89</v>
      </c>
      <c r="Z27" s="16">
        <f t="shared" si="19"/>
        <v>5</v>
      </c>
      <c r="AA27" s="16">
        <f t="shared" si="19"/>
        <v>3</v>
      </c>
      <c r="AB27" s="16">
        <f t="shared" si="19"/>
        <v>7</v>
      </c>
      <c r="AC27" s="16">
        <f t="shared" si="19"/>
        <v>1592</v>
      </c>
      <c r="AD27" s="16">
        <f t="shared" si="19"/>
        <v>0</v>
      </c>
      <c r="AE27" s="32">
        <f t="shared" si="19"/>
        <v>1121</v>
      </c>
      <c r="AF27" s="32">
        <f t="shared" si="19"/>
        <v>2713</v>
      </c>
    </row>
    <row r="28" spans="2:32" ht="23.1" customHeight="1" x14ac:dyDescent="0.25">
      <c r="B28" s="23" t="s">
        <v>55</v>
      </c>
      <c r="C28" s="50">
        <v>56</v>
      </c>
      <c r="D28" s="50">
        <v>10</v>
      </c>
      <c r="E28" s="50">
        <v>7</v>
      </c>
      <c r="F28" s="50">
        <v>25</v>
      </c>
      <c r="G28" s="50">
        <v>0</v>
      </c>
      <c r="H28" s="50">
        <v>0</v>
      </c>
      <c r="I28" s="50">
        <v>8</v>
      </c>
      <c r="J28" s="50">
        <v>0</v>
      </c>
      <c r="K28" s="50">
        <v>1</v>
      </c>
      <c r="L28" s="50">
        <v>0</v>
      </c>
      <c r="M28" s="50">
        <v>133</v>
      </c>
      <c r="N28" s="50">
        <v>0</v>
      </c>
      <c r="O28" s="15">
        <f t="shared" si="0"/>
        <v>107</v>
      </c>
      <c r="P28" s="15">
        <f t="shared" si="1"/>
        <v>240</v>
      </c>
      <c r="R28" s="5" t="s">
        <v>17</v>
      </c>
      <c r="S28" s="16">
        <f t="shared" ref="S28:AF28" si="20">SUM(S10:S21)</f>
        <v>1907</v>
      </c>
      <c r="T28" s="16">
        <f t="shared" si="20"/>
        <v>252</v>
      </c>
      <c r="U28" s="16">
        <f t="shared" si="20"/>
        <v>302</v>
      </c>
      <c r="V28" s="16">
        <f t="shared" si="20"/>
        <v>688</v>
      </c>
      <c r="W28" s="16">
        <f t="shared" si="20"/>
        <v>29</v>
      </c>
      <c r="X28" s="16">
        <f t="shared" si="20"/>
        <v>1</v>
      </c>
      <c r="Y28" s="16">
        <f t="shared" si="20"/>
        <v>299</v>
      </c>
      <c r="Z28" s="16">
        <f t="shared" si="20"/>
        <v>13</v>
      </c>
      <c r="AA28" s="16">
        <f t="shared" si="20"/>
        <v>16</v>
      </c>
      <c r="AB28" s="16">
        <f t="shared" si="20"/>
        <v>11</v>
      </c>
      <c r="AC28" s="16">
        <f t="shared" si="20"/>
        <v>4365</v>
      </c>
      <c r="AD28" s="16">
        <f t="shared" si="20"/>
        <v>0</v>
      </c>
      <c r="AE28" s="32">
        <f t="shared" si="20"/>
        <v>3518</v>
      </c>
      <c r="AF28" s="32">
        <f t="shared" si="20"/>
        <v>7883</v>
      </c>
    </row>
    <row r="29" spans="2:32" ht="23.1" customHeight="1" x14ac:dyDescent="0.25">
      <c r="B29" s="23" t="s">
        <v>56</v>
      </c>
      <c r="C29" s="50">
        <v>42</v>
      </c>
      <c r="D29" s="50">
        <v>7</v>
      </c>
      <c r="E29" s="50">
        <v>11</v>
      </c>
      <c r="F29" s="50">
        <v>17</v>
      </c>
      <c r="G29" s="50">
        <v>0</v>
      </c>
      <c r="H29" s="50">
        <v>0</v>
      </c>
      <c r="I29" s="50">
        <v>8</v>
      </c>
      <c r="J29" s="50">
        <v>0</v>
      </c>
      <c r="K29" s="50">
        <v>2</v>
      </c>
      <c r="L29" s="50">
        <v>0</v>
      </c>
      <c r="M29" s="50">
        <v>114</v>
      </c>
      <c r="N29" s="50">
        <v>0</v>
      </c>
      <c r="O29" s="15">
        <f t="shared" si="0"/>
        <v>87</v>
      </c>
      <c r="P29" s="15">
        <f t="shared" si="1"/>
        <v>201</v>
      </c>
      <c r="R29"/>
      <c r="S29" s="20"/>
      <c r="T29" s="19"/>
    </row>
    <row r="30" spans="2:32" ht="23.1" customHeight="1" x14ac:dyDescent="0.25">
      <c r="B30" s="23" t="s">
        <v>57</v>
      </c>
      <c r="C30" s="50">
        <v>25</v>
      </c>
      <c r="D30" s="50">
        <v>4</v>
      </c>
      <c r="E30" s="50">
        <v>9</v>
      </c>
      <c r="F30" s="50">
        <v>25</v>
      </c>
      <c r="G30" s="50">
        <v>0</v>
      </c>
      <c r="H30" s="50">
        <v>0</v>
      </c>
      <c r="I30" s="50">
        <v>5</v>
      </c>
      <c r="J30" s="50">
        <v>0</v>
      </c>
      <c r="K30" s="50">
        <v>1</v>
      </c>
      <c r="L30" s="50">
        <v>0</v>
      </c>
      <c r="M30" s="50">
        <v>125</v>
      </c>
      <c r="N30" s="50">
        <v>0</v>
      </c>
      <c r="O30" s="15">
        <f t="shared" si="0"/>
        <v>69</v>
      </c>
      <c r="P30" s="15">
        <f t="shared" si="1"/>
        <v>194</v>
      </c>
    </row>
    <row r="31" spans="2:32" ht="23.1" customHeight="1" x14ac:dyDescent="0.25">
      <c r="B31" s="24" t="s">
        <v>58</v>
      </c>
      <c r="C31" s="50">
        <v>45</v>
      </c>
      <c r="D31" s="50">
        <v>8</v>
      </c>
      <c r="E31" s="50">
        <v>5</v>
      </c>
      <c r="F31" s="50">
        <v>20</v>
      </c>
      <c r="G31" s="50">
        <v>0</v>
      </c>
      <c r="H31" s="50">
        <v>0</v>
      </c>
      <c r="I31" s="50">
        <v>9</v>
      </c>
      <c r="J31" s="50">
        <v>2</v>
      </c>
      <c r="K31" s="50">
        <v>0</v>
      </c>
      <c r="L31" s="50">
        <v>0</v>
      </c>
      <c r="M31" s="50">
        <v>100</v>
      </c>
      <c r="N31" s="50">
        <v>0</v>
      </c>
      <c r="O31" s="15">
        <f t="shared" si="0"/>
        <v>89</v>
      </c>
      <c r="P31" s="15">
        <f t="shared" si="1"/>
        <v>189</v>
      </c>
    </row>
    <row r="32" spans="2:32" ht="23.1" customHeight="1" x14ac:dyDescent="0.25">
      <c r="B32" s="24" t="s">
        <v>59</v>
      </c>
      <c r="C32" s="50">
        <v>63</v>
      </c>
      <c r="D32" s="50">
        <v>4</v>
      </c>
      <c r="E32" s="50">
        <v>11</v>
      </c>
      <c r="F32" s="50">
        <v>25</v>
      </c>
      <c r="G32" s="50">
        <v>2</v>
      </c>
      <c r="H32" s="50">
        <v>0</v>
      </c>
      <c r="I32" s="50">
        <v>13</v>
      </c>
      <c r="J32" s="50">
        <v>0</v>
      </c>
      <c r="K32" s="50">
        <v>1</v>
      </c>
      <c r="L32" s="50">
        <v>0</v>
      </c>
      <c r="M32" s="50">
        <v>126</v>
      </c>
      <c r="N32" s="50">
        <v>0</v>
      </c>
      <c r="O32" s="15">
        <f t="shared" si="0"/>
        <v>119</v>
      </c>
      <c r="P32" s="15">
        <f t="shared" si="1"/>
        <v>245</v>
      </c>
    </row>
    <row r="33" spans="2:20" ht="23.1" customHeight="1" x14ac:dyDescent="0.25">
      <c r="B33" s="23" t="s">
        <v>60</v>
      </c>
      <c r="C33" s="50">
        <v>42</v>
      </c>
      <c r="D33" s="50">
        <v>6</v>
      </c>
      <c r="E33" s="50">
        <v>15</v>
      </c>
      <c r="F33" s="50">
        <v>0</v>
      </c>
      <c r="G33" s="50">
        <v>0</v>
      </c>
      <c r="H33" s="50">
        <v>0</v>
      </c>
      <c r="I33" s="50">
        <v>6</v>
      </c>
      <c r="J33" s="50">
        <v>0</v>
      </c>
      <c r="K33" s="50">
        <v>1</v>
      </c>
      <c r="L33" s="50">
        <v>0</v>
      </c>
      <c r="M33" s="50">
        <v>90</v>
      </c>
      <c r="N33" s="50">
        <v>0</v>
      </c>
      <c r="O33" s="15">
        <f t="shared" si="0"/>
        <v>70</v>
      </c>
      <c r="P33" s="15">
        <f t="shared" si="1"/>
        <v>160</v>
      </c>
    </row>
    <row r="34" spans="2:20" ht="23.1" customHeight="1" x14ac:dyDescent="0.25">
      <c r="B34" s="24" t="s">
        <v>61</v>
      </c>
      <c r="C34" s="50">
        <v>27</v>
      </c>
      <c r="D34" s="50">
        <v>9</v>
      </c>
      <c r="E34" s="50">
        <v>8</v>
      </c>
      <c r="F34" s="50">
        <v>21</v>
      </c>
      <c r="G34" s="50">
        <v>0</v>
      </c>
      <c r="H34" s="50">
        <v>0</v>
      </c>
      <c r="I34" s="50">
        <v>11</v>
      </c>
      <c r="J34" s="50">
        <v>0</v>
      </c>
      <c r="K34" s="50">
        <v>0</v>
      </c>
      <c r="L34" s="50">
        <v>0</v>
      </c>
      <c r="M34" s="50">
        <v>130</v>
      </c>
      <c r="N34" s="50">
        <v>0</v>
      </c>
      <c r="O34" s="15">
        <f t="shared" si="0"/>
        <v>76</v>
      </c>
      <c r="P34" s="15">
        <f t="shared" si="1"/>
        <v>206</v>
      </c>
    </row>
    <row r="35" spans="2:20" ht="23.1" customHeight="1" x14ac:dyDescent="0.25">
      <c r="B35" s="24" t="s">
        <v>62</v>
      </c>
      <c r="C35" s="50">
        <v>50</v>
      </c>
      <c r="D35" s="50">
        <v>11</v>
      </c>
      <c r="E35" s="50">
        <v>9</v>
      </c>
      <c r="F35" s="50">
        <v>22</v>
      </c>
      <c r="G35" s="50">
        <v>2</v>
      </c>
      <c r="H35" s="50">
        <v>0</v>
      </c>
      <c r="I35" s="50">
        <v>7</v>
      </c>
      <c r="J35" s="50">
        <v>0</v>
      </c>
      <c r="K35" s="50">
        <v>0</v>
      </c>
      <c r="L35" s="50">
        <v>0</v>
      </c>
      <c r="M35" s="50">
        <v>101</v>
      </c>
      <c r="N35" s="50">
        <v>0</v>
      </c>
      <c r="O35" s="15">
        <f t="shared" si="0"/>
        <v>101</v>
      </c>
      <c r="P35" s="15">
        <f t="shared" si="1"/>
        <v>202</v>
      </c>
    </row>
    <row r="36" spans="2:20" ht="23.1" customHeight="1" x14ac:dyDescent="0.25">
      <c r="B36" s="24" t="s">
        <v>63</v>
      </c>
      <c r="C36" s="50">
        <v>47</v>
      </c>
      <c r="D36" s="50">
        <v>1</v>
      </c>
      <c r="E36" s="50">
        <v>6</v>
      </c>
      <c r="F36" s="50">
        <v>14</v>
      </c>
      <c r="G36" s="50">
        <v>0</v>
      </c>
      <c r="H36" s="50">
        <v>0</v>
      </c>
      <c r="I36" s="50">
        <v>7</v>
      </c>
      <c r="J36" s="50">
        <v>0</v>
      </c>
      <c r="K36" s="50">
        <v>0</v>
      </c>
      <c r="L36" s="50">
        <v>0</v>
      </c>
      <c r="M36" s="50">
        <v>102</v>
      </c>
      <c r="N36" s="50">
        <v>0</v>
      </c>
      <c r="O36" s="15">
        <f t="shared" si="0"/>
        <v>75</v>
      </c>
      <c r="P36" s="15">
        <f t="shared" si="1"/>
        <v>177</v>
      </c>
    </row>
    <row r="37" spans="2:20" ht="23.1" customHeight="1" x14ac:dyDescent="0.25">
      <c r="B37" s="23" t="s">
        <v>64</v>
      </c>
      <c r="C37" s="50">
        <v>50</v>
      </c>
      <c r="D37" s="50">
        <v>10</v>
      </c>
      <c r="E37" s="50">
        <v>6</v>
      </c>
      <c r="F37" s="50">
        <v>18</v>
      </c>
      <c r="G37" s="50">
        <v>0</v>
      </c>
      <c r="H37" s="50">
        <v>0</v>
      </c>
      <c r="I37" s="50">
        <v>6</v>
      </c>
      <c r="J37" s="50">
        <v>0</v>
      </c>
      <c r="K37" s="50">
        <v>0</v>
      </c>
      <c r="L37" s="50">
        <v>0</v>
      </c>
      <c r="M37" s="50">
        <v>95</v>
      </c>
      <c r="N37" s="50">
        <v>0</v>
      </c>
      <c r="O37" s="15">
        <f t="shared" si="0"/>
        <v>90</v>
      </c>
      <c r="P37" s="15">
        <f t="shared" si="1"/>
        <v>185</v>
      </c>
    </row>
    <row r="38" spans="2:20" ht="23.1" customHeight="1" x14ac:dyDescent="0.25">
      <c r="B38" s="24" t="s">
        <v>65</v>
      </c>
      <c r="C38" s="50">
        <v>54</v>
      </c>
      <c r="D38" s="50">
        <v>5</v>
      </c>
      <c r="E38" s="50">
        <v>7</v>
      </c>
      <c r="F38" s="50">
        <v>19</v>
      </c>
      <c r="G38" s="50">
        <v>1</v>
      </c>
      <c r="H38" s="50">
        <v>0</v>
      </c>
      <c r="I38" s="50">
        <v>7</v>
      </c>
      <c r="J38" s="50">
        <v>0</v>
      </c>
      <c r="K38" s="50">
        <v>0</v>
      </c>
      <c r="L38" s="50">
        <v>0</v>
      </c>
      <c r="M38" s="50">
        <v>96</v>
      </c>
      <c r="N38" s="50">
        <v>0</v>
      </c>
      <c r="O38" s="15">
        <f t="shared" si="0"/>
        <v>93</v>
      </c>
      <c r="P38" s="15">
        <f t="shared" si="1"/>
        <v>189</v>
      </c>
    </row>
    <row r="39" spans="2:20" ht="23.1" customHeight="1" x14ac:dyDescent="0.25">
      <c r="B39" s="24" t="s">
        <v>66</v>
      </c>
      <c r="C39" s="50">
        <v>49</v>
      </c>
      <c r="D39" s="50">
        <v>7</v>
      </c>
      <c r="E39" s="50">
        <v>9</v>
      </c>
      <c r="F39" s="50">
        <v>16</v>
      </c>
      <c r="G39" s="50">
        <v>0</v>
      </c>
      <c r="H39" s="50">
        <v>0</v>
      </c>
      <c r="I39" s="50">
        <v>9</v>
      </c>
      <c r="J39" s="50">
        <v>0</v>
      </c>
      <c r="K39" s="50">
        <v>2</v>
      </c>
      <c r="L39" s="50">
        <v>0</v>
      </c>
      <c r="M39" s="50">
        <v>101</v>
      </c>
      <c r="N39" s="50">
        <v>0</v>
      </c>
      <c r="O39" s="15">
        <f t="shared" si="0"/>
        <v>92</v>
      </c>
      <c r="P39" s="15">
        <f t="shared" si="1"/>
        <v>193</v>
      </c>
    </row>
    <row r="40" spans="2:20" ht="23.1" customHeight="1" x14ac:dyDescent="0.25">
      <c r="B40" s="24" t="s">
        <v>67</v>
      </c>
      <c r="C40" s="50">
        <v>43</v>
      </c>
      <c r="D40" s="50">
        <v>5</v>
      </c>
      <c r="E40" s="50">
        <v>2</v>
      </c>
      <c r="F40" s="50">
        <v>14</v>
      </c>
      <c r="G40" s="50">
        <v>0</v>
      </c>
      <c r="H40" s="50">
        <v>0</v>
      </c>
      <c r="I40" s="50">
        <v>11</v>
      </c>
      <c r="J40" s="50">
        <v>0</v>
      </c>
      <c r="K40" s="50">
        <v>0</v>
      </c>
      <c r="L40" s="50">
        <v>0</v>
      </c>
      <c r="M40" s="50">
        <v>87</v>
      </c>
      <c r="N40" s="50">
        <v>0</v>
      </c>
      <c r="O40" s="15">
        <f t="shared" si="0"/>
        <v>75</v>
      </c>
      <c r="P40" s="15">
        <f t="shared" si="1"/>
        <v>162</v>
      </c>
    </row>
    <row r="41" spans="2:20" ht="23.1" customHeight="1" x14ac:dyDescent="0.25">
      <c r="B41" s="23" t="s">
        <v>68</v>
      </c>
      <c r="C41" s="50">
        <v>45</v>
      </c>
      <c r="D41" s="50">
        <v>6</v>
      </c>
      <c r="E41" s="50">
        <v>4</v>
      </c>
      <c r="F41" s="50">
        <v>17</v>
      </c>
      <c r="G41" s="50">
        <v>1</v>
      </c>
      <c r="H41" s="50">
        <v>0</v>
      </c>
      <c r="I41" s="50">
        <v>6</v>
      </c>
      <c r="J41" s="50">
        <v>0</v>
      </c>
      <c r="K41" s="50">
        <v>0</v>
      </c>
      <c r="L41" s="50">
        <v>0</v>
      </c>
      <c r="M41" s="50">
        <v>99</v>
      </c>
      <c r="N41" s="50">
        <v>0</v>
      </c>
      <c r="O41" s="15">
        <f t="shared" si="0"/>
        <v>79</v>
      </c>
      <c r="P41" s="15">
        <f t="shared" si="1"/>
        <v>178</v>
      </c>
    </row>
    <row r="42" spans="2:20" ht="23.1" customHeight="1" x14ac:dyDescent="0.25">
      <c r="B42" s="24" t="s">
        <v>69</v>
      </c>
      <c r="C42" s="50">
        <v>42</v>
      </c>
      <c r="D42" s="50">
        <v>5</v>
      </c>
      <c r="E42" s="50">
        <v>6</v>
      </c>
      <c r="F42" s="50">
        <v>19</v>
      </c>
      <c r="G42" s="50">
        <v>9</v>
      </c>
      <c r="H42" s="50">
        <v>0</v>
      </c>
      <c r="I42" s="50">
        <v>14</v>
      </c>
      <c r="J42" s="50">
        <v>0</v>
      </c>
      <c r="K42" s="50">
        <v>0</v>
      </c>
      <c r="L42" s="50">
        <v>0</v>
      </c>
      <c r="M42" s="50">
        <v>92</v>
      </c>
      <c r="N42" s="50">
        <v>0</v>
      </c>
      <c r="O42" s="15">
        <f t="shared" si="0"/>
        <v>95</v>
      </c>
      <c r="P42" s="15">
        <f t="shared" si="1"/>
        <v>187</v>
      </c>
    </row>
    <row r="43" spans="2:20" ht="23.1" customHeight="1" x14ac:dyDescent="0.25">
      <c r="B43" s="23" t="s">
        <v>70</v>
      </c>
      <c r="C43" s="50">
        <v>41</v>
      </c>
      <c r="D43" s="50">
        <v>9</v>
      </c>
      <c r="E43" s="50">
        <v>10</v>
      </c>
      <c r="F43" s="50">
        <v>15</v>
      </c>
      <c r="G43" s="50">
        <v>1</v>
      </c>
      <c r="H43" s="50">
        <v>0</v>
      </c>
      <c r="I43" s="50">
        <v>10</v>
      </c>
      <c r="J43" s="50">
        <v>0</v>
      </c>
      <c r="K43" s="50">
        <v>0</v>
      </c>
      <c r="L43" s="50">
        <v>0</v>
      </c>
      <c r="M43" s="50">
        <v>120</v>
      </c>
      <c r="N43" s="50">
        <v>0</v>
      </c>
      <c r="O43" s="15">
        <f t="shared" si="0"/>
        <v>86</v>
      </c>
      <c r="P43" s="15">
        <f t="shared" si="1"/>
        <v>206</v>
      </c>
    </row>
    <row r="44" spans="2:20" ht="23.1" customHeight="1" x14ac:dyDescent="0.25">
      <c r="B44" s="25" t="s">
        <v>71</v>
      </c>
      <c r="C44" s="50">
        <v>42</v>
      </c>
      <c r="D44" s="50">
        <v>11</v>
      </c>
      <c r="E44" s="50">
        <v>6</v>
      </c>
      <c r="F44" s="50">
        <v>16</v>
      </c>
      <c r="G44" s="50">
        <v>1</v>
      </c>
      <c r="H44" s="50">
        <v>0</v>
      </c>
      <c r="I44" s="50">
        <v>13</v>
      </c>
      <c r="J44" s="50">
        <v>0</v>
      </c>
      <c r="K44" s="50">
        <v>1</v>
      </c>
      <c r="L44" s="50">
        <v>2</v>
      </c>
      <c r="M44" s="50">
        <v>89</v>
      </c>
      <c r="N44" s="50">
        <v>0</v>
      </c>
      <c r="O44" s="15">
        <f t="shared" si="0"/>
        <v>92</v>
      </c>
      <c r="P44" s="15">
        <f t="shared" si="1"/>
        <v>181</v>
      </c>
    </row>
    <row r="45" spans="2:20" ht="23.1" customHeight="1" x14ac:dyDescent="0.25">
      <c r="B45" s="23" t="s">
        <v>72</v>
      </c>
      <c r="C45" s="50">
        <v>40</v>
      </c>
      <c r="D45" s="50">
        <v>5</v>
      </c>
      <c r="E45" s="50">
        <v>9</v>
      </c>
      <c r="F45" s="50">
        <v>24</v>
      </c>
      <c r="G45" s="50">
        <v>0</v>
      </c>
      <c r="H45" s="50">
        <v>1</v>
      </c>
      <c r="I45" s="50">
        <v>7</v>
      </c>
      <c r="J45" s="50">
        <v>0</v>
      </c>
      <c r="K45" s="50">
        <v>0</v>
      </c>
      <c r="L45" s="50">
        <v>0</v>
      </c>
      <c r="M45" s="50">
        <v>130</v>
      </c>
      <c r="N45" s="50">
        <v>0</v>
      </c>
      <c r="O45" s="15">
        <f t="shared" si="0"/>
        <v>86</v>
      </c>
      <c r="P45" s="15">
        <f t="shared" si="1"/>
        <v>216</v>
      </c>
    </row>
    <row r="46" spans="2:20" ht="23.1" customHeight="1" x14ac:dyDescent="0.25">
      <c r="B46" s="24" t="s">
        <v>73</v>
      </c>
      <c r="C46" s="50">
        <v>41</v>
      </c>
      <c r="D46" s="50">
        <v>2</v>
      </c>
      <c r="E46" s="50">
        <v>9</v>
      </c>
      <c r="F46" s="50">
        <v>18</v>
      </c>
      <c r="G46" s="50">
        <v>0</v>
      </c>
      <c r="H46" s="50">
        <v>0</v>
      </c>
      <c r="I46" s="50">
        <v>7</v>
      </c>
      <c r="J46" s="50">
        <v>0</v>
      </c>
      <c r="K46" s="50">
        <v>1</v>
      </c>
      <c r="L46" s="50">
        <v>0</v>
      </c>
      <c r="M46" s="50">
        <v>118</v>
      </c>
      <c r="N46" s="50">
        <v>0</v>
      </c>
      <c r="O46" s="15">
        <f t="shared" si="0"/>
        <v>78</v>
      </c>
      <c r="P46" s="15">
        <f t="shared" si="1"/>
        <v>196</v>
      </c>
      <c r="R46" s="8"/>
      <c r="T46"/>
    </row>
    <row r="47" spans="2:20" ht="23.1" customHeight="1" x14ac:dyDescent="0.25">
      <c r="B47" s="24" t="s">
        <v>74</v>
      </c>
      <c r="C47" s="50">
        <v>42</v>
      </c>
      <c r="D47" s="50">
        <v>11</v>
      </c>
      <c r="E47" s="50">
        <v>5</v>
      </c>
      <c r="F47" s="50">
        <v>17</v>
      </c>
      <c r="G47" s="50">
        <v>1</v>
      </c>
      <c r="H47" s="50">
        <v>0</v>
      </c>
      <c r="I47" s="50">
        <v>9</v>
      </c>
      <c r="J47" s="50">
        <v>0</v>
      </c>
      <c r="K47" s="50">
        <v>0</v>
      </c>
      <c r="L47" s="50">
        <v>2</v>
      </c>
      <c r="M47" s="50">
        <v>140</v>
      </c>
      <c r="N47" s="50">
        <v>0</v>
      </c>
      <c r="O47" s="15">
        <f t="shared" si="0"/>
        <v>87</v>
      </c>
      <c r="P47" s="15">
        <f t="shared" si="1"/>
        <v>227</v>
      </c>
      <c r="R47" s="8"/>
      <c r="T47"/>
    </row>
    <row r="48" spans="2:20" ht="23.1" customHeight="1" x14ac:dyDescent="0.25">
      <c r="B48" s="24" t="s">
        <v>75</v>
      </c>
      <c r="C48" s="50">
        <v>60</v>
      </c>
      <c r="D48" s="50">
        <v>5</v>
      </c>
      <c r="E48" s="50">
        <v>5</v>
      </c>
      <c r="F48" s="50">
        <v>18</v>
      </c>
      <c r="G48" s="50">
        <v>0</v>
      </c>
      <c r="H48" s="50">
        <v>0</v>
      </c>
      <c r="I48" s="50">
        <v>8</v>
      </c>
      <c r="J48" s="50">
        <v>0</v>
      </c>
      <c r="K48" s="50">
        <v>0</v>
      </c>
      <c r="L48" s="50">
        <v>3</v>
      </c>
      <c r="M48" s="50">
        <v>134</v>
      </c>
      <c r="N48" s="50">
        <v>0</v>
      </c>
      <c r="O48" s="15">
        <f t="shared" si="0"/>
        <v>99</v>
      </c>
      <c r="P48" s="15">
        <f t="shared" si="1"/>
        <v>233</v>
      </c>
      <c r="R48" s="8"/>
      <c r="T48"/>
    </row>
    <row r="49" spans="2:20" ht="23.1" customHeight="1" x14ac:dyDescent="0.25">
      <c r="B49" s="23" t="s">
        <v>76</v>
      </c>
      <c r="C49" s="50">
        <v>57</v>
      </c>
      <c r="D49" s="50">
        <v>3</v>
      </c>
      <c r="E49" s="50">
        <v>5</v>
      </c>
      <c r="F49" s="50">
        <v>15</v>
      </c>
      <c r="G49" s="50">
        <v>1</v>
      </c>
      <c r="H49" s="50">
        <v>0</v>
      </c>
      <c r="I49" s="50">
        <v>9</v>
      </c>
      <c r="J49" s="50">
        <v>0</v>
      </c>
      <c r="K49" s="50">
        <v>0</v>
      </c>
      <c r="L49" s="50">
        <v>1</v>
      </c>
      <c r="M49" s="50">
        <v>119</v>
      </c>
      <c r="N49" s="50">
        <v>0</v>
      </c>
      <c r="O49" s="15">
        <f t="shared" si="0"/>
        <v>91</v>
      </c>
      <c r="P49" s="15">
        <f t="shared" si="1"/>
        <v>210</v>
      </c>
      <c r="R49" s="8"/>
      <c r="T49"/>
    </row>
    <row r="50" spans="2:20" ht="23.1" customHeight="1" x14ac:dyDescent="0.25">
      <c r="B50" s="24" t="s">
        <v>77</v>
      </c>
      <c r="C50" s="50">
        <v>75</v>
      </c>
      <c r="D50" s="50">
        <v>1</v>
      </c>
      <c r="E50" s="50">
        <v>6</v>
      </c>
      <c r="F50" s="50">
        <v>20</v>
      </c>
      <c r="G50" s="50">
        <v>0</v>
      </c>
      <c r="H50" s="50">
        <v>0</v>
      </c>
      <c r="I50" s="50">
        <v>14</v>
      </c>
      <c r="J50" s="50">
        <v>0</v>
      </c>
      <c r="K50" s="50">
        <v>1</v>
      </c>
      <c r="L50" s="50">
        <v>1</v>
      </c>
      <c r="M50" s="50">
        <v>115</v>
      </c>
      <c r="N50" s="50">
        <v>0</v>
      </c>
      <c r="O50" s="15">
        <f t="shared" si="0"/>
        <v>118</v>
      </c>
      <c r="P50" s="15">
        <f t="shared" si="1"/>
        <v>233</v>
      </c>
      <c r="R50" s="8"/>
      <c r="T50"/>
    </row>
    <row r="51" spans="2:20" ht="23.1" customHeight="1" x14ac:dyDescent="0.25">
      <c r="B51" s="24" t="s">
        <v>78</v>
      </c>
      <c r="C51" s="50">
        <v>61</v>
      </c>
      <c r="D51" s="50">
        <v>5</v>
      </c>
      <c r="E51" s="50">
        <v>14</v>
      </c>
      <c r="F51" s="50">
        <v>30</v>
      </c>
      <c r="G51" s="50">
        <v>1</v>
      </c>
      <c r="H51" s="50">
        <v>0</v>
      </c>
      <c r="I51" s="50">
        <v>9</v>
      </c>
      <c r="J51" s="50">
        <v>0</v>
      </c>
      <c r="K51" s="50">
        <v>0</v>
      </c>
      <c r="L51" s="50">
        <v>0</v>
      </c>
      <c r="M51" s="50">
        <v>124</v>
      </c>
      <c r="N51" s="50">
        <v>0</v>
      </c>
      <c r="O51" s="15">
        <f t="shared" si="0"/>
        <v>120</v>
      </c>
      <c r="P51" s="15">
        <f t="shared" si="1"/>
        <v>244</v>
      </c>
      <c r="R51" s="8"/>
      <c r="T51"/>
    </row>
    <row r="52" spans="2:20" ht="23.1" customHeight="1" x14ac:dyDescent="0.25">
      <c r="B52" s="24" t="s">
        <v>79</v>
      </c>
      <c r="C52" s="50">
        <v>38</v>
      </c>
      <c r="D52" s="50">
        <v>9</v>
      </c>
      <c r="E52" s="50">
        <v>8</v>
      </c>
      <c r="F52" s="50">
        <v>21</v>
      </c>
      <c r="G52" s="50">
        <v>1</v>
      </c>
      <c r="H52" s="50">
        <v>0</v>
      </c>
      <c r="I52" s="50">
        <v>5</v>
      </c>
      <c r="J52" s="50">
        <v>0</v>
      </c>
      <c r="K52" s="50">
        <v>1</v>
      </c>
      <c r="L52" s="50">
        <v>0</v>
      </c>
      <c r="M52" s="50">
        <v>115</v>
      </c>
      <c r="N52" s="50">
        <v>0</v>
      </c>
      <c r="O52" s="15">
        <f t="shared" si="0"/>
        <v>83</v>
      </c>
      <c r="P52" s="15">
        <f t="shared" si="1"/>
        <v>198</v>
      </c>
      <c r="R52" s="8"/>
      <c r="T52"/>
    </row>
    <row r="53" spans="2:20" ht="23.1" customHeight="1" x14ac:dyDescent="0.25">
      <c r="B53" s="23" t="s">
        <v>80</v>
      </c>
      <c r="C53" s="50">
        <v>56</v>
      </c>
      <c r="D53" s="50">
        <v>2</v>
      </c>
      <c r="E53" s="50">
        <v>11</v>
      </c>
      <c r="F53" s="50">
        <v>16</v>
      </c>
      <c r="G53" s="50">
        <v>2</v>
      </c>
      <c r="H53" s="50">
        <v>0</v>
      </c>
      <c r="I53" s="50">
        <v>7</v>
      </c>
      <c r="J53" s="50">
        <v>0</v>
      </c>
      <c r="K53" s="50">
        <v>0</v>
      </c>
      <c r="L53" s="50">
        <v>0</v>
      </c>
      <c r="M53" s="50">
        <v>140</v>
      </c>
      <c r="N53" s="50">
        <v>0</v>
      </c>
      <c r="O53" s="15">
        <f t="shared" si="0"/>
        <v>94</v>
      </c>
      <c r="P53" s="15">
        <f t="shared" si="1"/>
        <v>234</v>
      </c>
      <c r="R53" s="8"/>
      <c r="T53"/>
    </row>
    <row r="54" spans="2:20" ht="23.1" customHeight="1" x14ac:dyDescent="0.25">
      <c r="B54" s="23" t="s">
        <v>81</v>
      </c>
      <c r="C54" s="50">
        <v>50</v>
      </c>
      <c r="D54" s="50">
        <v>7</v>
      </c>
      <c r="E54" s="50">
        <v>9</v>
      </c>
      <c r="F54" s="50">
        <v>27</v>
      </c>
      <c r="G54" s="50">
        <v>1</v>
      </c>
      <c r="H54" s="50">
        <v>0</v>
      </c>
      <c r="I54" s="50">
        <v>10</v>
      </c>
      <c r="J54" s="50">
        <v>4</v>
      </c>
      <c r="K54" s="50">
        <v>0</v>
      </c>
      <c r="L54" s="50">
        <v>0</v>
      </c>
      <c r="M54" s="50">
        <v>130</v>
      </c>
      <c r="N54" s="50">
        <v>0</v>
      </c>
      <c r="O54" s="15">
        <f t="shared" si="0"/>
        <v>108</v>
      </c>
      <c r="P54" s="15">
        <f t="shared" si="1"/>
        <v>238</v>
      </c>
      <c r="R54" s="8"/>
      <c r="T54"/>
    </row>
    <row r="55" spans="2:20" ht="23.1" customHeight="1" x14ac:dyDescent="0.25">
      <c r="B55" s="23" t="s">
        <v>82</v>
      </c>
      <c r="C55" s="50">
        <v>44</v>
      </c>
      <c r="D55" s="50">
        <v>4</v>
      </c>
      <c r="E55" s="50">
        <v>4</v>
      </c>
      <c r="F55" s="50">
        <v>2</v>
      </c>
      <c r="G55" s="50">
        <v>1</v>
      </c>
      <c r="H55" s="50">
        <v>0</v>
      </c>
      <c r="I55" s="50">
        <v>4</v>
      </c>
      <c r="J55" s="50">
        <v>0</v>
      </c>
      <c r="K55" s="50">
        <v>0</v>
      </c>
      <c r="L55" s="50">
        <v>0</v>
      </c>
      <c r="M55" s="50">
        <v>137</v>
      </c>
      <c r="N55" s="50">
        <v>0</v>
      </c>
      <c r="O55" s="15">
        <f t="shared" si="0"/>
        <v>59</v>
      </c>
      <c r="P55" s="15">
        <f t="shared" si="1"/>
        <v>196</v>
      </c>
      <c r="R55" s="8"/>
      <c r="T55"/>
    </row>
    <row r="56" spans="2:20" ht="23.1" customHeight="1" x14ac:dyDescent="0.25">
      <c r="B56" s="23" t="s">
        <v>83</v>
      </c>
      <c r="C56" s="50">
        <v>52</v>
      </c>
      <c r="D56" s="50">
        <v>6</v>
      </c>
      <c r="E56" s="50">
        <v>12</v>
      </c>
      <c r="F56" s="50">
        <v>21</v>
      </c>
      <c r="G56" s="50">
        <v>2</v>
      </c>
      <c r="H56" s="50">
        <v>0</v>
      </c>
      <c r="I56" s="50">
        <v>4</v>
      </c>
      <c r="J56" s="50">
        <v>0</v>
      </c>
      <c r="K56" s="50">
        <v>0</v>
      </c>
      <c r="L56" s="50">
        <v>0</v>
      </c>
      <c r="M56" s="50">
        <v>170</v>
      </c>
      <c r="N56" s="50">
        <v>0</v>
      </c>
      <c r="O56" s="15">
        <f t="shared" si="0"/>
        <v>97</v>
      </c>
      <c r="P56" s="15">
        <f t="shared" si="1"/>
        <v>267</v>
      </c>
      <c r="R56" s="8"/>
      <c r="T56"/>
    </row>
    <row r="57" spans="2:20" ht="23.1" customHeight="1" x14ac:dyDescent="0.25">
      <c r="B57" s="23" t="s">
        <v>84</v>
      </c>
      <c r="C57" s="50">
        <v>44</v>
      </c>
      <c r="D57" s="50">
        <v>7</v>
      </c>
      <c r="E57" s="50">
        <v>7</v>
      </c>
      <c r="F57" s="50">
        <v>24</v>
      </c>
      <c r="G57" s="50">
        <v>1</v>
      </c>
      <c r="H57" s="50">
        <v>0</v>
      </c>
      <c r="I57" s="50">
        <v>3</v>
      </c>
      <c r="J57" s="50">
        <v>1</v>
      </c>
      <c r="K57" s="50">
        <v>0</v>
      </c>
      <c r="L57" s="50">
        <v>0</v>
      </c>
      <c r="M57" s="50">
        <v>150</v>
      </c>
      <c r="N57" s="50">
        <v>0</v>
      </c>
      <c r="O57" s="15">
        <f t="shared" si="0"/>
        <v>87</v>
      </c>
      <c r="P57" s="15">
        <f t="shared" si="1"/>
        <v>237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1907</v>
      </c>
      <c r="D58" s="16">
        <f t="shared" si="21"/>
        <v>252</v>
      </c>
      <c r="E58" s="16">
        <f t="shared" si="21"/>
        <v>302</v>
      </c>
      <c r="F58" s="16">
        <f t="shared" si="21"/>
        <v>688</v>
      </c>
      <c r="G58" s="16">
        <f t="shared" si="21"/>
        <v>29</v>
      </c>
      <c r="H58" s="16">
        <f t="shared" si="21"/>
        <v>1</v>
      </c>
      <c r="I58" s="16">
        <f t="shared" si="21"/>
        <v>299</v>
      </c>
      <c r="J58" s="16">
        <f t="shared" si="21"/>
        <v>13</v>
      </c>
      <c r="K58" s="16">
        <f t="shared" si="21"/>
        <v>16</v>
      </c>
      <c r="L58" s="16">
        <f t="shared" si="21"/>
        <v>11</v>
      </c>
      <c r="M58" s="16">
        <f t="shared" si="21"/>
        <v>4365</v>
      </c>
      <c r="N58" s="16">
        <f t="shared" si="21"/>
        <v>0</v>
      </c>
      <c r="O58" s="16">
        <f t="shared" si="21"/>
        <v>3518</v>
      </c>
      <c r="P58" s="16">
        <f t="shared" si="21"/>
        <v>7883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0.24191297729290878</v>
      </c>
      <c r="D59" s="43">
        <f t="shared" si="22"/>
        <v>3.1967525053913481E-2</v>
      </c>
      <c r="E59" s="43">
        <f t="shared" si="22"/>
        <v>3.8310287961435999E-2</v>
      </c>
      <c r="F59" s="43">
        <f t="shared" si="22"/>
        <v>8.7276417607509829E-2</v>
      </c>
      <c r="G59" s="43">
        <f t="shared" si="22"/>
        <v>3.6788024863630597E-3</v>
      </c>
      <c r="H59" s="43">
        <f t="shared" si="22"/>
        <v>1.2685525815045033E-4</v>
      </c>
      <c r="I59" s="43">
        <f t="shared" si="22"/>
        <v>3.7929722186984649E-2</v>
      </c>
      <c r="J59" s="43">
        <f t="shared" si="22"/>
        <v>1.6491183559558544E-3</v>
      </c>
      <c r="K59" s="43">
        <f t="shared" si="22"/>
        <v>2.0296841304072053E-3</v>
      </c>
      <c r="L59" s="43">
        <f t="shared" si="22"/>
        <v>1.3954078396549536E-3</v>
      </c>
      <c r="M59" s="43">
        <f t="shared" si="22"/>
        <v>0.55372320182671575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0.54206935758953956</v>
      </c>
      <c r="D60" s="44">
        <f t="shared" ref="D60:N60" si="23">D58/$O$58</f>
        <v>7.1631608868675381E-2</v>
      </c>
      <c r="E60" s="44">
        <f t="shared" si="23"/>
        <v>8.5844229675952247E-2</v>
      </c>
      <c r="F60" s="44">
        <f t="shared" si="23"/>
        <v>0.19556566230812961</v>
      </c>
      <c r="G60" s="44">
        <f t="shared" si="23"/>
        <v>8.2433200682205804E-3</v>
      </c>
      <c r="H60" s="44">
        <f t="shared" si="23"/>
        <v>2.8425241614553722E-4</v>
      </c>
      <c r="I60" s="44">
        <f t="shared" si="23"/>
        <v>8.4991472427515632E-2</v>
      </c>
      <c r="J60" s="44">
        <f t="shared" si="23"/>
        <v>3.695281409891984E-3</v>
      </c>
      <c r="K60" s="44">
        <f t="shared" si="23"/>
        <v>4.5480386583285955E-3</v>
      </c>
      <c r="L60" s="44">
        <f t="shared" si="23"/>
        <v>3.1267765776009098E-3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I56" sqref="I5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0" t="str">
        <f>'01.08 KIREKA-NAMUGONGO'!C3:G3</f>
        <v>MCC - C1 - STN039 - NAMUGONGO ROAD</v>
      </c>
      <c r="D3" s="60"/>
      <c r="E3" s="60"/>
      <c r="F3" s="60"/>
      <c r="G3" s="6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'29.07 NAMUGONGO-KIREKA'!D5</f>
        <v>29.07.19</v>
      </c>
      <c r="E5" s="3"/>
      <c r="F5" s="41" t="s">
        <v>1</v>
      </c>
      <c r="G5" s="56" t="str">
        <f>'29.07 NAMUGONGO-KIREKA'!G5:H5</f>
        <v>AGENDA</v>
      </c>
      <c r="H5" s="57"/>
      <c r="I5" s="14"/>
      <c r="J5" s="2" t="s">
        <v>5</v>
      </c>
      <c r="K5" s="56" t="str">
        <f>'29.07 NAMUGONGO-KIREKA'!K5:L5</f>
        <v>STEVEN</v>
      </c>
      <c r="L5" s="57"/>
      <c r="M5" s="10"/>
      <c r="N5" s="10"/>
      <c r="O5" s="3"/>
      <c r="P5" s="3"/>
    </row>
    <row r="6" spans="2:32" ht="23.25" customHeight="1" x14ac:dyDescent="0.25">
      <c r="C6" s="2" t="s">
        <v>4</v>
      </c>
      <c r="D6" s="56" t="str">
        <f>'01.08 KIREKA-NAMUGONGO'!D6:E6</f>
        <v>KIREKA</v>
      </c>
      <c r="E6" s="57"/>
      <c r="F6" s="2" t="s">
        <v>2</v>
      </c>
      <c r="G6" s="56" t="str">
        <f>'01.08 KIREKA-NAMUGONGO'!G6:H6</f>
        <v>NAMUGONGO</v>
      </c>
      <c r="H6" s="57"/>
      <c r="J6" s="2" t="s">
        <v>21</v>
      </c>
      <c r="K6" s="56" t="str">
        <f>'29.07 NAMUGONGO-KIREKA'!K6:L6</f>
        <v>NAIDO GRACE BRENDA</v>
      </c>
      <c r="L6" s="5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5" t="s">
        <v>88</v>
      </c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0</v>
      </c>
      <c r="R10" s="1" t="s">
        <v>6</v>
      </c>
      <c r="S10" s="17">
        <f t="shared" ref="S10:AF10" si="2">SUM(C10:C13)</f>
        <v>0</v>
      </c>
      <c r="T10" s="17">
        <f t="shared" si="2"/>
        <v>0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0</v>
      </c>
      <c r="AD10" s="17">
        <f t="shared" si="2"/>
        <v>0</v>
      </c>
      <c r="AE10" s="31">
        <f t="shared" si="2"/>
        <v>0</v>
      </c>
      <c r="AF10" s="31">
        <f t="shared" si="2"/>
        <v>0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15">
        <f t="shared" si="0"/>
        <v>0</v>
      </c>
      <c r="P11" s="15">
        <f t="shared" si="1"/>
        <v>0</v>
      </c>
      <c r="R11" s="1" t="s">
        <v>7</v>
      </c>
      <c r="S11" s="17">
        <f t="shared" ref="S11:AF11" si="3">SUM(C14:C17)</f>
        <v>0</v>
      </c>
      <c r="T11" s="17">
        <f t="shared" si="3"/>
        <v>0</v>
      </c>
      <c r="U11" s="17">
        <f t="shared" si="3"/>
        <v>0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0</v>
      </c>
      <c r="AD11" s="17">
        <f t="shared" si="3"/>
        <v>0</v>
      </c>
      <c r="AE11" s="31">
        <f t="shared" si="3"/>
        <v>0</v>
      </c>
      <c r="AF11" s="31">
        <f t="shared" si="3"/>
        <v>0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15">
        <f t="shared" si="0"/>
        <v>0</v>
      </c>
      <c r="P12" s="15">
        <f t="shared" si="1"/>
        <v>0</v>
      </c>
      <c r="R12" s="1" t="s">
        <v>8</v>
      </c>
      <c r="S12" s="17">
        <f t="shared" ref="S12:AF12" si="4">SUM(C18:C21)</f>
        <v>33</v>
      </c>
      <c r="T12" s="17">
        <f t="shared" si="4"/>
        <v>1</v>
      </c>
      <c r="U12" s="17">
        <f t="shared" si="4"/>
        <v>6</v>
      </c>
      <c r="V12" s="17">
        <f t="shared" si="4"/>
        <v>19</v>
      </c>
      <c r="W12" s="17">
        <f t="shared" si="4"/>
        <v>0</v>
      </c>
      <c r="X12" s="17">
        <f t="shared" si="4"/>
        <v>0</v>
      </c>
      <c r="Y12" s="17">
        <f t="shared" si="4"/>
        <v>3</v>
      </c>
      <c r="Z12" s="17">
        <f t="shared" si="4"/>
        <v>4</v>
      </c>
      <c r="AA12" s="17">
        <f t="shared" si="4"/>
        <v>2</v>
      </c>
      <c r="AB12" s="17">
        <f t="shared" si="4"/>
        <v>0</v>
      </c>
      <c r="AC12" s="17">
        <f t="shared" si="4"/>
        <v>120</v>
      </c>
      <c r="AD12" s="17">
        <f t="shared" si="4"/>
        <v>0</v>
      </c>
      <c r="AE12" s="31">
        <f t="shared" si="4"/>
        <v>68</v>
      </c>
      <c r="AF12" s="31">
        <f t="shared" si="4"/>
        <v>188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15">
        <f t="shared" si="0"/>
        <v>0</v>
      </c>
      <c r="P13" s="15">
        <f t="shared" si="1"/>
        <v>0</v>
      </c>
      <c r="R13" s="1" t="s">
        <v>9</v>
      </c>
      <c r="S13" s="17">
        <f t="shared" ref="S13:AF13" si="5">SUM(C22:C25)</f>
        <v>124</v>
      </c>
      <c r="T13" s="17">
        <f t="shared" si="5"/>
        <v>23</v>
      </c>
      <c r="U13" s="17">
        <f t="shared" si="5"/>
        <v>20</v>
      </c>
      <c r="V13" s="17">
        <f t="shared" si="5"/>
        <v>46</v>
      </c>
      <c r="W13" s="17">
        <f t="shared" si="5"/>
        <v>1</v>
      </c>
      <c r="X13" s="17">
        <f t="shared" si="5"/>
        <v>0</v>
      </c>
      <c r="Y13" s="17">
        <f t="shared" si="5"/>
        <v>42</v>
      </c>
      <c r="Z13" s="17">
        <f t="shared" si="5"/>
        <v>10</v>
      </c>
      <c r="AA13" s="17">
        <f t="shared" si="5"/>
        <v>4</v>
      </c>
      <c r="AB13" s="17">
        <f t="shared" si="5"/>
        <v>2</v>
      </c>
      <c r="AC13" s="17">
        <f t="shared" si="5"/>
        <v>475</v>
      </c>
      <c r="AD13" s="17">
        <f t="shared" si="5"/>
        <v>0</v>
      </c>
      <c r="AE13" s="31">
        <f t="shared" si="5"/>
        <v>272</v>
      </c>
      <c r="AF13" s="31">
        <f t="shared" si="5"/>
        <v>747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15">
        <f t="shared" si="0"/>
        <v>0</v>
      </c>
      <c r="P14" s="15">
        <f t="shared" si="1"/>
        <v>0</v>
      </c>
      <c r="R14" s="1" t="s">
        <v>10</v>
      </c>
      <c r="S14" s="17">
        <f t="shared" ref="S14:AF14" si="6">SUM(C26:C29)</f>
        <v>130</v>
      </c>
      <c r="T14" s="17">
        <f t="shared" si="6"/>
        <v>20</v>
      </c>
      <c r="U14" s="17">
        <f t="shared" si="6"/>
        <v>19</v>
      </c>
      <c r="V14" s="17">
        <f t="shared" si="6"/>
        <v>53</v>
      </c>
      <c r="W14" s="17">
        <f t="shared" si="6"/>
        <v>1</v>
      </c>
      <c r="X14" s="17">
        <f t="shared" si="6"/>
        <v>0</v>
      </c>
      <c r="Y14" s="17">
        <f t="shared" si="6"/>
        <v>40</v>
      </c>
      <c r="Z14" s="17">
        <f t="shared" si="6"/>
        <v>10</v>
      </c>
      <c r="AA14" s="17">
        <f t="shared" si="6"/>
        <v>13</v>
      </c>
      <c r="AB14" s="17">
        <f t="shared" si="6"/>
        <v>0</v>
      </c>
      <c r="AC14" s="17">
        <f t="shared" si="6"/>
        <v>473</v>
      </c>
      <c r="AD14" s="17">
        <f t="shared" si="6"/>
        <v>0</v>
      </c>
      <c r="AE14" s="31">
        <f t="shared" si="6"/>
        <v>286</v>
      </c>
      <c r="AF14" s="31">
        <f t="shared" si="6"/>
        <v>759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15">
        <f t="shared" si="0"/>
        <v>0</v>
      </c>
      <c r="P15" s="15">
        <f t="shared" si="1"/>
        <v>0</v>
      </c>
      <c r="R15" s="1" t="s">
        <v>11</v>
      </c>
      <c r="S15" s="17">
        <f t="shared" ref="S15:AF15" si="7">SUM(C30:C33)</f>
        <v>136</v>
      </c>
      <c r="T15" s="17">
        <f t="shared" si="7"/>
        <v>19</v>
      </c>
      <c r="U15" s="17">
        <f t="shared" si="7"/>
        <v>15</v>
      </c>
      <c r="V15" s="17">
        <f t="shared" si="7"/>
        <v>32</v>
      </c>
      <c r="W15" s="17">
        <f t="shared" si="7"/>
        <v>1</v>
      </c>
      <c r="X15" s="17">
        <f t="shared" si="7"/>
        <v>0</v>
      </c>
      <c r="Y15" s="17">
        <f t="shared" si="7"/>
        <v>30</v>
      </c>
      <c r="Z15" s="17">
        <f t="shared" si="7"/>
        <v>16</v>
      </c>
      <c r="AA15" s="17">
        <f t="shared" si="7"/>
        <v>14</v>
      </c>
      <c r="AB15" s="17">
        <f t="shared" si="7"/>
        <v>0</v>
      </c>
      <c r="AC15" s="17">
        <f t="shared" si="7"/>
        <v>464</v>
      </c>
      <c r="AD15" s="17">
        <f t="shared" si="7"/>
        <v>0</v>
      </c>
      <c r="AE15" s="31">
        <f t="shared" si="7"/>
        <v>263</v>
      </c>
      <c r="AF15" s="31">
        <f t="shared" si="7"/>
        <v>727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15">
        <f t="shared" si="0"/>
        <v>0</v>
      </c>
      <c r="P16" s="15">
        <f t="shared" si="1"/>
        <v>0</v>
      </c>
      <c r="R16" s="1" t="s">
        <v>12</v>
      </c>
      <c r="S16" s="17">
        <f t="shared" ref="S16:AF16" si="8">SUM(C34:C37)</f>
        <v>139</v>
      </c>
      <c r="T16" s="17">
        <f t="shared" si="8"/>
        <v>13</v>
      </c>
      <c r="U16" s="17">
        <f t="shared" si="8"/>
        <v>15</v>
      </c>
      <c r="V16" s="17">
        <f t="shared" si="8"/>
        <v>33</v>
      </c>
      <c r="W16" s="17">
        <f t="shared" si="8"/>
        <v>2</v>
      </c>
      <c r="X16" s="17">
        <f t="shared" si="8"/>
        <v>0</v>
      </c>
      <c r="Y16" s="17">
        <f t="shared" si="8"/>
        <v>37</v>
      </c>
      <c r="Z16" s="17">
        <f t="shared" si="8"/>
        <v>12</v>
      </c>
      <c r="AA16" s="17">
        <f t="shared" si="8"/>
        <v>5</v>
      </c>
      <c r="AB16" s="17">
        <f t="shared" si="8"/>
        <v>0</v>
      </c>
      <c r="AC16" s="17">
        <f t="shared" si="8"/>
        <v>463</v>
      </c>
      <c r="AD16" s="17">
        <f t="shared" si="8"/>
        <v>0</v>
      </c>
      <c r="AE16" s="31">
        <f t="shared" si="8"/>
        <v>256</v>
      </c>
      <c r="AF16" s="31">
        <f t="shared" si="8"/>
        <v>719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15">
        <f t="shared" si="0"/>
        <v>0</v>
      </c>
      <c r="P17" s="15">
        <f t="shared" si="1"/>
        <v>0</v>
      </c>
      <c r="R17" s="1" t="s">
        <v>13</v>
      </c>
      <c r="S17" s="17">
        <f t="shared" ref="S17:AF17" si="9">SUM(C38:C41)</f>
        <v>112</v>
      </c>
      <c r="T17" s="17">
        <f t="shared" si="9"/>
        <v>17</v>
      </c>
      <c r="U17" s="17">
        <f t="shared" si="9"/>
        <v>16</v>
      </c>
      <c r="V17" s="17">
        <f t="shared" si="9"/>
        <v>33</v>
      </c>
      <c r="W17" s="17">
        <f t="shared" si="9"/>
        <v>2</v>
      </c>
      <c r="X17" s="17">
        <f t="shared" si="9"/>
        <v>0</v>
      </c>
      <c r="Y17" s="17">
        <f t="shared" si="9"/>
        <v>23</v>
      </c>
      <c r="Z17" s="17">
        <f t="shared" si="9"/>
        <v>16</v>
      </c>
      <c r="AA17" s="17">
        <f t="shared" si="9"/>
        <v>4</v>
      </c>
      <c r="AB17" s="17">
        <f t="shared" si="9"/>
        <v>0</v>
      </c>
      <c r="AC17" s="17">
        <f t="shared" si="9"/>
        <v>456</v>
      </c>
      <c r="AD17" s="17">
        <f t="shared" si="9"/>
        <v>0</v>
      </c>
      <c r="AE17" s="31">
        <f t="shared" si="9"/>
        <v>223</v>
      </c>
      <c r="AF17" s="31">
        <f t="shared" si="9"/>
        <v>679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15">
        <f t="shared" si="0"/>
        <v>0</v>
      </c>
      <c r="P18" s="15">
        <f t="shared" si="1"/>
        <v>0</v>
      </c>
      <c r="R18" s="1" t="s">
        <v>14</v>
      </c>
      <c r="S18" s="17">
        <f t="shared" ref="S18:AF18" si="10">SUM(C42:C45)</f>
        <v>144</v>
      </c>
      <c r="T18" s="17">
        <f t="shared" si="10"/>
        <v>26</v>
      </c>
      <c r="U18" s="17">
        <f t="shared" si="10"/>
        <v>18</v>
      </c>
      <c r="V18" s="17">
        <f t="shared" si="10"/>
        <v>34</v>
      </c>
      <c r="W18" s="17">
        <f t="shared" si="10"/>
        <v>3</v>
      </c>
      <c r="X18" s="17">
        <f t="shared" si="10"/>
        <v>1</v>
      </c>
      <c r="Y18" s="17">
        <f t="shared" si="10"/>
        <v>37</v>
      </c>
      <c r="Z18" s="17">
        <f t="shared" si="10"/>
        <v>12</v>
      </c>
      <c r="AA18" s="17">
        <f t="shared" si="10"/>
        <v>6</v>
      </c>
      <c r="AB18" s="17">
        <f t="shared" si="10"/>
        <v>0</v>
      </c>
      <c r="AC18" s="17">
        <f t="shared" si="10"/>
        <v>448</v>
      </c>
      <c r="AD18" s="17">
        <f t="shared" si="10"/>
        <v>0</v>
      </c>
      <c r="AE18" s="31">
        <f t="shared" si="10"/>
        <v>281</v>
      </c>
      <c r="AF18" s="31">
        <f t="shared" si="10"/>
        <v>729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15">
        <f t="shared" si="0"/>
        <v>0</v>
      </c>
      <c r="P19" s="15">
        <f t="shared" si="1"/>
        <v>0</v>
      </c>
      <c r="R19" s="1" t="s">
        <v>15</v>
      </c>
      <c r="S19" s="17">
        <f t="shared" ref="S19:AF19" si="11">SUM(C46:C49)</f>
        <v>283</v>
      </c>
      <c r="T19" s="17">
        <f t="shared" si="11"/>
        <v>40</v>
      </c>
      <c r="U19" s="17">
        <f t="shared" si="11"/>
        <v>39</v>
      </c>
      <c r="V19" s="17">
        <f t="shared" si="11"/>
        <v>35</v>
      </c>
      <c r="W19" s="17">
        <f t="shared" si="11"/>
        <v>1</v>
      </c>
      <c r="X19" s="17">
        <f t="shared" si="11"/>
        <v>0</v>
      </c>
      <c r="Y19" s="17">
        <f t="shared" si="11"/>
        <v>33</v>
      </c>
      <c r="Z19" s="17">
        <f t="shared" si="11"/>
        <v>7</v>
      </c>
      <c r="AA19" s="17">
        <f t="shared" si="11"/>
        <v>3</v>
      </c>
      <c r="AB19" s="17">
        <f t="shared" si="11"/>
        <v>0</v>
      </c>
      <c r="AC19" s="17">
        <f t="shared" si="11"/>
        <v>499</v>
      </c>
      <c r="AD19" s="17">
        <f t="shared" si="11"/>
        <v>0</v>
      </c>
      <c r="AE19" s="31">
        <f t="shared" si="11"/>
        <v>441</v>
      </c>
      <c r="AF19" s="31">
        <f t="shared" si="11"/>
        <v>940</v>
      </c>
    </row>
    <row r="20" spans="2:32" ht="23.1" customHeight="1" x14ac:dyDescent="0.25">
      <c r="B20" s="23" t="s">
        <v>47</v>
      </c>
      <c r="C20" s="50">
        <v>25</v>
      </c>
      <c r="D20" s="50">
        <v>1</v>
      </c>
      <c r="E20" s="50">
        <v>6</v>
      </c>
      <c r="F20" s="50">
        <v>17</v>
      </c>
      <c r="G20" s="50">
        <v>0</v>
      </c>
      <c r="H20" s="50">
        <v>0</v>
      </c>
      <c r="I20" s="50">
        <v>2</v>
      </c>
      <c r="J20" s="50">
        <v>4</v>
      </c>
      <c r="K20" s="50">
        <v>2</v>
      </c>
      <c r="L20" s="50">
        <v>0</v>
      </c>
      <c r="M20" s="50">
        <v>77</v>
      </c>
      <c r="N20" s="50">
        <v>0</v>
      </c>
      <c r="O20" s="15">
        <f t="shared" si="0"/>
        <v>57</v>
      </c>
      <c r="P20" s="15">
        <f t="shared" si="1"/>
        <v>134</v>
      </c>
      <c r="R20" s="1" t="s">
        <v>16</v>
      </c>
      <c r="S20" s="17">
        <f t="shared" ref="S20:AF20" si="12">SUM(C50:C53)</f>
        <v>432</v>
      </c>
      <c r="T20" s="17">
        <f t="shared" si="12"/>
        <v>51</v>
      </c>
      <c r="U20" s="17">
        <f t="shared" si="12"/>
        <v>35</v>
      </c>
      <c r="V20" s="17">
        <f t="shared" si="12"/>
        <v>51</v>
      </c>
      <c r="W20" s="17">
        <f t="shared" si="12"/>
        <v>3</v>
      </c>
      <c r="X20" s="17">
        <f t="shared" si="12"/>
        <v>0</v>
      </c>
      <c r="Y20" s="17">
        <f t="shared" si="12"/>
        <v>34</v>
      </c>
      <c r="Z20" s="17">
        <f t="shared" si="12"/>
        <v>12</v>
      </c>
      <c r="AA20" s="17">
        <f t="shared" si="12"/>
        <v>6</v>
      </c>
      <c r="AB20" s="17">
        <f t="shared" si="12"/>
        <v>1</v>
      </c>
      <c r="AC20" s="17">
        <f t="shared" si="12"/>
        <v>476</v>
      </c>
      <c r="AD20" s="17">
        <f t="shared" si="12"/>
        <v>0</v>
      </c>
      <c r="AE20" s="31">
        <f t="shared" si="12"/>
        <v>625</v>
      </c>
      <c r="AF20" s="31">
        <f t="shared" si="12"/>
        <v>1101</v>
      </c>
    </row>
    <row r="21" spans="2:32" ht="23.1" customHeight="1" x14ac:dyDescent="0.25">
      <c r="B21" s="23" t="s">
        <v>48</v>
      </c>
      <c r="C21" s="50">
        <v>8</v>
      </c>
      <c r="D21" s="50">
        <v>0</v>
      </c>
      <c r="E21" s="50">
        <v>0</v>
      </c>
      <c r="F21" s="50">
        <v>2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43</v>
      </c>
      <c r="N21" s="50">
        <v>0</v>
      </c>
      <c r="O21" s="15">
        <f t="shared" si="0"/>
        <v>11</v>
      </c>
      <c r="P21" s="15">
        <f t="shared" si="1"/>
        <v>54</v>
      </c>
      <c r="R21" s="36" t="s">
        <v>20</v>
      </c>
      <c r="S21" s="34">
        <f t="shared" ref="S21:AF21" si="13">SUM(C54:C57)</f>
        <v>418</v>
      </c>
      <c r="T21" s="17">
        <f t="shared" si="13"/>
        <v>52</v>
      </c>
      <c r="U21" s="17">
        <f t="shared" si="13"/>
        <v>34</v>
      </c>
      <c r="V21" s="17">
        <f t="shared" si="13"/>
        <v>70</v>
      </c>
      <c r="W21" s="17">
        <f t="shared" si="13"/>
        <v>2</v>
      </c>
      <c r="X21" s="17">
        <f t="shared" si="13"/>
        <v>0</v>
      </c>
      <c r="Y21" s="17">
        <f t="shared" si="13"/>
        <v>14</v>
      </c>
      <c r="Z21" s="17">
        <f t="shared" si="13"/>
        <v>7</v>
      </c>
      <c r="AA21" s="17">
        <f t="shared" si="13"/>
        <v>2</v>
      </c>
      <c r="AB21" s="17">
        <f t="shared" si="13"/>
        <v>0</v>
      </c>
      <c r="AC21" s="17">
        <f t="shared" si="13"/>
        <v>480</v>
      </c>
      <c r="AD21" s="17">
        <f t="shared" si="13"/>
        <v>0</v>
      </c>
      <c r="AE21" s="31">
        <f t="shared" si="13"/>
        <v>599</v>
      </c>
      <c r="AF21" s="31">
        <f t="shared" si="13"/>
        <v>1079</v>
      </c>
    </row>
    <row r="22" spans="2:32" ht="23.1" customHeight="1" x14ac:dyDescent="0.25">
      <c r="B22" s="23" t="s">
        <v>49</v>
      </c>
      <c r="C22" s="50">
        <v>6</v>
      </c>
      <c r="D22" s="50">
        <v>0</v>
      </c>
      <c r="E22" s="50">
        <v>1</v>
      </c>
      <c r="F22" s="50">
        <v>1</v>
      </c>
      <c r="G22" s="50">
        <v>0</v>
      </c>
      <c r="H22" s="50">
        <v>0</v>
      </c>
      <c r="I22" s="50">
        <v>2</v>
      </c>
      <c r="J22" s="50">
        <v>2</v>
      </c>
      <c r="K22" s="50">
        <v>2</v>
      </c>
      <c r="L22" s="50">
        <v>0</v>
      </c>
      <c r="M22" s="50">
        <v>72</v>
      </c>
      <c r="N22" s="50">
        <v>0</v>
      </c>
      <c r="O22" s="15">
        <f t="shared" si="0"/>
        <v>14</v>
      </c>
      <c r="P22" s="15">
        <f t="shared" si="1"/>
        <v>86</v>
      </c>
      <c r="R22" s="38" t="s">
        <v>90</v>
      </c>
      <c r="S22" s="39">
        <f>MAX(S10:S12)</f>
        <v>33</v>
      </c>
      <c r="T22" s="39">
        <f t="shared" ref="T22:AF22" si="14">MAX(T10:T12)</f>
        <v>1</v>
      </c>
      <c r="U22" s="39">
        <f t="shared" si="14"/>
        <v>6</v>
      </c>
      <c r="V22" s="39">
        <f t="shared" si="14"/>
        <v>19</v>
      </c>
      <c r="W22" s="39">
        <f t="shared" si="14"/>
        <v>0</v>
      </c>
      <c r="X22" s="39">
        <f t="shared" si="14"/>
        <v>0</v>
      </c>
      <c r="Y22" s="39">
        <f t="shared" si="14"/>
        <v>3</v>
      </c>
      <c r="Z22" s="39">
        <f t="shared" si="14"/>
        <v>4</v>
      </c>
      <c r="AA22" s="39">
        <f t="shared" si="14"/>
        <v>2</v>
      </c>
      <c r="AB22" s="39">
        <f t="shared" si="14"/>
        <v>0</v>
      </c>
      <c r="AC22" s="39">
        <f t="shared" si="14"/>
        <v>120</v>
      </c>
      <c r="AD22" s="39">
        <f t="shared" si="14"/>
        <v>0</v>
      </c>
      <c r="AE22" s="40">
        <f t="shared" si="14"/>
        <v>68</v>
      </c>
      <c r="AF22" s="40">
        <f t="shared" si="14"/>
        <v>188</v>
      </c>
    </row>
    <row r="23" spans="2:32" ht="23.1" customHeight="1" x14ac:dyDescent="0.25">
      <c r="B23" s="23" t="s">
        <v>50</v>
      </c>
      <c r="C23" s="50">
        <v>45</v>
      </c>
      <c r="D23" s="50">
        <v>11</v>
      </c>
      <c r="E23" s="50">
        <v>6</v>
      </c>
      <c r="F23" s="50">
        <v>19</v>
      </c>
      <c r="G23" s="50">
        <v>0</v>
      </c>
      <c r="H23" s="50">
        <v>0</v>
      </c>
      <c r="I23" s="50">
        <v>13</v>
      </c>
      <c r="J23" s="50">
        <v>4</v>
      </c>
      <c r="K23" s="50">
        <v>1</v>
      </c>
      <c r="L23" s="50">
        <v>1</v>
      </c>
      <c r="M23" s="50">
        <v>119</v>
      </c>
      <c r="N23" s="50">
        <v>0</v>
      </c>
      <c r="O23" s="15">
        <f t="shared" si="0"/>
        <v>100</v>
      </c>
      <c r="P23" s="15">
        <f t="shared" si="1"/>
        <v>219</v>
      </c>
      <c r="R23" s="38" t="s">
        <v>91</v>
      </c>
      <c r="S23" s="39">
        <f>MAX(S13:S18)</f>
        <v>144</v>
      </c>
      <c r="T23" s="39">
        <f t="shared" ref="T23:AF23" si="15">MAX(T13:T18)</f>
        <v>26</v>
      </c>
      <c r="U23" s="39">
        <f t="shared" si="15"/>
        <v>20</v>
      </c>
      <c r="V23" s="39">
        <f t="shared" si="15"/>
        <v>53</v>
      </c>
      <c r="W23" s="39">
        <f t="shared" si="15"/>
        <v>3</v>
      </c>
      <c r="X23" s="39">
        <f t="shared" si="15"/>
        <v>1</v>
      </c>
      <c r="Y23" s="39">
        <f t="shared" si="15"/>
        <v>42</v>
      </c>
      <c r="Z23" s="39">
        <f t="shared" si="15"/>
        <v>16</v>
      </c>
      <c r="AA23" s="39">
        <f t="shared" si="15"/>
        <v>14</v>
      </c>
      <c r="AB23" s="39">
        <f t="shared" si="15"/>
        <v>2</v>
      </c>
      <c r="AC23" s="39">
        <f t="shared" si="15"/>
        <v>475</v>
      </c>
      <c r="AD23" s="39">
        <f t="shared" si="15"/>
        <v>0</v>
      </c>
      <c r="AE23" s="40">
        <f t="shared" si="15"/>
        <v>286</v>
      </c>
      <c r="AF23" s="40">
        <f t="shared" si="15"/>
        <v>759</v>
      </c>
    </row>
    <row r="24" spans="2:32" ht="23.1" customHeight="1" x14ac:dyDescent="0.25">
      <c r="B24" s="23" t="s">
        <v>51</v>
      </c>
      <c r="C24" s="50">
        <v>28</v>
      </c>
      <c r="D24" s="50">
        <v>8</v>
      </c>
      <c r="E24" s="50">
        <v>4</v>
      </c>
      <c r="F24" s="50">
        <v>14</v>
      </c>
      <c r="G24" s="50">
        <v>0</v>
      </c>
      <c r="H24" s="50">
        <v>0</v>
      </c>
      <c r="I24" s="50">
        <v>13</v>
      </c>
      <c r="J24" s="50">
        <v>4</v>
      </c>
      <c r="K24" s="50">
        <v>1</v>
      </c>
      <c r="L24" s="50">
        <v>1</v>
      </c>
      <c r="M24" s="50">
        <v>140</v>
      </c>
      <c r="N24" s="50">
        <v>0</v>
      </c>
      <c r="O24" s="15">
        <f t="shared" si="0"/>
        <v>73</v>
      </c>
      <c r="P24" s="15">
        <f t="shared" si="1"/>
        <v>213</v>
      </c>
      <c r="R24" s="38" t="s">
        <v>92</v>
      </c>
      <c r="S24" s="39">
        <f>MAX(S19:S21)</f>
        <v>432</v>
      </c>
      <c r="T24" s="39">
        <f t="shared" ref="T24:AF24" si="16">MAX(T19:T21)</f>
        <v>52</v>
      </c>
      <c r="U24" s="39">
        <f t="shared" si="16"/>
        <v>39</v>
      </c>
      <c r="V24" s="39">
        <f t="shared" si="16"/>
        <v>70</v>
      </c>
      <c r="W24" s="39">
        <f t="shared" si="16"/>
        <v>3</v>
      </c>
      <c r="X24" s="39">
        <f t="shared" si="16"/>
        <v>0</v>
      </c>
      <c r="Y24" s="39">
        <f t="shared" si="16"/>
        <v>34</v>
      </c>
      <c r="Z24" s="39">
        <f t="shared" si="16"/>
        <v>12</v>
      </c>
      <c r="AA24" s="39">
        <f t="shared" si="16"/>
        <v>6</v>
      </c>
      <c r="AB24" s="39">
        <f t="shared" si="16"/>
        <v>1</v>
      </c>
      <c r="AC24" s="39">
        <f t="shared" si="16"/>
        <v>499</v>
      </c>
      <c r="AD24" s="39">
        <f t="shared" si="16"/>
        <v>0</v>
      </c>
      <c r="AE24" s="40">
        <f t="shared" si="16"/>
        <v>625</v>
      </c>
      <c r="AF24" s="40">
        <f t="shared" si="16"/>
        <v>1101</v>
      </c>
    </row>
    <row r="25" spans="2:32" ht="23.1" customHeight="1" x14ac:dyDescent="0.25">
      <c r="B25" s="23" t="s">
        <v>52</v>
      </c>
      <c r="C25" s="50">
        <v>45</v>
      </c>
      <c r="D25" s="50">
        <v>4</v>
      </c>
      <c r="E25" s="50">
        <v>9</v>
      </c>
      <c r="F25" s="50">
        <v>12</v>
      </c>
      <c r="G25" s="50">
        <v>1</v>
      </c>
      <c r="H25" s="50">
        <v>0</v>
      </c>
      <c r="I25" s="50">
        <v>14</v>
      </c>
      <c r="J25" s="50">
        <v>0</v>
      </c>
      <c r="K25" s="50">
        <v>0</v>
      </c>
      <c r="L25" s="50">
        <v>0</v>
      </c>
      <c r="M25" s="50">
        <v>144</v>
      </c>
      <c r="N25" s="50">
        <v>0</v>
      </c>
      <c r="O25" s="15">
        <f t="shared" si="0"/>
        <v>85</v>
      </c>
      <c r="P25" s="15">
        <f t="shared" si="1"/>
        <v>229</v>
      </c>
      <c r="R25" s="37" t="s">
        <v>85</v>
      </c>
      <c r="S25" s="35">
        <f t="shared" ref="S25:AF25" si="17">SUM(S10:S12)</f>
        <v>33</v>
      </c>
      <c r="T25" s="16">
        <f t="shared" si="17"/>
        <v>1</v>
      </c>
      <c r="U25" s="16">
        <f t="shared" si="17"/>
        <v>6</v>
      </c>
      <c r="V25" s="16">
        <f t="shared" si="17"/>
        <v>19</v>
      </c>
      <c r="W25" s="16">
        <f t="shared" si="17"/>
        <v>0</v>
      </c>
      <c r="X25" s="16">
        <f t="shared" si="17"/>
        <v>0</v>
      </c>
      <c r="Y25" s="16">
        <f t="shared" si="17"/>
        <v>3</v>
      </c>
      <c r="Z25" s="16">
        <f t="shared" si="17"/>
        <v>4</v>
      </c>
      <c r="AA25" s="16">
        <f t="shared" si="17"/>
        <v>2</v>
      </c>
      <c r="AB25" s="16">
        <f t="shared" si="17"/>
        <v>0</v>
      </c>
      <c r="AC25" s="16">
        <f t="shared" si="17"/>
        <v>120</v>
      </c>
      <c r="AD25" s="16">
        <f t="shared" si="17"/>
        <v>0</v>
      </c>
      <c r="AE25" s="32">
        <f t="shared" si="17"/>
        <v>68</v>
      </c>
      <c r="AF25" s="32">
        <f t="shared" si="17"/>
        <v>188</v>
      </c>
    </row>
    <row r="26" spans="2:32" ht="23.1" customHeight="1" x14ac:dyDescent="0.25">
      <c r="B26" s="23" t="s">
        <v>53</v>
      </c>
      <c r="C26" s="50">
        <v>29</v>
      </c>
      <c r="D26" s="50">
        <v>5</v>
      </c>
      <c r="E26" s="50">
        <v>7</v>
      </c>
      <c r="F26" s="50">
        <v>7</v>
      </c>
      <c r="G26" s="50">
        <v>0</v>
      </c>
      <c r="H26" s="50">
        <v>0</v>
      </c>
      <c r="I26" s="50">
        <v>8</v>
      </c>
      <c r="J26" s="50">
        <v>1</v>
      </c>
      <c r="K26" s="50">
        <v>3</v>
      </c>
      <c r="L26" s="50">
        <v>0</v>
      </c>
      <c r="M26" s="50">
        <v>129</v>
      </c>
      <c r="N26" s="50">
        <v>0</v>
      </c>
      <c r="O26" s="15">
        <f t="shared" si="0"/>
        <v>60</v>
      </c>
      <c r="P26" s="15">
        <f t="shared" si="1"/>
        <v>189</v>
      </c>
      <c r="R26" s="28" t="s">
        <v>86</v>
      </c>
      <c r="S26" s="16">
        <f t="shared" ref="S26:AF26" si="18">SUM(S13:S18)</f>
        <v>785</v>
      </c>
      <c r="T26" s="16">
        <f t="shared" si="18"/>
        <v>118</v>
      </c>
      <c r="U26" s="16">
        <f t="shared" si="18"/>
        <v>103</v>
      </c>
      <c r="V26" s="16">
        <f t="shared" si="18"/>
        <v>231</v>
      </c>
      <c r="W26" s="16">
        <f t="shared" si="18"/>
        <v>10</v>
      </c>
      <c r="X26" s="16">
        <f t="shared" si="18"/>
        <v>1</v>
      </c>
      <c r="Y26" s="16">
        <f t="shared" si="18"/>
        <v>209</v>
      </c>
      <c r="Z26" s="16">
        <f t="shared" si="18"/>
        <v>76</v>
      </c>
      <c r="AA26" s="16">
        <f t="shared" si="18"/>
        <v>46</v>
      </c>
      <c r="AB26" s="16">
        <f t="shared" si="18"/>
        <v>2</v>
      </c>
      <c r="AC26" s="16">
        <f t="shared" si="18"/>
        <v>2779</v>
      </c>
      <c r="AD26" s="16">
        <f t="shared" si="18"/>
        <v>0</v>
      </c>
      <c r="AE26" s="32">
        <f t="shared" si="18"/>
        <v>1581</v>
      </c>
      <c r="AF26" s="32">
        <f t="shared" si="18"/>
        <v>4360</v>
      </c>
    </row>
    <row r="27" spans="2:32" ht="23.1" customHeight="1" x14ac:dyDescent="0.25">
      <c r="B27" s="23" t="s">
        <v>54</v>
      </c>
      <c r="C27" s="50">
        <v>33</v>
      </c>
      <c r="D27" s="50">
        <v>7</v>
      </c>
      <c r="E27" s="50">
        <v>5</v>
      </c>
      <c r="F27" s="50">
        <v>10</v>
      </c>
      <c r="G27" s="50">
        <v>1</v>
      </c>
      <c r="H27" s="50">
        <v>0</v>
      </c>
      <c r="I27" s="50">
        <v>13</v>
      </c>
      <c r="J27" s="50">
        <v>2</v>
      </c>
      <c r="K27" s="50">
        <v>1</v>
      </c>
      <c r="L27" s="50">
        <v>0</v>
      </c>
      <c r="M27" s="50">
        <v>113</v>
      </c>
      <c r="N27" s="50">
        <v>0</v>
      </c>
      <c r="O27" s="15">
        <f t="shared" si="0"/>
        <v>72</v>
      </c>
      <c r="P27" s="15">
        <f t="shared" si="1"/>
        <v>185</v>
      </c>
      <c r="R27" s="29" t="s">
        <v>87</v>
      </c>
      <c r="S27" s="16">
        <f t="shared" ref="S27:AF27" si="19">SUM(S19:S21)</f>
        <v>1133</v>
      </c>
      <c r="T27" s="16">
        <f t="shared" si="19"/>
        <v>143</v>
      </c>
      <c r="U27" s="16">
        <f t="shared" si="19"/>
        <v>108</v>
      </c>
      <c r="V27" s="16">
        <f t="shared" si="19"/>
        <v>156</v>
      </c>
      <c r="W27" s="16">
        <f t="shared" si="19"/>
        <v>6</v>
      </c>
      <c r="X27" s="16">
        <f t="shared" si="19"/>
        <v>0</v>
      </c>
      <c r="Y27" s="16">
        <f t="shared" si="19"/>
        <v>81</v>
      </c>
      <c r="Z27" s="16">
        <f t="shared" si="19"/>
        <v>26</v>
      </c>
      <c r="AA27" s="16">
        <f t="shared" si="19"/>
        <v>11</v>
      </c>
      <c r="AB27" s="16">
        <f t="shared" si="19"/>
        <v>1</v>
      </c>
      <c r="AC27" s="16">
        <f t="shared" si="19"/>
        <v>1455</v>
      </c>
      <c r="AD27" s="16">
        <f t="shared" si="19"/>
        <v>0</v>
      </c>
      <c r="AE27" s="32">
        <f t="shared" si="19"/>
        <v>1665</v>
      </c>
      <c r="AF27" s="32">
        <f t="shared" si="19"/>
        <v>3120</v>
      </c>
    </row>
    <row r="28" spans="2:32" ht="23.1" customHeight="1" x14ac:dyDescent="0.25">
      <c r="B28" s="23" t="s">
        <v>55</v>
      </c>
      <c r="C28" s="50">
        <v>36</v>
      </c>
      <c r="D28" s="50">
        <v>5</v>
      </c>
      <c r="E28" s="50">
        <v>4</v>
      </c>
      <c r="F28" s="50">
        <v>22</v>
      </c>
      <c r="G28" s="50">
        <v>0</v>
      </c>
      <c r="H28" s="50">
        <v>0</v>
      </c>
      <c r="I28" s="50">
        <v>12</v>
      </c>
      <c r="J28" s="50">
        <v>2</v>
      </c>
      <c r="K28" s="50">
        <v>6</v>
      </c>
      <c r="L28" s="50">
        <v>0</v>
      </c>
      <c r="M28" s="50">
        <v>115</v>
      </c>
      <c r="N28" s="50">
        <v>0</v>
      </c>
      <c r="O28" s="15">
        <f t="shared" si="0"/>
        <v>87</v>
      </c>
      <c r="P28" s="15">
        <f t="shared" si="1"/>
        <v>202</v>
      </c>
      <c r="R28" s="5" t="s">
        <v>17</v>
      </c>
      <c r="S28" s="16">
        <f t="shared" ref="S28:AF28" si="20">SUM(S10:S21)</f>
        <v>1951</v>
      </c>
      <c r="T28" s="16">
        <f t="shared" si="20"/>
        <v>262</v>
      </c>
      <c r="U28" s="16">
        <f t="shared" si="20"/>
        <v>217</v>
      </c>
      <c r="V28" s="16">
        <f t="shared" si="20"/>
        <v>406</v>
      </c>
      <c r="W28" s="16">
        <f t="shared" si="20"/>
        <v>16</v>
      </c>
      <c r="X28" s="16">
        <f t="shared" si="20"/>
        <v>1</v>
      </c>
      <c r="Y28" s="16">
        <f t="shared" si="20"/>
        <v>293</v>
      </c>
      <c r="Z28" s="16">
        <f t="shared" si="20"/>
        <v>106</v>
      </c>
      <c r="AA28" s="16">
        <f t="shared" si="20"/>
        <v>59</v>
      </c>
      <c r="AB28" s="16">
        <f t="shared" si="20"/>
        <v>3</v>
      </c>
      <c r="AC28" s="16">
        <f t="shared" si="20"/>
        <v>4354</v>
      </c>
      <c r="AD28" s="16">
        <f t="shared" si="20"/>
        <v>0</v>
      </c>
      <c r="AE28" s="32">
        <f t="shared" si="20"/>
        <v>3314</v>
      </c>
      <c r="AF28" s="32">
        <f t="shared" si="20"/>
        <v>7668</v>
      </c>
    </row>
    <row r="29" spans="2:32" ht="23.1" customHeight="1" x14ac:dyDescent="0.25">
      <c r="B29" s="23" t="s">
        <v>56</v>
      </c>
      <c r="C29" s="50">
        <v>32</v>
      </c>
      <c r="D29" s="50">
        <v>3</v>
      </c>
      <c r="E29" s="50">
        <v>3</v>
      </c>
      <c r="F29" s="50">
        <v>14</v>
      </c>
      <c r="G29" s="50">
        <v>0</v>
      </c>
      <c r="H29" s="50">
        <v>0</v>
      </c>
      <c r="I29" s="50">
        <v>7</v>
      </c>
      <c r="J29" s="50">
        <v>5</v>
      </c>
      <c r="K29" s="50">
        <v>3</v>
      </c>
      <c r="L29" s="50">
        <v>0</v>
      </c>
      <c r="M29" s="50">
        <v>116</v>
      </c>
      <c r="N29" s="50">
        <v>0</v>
      </c>
      <c r="O29" s="15">
        <f t="shared" si="0"/>
        <v>67</v>
      </c>
      <c r="P29" s="15">
        <f t="shared" si="1"/>
        <v>183</v>
      </c>
      <c r="R29"/>
      <c r="S29" s="20"/>
      <c r="T29" s="19"/>
    </row>
    <row r="30" spans="2:32" ht="23.1" customHeight="1" x14ac:dyDescent="0.25">
      <c r="B30" s="23" t="s">
        <v>57</v>
      </c>
      <c r="C30" s="50">
        <v>32</v>
      </c>
      <c r="D30" s="50">
        <v>10</v>
      </c>
      <c r="E30" s="50">
        <v>4</v>
      </c>
      <c r="F30" s="50">
        <v>4</v>
      </c>
      <c r="G30" s="50">
        <v>0</v>
      </c>
      <c r="H30" s="50">
        <v>0</v>
      </c>
      <c r="I30" s="50">
        <v>7</v>
      </c>
      <c r="J30" s="50">
        <v>8</v>
      </c>
      <c r="K30" s="50">
        <v>3</v>
      </c>
      <c r="L30" s="50">
        <v>0</v>
      </c>
      <c r="M30" s="50">
        <v>117</v>
      </c>
      <c r="N30" s="50">
        <v>0</v>
      </c>
      <c r="O30" s="15">
        <f t="shared" si="0"/>
        <v>68</v>
      </c>
      <c r="P30" s="15">
        <f t="shared" si="1"/>
        <v>185</v>
      </c>
    </row>
    <row r="31" spans="2:32" ht="23.1" customHeight="1" x14ac:dyDescent="0.25">
      <c r="B31" s="24" t="s">
        <v>58</v>
      </c>
      <c r="C31" s="50">
        <v>31</v>
      </c>
      <c r="D31" s="50">
        <v>3</v>
      </c>
      <c r="E31" s="50">
        <v>3</v>
      </c>
      <c r="F31" s="50">
        <v>9</v>
      </c>
      <c r="G31" s="50">
        <v>0</v>
      </c>
      <c r="H31" s="50">
        <v>0</v>
      </c>
      <c r="I31" s="50">
        <v>7</v>
      </c>
      <c r="J31" s="50">
        <v>4</v>
      </c>
      <c r="K31" s="50">
        <v>6</v>
      </c>
      <c r="L31" s="50">
        <v>0</v>
      </c>
      <c r="M31" s="50">
        <v>115</v>
      </c>
      <c r="N31" s="50">
        <v>0</v>
      </c>
      <c r="O31" s="15">
        <f t="shared" si="0"/>
        <v>63</v>
      </c>
      <c r="P31" s="15">
        <f t="shared" si="1"/>
        <v>178</v>
      </c>
    </row>
    <row r="32" spans="2:32" ht="23.1" customHeight="1" x14ac:dyDescent="0.25">
      <c r="B32" s="24" t="s">
        <v>59</v>
      </c>
      <c r="C32" s="50">
        <v>44</v>
      </c>
      <c r="D32" s="50">
        <v>4</v>
      </c>
      <c r="E32" s="50">
        <v>5</v>
      </c>
      <c r="F32" s="50">
        <v>11</v>
      </c>
      <c r="G32" s="50">
        <v>1</v>
      </c>
      <c r="H32" s="50">
        <v>0</v>
      </c>
      <c r="I32" s="50">
        <v>8</v>
      </c>
      <c r="J32" s="50">
        <v>1</v>
      </c>
      <c r="K32" s="50">
        <v>3</v>
      </c>
      <c r="L32" s="50">
        <v>0</v>
      </c>
      <c r="M32" s="50">
        <v>116</v>
      </c>
      <c r="N32" s="50">
        <v>0</v>
      </c>
      <c r="O32" s="15">
        <f t="shared" si="0"/>
        <v>77</v>
      </c>
      <c r="P32" s="15">
        <f t="shared" si="1"/>
        <v>193</v>
      </c>
    </row>
    <row r="33" spans="2:20" ht="23.1" customHeight="1" x14ac:dyDescent="0.25">
      <c r="B33" s="23" t="s">
        <v>60</v>
      </c>
      <c r="C33" s="50">
        <v>29</v>
      </c>
      <c r="D33" s="50">
        <v>2</v>
      </c>
      <c r="E33" s="50">
        <v>3</v>
      </c>
      <c r="F33" s="50">
        <v>8</v>
      </c>
      <c r="G33" s="50">
        <v>0</v>
      </c>
      <c r="H33" s="50">
        <v>0</v>
      </c>
      <c r="I33" s="50">
        <v>8</v>
      </c>
      <c r="J33" s="50">
        <v>3</v>
      </c>
      <c r="K33" s="50">
        <v>2</v>
      </c>
      <c r="L33" s="50">
        <v>0</v>
      </c>
      <c r="M33" s="50">
        <v>116</v>
      </c>
      <c r="N33" s="50">
        <v>0</v>
      </c>
      <c r="O33" s="15">
        <f t="shared" si="0"/>
        <v>55</v>
      </c>
      <c r="P33" s="15">
        <f t="shared" si="1"/>
        <v>171</v>
      </c>
    </row>
    <row r="34" spans="2:20" ht="23.1" customHeight="1" x14ac:dyDescent="0.25">
      <c r="B34" s="24" t="s">
        <v>61</v>
      </c>
      <c r="C34" s="50">
        <v>41</v>
      </c>
      <c r="D34" s="50">
        <v>4</v>
      </c>
      <c r="E34" s="50">
        <v>5</v>
      </c>
      <c r="F34" s="50">
        <v>8</v>
      </c>
      <c r="G34" s="50">
        <v>0</v>
      </c>
      <c r="H34" s="50">
        <v>0</v>
      </c>
      <c r="I34" s="50">
        <v>10</v>
      </c>
      <c r="J34" s="50">
        <v>5</v>
      </c>
      <c r="K34" s="50">
        <v>0</v>
      </c>
      <c r="L34" s="50">
        <v>0</v>
      </c>
      <c r="M34" s="50">
        <v>125</v>
      </c>
      <c r="N34" s="50">
        <v>0</v>
      </c>
      <c r="O34" s="15">
        <f t="shared" si="0"/>
        <v>73</v>
      </c>
      <c r="P34" s="15">
        <f t="shared" si="1"/>
        <v>198</v>
      </c>
    </row>
    <row r="35" spans="2:20" ht="23.1" customHeight="1" x14ac:dyDescent="0.25">
      <c r="B35" s="24" t="s">
        <v>62</v>
      </c>
      <c r="C35" s="50">
        <v>29</v>
      </c>
      <c r="D35" s="50">
        <v>3</v>
      </c>
      <c r="E35" s="50">
        <v>2</v>
      </c>
      <c r="F35" s="50">
        <v>7</v>
      </c>
      <c r="G35" s="50">
        <v>1</v>
      </c>
      <c r="H35" s="50">
        <v>0</v>
      </c>
      <c r="I35" s="50">
        <v>5</v>
      </c>
      <c r="J35" s="50">
        <v>2</v>
      </c>
      <c r="K35" s="50">
        <v>2</v>
      </c>
      <c r="L35" s="50">
        <v>0</v>
      </c>
      <c r="M35" s="50">
        <v>115</v>
      </c>
      <c r="N35" s="50">
        <v>0</v>
      </c>
      <c r="O35" s="15">
        <f t="shared" si="0"/>
        <v>51</v>
      </c>
      <c r="P35" s="15">
        <f t="shared" si="1"/>
        <v>166</v>
      </c>
    </row>
    <row r="36" spans="2:20" ht="23.1" customHeight="1" x14ac:dyDescent="0.25">
      <c r="B36" s="24" t="s">
        <v>63</v>
      </c>
      <c r="C36" s="50">
        <v>29</v>
      </c>
      <c r="D36" s="50">
        <v>5</v>
      </c>
      <c r="E36" s="50">
        <v>4</v>
      </c>
      <c r="F36" s="50">
        <v>15</v>
      </c>
      <c r="G36" s="50">
        <v>0</v>
      </c>
      <c r="H36" s="50">
        <v>0</v>
      </c>
      <c r="I36" s="50">
        <v>12</v>
      </c>
      <c r="J36" s="50">
        <v>2</v>
      </c>
      <c r="K36" s="50">
        <v>3</v>
      </c>
      <c r="L36" s="50">
        <v>0</v>
      </c>
      <c r="M36" s="50">
        <v>111</v>
      </c>
      <c r="N36" s="50">
        <v>0</v>
      </c>
      <c r="O36" s="15">
        <f t="shared" si="0"/>
        <v>70</v>
      </c>
      <c r="P36" s="15">
        <f t="shared" si="1"/>
        <v>181</v>
      </c>
    </row>
    <row r="37" spans="2:20" ht="23.1" customHeight="1" x14ac:dyDescent="0.25">
      <c r="B37" s="23" t="s">
        <v>64</v>
      </c>
      <c r="C37" s="50">
        <v>40</v>
      </c>
      <c r="D37" s="50">
        <v>1</v>
      </c>
      <c r="E37" s="50">
        <v>4</v>
      </c>
      <c r="F37" s="50">
        <v>3</v>
      </c>
      <c r="G37" s="50">
        <v>1</v>
      </c>
      <c r="H37" s="50">
        <v>0</v>
      </c>
      <c r="I37" s="50">
        <v>10</v>
      </c>
      <c r="J37" s="50">
        <v>3</v>
      </c>
      <c r="K37" s="50">
        <v>0</v>
      </c>
      <c r="L37" s="50">
        <v>0</v>
      </c>
      <c r="M37" s="50">
        <v>112</v>
      </c>
      <c r="N37" s="50">
        <v>0</v>
      </c>
      <c r="O37" s="15">
        <f t="shared" si="0"/>
        <v>62</v>
      </c>
      <c r="P37" s="15">
        <f t="shared" si="1"/>
        <v>174</v>
      </c>
    </row>
    <row r="38" spans="2:20" ht="23.1" customHeight="1" x14ac:dyDescent="0.25">
      <c r="B38" s="24" t="s">
        <v>65</v>
      </c>
      <c r="C38" s="50">
        <v>33</v>
      </c>
      <c r="D38" s="50">
        <v>5</v>
      </c>
      <c r="E38" s="50">
        <v>6</v>
      </c>
      <c r="F38" s="50">
        <v>9</v>
      </c>
      <c r="G38" s="50">
        <v>1</v>
      </c>
      <c r="H38" s="50">
        <v>0</v>
      </c>
      <c r="I38" s="50">
        <v>3</v>
      </c>
      <c r="J38" s="50">
        <v>7</v>
      </c>
      <c r="K38" s="50">
        <v>0</v>
      </c>
      <c r="L38" s="50">
        <v>0</v>
      </c>
      <c r="M38" s="50">
        <v>112</v>
      </c>
      <c r="N38" s="50">
        <v>0</v>
      </c>
      <c r="O38" s="15">
        <f t="shared" si="0"/>
        <v>64</v>
      </c>
      <c r="P38" s="15">
        <f t="shared" si="1"/>
        <v>176</v>
      </c>
    </row>
    <row r="39" spans="2:20" ht="23.1" customHeight="1" x14ac:dyDescent="0.25">
      <c r="B39" s="24" t="s">
        <v>66</v>
      </c>
      <c r="C39" s="50">
        <v>45</v>
      </c>
      <c r="D39" s="50">
        <v>5</v>
      </c>
      <c r="E39" s="50">
        <v>6</v>
      </c>
      <c r="F39" s="50">
        <v>12</v>
      </c>
      <c r="G39" s="50">
        <v>1</v>
      </c>
      <c r="H39" s="50">
        <v>0</v>
      </c>
      <c r="I39" s="50">
        <v>8</v>
      </c>
      <c r="J39" s="50">
        <v>4</v>
      </c>
      <c r="K39" s="50">
        <v>1</v>
      </c>
      <c r="L39" s="50">
        <v>0</v>
      </c>
      <c r="M39" s="50">
        <v>119</v>
      </c>
      <c r="N39" s="50">
        <v>0</v>
      </c>
      <c r="O39" s="15">
        <f t="shared" si="0"/>
        <v>82</v>
      </c>
      <c r="P39" s="15">
        <f t="shared" si="1"/>
        <v>201</v>
      </c>
    </row>
    <row r="40" spans="2:20" ht="23.1" customHeight="1" x14ac:dyDescent="0.25">
      <c r="B40" s="24" t="s">
        <v>67</v>
      </c>
      <c r="C40" s="50">
        <v>19</v>
      </c>
      <c r="D40" s="50">
        <v>2</v>
      </c>
      <c r="E40" s="50">
        <v>2</v>
      </c>
      <c r="F40" s="50">
        <v>7</v>
      </c>
      <c r="G40" s="50">
        <v>0</v>
      </c>
      <c r="H40" s="50">
        <v>0</v>
      </c>
      <c r="I40" s="50">
        <v>8</v>
      </c>
      <c r="J40" s="50">
        <v>2</v>
      </c>
      <c r="K40" s="50">
        <v>2</v>
      </c>
      <c r="L40" s="50">
        <v>0</v>
      </c>
      <c r="M40" s="50">
        <v>115</v>
      </c>
      <c r="N40" s="50">
        <v>0</v>
      </c>
      <c r="O40" s="15">
        <f t="shared" si="0"/>
        <v>42</v>
      </c>
      <c r="P40" s="15">
        <f t="shared" si="1"/>
        <v>157</v>
      </c>
    </row>
    <row r="41" spans="2:20" ht="23.1" customHeight="1" x14ac:dyDescent="0.25">
      <c r="B41" s="23" t="s">
        <v>68</v>
      </c>
      <c r="C41" s="50">
        <v>15</v>
      </c>
      <c r="D41" s="50">
        <v>5</v>
      </c>
      <c r="E41" s="50">
        <v>2</v>
      </c>
      <c r="F41" s="50">
        <v>5</v>
      </c>
      <c r="G41" s="50">
        <v>0</v>
      </c>
      <c r="H41" s="50">
        <v>0</v>
      </c>
      <c r="I41" s="50">
        <v>4</v>
      </c>
      <c r="J41" s="50">
        <v>3</v>
      </c>
      <c r="K41" s="50">
        <v>1</v>
      </c>
      <c r="L41" s="50">
        <v>0</v>
      </c>
      <c r="M41" s="50">
        <v>110</v>
      </c>
      <c r="N41" s="50">
        <v>0</v>
      </c>
      <c r="O41" s="15">
        <f t="shared" si="0"/>
        <v>35</v>
      </c>
      <c r="P41" s="15">
        <f t="shared" si="1"/>
        <v>145</v>
      </c>
    </row>
    <row r="42" spans="2:20" ht="23.1" customHeight="1" x14ac:dyDescent="0.25">
      <c r="B42" s="24" t="s">
        <v>69</v>
      </c>
      <c r="C42" s="50">
        <v>45</v>
      </c>
      <c r="D42" s="50">
        <v>8</v>
      </c>
      <c r="E42" s="50">
        <v>5</v>
      </c>
      <c r="F42" s="50">
        <v>10</v>
      </c>
      <c r="G42" s="50">
        <v>0</v>
      </c>
      <c r="H42" s="50">
        <v>0</v>
      </c>
      <c r="I42" s="50">
        <v>8</v>
      </c>
      <c r="J42" s="50">
        <v>3</v>
      </c>
      <c r="K42" s="50">
        <v>3</v>
      </c>
      <c r="L42" s="50">
        <v>0</v>
      </c>
      <c r="M42" s="50">
        <v>122</v>
      </c>
      <c r="N42" s="50">
        <v>0</v>
      </c>
      <c r="O42" s="15">
        <f t="shared" si="0"/>
        <v>82</v>
      </c>
      <c r="P42" s="15">
        <f t="shared" si="1"/>
        <v>204</v>
      </c>
    </row>
    <row r="43" spans="2:20" ht="23.1" customHeight="1" x14ac:dyDescent="0.25">
      <c r="B43" s="23" t="s">
        <v>70</v>
      </c>
      <c r="C43" s="50">
        <v>53</v>
      </c>
      <c r="D43" s="50">
        <v>7</v>
      </c>
      <c r="E43" s="50">
        <v>3</v>
      </c>
      <c r="F43" s="50">
        <v>5</v>
      </c>
      <c r="G43" s="50">
        <v>1</v>
      </c>
      <c r="H43" s="50">
        <v>0</v>
      </c>
      <c r="I43" s="50">
        <v>15</v>
      </c>
      <c r="J43" s="50">
        <v>4</v>
      </c>
      <c r="K43" s="50">
        <v>0</v>
      </c>
      <c r="L43" s="50">
        <v>0</v>
      </c>
      <c r="M43" s="50">
        <v>105</v>
      </c>
      <c r="N43" s="50">
        <v>0</v>
      </c>
      <c r="O43" s="15">
        <f t="shared" si="0"/>
        <v>88</v>
      </c>
      <c r="P43" s="15">
        <f t="shared" si="1"/>
        <v>193</v>
      </c>
    </row>
    <row r="44" spans="2:20" ht="23.1" customHeight="1" x14ac:dyDescent="0.25">
      <c r="B44" s="25" t="s">
        <v>71</v>
      </c>
      <c r="C44" s="50">
        <v>42</v>
      </c>
      <c r="D44" s="50">
        <v>5</v>
      </c>
      <c r="E44" s="50">
        <v>6</v>
      </c>
      <c r="F44" s="50">
        <v>6</v>
      </c>
      <c r="G44" s="50">
        <v>0</v>
      </c>
      <c r="H44" s="50">
        <v>0</v>
      </c>
      <c r="I44" s="50">
        <v>10</v>
      </c>
      <c r="J44" s="50">
        <v>2</v>
      </c>
      <c r="K44" s="50">
        <v>1</v>
      </c>
      <c r="L44" s="50">
        <v>0</v>
      </c>
      <c r="M44" s="50">
        <v>116</v>
      </c>
      <c r="N44" s="50">
        <v>0</v>
      </c>
      <c r="O44" s="15">
        <f t="shared" si="0"/>
        <v>72</v>
      </c>
      <c r="P44" s="15">
        <f t="shared" si="1"/>
        <v>188</v>
      </c>
    </row>
    <row r="45" spans="2:20" ht="23.1" customHeight="1" x14ac:dyDescent="0.25">
      <c r="B45" s="23" t="s">
        <v>72</v>
      </c>
      <c r="C45" s="50">
        <v>4</v>
      </c>
      <c r="D45" s="50">
        <v>6</v>
      </c>
      <c r="E45" s="50">
        <v>4</v>
      </c>
      <c r="F45" s="50">
        <v>13</v>
      </c>
      <c r="G45" s="50">
        <v>2</v>
      </c>
      <c r="H45" s="50">
        <v>1</v>
      </c>
      <c r="I45" s="50">
        <v>4</v>
      </c>
      <c r="J45" s="50">
        <v>3</v>
      </c>
      <c r="K45" s="50">
        <v>2</v>
      </c>
      <c r="L45" s="50">
        <v>0</v>
      </c>
      <c r="M45" s="50">
        <v>105</v>
      </c>
      <c r="N45" s="50">
        <v>0</v>
      </c>
      <c r="O45" s="15">
        <f t="shared" si="0"/>
        <v>39</v>
      </c>
      <c r="P45" s="15">
        <f t="shared" si="1"/>
        <v>144</v>
      </c>
    </row>
    <row r="46" spans="2:20" ht="23.1" customHeight="1" x14ac:dyDescent="0.25">
      <c r="B46" s="24" t="s">
        <v>73</v>
      </c>
      <c r="C46" s="50">
        <v>59</v>
      </c>
      <c r="D46" s="50">
        <v>9</v>
      </c>
      <c r="E46" s="50">
        <v>6</v>
      </c>
      <c r="F46" s="50">
        <v>4</v>
      </c>
      <c r="G46" s="50">
        <v>0</v>
      </c>
      <c r="H46" s="50">
        <v>0</v>
      </c>
      <c r="I46" s="50">
        <v>11</v>
      </c>
      <c r="J46" s="50">
        <v>2</v>
      </c>
      <c r="K46" s="50">
        <v>0</v>
      </c>
      <c r="L46" s="50">
        <v>0</v>
      </c>
      <c r="M46" s="50">
        <v>125</v>
      </c>
      <c r="N46" s="50">
        <v>0</v>
      </c>
      <c r="O46" s="15">
        <f t="shared" si="0"/>
        <v>91</v>
      </c>
      <c r="P46" s="15">
        <f t="shared" si="1"/>
        <v>216</v>
      </c>
      <c r="R46" s="8"/>
      <c r="T46"/>
    </row>
    <row r="47" spans="2:20" ht="23.1" customHeight="1" x14ac:dyDescent="0.25">
      <c r="B47" s="24" t="s">
        <v>74</v>
      </c>
      <c r="C47" s="50">
        <v>66</v>
      </c>
      <c r="D47" s="50">
        <v>11</v>
      </c>
      <c r="E47" s="50">
        <v>13</v>
      </c>
      <c r="F47" s="50">
        <v>10</v>
      </c>
      <c r="G47" s="50">
        <v>0</v>
      </c>
      <c r="H47" s="50">
        <v>0</v>
      </c>
      <c r="I47" s="50">
        <v>9</v>
      </c>
      <c r="J47" s="50">
        <v>2</v>
      </c>
      <c r="K47" s="50">
        <v>1</v>
      </c>
      <c r="L47" s="50">
        <v>0</v>
      </c>
      <c r="M47" s="50">
        <v>125</v>
      </c>
      <c r="N47" s="50">
        <v>0</v>
      </c>
      <c r="O47" s="15">
        <f t="shared" si="0"/>
        <v>112</v>
      </c>
      <c r="P47" s="15">
        <f t="shared" si="1"/>
        <v>237</v>
      </c>
      <c r="R47" s="8"/>
      <c r="T47"/>
    </row>
    <row r="48" spans="2:20" ht="23.1" customHeight="1" x14ac:dyDescent="0.25">
      <c r="B48" s="24" t="s">
        <v>75</v>
      </c>
      <c r="C48" s="50">
        <v>81</v>
      </c>
      <c r="D48" s="50">
        <v>13</v>
      </c>
      <c r="E48" s="50">
        <v>9</v>
      </c>
      <c r="F48" s="50">
        <v>12</v>
      </c>
      <c r="G48" s="50">
        <v>1</v>
      </c>
      <c r="H48" s="50">
        <v>0</v>
      </c>
      <c r="I48" s="50">
        <v>5</v>
      </c>
      <c r="J48" s="50">
        <v>2</v>
      </c>
      <c r="K48" s="50">
        <v>1</v>
      </c>
      <c r="L48" s="50">
        <v>0</v>
      </c>
      <c r="M48" s="50">
        <v>124</v>
      </c>
      <c r="N48" s="50">
        <v>0</v>
      </c>
      <c r="O48" s="15">
        <f t="shared" si="0"/>
        <v>124</v>
      </c>
      <c r="P48" s="15">
        <f t="shared" si="1"/>
        <v>248</v>
      </c>
      <c r="R48" s="8"/>
      <c r="T48"/>
    </row>
    <row r="49" spans="2:20" ht="23.1" customHeight="1" x14ac:dyDescent="0.25">
      <c r="B49" s="23" t="s">
        <v>76</v>
      </c>
      <c r="C49" s="50">
        <v>77</v>
      </c>
      <c r="D49" s="50">
        <v>7</v>
      </c>
      <c r="E49" s="50">
        <v>11</v>
      </c>
      <c r="F49" s="50">
        <v>9</v>
      </c>
      <c r="G49" s="50">
        <v>0</v>
      </c>
      <c r="H49" s="50">
        <v>0</v>
      </c>
      <c r="I49" s="50">
        <v>8</v>
      </c>
      <c r="J49" s="50">
        <v>1</v>
      </c>
      <c r="K49" s="50">
        <v>1</v>
      </c>
      <c r="L49" s="50">
        <v>0</v>
      </c>
      <c r="M49" s="50">
        <v>125</v>
      </c>
      <c r="N49" s="50">
        <v>0</v>
      </c>
      <c r="O49" s="15">
        <f t="shared" si="0"/>
        <v>114</v>
      </c>
      <c r="P49" s="15">
        <f t="shared" si="1"/>
        <v>239</v>
      </c>
      <c r="R49" s="8"/>
      <c r="T49"/>
    </row>
    <row r="50" spans="2:20" ht="23.1" customHeight="1" x14ac:dyDescent="0.25">
      <c r="B50" s="24" t="s">
        <v>77</v>
      </c>
      <c r="C50" s="50">
        <v>110</v>
      </c>
      <c r="D50" s="50">
        <v>11</v>
      </c>
      <c r="E50" s="50">
        <v>5</v>
      </c>
      <c r="F50" s="50">
        <v>1</v>
      </c>
      <c r="G50" s="50">
        <v>1</v>
      </c>
      <c r="H50" s="50">
        <v>0</v>
      </c>
      <c r="I50" s="50">
        <v>8</v>
      </c>
      <c r="J50" s="50">
        <v>2</v>
      </c>
      <c r="K50" s="50">
        <v>4</v>
      </c>
      <c r="L50" s="50">
        <v>0</v>
      </c>
      <c r="M50" s="50">
        <v>117</v>
      </c>
      <c r="N50" s="50">
        <v>0</v>
      </c>
      <c r="O50" s="15">
        <f t="shared" si="0"/>
        <v>142</v>
      </c>
      <c r="P50" s="15">
        <f t="shared" si="1"/>
        <v>259</v>
      </c>
      <c r="R50" s="8"/>
      <c r="T50"/>
    </row>
    <row r="51" spans="2:20" ht="23.1" customHeight="1" x14ac:dyDescent="0.25">
      <c r="B51" s="24" t="s">
        <v>78</v>
      </c>
      <c r="C51" s="50">
        <v>125</v>
      </c>
      <c r="D51" s="50">
        <v>15</v>
      </c>
      <c r="E51" s="50">
        <v>9</v>
      </c>
      <c r="F51" s="50">
        <v>19</v>
      </c>
      <c r="G51" s="50">
        <v>0</v>
      </c>
      <c r="H51" s="50">
        <v>0</v>
      </c>
      <c r="I51" s="50">
        <v>16</v>
      </c>
      <c r="J51" s="50">
        <v>2</v>
      </c>
      <c r="K51" s="50">
        <v>2</v>
      </c>
      <c r="L51" s="50">
        <v>1</v>
      </c>
      <c r="M51" s="50">
        <v>125</v>
      </c>
      <c r="N51" s="50">
        <v>0</v>
      </c>
      <c r="O51" s="15">
        <f t="shared" si="0"/>
        <v>189</v>
      </c>
      <c r="P51" s="15">
        <f t="shared" si="1"/>
        <v>314</v>
      </c>
      <c r="R51" s="8"/>
      <c r="T51"/>
    </row>
    <row r="52" spans="2:20" ht="23.1" customHeight="1" x14ac:dyDescent="0.25">
      <c r="B52" s="24" t="s">
        <v>79</v>
      </c>
      <c r="C52" s="50">
        <v>128</v>
      </c>
      <c r="D52" s="50">
        <v>13</v>
      </c>
      <c r="E52" s="50">
        <v>12</v>
      </c>
      <c r="F52" s="50">
        <v>14</v>
      </c>
      <c r="G52" s="50">
        <v>2</v>
      </c>
      <c r="H52" s="50">
        <v>0</v>
      </c>
      <c r="I52" s="50">
        <v>4</v>
      </c>
      <c r="J52" s="50">
        <v>5</v>
      </c>
      <c r="K52" s="50">
        <v>0</v>
      </c>
      <c r="L52" s="50">
        <v>0</v>
      </c>
      <c r="M52" s="50">
        <v>119</v>
      </c>
      <c r="N52" s="50">
        <v>0</v>
      </c>
      <c r="O52" s="15">
        <f t="shared" si="0"/>
        <v>178</v>
      </c>
      <c r="P52" s="15">
        <f t="shared" si="1"/>
        <v>297</v>
      </c>
      <c r="R52" s="8"/>
      <c r="T52"/>
    </row>
    <row r="53" spans="2:20" ht="23.1" customHeight="1" x14ac:dyDescent="0.25">
      <c r="B53" s="23" t="s">
        <v>80</v>
      </c>
      <c r="C53" s="50">
        <v>69</v>
      </c>
      <c r="D53" s="50">
        <v>12</v>
      </c>
      <c r="E53" s="50">
        <v>9</v>
      </c>
      <c r="F53" s="50">
        <v>17</v>
      </c>
      <c r="G53" s="50">
        <v>0</v>
      </c>
      <c r="H53" s="50">
        <v>0</v>
      </c>
      <c r="I53" s="50">
        <v>6</v>
      </c>
      <c r="J53" s="50">
        <v>3</v>
      </c>
      <c r="K53" s="50">
        <v>0</v>
      </c>
      <c r="L53" s="50">
        <v>0</v>
      </c>
      <c r="M53" s="50">
        <v>115</v>
      </c>
      <c r="N53" s="50">
        <v>0</v>
      </c>
      <c r="O53" s="15">
        <f t="shared" si="0"/>
        <v>116</v>
      </c>
      <c r="P53" s="15">
        <f t="shared" si="1"/>
        <v>231</v>
      </c>
      <c r="R53" s="8"/>
      <c r="T53"/>
    </row>
    <row r="54" spans="2:20" ht="23.1" customHeight="1" x14ac:dyDescent="0.25">
      <c r="B54" s="23" t="s">
        <v>81</v>
      </c>
      <c r="C54" s="50">
        <v>104</v>
      </c>
      <c r="D54" s="50">
        <v>6</v>
      </c>
      <c r="E54" s="50">
        <v>9</v>
      </c>
      <c r="F54" s="50">
        <v>18</v>
      </c>
      <c r="G54" s="50">
        <v>2</v>
      </c>
      <c r="H54" s="50">
        <v>0</v>
      </c>
      <c r="I54" s="50">
        <v>6</v>
      </c>
      <c r="J54" s="50">
        <v>3</v>
      </c>
      <c r="K54" s="50">
        <v>0</v>
      </c>
      <c r="L54" s="50">
        <v>0</v>
      </c>
      <c r="M54" s="50">
        <v>120</v>
      </c>
      <c r="N54" s="50">
        <v>0</v>
      </c>
      <c r="O54" s="15">
        <f t="shared" si="0"/>
        <v>148</v>
      </c>
      <c r="P54" s="15">
        <f t="shared" si="1"/>
        <v>268</v>
      </c>
      <c r="R54" s="8"/>
      <c r="T54"/>
    </row>
    <row r="55" spans="2:20" ht="23.1" customHeight="1" x14ac:dyDescent="0.25">
      <c r="B55" s="23" t="s">
        <v>82</v>
      </c>
      <c r="C55" s="50">
        <v>115</v>
      </c>
      <c r="D55" s="50">
        <v>7</v>
      </c>
      <c r="E55" s="50">
        <v>12</v>
      </c>
      <c r="F55" s="50">
        <v>18</v>
      </c>
      <c r="G55" s="50">
        <v>0</v>
      </c>
      <c r="H55" s="50">
        <v>0</v>
      </c>
      <c r="I55" s="50">
        <v>5</v>
      </c>
      <c r="J55" s="50">
        <v>1</v>
      </c>
      <c r="K55" s="50">
        <v>1</v>
      </c>
      <c r="L55" s="50">
        <v>0</v>
      </c>
      <c r="M55" s="50">
        <v>124</v>
      </c>
      <c r="N55" s="50">
        <v>0</v>
      </c>
      <c r="O55" s="15">
        <f t="shared" si="0"/>
        <v>159</v>
      </c>
      <c r="P55" s="15">
        <f t="shared" si="1"/>
        <v>283</v>
      </c>
      <c r="R55" s="8"/>
      <c r="T55"/>
    </row>
    <row r="56" spans="2:20" ht="23.1" customHeight="1" x14ac:dyDescent="0.25">
      <c r="B56" s="23" t="s">
        <v>83</v>
      </c>
      <c r="C56" s="50">
        <v>95</v>
      </c>
      <c r="D56" s="50">
        <v>24</v>
      </c>
      <c r="E56" s="50">
        <v>6</v>
      </c>
      <c r="F56" s="50">
        <v>8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116</v>
      </c>
      <c r="N56" s="50">
        <v>0</v>
      </c>
      <c r="O56" s="15">
        <f t="shared" si="0"/>
        <v>133</v>
      </c>
      <c r="P56" s="15">
        <f t="shared" si="1"/>
        <v>249</v>
      </c>
      <c r="R56" s="8"/>
      <c r="T56"/>
    </row>
    <row r="57" spans="2:20" ht="23.1" customHeight="1" x14ac:dyDescent="0.25">
      <c r="B57" s="23" t="s">
        <v>84</v>
      </c>
      <c r="C57" s="50">
        <v>104</v>
      </c>
      <c r="D57" s="50">
        <v>15</v>
      </c>
      <c r="E57" s="50">
        <v>7</v>
      </c>
      <c r="F57" s="50">
        <v>26</v>
      </c>
      <c r="G57" s="50">
        <v>0</v>
      </c>
      <c r="H57" s="50">
        <v>0</v>
      </c>
      <c r="I57" s="50">
        <v>3</v>
      </c>
      <c r="J57" s="50">
        <v>3</v>
      </c>
      <c r="K57" s="50">
        <v>1</v>
      </c>
      <c r="L57" s="50">
        <v>0</v>
      </c>
      <c r="M57" s="50">
        <v>120</v>
      </c>
      <c r="N57" s="50">
        <v>0</v>
      </c>
      <c r="O57" s="15">
        <f t="shared" si="0"/>
        <v>159</v>
      </c>
      <c r="P57" s="15">
        <f t="shared" si="1"/>
        <v>279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1951</v>
      </c>
      <c r="D58" s="16">
        <f t="shared" si="21"/>
        <v>262</v>
      </c>
      <c r="E58" s="16">
        <f t="shared" si="21"/>
        <v>217</v>
      </c>
      <c r="F58" s="16">
        <f t="shared" si="21"/>
        <v>406</v>
      </c>
      <c r="G58" s="16">
        <f t="shared" si="21"/>
        <v>16</v>
      </c>
      <c r="H58" s="16">
        <f t="shared" si="21"/>
        <v>1</v>
      </c>
      <c r="I58" s="16">
        <f t="shared" si="21"/>
        <v>293</v>
      </c>
      <c r="J58" s="16">
        <f t="shared" si="21"/>
        <v>106</v>
      </c>
      <c r="K58" s="16">
        <f t="shared" si="21"/>
        <v>59</v>
      </c>
      <c r="L58" s="16">
        <f t="shared" si="21"/>
        <v>3</v>
      </c>
      <c r="M58" s="16">
        <f t="shared" si="21"/>
        <v>4354</v>
      </c>
      <c r="N58" s="16">
        <f t="shared" si="21"/>
        <v>0</v>
      </c>
      <c r="O58" s="16">
        <f t="shared" si="21"/>
        <v>3314</v>
      </c>
      <c r="P58" s="16">
        <f t="shared" si="21"/>
        <v>7668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0.25443401147626499</v>
      </c>
      <c r="D59" s="43">
        <f t="shared" si="22"/>
        <v>3.41679707876891E-2</v>
      </c>
      <c r="E59" s="43">
        <f t="shared" si="22"/>
        <v>2.8299426186750132E-2</v>
      </c>
      <c r="F59" s="43">
        <f t="shared" si="22"/>
        <v>5.2947313510693796E-2</v>
      </c>
      <c r="G59" s="43">
        <f t="shared" si="22"/>
        <v>2.0865936358894104E-3</v>
      </c>
      <c r="H59" s="43">
        <f t="shared" si="22"/>
        <v>1.3041210224308815E-4</v>
      </c>
      <c r="I59" s="43">
        <f t="shared" si="22"/>
        <v>3.8210745957224831E-2</v>
      </c>
      <c r="J59" s="43">
        <f t="shared" si="22"/>
        <v>1.3823682837767345E-2</v>
      </c>
      <c r="K59" s="43">
        <f t="shared" si="22"/>
        <v>7.6943140323422017E-3</v>
      </c>
      <c r="L59" s="43">
        <f t="shared" si="22"/>
        <v>3.9123630672926448E-4</v>
      </c>
      <c r="M59" s="43">
        <f t="shared" si="22"/>
        <v>0.56781429316640586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0.58871454435727222</v>
      </c>
      <c r="D60" s="44">
        <f t="shared" ref="D60:N60" si="23">D58/$O$58</f>
        <v>7.9058539529269764E-2</v>
      </c>
      <c r="E60" s="44">
        <f t="shared" si="23"/>
        <v>6.5479782739891371E-2</v>
      </c>
      <c r="F60" s="44">
        <f t="shared" si="23"/>
        <v>0.12251056125528063</v>
      </c>
      <c r="G60" s="44">
        <f t="shared" si="23"/>
        <v>4.8280024140012071E-3</v>
      </c>
      <c r="H60" s="44">
        <f t="shared" si="23"/>
        <v>3.0175015087507544E-4</v>
      </c>
      <c r="I60" s="44">
        <f t="shared" si="23"/>
        <v>8.8412794206397097E-2</v>
      </c>
      <c r="J60" s="44">
        <f t="shared" si="23"/>
        <v>3.1985515992757993E-2</v>
      </c>
      <c r="K60" s="44">
        <f t="shared" si="23"/>
        <v>1.7803258901629451E-2</v>
      </c>
      <c r="L60" s="44">
        <f t="shared" si="23"/>
        <v>9.0525045262522627E-4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C10" sqref="C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0" t="str">
        <f>'01.08 NAMUGONGO-KIREKA'!C3:G3</f>
        <v>MCC - C1 - STN039 - NAMUGONGO ROAD</v>
      </c>
      <c r="D3" s="60"/>
      <c r="E3" s="60"/>
      <c r="F3" s="60"/>
      <c r="G3" s="6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177</v>
      </c>
      <c r="E5" s="3"/>
      <c r="F5" s="41" t="s">
        <v>1</v>
      </c>
      <c r="G5" s="56" t="str">
        <f>'31.07 KIREKA-NAMUGONGO-24h'!G5:H5</f>
        <v>AGENDA</v>
      </c>
      <c r="H5" s="57"/>
      <c r="I5" s="14"/>
      <c r="J5" s="2" t="s">
        <v>5</v>
      </c>
      <c r="K5" s="56" t="str">
        <f>'31.07 KIREKA-NAMUGONGO-24h'!K5:L5</f>
        <v>STEVEN</v>
      </c>
      <c r="L5" s="57"/>
      <c r="M5" s="10"/>
      <c r="N5" s="10"/>
      <c r="O5" s="3"/>
      <c r="P5" s="3"/>
    </row>
    <row r="6" spans="2:32" ht="23.25" customHeight="1" x14ac:dyDescent="0.25">
      <c r="C6" s="2" t="s">
        <v>4</v>
      </c>
      <c r="D6" s="56" t="str">
        <f>'01.08 NAMUGONGO-KIREKA'!D6:E6</f>
        <v>NAMUGONGO</v>
      </c>
      <c r="E6" s="57"/>
      <c r="F6" s="2" t="s">
        <v>2</v>
      </c>
      <c r="G6" s="56" t="str">
        <f>'01.08 NAMUGONGO-KIREKA'!G6:H6</f>
        <v>KIREKA</v>
      </c>
      <c r="H6" s="57"/>
      <c r="J6" s="2" t="s">
        <v>21</v>
      </c>
      <c r="K6" s="56" t="str">
        <f>'31.07 KIREKA-NAMUGONGO-24h'!K6:L6</f>
        <v>NAIDO GRACE BRENDA</v>
      </c>
      <c r="L6" s="5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5" t="s">
        <v>88</v>
      </c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93</v>
      </c>
      <c r="D10" s="50">
        <v>11</v>
      </c>
      <c r="E10" s="50">
        <v>8</v>
      </c>
      <c r="F10" s="50">
        <v>22</v>
      </c>
      <c r="G10" s="50">
        <v>0</v>
      </c>
      <c r="H10" s="50">
        <v>0</v>
      </c>
      <c r="I10" s="50">
        <v>3</v>
      </c>
      <c r="J10" s="50">
        <v>0</v>
      </c>
      <c r="K10" s="50">
        <v>0</v>
      </c>
      <c r="L10" s="50">
        <v>0</v>
      </c>
      <c r="M10" s="50">
        <v>90</v>
      </c>
      <c r="N10" s="50">
        <v>0</v>
      </c>
      <c r="O10" s="15">
        <f t="shared" ref="O10:O57" si="0">SUM(C10:L10,N10)</f>
        <v>137</v>
      </c>
      <c r="P10" s="15">
        <f t="shared" ref="P10:P57" si="1">SUM(C10:N10)</f>
        <v>227</v>
      </c>
      <c r="R10" s="1" t="s">
        <v>6</v>
      </c>
      <c r="S10" s="17">
        <f t="shared" ref="S10:AF10" si="2">SUM(C10:C13)</f>
        <v>420</v>
      </c>
      <c r="T10" s="17">
        <f t="shared" si="2"/>
        <v>49</v>
      </c>
      <c r="U10" s="17">
        <f t="shared" si="2"/>
        <v>49</v>
      </c>
      <c r="V10" s="17">
        <f t="shared" si="2"/>
        <v>111</v>
      </c>
      <c r="W10" s="17">
        <f t="shared" si="2"/>
        <v>2</v>
      </c>
      <c r="X10" s="17">
        <f t="shared" si="2"/>
        <v>0</v>
      </c>
      <c r="Y10" s="17">
        <f t="shared" si="2"/>
        <v>14</v>
      </c>
      <c r="Z10" s="17">
        <f t="shared" si="2"/>
        <v>0</v>
      </c>
      <c r="AA10" s="17">
        <f t="shared" si="2"/>
        <v>1</v>
      </c>
      <c r="AB10" s="17">
        <f t="shared" si="2"/>
        <v>1</v>
      </c>
      <c r="AC10" s="17">
        <f t="shared" si="2"/>
        <v>601</v>
      </c>
      <c r="AD10" s="17">
        <f t="shared" si="2"/>
        <v>0</v>
      </c>
      <c r="AE10" s="31">
        <f t="shared" si="2"/>
        <v>647</v>
      </c>
      <c r="AF10" s="31">
        <f t="shared" si="2"/>
        <v>1248</v>
      </c>
    </row>
    <row r="11" spans="2:32" s="6" customFormat="1" ht="23.1" customHeight="1" x14ac:dyDescent="0.25">
      <c r="B11" s="23" t="s">
        <v>38</v>
      </c>
      <c r="C11" s="50">
        <v>122</v>
      </c>
      <c r="D11" s="50">
        <v>15</v>
      </c>
      <c r="E11" s="50">
        <v>8</v>
      </c>
      <c r="F11" s="50">
        <v>29</v>
      </c>
      <c r="G11" s="50">
        <v>2</v>
      </c>
      <c r="H11" s="50">
        <v>0</v>
      </c>
      <c r="I11" s="50">
        <v>5</v>
      </c>
      <c r="J11" s="50">
        <v>0</v>
      </c>
      <c r="K11" s="50">
        <v>0</v>
      </c>
      <c r="L11" s="50">
        <v>0</v>
      </c>
      <c r="M11" s="50">
        <v>150</v>
      </c>
      <c r="N11" s="50">
        <v>0</v>
      </c>
      <c r="O11" s="15">
        <f t="shared" si="0"/>
        <v>181</v>
      </c>
      <c r="P11" s="15">
        <f t="shared" si="1"/>
        <v>331</v>
      </c>
      <c r="R11" s="1" t="s">
        <v>7</v>
      </c>
      <c r="S11" s="17">
        <f t="shared" ref="S11:AF11" si="3">SUM(C14:C17)</f>
        <v>389</v>
      </c>
      <c r="T11" s="17">
        <f t="shared" si="3"/>
        <v>35</v>
      </c>
      <c r="U11" s="17">
        <f t="shared" si="3"/>
        <v>55</v>
      </c>
      <c r="V11" s="17">
        <f t="shared" si="3"/>
        <v>108</v>
      </c>
      <c r="W11" s="17">
        <f t="shared" si="3"/>
        <v>1</v>
      </c>
      <c r="X11" s="17">
        <f t="shared" si="3"/>
        <v>0</v>
      </c>
      <c r="Y11" s="17">
        <f t="shared" si="3"/>
        <v>25</v>
      </c>
      <c r="Z11" s="17">
        <f t="shared" si="3"/>
        <v>2</v>
      </c>
      <c r="AA11" s="17">
        <f t="shared" si="3"/>
        <v>1</v>
      </c>
      <c r="AB11" s="17">
        <f t="shared" si="3"/>
        <v>0</v>
      </c>
      <c r="AC11" s="17">
        <f t="shared" si="3"/>
        <v>605</v>
      </c>
      <c r="AD11" s="17">
        <f t="shared" si="3"/>
        <v>0</v>
      </c>
      <c r="AE11" s="31">
        <f t="shared" si="3"/>
        <v>616</v>
      </c>
      <c r="AF11" s="31">
        <f t="shared" si="3"/>
        <v>1221</v>
      </c>
    </row>
    <row r="12" spans="2:32" ht="23.1" customHeight="1" x14ac:dyDescent="0.25">
      <c r="B12" s="23" t="s">
        <v>39</v>
      </c>
      <c r="C12" s="50">
        <v>105</v>
      </c>
      <c r="D12" s="50">
        <v>12</v>
      </c>
      <c r="E12" s="50">
        <v>15</v>
      </c>
      <c r="F12" s="50">
        <v>29</v>
      </c>
      <c r="G12" s="50">
        <v>0</v>
      </c>
      <c r="H12" s="50">
        <v>0</v>
      </c>
      <c r="I12" s="50">
        <v>3</v>
      </c>
      <c r="J12" s="50">
        <v>0</v>
      </c>
      <c r="K12" s="50">
        <v>1</v>
      </c>
      <c r="L12" s="50">
        <v>1</v>
      </c>
      <c r="M12" s="50">
        <v>194</v>
      </c>
      <c r="N12" s="50">
        <v>0</v>
      </c>
      <c r="O12" s="15">
        <f t="shared" si="0"/>
        <v>166</v>
      </c>
      <c r="P12" s="15">
        <f t="shared" si="1"/>
        <v>360</v>
      </c>
      <c r="R12" s="1" t="s">
        <v>8</v>
      </c>
      <c r="S12" s="17">
        <f t="shared" ref="S12:AF12" si="4">SUM(C18:C21)</f>
        <v>304</v>
      </c>
      <c r="T12" s="17">
        <f t="shared" si="4"/>
        <v>35</v>
      </c>
      <c r="U12" s="17">
        <f t="shared" si="4"/>
        <v>28</v>
      </c>
      <c r="V12" s="17">
        <f t="shared" si="4"/>
        <v>94</v>
      </c>
      <c r="W12" s="17">
        <f t="shared" si="4"/>
        <v>0</v>
      </c>
      <c r="X12" s="17">
        <f t="shared" si="4"/>
        <v>0</v>
      </c>
      <c r="Y12" s="17">
        <f t="shared" si="4"/>
        <v>24</v>
      </c>
      <c r="Z12" s="17">
        <f t="shared" si="4"/>
        <v>3</v>
      </c>
      <c r="AA12" s="17">
        <f t="shared" si="4"/>
        <v>8</v>
      </c>
      <c r="AB12" s="17">
        <f t="shared" si="4"/>
        <v>0</v>
      </c>
      <c r="AC12" s="17">
        <f t="shared" si="4"/>
        <v>528</v>
      </c>
      <c r="AD12" s="17">
        <f t="shared" si="4"/>
        <v>0</v>
      </c>
      <c r="AE12" s="31">
        <f t="shared" si="4"/>
        <v>496</v>
      </c>
      <c r="AF12" s="31">
        <f t="shared" si="4"/>
        <v>1024</v>
      </c>
    </row>
    <row r="13" spans="2:32" ht="23.1" customHeight="1" x14ac:dyDescent="0.25">
      <c r="B13" s="23" t="s">
        <v>40</v>
      </c>
      <c r="C13" s="50">
        <v>100</v>
      </c>
      <c r="D13" s="50">
        <v>11</v>
      </c>
      <c r="E13" s="50">
        <v>18</v>
      </c>
      <c r="F13" s="50">
        <v>31</v>
      </c>
      <c r="G13" s="50">
        <v>0</v>
      </c>
      <c r="H13" s="50">
        <v>0</v>
      </c>
      <c r="I13" s="50">
        <v>3</v>
      </c>
      <c r="J13" s="50">
        <v>0</v>
      </c>
      <c r="K13" s="50">
        <v>0</v>
      </c>
      <c r="L13" s="50">
        <v>0</v>
      </c>
      <c r="M13" s="50">
        <v>167</v>
      </c>
      <c r="N13" s="50">
        <v>0</v>
      </c>
      <c r="O13" s="15">
        <f t="shared" si="0"/>
        <v>163</v>
      </c>
      <c r="P13" s="15">
        <f t="shared" si="1"/>
        <v>330</v>
      </c>
      <c r="R13" s="1" t="s">
        <v>9</v>
      </c>
      <c r="S13" s="17">
        <f t="shared" ref="S13:AF13" si="5">SUM(C22:C25)</f>
        <v>246</v>
      </c>
      <c r="T13" s="17">
        <f t="shared" si="5"/>
        <v>39</v>
      </c>
      <c r="U13" s="17">
        <f t="shared" si="5"/>
        <v>32</v>
      </c>
      <c r="V13" s="17">
        <f t="shared" si="5"/>
        <v>96</v>
      </c>
      <c r="W13" s="17">
        <f t="shared" si="5"/>
        <v>2</v>
      </c>
      <c r="X13" s="17">
        <f t="shared" si="5"/>
        <v>0</v>
      </c>
      <c r="Y13" s="17">
        <f t="shared" si="5"/>
        <v>20</v>
      </c>
      <c r="Z13" s="17">
        <f t="shared" si="5"/>
        <v>4</v>
      </c>
      <c r="AA13" s="17">
        <f t="shared" si="5"/>
        <v>7</v>
      </c>
      <c r="AB13" s="17">
        <f t="shared" si="5"/>
        <v>1</v>
      </c>
      <c r="AC13" s="17">
        <f t="shared" si="5"/>
        <v>481</v>
      </c>
      <c r="AD13" s="17">
        <f t="shared" si="5"/>
        <v>0</v>
      </c>
      <c r="AE13" s="31">
        <f t="shared" si="5"/>
        <v>447</v>
      </c>
      <c r="AF13" s="31">
        <f t="shared" si="5"/>
        <v>928</v>
      </c>
    </row>
    <row r="14" spans="2:32" ht="23.1" customHeight="1" x14ac:dyDescent="0.25">
      <c r="B14" s="23" t="s">
        <v>41</v>
      </c>
      <c r="C14" s="50">
        <v>92</v>
      </c>
      <c r="D14" s="50">
        <v>7</v>
      </c>
      <c r="E14" s="50">
        <v>10</v>
      </c>
      <c r="F14" s="50">
        <v>33</v>
      </c>
      <c r="G14" s="50">
        <v>0</v>
      </c>
      <c r="H14" s="50">
        <v>0</v>
      </c>
      <c r="I14" s="50">
        <v>4</v>
      </c>
      <c r="J14" s="50">
        <v>0</v>
      </c>
      <c r="K14" s="50">
        <v>0</v>
      </c>
      <c r="L14" s="50">
        <v>0</v>
      </c>
      <c r="M14" s="50">
        <v>173</v>
      </c>
      <c r="N14" s="50">
        <v>0</v>
      </c>
      <c r="O14" s="15">
        <f t="shared" si="0"/>
        <v>146</v>
      </c>
      <c r="P14" s="15">
        <f t="shared" si="1"/>
        <v>319</v>
      </c>
      <c r="R14" s="1" t="s">
        <v>10</v>
      </c>
      <c r="S14" s="17">
        <f t="shared" ref="S14:AF14" si="6">SUM(C26:C29)</f>
        <v>202</v>
      </c>
      <c r="T14" s="17">
        <f t="shared" si="6"/>
        <v>31</v>
      </c>
      <c r="U14" s="17">
        <f t="shared" si="6"/>
        <v>45</v>
      </c>
      <c r="V14" s="17">
        <f t="shared" si="6"/>
        <v>82</v>
      </c>
      <c r="W14" s="17">
        <f t="shared" si="6"/>
        <v>0</v>
      </c>
      <c r="X14" s="17">
        <f t="shared" si="6"/>
        <v>0</v>
      </c>
      <c r="Y14" s="17">
        <f t="shared" si="6"/>
        <v>22</v>
      </c>
      <c r="Z14" s="17">
        <f t="shared" si="6"/>
        <v>0</v>
      </c>
      <c r="AA14" s="17">
        <f t="shared" si="6"/>
        <v>4</v>
      </c>
      <c r="AB14" s="17">
        <f t="shared" si="6"/>
        <v>1</v>
      </c>
      <c r="AC14" s="17">
        <f t="shared" si="6"/>
        <v>441</v>
      </c>
      <c r="AD14" s="17">
        <f t="shared" si="6"/>
        <v>0</v>
      </c>
      <c r="AE14" s="31">
        <f t="shared" si="6"/>
        <v>387</v>
      </c>
      <c r="AF14" s="31">
        <f t="shared" si="6"/>
        <v>828</v>
      </c>
    </row>
    <row r="15" spans="2:32" ht="23.1" customHeight="1" x14ac:dyDescent="0.25">
      <c r="B15" s="23" t="s">
        <v>42</v>
      </c>
      <c r="C15" s="50">
        <v>84</v>
      </c>
      <c r="D15" s="50">
        <v>10</v>
      </c>
      <c r="E15" s="50">
        <v>13</v>
      </c>
      <c r="F15" s="50">
        <v>28</v>
      </c>
      <c r="G15" s="50">
        <v>0</v>
      </c>
      <c r="H15" s="50">
        <v>0</v>
      </c>
      <c r="I15" s="50">
        <v>5</v>
      </c>
      <c r="J15" s="50">
        <v>0</v>
      </c>
      <c r="K15" s="50">
        <v>1</v>
      </c>
      <c r="L15" s="50">
        <v>0</v>
      </c>
      <c r="M15" s="50">
        <v>162</v>
      </c>
      <c r="N15" s="50">
        <v>0</v>
      </c>
      <c r="O15" s="15">
        <f t="shared" si="0"/>
        <v>141</v>
      </c>
      <c r="P15" s="15">
        <f t="shared" si="1"/>
        <v>303</v>
      </c>
      <c r="R15" s="1" t="s">
        <v>11</v>
      </c>
      <c r="S15" s="17">
        <f t="shared" ref="S15:AF15" si="7">SUM(C30:C33)</f>
        <v>203</v>
      </c>
      <c r="T15" s="17">
        <f t="shared" si="7"/>
        <v>15</v>
      </c>
      <c r="U15" s="17">
        <f t="shared" si="7"/>
        <v>36</v>
      </c>
      <c r="V15" s="17">
        <f t="shared" si="7"/>
        <v>95</v>
      </c>
      <c r="W15" s="17">
        <f t="shared" si="7"/>
        <v>0</v>
      </c>
      <c r="X15" s="17">
        <f t="shared" si="7"/>
        <v>0</v>
      </c>
      <c r="Y15" s="17">
        <f t="shared" si="7"/>
        <v>33</v>
      </c>
      <c r="Z15" s="17">
        <f t="shared" si="7"/>
        <v>6</v>
      </c>
      <c r="AA15" s="17">
        <f t="shared" si="7"/>
        <v>1</v>
      </c>
      <c r="AB15" s="17">
        <f t="shared" si="7"/>
        <v>0</v>
      </c>
      <c r="AC15" s="17">
        <f t="shared" si="7"/>
        <v>397</v>
      </c>
      <c r="AD15" s="17">
        <f t="shared" si="7"/>
        <v>0</v>
      </c>
      <c r="AE15" s="31">
        <f t="shared" si="7"/>
        <v>389</v>
      </c>
      <c r="AF15" s="31">
        <f t="shared" si="7"/>
        <v>786</v>
      </c>
    </row>
    <row r="16" spans="2:32" ht="23.1" customHeight="1" x14ac:dyDescent="0.25">
      <c r="B16" s="23" t="s">
        <v>43</v>
      </c>
      <c r="C16" s="50">
        <v>118</v>
      </c>
      <c r="D16" s="50">
        <v>6</v>
      </c>
      <c r="E16" s="50">
        <v>17</v>
      </c>
      <c r="F16" s="50">
        <v>22</v>
      </c>
      <c r="G16" s="50">
        <v>1</v>
      </c>
      <c r="H16" s="50">
        <v>0</v>
      </c>
      <c r="I16" s="50">
        <v>6</v>
      </c>
      <c r="J16" s="50">
        <v>1</v>
      </c>
      <c r="K16" s="50">
        <v>0</v>
      </c>
      <c r="L16" s="50">
        <v>0</v>
      </c>
      <c r="M16" s="50">
        <v>125</v>
      </c>
      <c r="N16" s="50">
        <v>0</v>
      </c>
      <c r="O16" s="15">
        <f t="shared" si="0"/>
        <v>171</v>
      </c>
      <c r="P16" s="15">
        <f t="shared" si="1"/>
        <v>296</v>
      </c>
      <c r="R16" s="1" t="s">
        <v>12</v>
      </c>
      <c r="S16" s="17">
        <f t="shared" ref="S16:AF16" si="8">SUM(C34:C37)</f>
        <v>173</v>
      </c>
      <c r="T16" s="17">
        <f t="shared" si="8"/>
        <v>20</v>
      </c>
      <c r="U16" s="17">
        <f t="shared" si="8"/>
        <v>32</v>
      </c>
      <c r="V16" s="17">
        <f t="shared" si="8"/>
        <v>85</v>
      </c>
      <c r="W16" s="17">
        <f t="shared" si="8"/>
        <v>1</v>
      </c>
      <c r="X16" s="17">
        <f t="shared" si="8"/>
        <v>0</v>
      </c>
      <c r="Y16" s="17">
        <f t="shared" si="8"/>
        <v>34</v>
      </c>
      <c r="Z16" s="17">
        <f t="shared" si="8"/>
        <v>2</v>
      </c>
      <c r="AA16" s="17">
        <f t="shared" si="8"/>
        <v>2</v>
      </c>
      <c r="AB16" s="17">
        <f t="shared" si="8"/>
        <v>0</v>
      </c>
      <c r="AC16" s="17">
        <f t="shared" si="8"/>
        <v>359</v>
      </c>
      <c r="AD16" s="17">
        <f t="shared" si="8"/>
        <v>0</v>
      </c>
      <c r="AE16" s="31">
        <f t="shared" si="8"/>
        <v>349</v>
      </c>
      <c r="AF16" s="31">
        <f t="shared" si="8"/>
        <v>708</v>
      </c>
    </row>
    <row r="17" spans="2:32" ht="23.1" customHeight="1" x14ac:dyDescent="0.25">
      <c r="B17" s="23" t="s">
        <v>44</v>
      </c>
      <c r="C17" s="50">
        <v>95</v>
      </c>
      <c r="D17" s="50">
        <v>12</v>
      </c>
      <c r="E17" s="50">
        <v>15</v>
      </c>
      <c r="F17" s="50">
        <v>25</v>
      </c>
      <c r="G17" s="50">
        <v>0</v>
      </c>
      <c r="H17" s="50">
        <v>0</v>
      </c>
      <c r="I17" s="50">
        <v>10</v>
      </c>
      <c r="J17" s="50">
        <v>1</v>
      </c>
      <c r="K17" s="50">
        <v>0</v>
      </c>
      <c r="L17" s="50">
        <v>0</v>
      </c>
      <c r="M17" s="50">
        <v>145</v>
      </c>
      <c r="N17" s="50">
        <v>0</v>
      </c>
      <c r="O17" s="15">
        <f t="shared" si="0"/>
        <v>158</v>
      </c>
      <c r="P17" s="15">
        <f t="shared" si="1"/>
        <v>303</v>
      </c>
      <c r="R17" s="1" t="s">
        <v>13</v>
      </c>
      <c r="S17" s="17">
        <f t="shared" ref="S17:AF17" si="9">SUM(C38:C41)</f>
        <v>141</v>
      </c>
      <c r="T17" s="17">
        <f t="shared" si="9"/>
        <v>21</v>
      </c>
      <c r="U17" s="17">
        <f t="shared" si="9"/>
        <v>38</v>
      </c>
      <c r="V17" s="17">
        <f t="shared" si="9"/>
        <v>140</v>
      </c>
      <c r="W17" s="17">
        <f t="shared" si="9"/>
        <v>2</v>
      </c>
      <c r="X17" s="17">
        <f t="shared" si="9"/>
        <v>9</v>
      </c>
      <c r="Y17" s="17">
        <f t="shared" si="9"/>
        <v>18</v>
      </c>
      <c r="Z17" s="17">
        <f t="shared" si="9"/>
        <v>4</v>
      </c>
      <c r="AA17" s="17">
        <f t="shared" si="9"/>
        <v>0</v>
      </c>
      <c r="AB17" s="17">
        <f t="shared" si="9"/>
        <v>1</v>
      </c>
      <c r="AC17" s="17">
        <f t="shared" si="9"/>
        <v>404</v>
      </c>
      <c r="AD17" s="17">
        <f t="shared" si="9"/>
        <v>0</v>
      </c>
      <c r="AE17" s="31">
        <f t="shared" si="9"/>
        <v>374</v>
      </c>
      <c r="AF17" s="31">
        <f t="shared" si="9"/>
        <v>778</v>
      </c>
    </row>
    <row r="18" spans="2:32" ht="23.1" customHeight="1" x14ac:dyDescent="0.25">
      <c r="B18" s="23" t="s">
        <v>45</v>
      </c>
      <c r="C18" s="50">
        <v>100</v>
      </c>
      <c r="D18" s="50">
        <v>14</v>
      </c>
      <c r="E18" s="50">
        <v>8</v>
      </c>
      <c r="F18" s="50">
        <v>25</v>
      </c>
      <c r="G18" s="50">
        <v>0</v>
      </c>
      <c r="H18" s="50">
        <v>0</v>
      </c>
      <c r="I18" s="50">
        <v>7</v>
      </c>
      <c r="J18" s="50">
        <v>1</v>
      </c>
      <c r="K18" s="50">
        <v>6</v>
      </c>
      <c r="L18" s="50">
        <v>0</v>
      </c>
      <c r="M18" s="50">
        <v>175</v>
      </c>
      <c r="N18" s="50">
        <v>0</v>
      </c>
      <c r="O18" s="15">
        <f t="shared" si="0"/>
        <v>161</v>
      </c>
      <c r="P18" s="15">
        <f t="shared" si="1"/>
        <v>336</v>
      </c>
      <c r="R18" s="1" t="s">
        <v>14</v>
      </c>
      <c r="S18" s="17">
        <f t="shared" ref="S18:AF18" si="10">SUM(C42:C45)</f>
        <v>181</v>
      </c>
      <c r="T18" s="17">
        <f t="shared" si="10"/>
        <v>14</v>
      </c>
      <c r="U18" s="17">
        <f t="shared" si="10"/>
        <v>19</v>
      </c>
      <c r="V18" s="17">
        <f t="shared" si="10"/>
        <v>76</v>
      </c>
      <c r="W18" s="17">
        <f t="shared" si="10"/>
        <v>0</v>
      </c>
      <c r="X18" s="17">
        <f t="shared" si="10"/>
        <v>0</v>
      </c>
      <c r="Y18" s="17">
        <f t="shared" si="10"/>
        <v>34</v>
      </c>
      <c r="Z18" s="17">
        <f t="shared" si="10"/>
        <v>3</v>
      </c>
      <c r="AA18" s="17">
        <f t="shared" si="10"/>
        <v>4</v>
      </c>
      <c r="AB18" s="17">
        <f t="shared" si="10"/>
        <v>0</v>
      </c>
      <c r="AC18" s="17">
        <f t="shared" si="10"/>
        <v>461</v>
      </c>
      <c r="AD18" s="17">
        <f t="shared" si="10"/>
        <v>0</v>
      </c>
      <c r="AE18" s="31">
        <f t="shared" si="10"/>
        <v>331</v>
      </c>
      <c r="AF18" s="31">
        <f t="shared" si="10"/>
        <v>792</v>
      </c>
    </row>
    <row r="19" spans="2:32" ht="23.1" customHeight="1" x14ac:dyDescent="0.25">
      <c r="B19" s="23" t="s">
        <v>46</v>
      </c>
      <c r="C19" s="50">
        <v>65</v>
      </c>
      <c r="D19" s="50">
        <v>7</v>
      </c>
      <c r="E19" s="50">
        <v>10</v>
      </c>
      <c r="F19" s="50">
        <v>29</v>
      </c>
      <c r="G19" s="50">
        <v>0</v>
      </c>
      <c r="H19" s="50">
        <v>0</v>
      </c>
      <c r="I19" s="50">
        <v>6</v>
      </c>
      <c r="J19" s="50">
        <v>0</v>
      </c>
      <c r="K19" s="50">
        <v>1</v>
      </c>
      <c r="L19" s="50">
        <v>0</v>
      </c>
      <c r="M19" s="50">
        <v>126</v>
      </c>
      <c r="N19" s="50">
        <v>0</v>
      </c>
      <c r="O19" s="15">
        <f t="shared" si="0"/>
        <v>118</v>
      </c>
      <c r="P19" s="15">
        <f t="shared" si="1"/>
        <v>244</v>
      </c>
      <c r="R19" s="1" t="s">
        <v>15</v>
      </c>
      <c r="S19" s="17">
        <f t="shared" ref="S19:AF19" si="11">SUM(C46:C49)</f>
        <v>178</v>
      </c>
      <c r="T19" s="17">
        <f t="shared" si="11"/>
        <v>25</v>
      </c>
      <c r="U19" s="17">
        <f t="shared" si="11"/>
        <v>30</v>
      </c>
      <c r="V19" s="17">
        <f t="shared" si="11"/>
        <v>71</v>
      </c>
      <c r="W19" s="17">
        <f t="shared" si="11"/>
        <v>3</v>
      </c>
      <c r="X19" s="17">
        <f t="shared" si="11"/>
        <v>1</v>
      </c>
      <c r="Y19" s="17">
        <f t="shared" si="11"/>
        <v>29</v>
      </c>
      <c r="Z19" s="17">
        <f t="shared" si="11"/>
        <v>4</v>
      </c>
      <c r="AA19" s="17">
        <f t="shared" si="11"/>
        <v>6</v>
      </c>
      <c r="AB19" s="17">
        <f t="shared" si="11"/>
        <v>0</v>
      </c>
      <c r="AC19" s="17">
        <f t="shared" si="11"/>
        <v>469</v>
      </c>
      <c r="AD19" s="17">
        <f t="shared" si="11"/>
        <v>0</v>
      </c>
      <c r="AE19" s="31">
        <f t="shared" si="11"/>
        <v>347</v>
      </c>
      <c r="AF19" s="31">
        <f t="shared" si="11"/>
        <v>816</v>
      </c>
    </row>
    <row r="20" spans="2:32" ht="23.1" customHeight="1" x14ac:dyDescent="0.25">
      <c r="B20" s="23" t="s">
        <v>47</v>
      </c>
      <c r="C20" s="50">
        <v>60</v>
      </c>
      <c r="D20" s="50">
        <v>9</v>
      </c>
      <c r="E20" s="50">
        <v>3</v>
      </c>
      <c r="F20" s="50">
        <v>19</v>
      </c>
      <c r="G20" s="50">
        <v>0</v>
      </c>
      <c r="H20" s="50">
        <v>0</v>
      </c>
      <c r="I20" s="50">
        <v>6</v>
      </c>
      <c r="J20" s="50">
        <v>1</v>
      </c>
      <c r="K20" s="50">
        <v>1</v>
      </c>
      <c r="L20" s="50">
        <v>0</v>
      </c>
      <c r="M20" s="50">
        <v>119</v>
      </c>
      <c r="N20" s="50">
        <v>0</v>
      </c>
      <c r="O20" s="15">
        <f t="shared" si="0"/>
        <v>99</v>
      </c>
      <c r="P20" s="15">
        <f t="shared" si="1"/>
        <v>218</v>
      </c>
      <c r="R20" s="1" t="s">
        <v>16</v>
      </c>
      <c r="S20" s="17">
        <f t="shared" ref="S20:AF20" si="12">SUM(C50:C53)</f>
        <v>185</v>
      </c>
      <c r="T20" s="17">
        <f t="shared" si="12"/>
        <v>18</v>
      </c>
      <c r="U20" s="17">
        <f t="shared" si="12"/>
        <v>26</v>
      </c>
      <c r="V20" s="17">
        <f t="shared" si="12"/>
        <v>87</v>
      </c>
      <c r="W20" s="17">
        <f t="shared" si="12"/>
        <v>5</v>
      </c>
      <c r="X20" s="17">
        <f t="shared" si="12"/>
        <v>0</v>
      </c>
      <c r="Y20" s="17">
        <f t="shared" si="12"/>
        <v>30</v>
      </c>
      <c r="Z20" s="17">
        <f t="shared" si="12"/>
        <v>1</v>
      </c>
      <c r="AA20" s="17">
        <f t="shared" si="12"/>
        <v>0</v>
      </c>
      <c r="AB20" s="17">
        <f t="shared" si="12"/>
        <v>5</v>
      </c>
      <c r="AC20" s="17">
        <f t="shared" si="12"/>
        <v>546</v>
      </c>
      <c r="AD20" s="17">
        <f t="shared" si="12"/>
        <v>0</v>
      </c>
      <c r="AE20" s="31">
        <f t="shared" si="12"/>
        <v>357</v>
      </c>
      <c r="AF20" s="31">
        <f t="shared" si="12"/>
        <v>903</v>
      </c>
    </row>
    <row r="21" spans="2:32" ht="23.1" customHeight="1" x14ac:dyDescent="0.25">
      <c r="B21" s="23" t="s">
        <v>48</v>
      </c>
      <c r="C21" s="50">
        <v>79</v>
      </c>
      <c r="D21" s="50">
        <v>5</v>
      </c>
      <c r="E21" s="50">
        <v>7</v>
      </c>
      <c r="F21" s="50">
        <v>21</v>
      </c>
      <c r="G21" s="50">
        <v>0</v>
      </c>
      <c r="H21" s="50">
        <v>0</v>
      </c>
      <c r="I21" s="50">
        <v>5</v>
      </c>
      <c r="J21" s="50">
        <v>1</v>
      </c>
      <c r="K21" s="50">
        <v>0</v>
      </c>
      <c r="L21" s="50">
        <v>0</v>
      </c>
      <c r="M21" s="50">
        <v>108</v>
      </c>
      <c r="N21" s="50">
        <v>0</v>
      </c>
      <c r="O21" s="15">
        <f t="shared" si="0"/>
        <v>118</v>
      </c>
      <c r="P21" s="15">
        <f t="shared" si="1"/>
        <v>226</v>
      </c>
      <c r="R21" s="36" t="s">
        <v>20</v>
      </c>
      <c r="S21" s="34">
        <f t="shared" ref="S21:AF21" si="13">SUM(C54:C57)</f>
        <v>174</v>
      </c>
      <c r="T21" s="17">
        <f t="shared" si="13"/>
        <v>20</v>
      </c>
      <c r="U21" s="17">
        <f t="shared" si="13"/>
        <v>47</v>
      </c>
      <c r="V21" s="17">
        <f t="shared" si="13"/>
        <v>104</v>
      </c>
      <c r="W21" s="17">
        <f t="shared" si="13"/>
        <v>4</v>
      </c>
      <c r="X21" s="17">
        <f t="shared" si="13"/>
        <v>0</v>
      </c>
      <c r="Y21" s="17">
        <f t="shared" si="13"/>
        <v>25</v>
      </c>
      <c r="Z21" s="17">
        <f t="shared" si="13"/>
        <v>5</v>
      </c>
      <c r="AA21" s="17">
        <f t="shared" si="13"/>
        <v>3</v>
      </c>
      <c r="AB21" s="17">
        <f t="shared" si="13"/>
        <v>0</v>
      </c>
      <c r="AC21" s="17">
        <f t="shared" si="13"/>
        <v>570</v>
      </c>
      <c r="AD21" s="17">
        <f t="shared" si="13"/>
        <v>0</v>
      </c>
      <c r="AE21" s="31">
        <f t="shared" si="13"/>
        <v>382</v>
      </c>
      <c r="AF21" s="31">
        <f t="shared" si="13"/>
        <v>952</v>
      </c>
    </row>
    <row r="22" spans="2:32" ht="23.1" customHeight="1" x14ac:dyDescent="0.25">
      <c r="B22" s="23" t="s">
        <v>49</v>
      </c>
      <c r="C22" s="50">
        <v>63</v>
      </c>
      <c r="D22" s="50">
        <v>14</v>
      </c>
      <c r="E22" s="50">
        <v>8</v>
      </c>
      <c r="F22" s="50">
        <v>22</v>
      </c>
      <c r="G22" s="50">
        <v>0</v>
      </c>
      <c r="H22" s="50">
        <v>0</v>
      </c>
      <c r="I22" s="50">
        <v>7</v>
      </c>
      <c r="J22" s="50">
        <v>1</v>
      </c>
      <c r="K22" s="50">
        <v>0</v>
      </c>
      <c r="L22" s="50">
        <v>0</v>
      </c>
      <c r="M22" s="50">
        <v>115</v>
      </c>
      <c r="N22" s="50">
        <v>0</v>
      </c>
      <c r="O22" s="15">
        <f t="shared" si="0"/>
        <v>115</v>
      </c>
      <c r="P22" s="15">
        <f t="shared" si="1"/>
        <v>230</v>
      </c>
      <c r="R22" s="38" t="s">
        <v>90</v>
      </c>
      <c r="S22" s="39">
        <f>MAX(S10:S12)</f>
        <v>420</v>
      </c>
      <c r="T22" s="39">
        <f t="shared" ref="T22:AF22" si="14">MAX(T10:T12)</f>
        <v>49</v>
      </c>
      <c r="U22" s="39">
        <f t="shared" si="14"/>
        <v>55</v>
      </c>
      <c r="V22" s="39">
        <f t="shared" si="14"/>
        <v>111</v>
      </c>
      <c r="W22" s="39">
        <f t="shared" si="14"/>
        <v>2</v>
      </c>
      <c r="X22" s="39">
        <f t="shared" si="14"/>
        <v>0</v>
      </c>
      <c r="Y22" s="39">
        <f t="shared" si="14"/>
        <v>25</v>
      </c>
      <c r="Z22" s="39">
        <f t="shared" si="14"/>
        <v>3</v>
      </c>
      <c r="AA22" s="39">
        <f t="shared" si="14"/>
        <v>8</v>
      </c>
      <c r="AB22" s="39">
        <f t="shared" si="14"/>
        <v>1</v>
      </c>
      <c r="AC22" s="39">
        <f t="shared" si="14"/>
        <v>605</v>
      </c>
      <c r="AD22" s="39">
        <f t="shared" si="14"/>
        <v>0</v>
      </c>
      <c r="AE22" s="40">
        <f t="shared" si="14"/>
        <v>647</v>
      </c>
      <c r="AF22" s="40">
        <f t="shared" si="14"/>
        <v>1248</v>
      </c>
    </row>
    <row r="23" spans="2:32" ht="23.1" customHeight="1" x14ac:dyDescent="0.25">
      <c r="B23" s="23" t="s">
        <v>50</v>
      </c>
      <c r="C23" s="50">
        <v>65</v>
      </c>
      <c r="D23" s="50">
        <v>8</v>
      </c>
      <c r="E23" s="50">
        <v>5</v>
      </c>
      <c r="F23" s="50">
        <v>26</v>
      </c>
      <c r="G23" s="50">
        <v>1</v>
      </c>
      <c r="H23" s="50">
        <v>0</v>
      </c>
      <c r="I23" s="50">
        <v>8</v>
      </c>
      <c r="J23" s="50">
        <v>2</v>
      </c>
      <c r="K23" s="50">
        <v>2</v>
      </c>
      <c r="L23" s="50">
        <v>0</v>
      </c>
      <c r="M23" s="50">
        <v>164</v>
      </c>
      <c r="N23" s="50">
        <v>0</v>
      </c>
      <c r="O23" s="15">
        <f t="shared" si="0"/>
        <v>117</v>
      </c>
      <c r="P23" s="15">
        <f t="shared" si="1"/>
        <v>281</v>
      </c>
      <c r="R23" s="38" t="s">
        <v>91</v>
      </c>
      <c r="S23" s="39">
        <f>MAX(S13:S18)</f>
        <v>246</v>
      </c>
      <c r="T23" s="39">
        <f t="shared" ref="T23:AF23" si="15">MAX(T13:T18)</f>
        <v>39</v>
      </c>
      <c r="U23" s="39">
        <f t="shared" si="15"/>
        <v>45</v>
      </c>
      <c r="V23" s="39">
        <f t="shared" si="15"/>
        <v>140</v>
      </c>
      <c r="W23" s="39">
        <f t="shared" si="15"/>
        <v>2</v>
      </c>
      <c r="X23" s="39">
        <f t="shared" si="15"/>
        <v>9</v>
      </c>
      <c r="Y23" s="39">
        <f t="shared" si="15"/>
        <v>34</v>
      </c>
      <c r="Z23" s="39">
        <f t="shared" si="15"/>
        <v>6</v>
      </c>
      <c r="AA23" s="39">
        <f t="shared" si="15"/>
        <v>7</v>
      </c>
      <c r="AB23" s="39">
        <f t="shared" si="15"/>
        <v>1</v>
      </c>
      <c r="AC23" s="39">
        <f t="shared" si="15"/>
        <v>481</v>
      </c>
      <c r="AD23" s="39">
        <f t="shared" si="15"/>
        <v>0</v>
      </c>
      <c r="AE23" s="40">
        <f t="shared" si="15"/>
        <v>447</v>
      </c>
      <c r="AF23" s="40">
        <f t="shared" si="15"/>
        <v>928</v>
      </c>
    </row>
    <row r="24" spans="2:32" ht="23.1" customHeight="1" x14ac:dyDescent="0.25">
      <c r="B24" s="23" t="s">
        <v>51</v>
      </c>
      <c r="C24" s="50">
        <v>65</v>
      </c>
      <c r="D24" s="50">
        <v>11</v>
      </c>
      <c r="E24" s="50">
        <v>9</v>
      </c>
      <c r="F24" s="50">
        <v>27</v>
      </c>
      <c r="G24" s="50">
        <v>1</v>
      </c>
      <c r="H24" s="50">
        <v>0</v>
      </c>
      <c r="I24" s="50">
        <v>1</v>
      </c>
      <c r="J24" s="50">
        <v>0</v>
      </c>
      <c r="K24" s="50">
        <v>2</v>
      </c>
      <c r="L24" s="50">
        <v>0</v>
      </c>
      <c r="M24" s="50">
        <v>94</v>
      </c>
      <c r="N24" s="50">
        <v>0</v>
      </c>
      <c r="O24" s="15">
        <f t="shared" si="0"/>
        <v>116</v>
      </c>
      <c r="P24" s="15">
        <f t="shared" si="1"/>
        <v>210</v>
      </c>
      <c r="R24" s="38" t="s">
        <v>92</v>
      </c>
      <c r="S24" s="39">
        <f>MAX(S19:S21)</f>
        <v>185</v>
      </c>
      <c r="T24" s="39">
        <f t="shared" ref="T24:AF24" si="16">MAX(T19:T21)</f>
        <v>25</v>
      </c>
      <c r="U24" s="39">
        <f t="shared" si="16"/>
        <v>47</v>
      </c>
      <c r="V24" s="39">
        <f t="shared" si="16"/>
        <v>104</v>
      </c>
      <c r="W24" s="39">
        <f t="shared" si="16"/>
        <v>5</v>
      </c>
      <c r="X24" s="39">
        <f t="shared" si="16"/>
        <v>1</v>
      </c>
      <c r="Y24" s="39">
        <f t="shared" si="16"/>
        <v>30</v>
      </c>
      <c r="Z24" s="39">
        <f t="shared" si="16"/>
        <v>5</v>
      </c>
      <c r="AA24" s="39">
        <f t="shared" si="16"/>
        <v>6</v>
      </c>
      <c r="AB24" s="39">
        <f t="shared" si="16"/>
        <v>5</v>
      </c>
      <c r="AC24" s="39">
        <f t="shared" si="16"/>
        <v>570</v>
      </c>
      <c r="AD24" s="39">
        <f t="shared" si="16"/>
        <v>0</v>
      </c>
      <c r="AE24" s="40">
        <f t="shared" si="16"/>
        <v>382</v>
      </c>
      <c r="AF24" s="40">
        <f t="shared" si="16"/>
        <v>952</v>
      </c>
    </row>
    <row r="25" spans="2:32" ht="23.1" customHeight="1" x14ac:dyDescent="0.25">
      <c r="B25" s="23" t="s">
        <v>52</v>
      </c>
      <c r="C25" s="50">
        <v>53</v>
      </c>
      <c r="D25" s="50">
        <v>6</v>
      </c>
      <c r="E25" s="50">
        <v>10</v>
      </c>
      <c r="F25" s="50">
        <v>21</v>
      </c>
      <c r="G25" s="50">
        <v>0</v>
      </c>
      <c r="H25" s="50">
        <v>0</v>
      </c>
      <c r="I25" s="50">
        <v>4</v>
      </c>
      <c r="J25" s="50">
        <v>1</v>
      </c>
      <c r="K25" s="50">
        <v>3</v>
      </c>
      <c r="L25" s="50">
        <v>1</v>
      </c>
      <c r="M25" s="50">
        <v>108</v>
      </c>
      <c r="N25" s="50">
        <v>0</v>
      </c>
      <c r="O25" s="15">
        <f t="shared" si="0"/>
        <v>99</v>
      </c>
      <c r="P25" s="15">
        <f t="shared" si="1"/>
        <v>207</v>
      </c>
      <c r="R25" s="37" t="s">
        <v>85</v>
      </c>
      <c r="S25" s="35">
        <f t="shared" ref="S25:AF25" si="17">SUM(S10:S12)</f>
        <v>1113</v>
      </c>
      <c r="T25" s="16">
        <f t="shared" si="17"/>
        <v>119</v>
      </c>
      <c r="U25" s="16">
        <f t="shared" si="17"/>
        <v>132</v>
      </c>
      <c r="V25" s="16">
        <f t="shared" si="17"/>
        <v>313</v>
      </c>
      <c r="W25" s="16">
        <f t="shared" si="17"/>
        <v>3</v>
      </c>
      <c r="X25" s="16">
        <f t="shared" si="17"/>
        <v>0</v>
      </c>
      <c r="Y25" s="16">
        <f t="shared" si="17"/>
        <v>63</v>
      </c>
      <c r="Z25" s="16">
        <f t="shared" si="17"/>
        <v>5</v>
      </c>
      <c r="AA25" s="16">
        <f t="shared" si="17"/>
        <v>10</v>
      </c>
      <c r="AB25" s="16">
        <f t="shared" si="17"/>
        <v>1</v>
      </c>
      <c r="AC25" s="16">
        <f t="shared" si="17"/>
        <v>1734</v>
      </c>
      <c r="AD25" s="16">
        <f t="shared" si="17"/>
        <v>0</v>
      </c>
      <c r="AE25" s="32">
        <f t="shared" si="17"/>
        <v>1759</v>
      </c>
      <c r="AF25" s="32">
        <f t="shared" si="17"/>
        <v>3493</v>
      </c>
    </row>
    <row r="26" spans="2:32" ht="23.1" customHeight="1" x14ac:dyDescent="0.25">
      <c r="B26" s="23" t="s">
        <v>53</v>
      </c>
      <c r="C26" s="50">
        <v>59</v>
      </c>
      <c r="D26" s="50">
        <v>9</v>
      </c>
      <c r="E26" s="50">
        <v>11</v>
      </c>
      <c r="F26" s="50">
        <v>21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107</v>
      </c>
      <c r="N26" s="50">
        <v>0</v>
      </c>
      <c r="O26" s="15">
        <f t="shared" si="0"/>
        <v>101</v>
      </c>
      <c r="P26" s="15">
        <f t="shared" si="1"/>
        <v>208</v>
      </c>
      <c r="R26" s="28" t="s">
        <v>86</v>
      </c>
      <c r="S26" s="16">
        <f t="shared" ref="S26:AF26" si="18">SUM(S13:S18)</f>
        <v>1146</v>
      </c>
      <c r="T26" s="16">
        <f t="shared" si="18"/>
        <v>140</v>
      </c>
      <c r="U26" s="16">
        <f t="shared" si="18"/>
        <v>202</v>
      </c>
      <c r="V26" s="16">
        <f t="shared" si="18"/>
        <v>574</v>
      </c>
      <c r="W26" s="16">
        <f t="shared" si="18"/>
        <v>5</v>
      </c>
      <c r="X26" s="16">
        <f t="shared" si="18"/>
        <v>9</v>
      </c>
      <c r="Y26" s="16">
        <f t="shared" si="18"/>
        <v>161</v>
      </c>
      <c r="Z26" s="16">
        <f t="shared" si="18"/>
        <v>19</v>
      </c>
      <c r="AA26" s="16">
        <f t="shared" si="18"/>
        <v>18</v>
      </c>
      <c r="AB26" s="16">
        <f t="shared" si="18"/>
        <v>3</v>
      </c>
      <c r="AC26" s="16">
        <f t="shared" si="18"/>
        <v>2543</v>
      </c>
      <c r="AD26" s="16">
        <f t="shared" si="18"/>
        <v>0</v>
      </c>
      <c r="AE26" s="32">
        <f t="shared" si="18"/>
        <v>2277</v>
      </c>
      <c r="AF26" s="32">
        <f t="shared" si="18"/>
        <v>4820</v>
      </c>
    </row>
    <row r="27" spans="2:32" ht="23.1" customHeight="1" x14ac:dyDescent="0.25">
      <c r="B27" s="23" t="s">
        <v>54</v>
      </c>
      <c r="C27" s="50">
        <v>61</v>
      </c>
      <c r="D27" s="50">
        <v>5</v>
      </c>
      <c r="E27" s="50">
        <v>17</v>
      </c>
      <c r="F27" s="50">
        <v>24</v>
      </c>
      <c r="G27" s="50">
        <v>0</v>
      </c>
      <c r="H27" s="50">
        <v>0</v>
      </c>
      <c r="I27" s="50">
        <v>12</v>
      </c>
      <c r="J27" s="50">
        <v>0</v>
      </c>
      <c r="K27" s="50">
        <v>0</v>
      </c>
      <c r="L27" s="50">
        <v>0</v>
      </c>
      <c r="M27" s="50">
        <v>125</v>
      </c>
      <c r="N27" s="50">
        <v>0</v>
      </c>
      <c r="O27" s="15">
        <f t="shared" si="0"/>
        <v>119</v>
      </c>
      <c r="P27" s="15">
        <f t="shared" si="1"/>
        <v>244</v>
      </c>
      <c r="R27" s="29" t="s">
        <v>87</v>
      </c>
      <c r="S27" s="16">
        <f t="shared" ref="S27:AF27" si="19">SUM(S19:S21)</f>
        <v>537</v>
      </c>
      <c r="T27" s="16">
        <f t="shared" si="19"/>
        <v>63</v>
      </c>
      <c r="U27" s="16">
        <f t="shared" si="19"/>
        <v>103</v>
      </c>
      <c r="V27" s="16">
        <f t="shared" si="19"/>
        <v>262</v>
      </c>
      <c r="W27" s="16">
        <f t="shared" si="19"/>
        <v>12</v>
      </c>
      <c r="X27" s="16">
        <f t="shared" si="19"/>
        <v>1</v>
      </c>
      <c r="Y27" s="16">
        <f t="shared" si="19"/>
        <v>84</v>
      </c>
      <c r="Z27" s="16">
        <f t="shared" si="19"/>
        <v>10</v>
      </c>
      <c r="AA27" s="16">
        <f t="shared" si="19"/>
        <v>9</v>
      </c>
      <c r="AB27" s="16">
        <f t="shared" si="19"/>
        <v>5</v>
      </c>
      <c r="AC27" s="16">
        <f t="shared" si="19"/>
        <v>1585</v>
      </c>
      <c r="AD27" s="16">
        <f t="shared" si="19"/>
        <v>0</v>
      </c>
      <c r="AE27" s="32">
        <f t="shared" si="19"/>
        <v>1086</v>
      </c>
      <c r="AF27" s="32">
        <f t="shared" si="19"/>
        <v>2671</v>
      </c>
    </row>
    <row r="28" spans="2:32" ht="23.1" customHeight="1" x14ac:dyDescent="0.25">
      <c r="B28" s="23" t="s">
        <v>55</v>
      </c>
      <c r="C28" s="50">
        <v>50</v>
      </c>
      <c r="D28" s="50">
        <v>9</v>
      </c>
      <c r="E28" s="50">
        <v>6</v>
      </c>
      <c r="F28" s="50">
        <v>15</v>
      </c>
      <c r="G28" s="50">
        <v>0</v>
      </c>
      <c r="H28" s="50">
        <v>0</v>
      </c>
      <c r="I28" s="50">
        <v>3</v>
      </c>
      <c r="J28" s="50">
        <v>0</v>
      </c>
      <c r="K28" s="50">
        <v>2</v>
      </c>
      <c r="L28" s="50">
        <v>0</v>
      </c>
      <c r="M28" s="50">
        <v>110</v>
      </c>
      <c r="N28" s="50">
        <v>0</v>
      </c>
      <c r="O28" s="15">
        <f t="shared" si="0"/>
        <v>85</v>
      </c>
      <c r="P28" s="15">
        <f t="shared" si="1"/>
        <v>195</v>
      </c>
      <c r="R28" s="5" t="s">
        <v>17</v>
      </c>
      <c r="S28" s="16">
        <f t="shared" ref="S28:AF28" si="20">SUM(S10:S21)</f>
        <v>2796</v>
      </c>
      <c r="T28" s="16">
        <f t="shared" si="20"/>
        <v>322</v>
      </c>
      <c r="U28" s="16">
        <f t="shared" si="20"/>
        <v>437</v>
      </c>
      <c r="V28" s="16">
        <f t="shared" si="20"/>
        <v>1149</v>
      </c>
      <c r="W28" s="16">
        <f t="shared" si="20"/>
        <v>20</v>
      </c>
      <c r="X28" s="16">
        <f t="shared" si="20"/>
        <v>10</v>
      </c>
      <c r="Y28" s="16">
        <f t="shared" si="20"/>
        <v>308</v>
      </c>
      <c r="Z28" s="16">
        <f t="shared" si="20"/>
        <v>34</v>
      </c>
      <c r="AA28" s="16">
        <f t="shared" si="20"/>
        <v>37</v>
      </c>
      <c r="AB28" s="16">
        <f t="shared" si="20"/>
        <v>9</v>
      </c>
      <c r="AC28" s="16">
        <f t="shared" si="20"/>
        <v>5862</v>
      </c>
      <c r="AD28" s="16">
        <f t="shared" si="20"/>
        <v>0</v>
      </c>
      <c r="AE28" s="32">
        <f t="shared" si="20"/>
        <v>5122</v>
      </c>
      <c r="AF28" s="32">
        <f t="shared" si="20"/>
        <v>10984</v>
      </c>
    </row>
    <row r="29" spans="2:32" ht="23.1" customHeight="1" x14ac:dyDescent="0.25">
      <c r="B29" s="23" t="s">
        <v>56</v>
      </c>
      <c r="C29" s="50">
        <v>32</v>
      </c>
      <c r="D29" s="50">
        <v>8</v>
      </c>
      <c r="E29" s="50">
        <v>11</v>
      </c>
      <c r="F29" s="50">
        <v>22</v>
      </c>
      <c r="G29" s="50">
        <v>0</v>
      </c>
      <c r="H29" s="50">
        <v>0</v>
      </c>
      <c r="I29" s="50">
        <v>6</v>
      </c>
      <c r="J29" s="50">
        <v>0</v>
      </c>
      <c r="K29" s="50">
        <v>2</v>
      </c>
      <c r="L29" s="50">
        <v>1</v>
      </c>
      <c r="M29" s="50">
        <v>99</v>
      </c>
      <c r="N29" s="50">
        <v>0</v>
      </c>
      <c r="O29" s="15">
        <f t="shared" si="0"/>
        <v>82</v>
      </c>
      <c r="P29" s="15">
        <f t="shared" si="1"/>
        <v>181</v>
      </c>
      <c r="R29"/>
      <c r="S29" s="20"/>
      <c r="T29" s="19"/>
    </row>
    <row r="30" spans="2:32" ht="23.1" customHeight="1" x14ac:dyDescent="0.25">
      <c r="B30" s="23" t="s">
        <v>57</v>
      </c>
      <c r="C30" s="50">
        <v>37</v>
      </c>
      <c r="D30" s="50">
        <v>4</v>
      </c>
      <c r="E30" s="50">
        <v>10</v>
      </c>
      <c r="F30" s="50">
        <v>23</v>
      </c>
      <c r="G30" s="50">
        <v>0</v>
      </c>
      <c r="H30" s="50">
        <v>0</v>
      </c>
      <c r="I30" s="50">
        <v>11</v>
      </c>
      <c r="J30" s="50">
        <v>3</v>
      </c>
      <c r="K30" s="50">
        <v>0</v>
      </c>
      <c r="L30" s="50">
        <v>0</v>
      </c>
      <c r="M30" s="50">
        <v>108</v>
      </c>
      <c r="N30" s="50">
        <v>0</v>
      </c>
      <c r="O30" s="15">
        <f t="shared" si="0"/>
        <v>88</v>
      </c>
      <c r="P30" s="15">
        <f t="shared" si="1"/>
        <v>196</v>
      </c>
    </row>
    <row r="31" spans="2:32" ht="23.1" customHeight="1" x14ac:dyDescent="0.25">
      <c r="B31" s="24" t="s">
        <v>58</v>
      </c>
      <c r="C31" s="50">
        <v>57</v>
      </c>
      <c r="D31" s="50">
        <v>3</v>
      </c>
      <c r="E31" s="50">
        <v>13</v>
      </c>
      <c r="F31" s="50">
        <v>15</v>
      </c>
      <c r="G31" s="50">
        <v>0</v>
      </c>
      <c r="H31" s="50">
        <v>0</v>
      </c>
      <c r="I31" s="50">
        <v>11</v>
      </c>
      <c r="J31" s="50">
        <v>3</v>
      </c>
      <c r="K31" s="50">
        <v>0</v>
      </c>
      <c r="L31" s="50">
        <v>0</v>
      </c>
      <c r="M31" s="50">
        <v>92</v>
      </c>
      <c r="N31" s="50">
        <v>0</v>
      </c>
      <c r="O31" s="15">
        <f t="shared" si="0"/>
        <v>102</v>
      </c>
      <c r="P31" s="15">
        <f t="shared" si="1"/>
        <v>194</v>
      </c>
    </row>
    <row r="32" spans="2:32" ht="23.1" customHeight="1" x14ac:dyDescent="0.25">
      <c r="B32" s="24" t="s">
        <v>59</v>
      </c>
      <c r="C32" s="50">
        <v>66</v>
      </c>
      <c r="D32" s="50">
        <v>6</v>
      </c>
      <c r="E32" s="50">
        <v>5</v>
      </c>
      <c r="F32" s="50">
        <v>29</v>
      </c>
      <c r="G32" s="50">
        <v>0</v>
      </c>
      <c r="H32" s="50">
        <v>0</v>
      </c>
      <c r="I32" s="50">
        <v>8</v>
      </c>
      <c r="J32" s="50">
        <v>0</v>
      </c>
      <c r="K32" s="50">
        <v>0</v>
      </c>
      <c r="L32" s="50">
        <v>0</v>
      </c>
      <c r="M32" s="50">
        <v>101</v>
      </c>
      <c r="N32" s="50">
        <v>0</v>
      </c>
      <c r="O32" s="15">
        <f t="shared" si="0"/>
        <v>114</v>
      </c>
      <c r="P32" s="15">
        <f t="shared" si="1"/>
        <v>215</v>
      </c>
    </row>
    <row r="33" spans="2:20" ht="23.1" customHeight="1" x14ac:dyDescent="0.25">
      <c r="B33" s="23" t="s">
        <v>60</v>
      </c>
      <c r="C33" s="50">
        <v>43</v>
      </c>
      <c r="D33" s="50">
        <v>2</v>
      </c>
      <c r="E33" s="50">
        <v>8</v>
      </c>
      <c r="F33" s="50">
        <v>28</v>
      </c>
      <c r="G33" s="50">
        <v>0</v>
      </c>
      <c r="H33" s="50">
        <v>0</v>
      </c>
      <c r="I33" s="50">
        <v>3</v>
      </c>
      <c r="J33" s="50">
        <v>0</v>
      </c>
      <c r="K33" s="50">
        <v>1</v>
      </c>
      <c r="L33" s="50">
        <v>0</v>
      </c>
      <c r="M33" s="50">
        <v>96</v>
      </c>
      <c r="N33" s="50">
        <v>0</v>
      </c>
      <c r="O33" s="15">
        <f t="shared" si="0"/>
        <v>85</v>
      </c>
      <c r="P33" s="15">
        <f t="shared" si="1"/>
        <v>181</v>
      </c>
    </row>
    <row r="34" spans="2:20" ht="23.1" customHeight="1" x14ac:dyDescent="0.25">
      <c r="B34" s="24" t="s">
        <v>61</v>
      </c>
      <c r="C34" s="50">
        <v>45</v>
      </c>
      <c r="D34" s="50">
        <v>7</v>
      </c>
      <c r="E34" s="50">
        <v>10</v>
      </c>
      <c r="F34" s="50">
        <v>34</v>
      </c>
      <c r="G34" s="50">
        <v>0</v>
      </c>
      <c r="H34" s="50">
        <v>0</v>
      </c>
      <c r="I34" s="50">
        <v>4</v>
      </c>
      <c r="J34" s="50">
        <v>1</v>
      </c>
      <c r="K34" s="50">
        <v>0</v>
      </c>
      <c r="L34" s="50">
        <v>0</v>
      </c>
      <c r="M34" s="50">
        <v>93</v>
      </c>
      <c r="N34" s="50">
        <v>0</v>
      </c>
      <c r="O34" s="15">
        <f t="shared" si="0"/>
        <v>101</v>
      </c>
      <c r="P34" s="15">
        <f t="shared" si="1"/>
        <v>194</v>
      </c>
    </row>
    <row r="35" spans="2:20" ht="23.1" customHeight="1" x14ac:dyDescent="0.25">
      <c r="B35" s="24" t="s">
        <v>62</v>
      </c>
      <c r="C35" s="50">
        <v>40</v>
      </c>
      <c r="D35" s="50">
        <v>5</v>
      </c>
      <c r="E35" s="50">
        <v>6</v>
      </c>
      <c r="F35" s="50">
        <v>22</v>
      </c>
      <c r="G35" s="50">
        <v>0</v>
      </c>
      <c r="H35" s="50">
        <v>0</v>
      </c>
      <c r="I35" s="50">
        <v>11</v>
      </c>
      <c r="J35" s="50">
        <v>1</v>
      </c>
      <c r="K35" s="50">
        <v>1</v>
      </c>
      <c r="L35" s="50">
        <v>0</v>
      </c>
      <c r="M35" s="50">
        <v>90</v>
      </c>
      <c r="N35" s="50">
        <v>0</v>
      </c>
      <c r="O35" s="15">
        <f t="shared" si="0"/>
        <v>86</v>
      </c>
      <c r="P35" s="15">
        <f t="shared" si="1"/>
        <v>176</v>
      </c>
    </row>
    <row r="36" spans="2:20" ht="23.1" customHeight="1" x14ac:dyDescent="0.25">
      <c r="B36" s="24" t="s">
        <v>63</v>
      </c>
      <c r="C36" s="50">
        <v>46</v>
      </c>
      <c r="D36" s="50">
        <v>4</v>
      </c>
      <c r="E36" s="50">
        <v>5</v>
      </c>
      <c r="F36" s="50">
        <v>16</v>
      </c>
      <c r="G36" s="50">
        <v>0</v>
      </c>
      <c r="H36" s="50">
        <v>0</v>
      </c>
      <c r="I36" s="50">
        <v>9</v>
      </c>
      <c r="J36" s="50">
        <v>0</v>
      </c>
      <c r="K36" s="50">
        <v>0</v>
      </c>
      <c r="L36" s="50">
        <v>0</v>
      </c>
      <c r="M36" s="50">
        <v>94</v>
      </c>
      <c r="N36" s="50">
        <v>0</v>
      </c>
      <c r="O36" s="15">
        <f t="shared" si="0"/>
        <v>80</v>
      </c>
      <c r="P36" s="15">
        <f t="shared" si="1"/>
        <v>174</v>
      </c>
    </row>
    <row r="37" spans="2:20" ht="23.1" customHeight="1" x14ac:dyDescent="0.25">
      <c r="B37" s="23" t="s">
        <v>64</v>
      </c>
      <c r="C37" s="50">
        <v>42</v>
      </c>
      <c r="D37" s="50">
        <v>4</v>
      </c>
      <c r="E37" s="50">
        <v>11</v>
      </c>
      <c r="F37" s="50">
        <v>13</v>
      </c>
      <c r="G37" s="50">
        <v>1</v>
      </c>
      <c r="H37" s="50">
        <v>0</v>
      </c>
      <c r="I37" s="50">
        <v>10</v>
      </c>
      <c r="J37" s="50">
        <v>0</v>
      </c>
      <c r="K37" s="50">
        <v>1</v>
      </c>
      <c r="L37" s="50">
        <v>0</v>
      </c>
      <c r="M37" s="50">
        <v>82</v>
      </c>
      <c r="N37" s="50">
        <v>0</v>
      </c>
      <c r="O37" s="15">
        <f t="shared" si="0"/>
        <v>82</v>
      </c>
      <c r="P37" s="15">
        <f t="shared" si="1"/>
        <v>164</v>
      </c>
    </row>
    <row r="38" spans="2:20" ht="23.1" customHeight="1" x14ac:dyDescent="0.25">
      <c r="B38" s="24" t="s">
        <v>65</v>
      </c>
      <c r="C38" s="50">
        <v>35</v>
      </c>
      <c r="D38" s="50">
        <v>9</v>
      </c>
      <c r="E38" s="50">
        <v>9</v>
      </c>
      <c r="F38" s="50">
        <v>23</v>
      </c>
      <c r="G38" s="50">
        <v>0</v>
      </c>
      <c r="H38" s="50">
        <v>9</v>
      </c>
      <c r="I38" s="50">
        <v>0</v>
      </c>
      <c r="J38" s="50">
        <v>0</v>
      </c>
      <c r="K38" s="50">
        <v>0</v>
      </c>
      <c r="L38" s="50">
        <v>1</v>
      </c>
      <c r="M38" s="50">
        <v>102</v>
      </c>
      <c r="N38" s="50">
        <v>0</v>
      </c>
      <c r="O38" s="15">
        <f t="shared" si="0"/>
        <v>86</v>
      </c>
      <c r="P38" s="15">
        <f t="shared" si="1"/>
        <v>188</v>
      </c>
    </row>
    <row r="39" spans="2:20" ht="23.1" customHeight="1" x14ac:dyDescent="0.25">
      <c r="B39" s="24" t="s">
        <v>66</v>
      </c>
      <c r="C39" s="50">
        <v>32</v>
      </c>
      <c r="D39" s="50">
        <v>5</v>
      </c>
      <c r="E39" s="50">
        <v>12</v>
      </c>
      <c r="F39" s="50">
        <v>21</v>
      </c>
      <c r="G39" s="50">
        <v>1</v>
      </c>
      <c r="H39" s="50">
        <v>0</v>
      </c>
      <c r="I39" s="50">
        <v>8</v>
      </c>
      <c r="J39" s="50">
        <v>2</v>
      </c>
      <c r="K39" s="50">
        <v>0</v>
      </c>
      <c r="L39" s="50">
        <v>0</v>
      </c>
      <c r="M39" s="50">
        <v>102</v>
      </c>
      <c r="N39" s="50">
        <v>0</v>
      </c>
      <c r="O39" s="15">
        <f t="shared" si="0"/>
        <v>81</v>
      </c>
      <c r="P39" s="15">
        <f t="shared" si="1"/>
        <v>183</v>
      </c>
    </row>
    <row r="40" spans="2:20" ht="23.1" customHeight="1" x14ac:dyDescent="0.25">
      <c r="B40" s="24" t="s">
        <v>67</v>
      </c>
      <c r="C40" s="50">
        <v>34</v>
      </c>
      <c r="D40" s="50">
        <v>2</v>
      </c>
      <c r="E40" s="50">
        <v>7</v>
      </c>
      <c r="F40" s="50">
        <v>17</v>
      </c>
      <c r="G40" s="50">
        <v>0</v>
      </c>
      <c r="H40" s="50">
        <v>0</v>
      </c>
      <c r="I40" s="50">
        <v>4</v>
      </c>
      <c r="J40" s="50">
        <v>0</v>
      </c>
      <c r="K40" s="50">
        <v>0</v>
      </c>
      <c r="L40" s="50">
        <v>0</v>
      </c>
      <c r="M40" s="50">
        <v>95</v>
      </c>
      <c r="N40" s="50">
        <v>0</v>
      </c>
      <c r="O40" s="15">
        <f t="shared" si="0"/>
        <v>64</v>
      </c>
      <c r="P40" s="15">
        <f t="shared" si="1"/>
        <v>159</v>
      </c>
    </row>
    <row r="41" spans="2:20" ht="23.1" customHeight="1" x14ac:dyDescent="0.25">
      <c r="B41" s="23" t="s">
        <v>68</v>
      </c>
      <c r="C41" s="50">
        <v>40</v>
      </c>
      <c r="D41" s="50">
        <v>5</v>
      </c>
      <c r="E41" s="50">
        <v>10</v>
      </c>
      <c r="F41" s="50">
        <v>79</v>
      </c>
      <c r="G41" s="50">
        <v>1</v>
      </c>
      <c r="H41" s="50">
        <v>0</v>
      </c>
      <c r="I41" s="50">
        <v>6</v>
      </c>
      <c r="J41" s="50">
        <v>2</v>
      </c>
      <c r="K41" s="50">
        <v>0</v>
      </c>
      <c r="L41" s="50">
        <v>0</v>
      </c>
      <c r="M41" s="50">
        <v>105</v>
      </c>
      <c r="N41" s="50">
        <v>0</v>
      </c>
      <c r="O41" s="15">
        <f t="shared" si="0"/>
        <v>143</v>
      </c>
      <c r="P41" s="15">
        <f t="shared" si="1"/>
        <v>248</v>
      </c>
    </row>
    <row r="42" spans="2:20" ht="23.1" customHeight="1" x14ac:dyDescent="0.25">
      <c r="B42" s="24" t="s">
        <v>69</v>
      </c>
      <c r="C42" s="50">
        <v>35</v>
      </c>
      <c r="D42" s="50">
        <v>5</v>
      </c>
      <c r="E42" s="50">
        <v>4</v>
      </c>
      <c r="F42" s="50">
        <v>17</v>
      </c>
      <c r="G42" s="50">
        <v>0</v>
      </c>
      <c r="H42" s="50">
        <v>0</v>
      </c>
      <c r="I42" s="50">
        <v>8</v>
      </c>
      <c r="J42" s="50">
        <v>0</v>
      </c>
      <c r="K42" s="50">
        <v>0</v>
      </c>
      <c r="L42" s="50">
        <v>0</v>
      </c>
      <c r="M42" s="50">
        <v>107</v>
      </c>
      <c r="N42" s="50">
        <v>0</v>
      </c>
      <c r="O42" s="15">
        <f t="shared" si="0"/>
        <v>69</v>
      </c>
      <c r="P42" s="15">
        <f t="shared" si="1"/>
        <v>176</v>
      </c>
    </row>
    <row r="43" spans="2:20" ht="23.1" customHeight="1" x14ac:dyDescent="0.25">
      <c r="B43" s="23" t="s">
        <v>70</v>
      </c>
      <c r="C43" s="50">
        <v>46</v>
      </c>
      <c r="D43" s="50">
        <v>5</v>
      </c>
      <c r="E43" s="50">
        <v>6</v>
      </c>
      <c r="F43" s="50">
        <v>22</v>
      </c>
      <c r="G43" s="50">
        <v>0</v>
      </c>
      <c r="H43" s="50">
        <v>0</v>
      </c>
      <c r="I43" s="50">
        <v>14</v>
      </c>
      <c r="J43" s="50">
        <v>1</v>
      </c>
      <c r="K43" s="50">
        <v>0</v>
      </c>
      <c r="L43" s="50">
        <v>0</v>
      </c>
      <c r="M43" s="50">
        <v>100</v>
      </c>
      <c r="N43" s="50">
        <v>0</v>
      </c>
      <c r="O43" s="15">
        <f t="shared" si="0"/>
        <v>94</v>
      </c>
      <c r="P43" s="15">
        <f t="shared" si="1"/>
        <v>194</v>
      </c>
    </row>
    <row r="44" spans="2:20" ht="23.1" customHeight="1" x14ac:dyDescent="0.25">
      <c r="B44" s="25" t="s">
        <v>71</v>
      </c>
      <c r="C44" s="50">
        <v>52</v>
      </c>
      <c r="D44" s="50">
        <v>0</v>
      </c>
      <c r="E44" s="50">
        <v>7</v>
      </c>
      <c r="F44" s="50">
        <v>24</v>
      </c>
      <c r="G44" s="50">
        <v>0</v>
      </c>
      <c r="H44" s="50">
        <v>0</v>
      </c>
      <c r="I44" s="50">
        <v>8</v>
      </c>
      <c r="J44" s="50">
        <v>2</v>
      </c>
      <c r="K44" s="50">
        <v>2</v>
      </c>
      <c r="L44" s="50">
        <v>0</v>
      </c>
      <c r="M44" s="50">
        <v>150</v>
      </c>
      <c r="N44" s="50">
        <v>0</v>
      </c>
      <c r="O44" s="15">
        <f t="shared" si="0"/>
        <v>95</v>
      </c>
      <c r="P44" s="15">
        <f t="shared" si="1"/>
        <v>245</v>
      </c>
    </row>
    <row r="45" spans="2:20" ht="23.1" customHeight="1" x14ac:dyDescent="0.25">
      <c r="B45" s="23" t="s">
        <v>72</v>
      </c>
      <c r="C45" s="50">
        <v>48</v>
      </c>
      <c r="D45" s="50">
        <v>4</v>
      </c>
      <c r="E45" s="50">
        <v>2</v>
      </c>
      <c r="F45" s="50">
        <v>13</v>
      </c>
      <c r="G45" s="50">
        <v>0</v>
      </c>
      <c r="H45" s="50">
        <v>0</v>
      </c>
      <c r="I45" s="50">
        <v>4</v>
      </c>
      <c r="J45" s="50">
        <v>0</v>
      </c>
      <c r="K45" s="50">
        <v>2</v>
      </c>
      <c r="L45" s="50">
        <v>0</v>
      </c>
      <c r="M45" s="50">
        <v>104</v>
      </c>
      <c r="N45" s="50">
        <v>0</v>
      </c>
      <c r="O45" s="15">
        <f t="shared" si="0"/>
        <v>73</v>
      </c>
      <c r="P45" s="15">
        <f t="shared" si="1"/>
        <v>177</v>
      </c>
    </row>
    <row r="46" spans="2:20" ht="23.1" customHeight="1" x14ac:dyDescent="0.25">
      <c r="B46" s="24" t="s">
        <v>73</v>
      </c>
      <c r="C46" s="50">
        <v>39</v>
      </c>
      <c r="D46" s="50">
        <v>7</v>
      </c>
      <c r="E46" s="50">
        <v>12</v>
      </c>
      <c r="F46" s="50">
        <v>27</v>
      </c>
      <c r="G46" s="50">
        <v>0</v>
      </c>
      <c r="H46" s="50">
        <v>0</v>
      </c>
      <c r="I46" s="50">
        <v>8</v>
      </c>
      <c r="J46" s="50">
        <v>0</v>
      </c>
      <c r="K46" s="50">
        <v>1</v>
      </c>
      <c r="L46" s="50">
        <v>0</v>
      </c>
      <c r="M46" s="50">
        <v>111</v>
      </c>
      <c r="N46" s="50">
        <v>0</v>
      </c>
      <c r="O46" s="15">
        <f t="shared" si="0"/>
        <v>94</v>
      </c>
      <c r="P46" s="15">
        <f t="shared" si="1"/>
        <v>205</v>
      </c>
      <c r="R46" s="8"/>
      <c r="T46"/>
    </row>
    <row r="47" spans="2:20" ht="23.1" customHeight="1" x14ac:dyDescent="0.25">
      <c r="B47" s="24" t="s">
        <v>74</v>
      </c>
      <c r="C47" s="50">
        <v>40</v>
      </c>
      <c r="D47" s="50">
        <v>3</v>
      </c>
      <c r="E47" s="50">
        <v>9</v>
      </c>
      <c r="F47" s="50">
        <v>16</v>
      </c>
      <c r="G47" s="50">
        <v>0</v>
      </c>
      <c r="H47" s="50">
        <v>0</v>
      </c>
      <c r="I47" s="50">
        <v>4</v>
      </c>
      <c r="J47" s="50">
        <v>1</v>
      </c>
      <c r="K47" s="50">
        <v>1</v>
      </c>
      <c r="L47" s="50">
        <v>0</v>
      </c>
      <c r="M47" s="50">
        <v>114</v>
      </c>
      <c r="N47" s="50">
        <v>0</v>
      </c>
      <c r="O47" s="15">
        <f t="shared" si="0"/>
        <v>74</v>
      </c>
      <c r="P47" s="15">
        <f t="shared" si="1"/>
        <v>188</v>
      </c>
      <c r="R47" s="8"/>
      <c r="T47"/>
    </row>
    <row r="48" spans="2:20" ht="23.1" customHeight="1" x14ac:dyDescent="0.25">
      <c r="B48" s="24" t="s">
        <v>75</v>
      </c>
      <c r="C48" s="50">
        <v>44</v>
      </c>
      <c r="D48" s="50">
        <v>7</v>
      </c>
      <c r="E48" s="50">
        <v>1</v>
      </c>
      <c r="F48" s="50">
        <v>12</v>
      </c>
      <c r="G48" s="50">
        <v>2</v>
      </c>
      <c r="H48" s="50">
        <v>0</v>
      </c>
      <c r="I48" s="50">
        <v>2</v>
      </c>
      <c r="J48" s="50">
        <v>1</v>
      </c>
      <c r="K48" s="50">
        <v>3</v>
      </c>
      <c r="L48" s="50">
        <v>0</v>
      </c>
      <c r="M48" s="50">
        <v>122</v>
      </c>
      <c r="N48" s="50">
        <v>0</v>
      </c>
      <c r="O48" s="15">
        <f t="shared" si="0"/>
        <v>72</v>
      </c>
      <c r="P48" s="15">
        <f t="shared" si="1"/>
        <v>194</v>
      </c>
      <c r="R48" s="8"/>
      <c r="T48"/>
    </row>
    <row r="49" spans="2:20" ht="23.1" customHeight="1" x14ac:dyDescent="0.25">
      <c r="B49" s="23" t="s">
        <v>76</v>
      </c>
      <c r="C49" s="50">
        <v>55</v>
      </c>
      <c r="D49" s="50">
        <v>8</v>
      </c>
      <c r="E49" s="50">
        <v>8</v>
      </c>
      <c r="F49" s="50">
        <v>16</v>
      </c>
      <c r="G49" s="50">
        <v>1</v>
      </c>
      <c r="H49" s="50">
        <v>1</v>
      </c>
      <c r="I49" s="50">
        <v>15</v>
      </c>
      <c r="J49" s="50">
        <v>2</v>
      </c>
      <c r="K49" s="50">
        <v>1</v>
      </c>
      <c r="L49" s="50">
        <v>0</v>
      </c>
      <c r="M49" s="50">
        <v>122</v>
      </c>
      <c r="N49" s="50">
        <v>0</v>
      </c>
      <c r="O49" s="15">
        <f t="shared" si="0"/>
        <v>107</v>
      </c>
      <c r="P49" s="15">
        <f t="shared" si="1"/>
        <v>229</v>
      </c>
      <c r="R49" s="8"/>
      <c r="T49"/>
    </row>
    <row r="50" spans="2:20" ht="23.1" customHeight="1" x14ac:dyDescent="0.25">
      <c r="B50" s="24" t="s">
        <v>77</v>
      </c>
      <c r="C50" s="50">
        <v>45</v>
      </c>
      <c r="D50" s="50">
        <v>6</v>
      </c>
      <c r="E50" s="50">
        <v>5</v>
      </c>
      <c r="F50" s="50">
        <v>25</v>
      </c>
      <c r="G50" s="50">
        <v>2</v>
      </c>
      <c r="H50" s="50">
        <v>0</v>
      </c>
      <c r="I50" s="50">
        <v>6</v>
      </c>
      <c r="J50" s="50">
        <v>1</v>
      </c>
      <c r="K50" s="50">
        <v>0</v>
      </c>
      <c r="L50" s="50">
        <v>3</v>
      </c>
      <c r="M50" s="50">
        <v>130</v>
      </c>
      <c r="N50" s="50">
        <v>0</v>
      </c>
      <c r="O50" s="15">
        <f t="shared" si="0"/>
        <v>93</v>
      </c>
      <c r="P50" s="15">
        <f t="shared" si="1"/>
        <v>223</v>
      </c>
      <c r="R50" s="8"/>
      <c r="T50"/>
    </row>
    <row r="51" spans="2:20" ht="23.1" customHeight="1" x14ac:dyDescent="0.25">
      <c r="B51" s="24" t="s">
        <v>78</v>
      </c>
      <c r="C51" s="50">
        <v>35</v>
      </c>
      <c r="D51" s="50">
        <v>7</v>
      </c>
      <c r="E51" s="50">
        <v>11</v>
      </c>
      <c r="F51" s="50">
        <v>18</v>
      </c>
      <c r="G51" s="50">
        <v>2</v>
      </c>
      <c r="H51" s="50">
        <v>0</v>
      </c>
      <c r="I51" s="50">
        <v>8</v>
      </c>
      <c r="J51" s="50">
        <v>0</v>
      </c>
      <c r="K51" s="50">
        <v>0</v>
      </c>
      <c r="L51" s="50">
        <v>0</v>
      </c>
      <c r="M51" s="50">
        <v>120</v>
      </c>
      <c r="N51" s="50">
        <v>0</v>
      </c>
      <c r="O51" s="15">
        <f t="shared" si="0"/>
        <v>81</v>
      </c>
      <c r="P51" s="15">
        <f t="shared" si="1"/>
        <v>201</v>
      </c>
      <c r="R51" s="8"/>
      <c r="T51"/>
    </row>
    <row r="52" spans="2:20" ht="23.1" customHeight="1" x14ac:dyDescent="0.25">
      <c r="B52" s="24" t="s">
        <v>79</v>
      </c>
      <c r="C52" s="50">
        <v>70</v>
      </c>
      <c r="D52" s="50">
        <v>4</v>
      </c>
      <c r="E52" s="50">
        <v>6</v>
      </c>
      <c r="F52" s="50">
        <v>26</v>
      </c>
      <c r="G52" s="50">
        <v>0</v>
      </c>
      <c r="H52" s="50">
        <v>0</v>
      </c>
      <c r="I52" s="50">
        <v>5</v>
      </c>
      <c r="J52" s="50">
        <v>0</v>
      </c>
      <c r="K52" s="50">
        <v>0</v>
      </c>
      <c r="L52" s="50">
        <v>2</v>
      </c>
      <c r="M52" s="50">
        <v>150</v>
      </c>
      <c r="N52" s="50">
        <v>0</v>
      </c>
      <c r="O52" s="15">
        <f t="shared" si="0"/>
        <v>113</v>
      </c>
      <c r="P52" s="15">
        <f t="shared" si="1"/>
        <v>263</v>
      </c>
      <c r="R52" s="8"/>
      <c r="T52"/>
    </row>
    <row r="53" spans="2:20" ht="23.1" customHeight="1" x14ac:dyDescent="0.25">
      <c r="B53" s="23" t="s">
        <v>80</v>
      </c>
      <c r="C53" s="50">
        <v>35</v>
      </c>
      <c r="D53" s="50">
        <v>1</v>
      </c>
      <c r="E53" s="50">
        <v>4</v>
      </c>
      <c r="F53" s="50">
        <v>18</v>
      </c>
      <c r="G53" s="50">
        <v>1</v>
      </c>
      <c r="H53" s="50">
        <v>0</v>
      </c>
      <c r="I53" s="50">
        <v>11</v>
      </c>
      <c r="J53" s="50">
        <v>0</v>
      </c>
      <c r="K53" s="50">
        <v>0</v>
      </c>
      <c r="L53" s="50">
        <v>0</v>
      </c>
      <c r="M53" s="50">
        <v>146</v>
      </c>
      <c r="N53" s="50">
        <v>0</v>
      </c>
      <c r="O53" s="15">
        <f t="shared" si="0"/>
        <v>70</v>
      </c>
      <c r="P53" s="15">
        <f t="shared" si="1"/>
        <v>216</v>
      </c>
      <c r="R53" s="8"/>
      <c r="T53"/>
    </row>
    <row r="54" spans="2:20" ht="23.1" customHeight="1" x14ac:dyDescent="0.25">
      <c r="B54" s="23" t="s">
        <v>81</v>
      </c>
      <c r="C54" s="50">
        <v>55</v>
      </c>
      <c r="D54" s="50">
        <v>7</v>
      </c>
      <c r="E54" s="50">
        <v>20</v>
      </c>
      <c r="F54" s="50">
        <v>25</v>
      </c>
      <c r="G54" s="50">
        <v>0</v>
      </c>
      <c r="H54" s="50">
        <v>0</v>
      </c>
      <c r="I54" s="50">
        <v>10</v>
      </c>
      <c r="J54" s="50">
        <v>1</v>
      </c>
      <c r="K54" s="50">
        <v>0</v>
      </c>
      <c r="L54" s="50">
        <v>0</v>
      </c>
      <c r="M54" s="50">
        <v>133</v>
      </c>
      <c r="N54" s="50">
        <v>0</v>
      </c>
      <c r="O54" s="15">
        <f t="shared" si="0"/>
        <v>118</v>
      </c>
      <c r="P54" s="15">
        <f t="shared" si="1"/>
        <v>251</v>
      </c>
      <c r="R54" s="8"/>
      <c r="T54"/>
    </row>
    <row r="55" spans="2:20" ht="23.1" customHeight="1" x14ac:dyDescent="0.25">
      <c r="B55" s="23" t="s">
        <v>82</v>
      </c>
      <c r="C55" s="50">
        <v>40</v>
      </c>
      <c r="D55" s="50">
        <v>6</v>
      </c>
      <c r="E55" s="50">
        <v>7</v>
      </c>
      <c r="F55" s="50">
        <v>25</v>
      </c>
      <c r="G55" s="50">
        <v>2</v>
      </c>
      <c r="H55" s="50">
        <v>0</v>
      </c>
      <c r="I55" s="50">
        <v>4</v>
      </c>
      <c r="J55" s="50">
        <v>2</v>
      </c>
      <c r="K55" s="50">
        <v>1</v>
      </c>
      <c r="L55" s="50">
        <v>0</v>
      </c>
      <c r="M55" s="50">
        <v>144</v>
      </c>
      <c r="N55" s="50">
        <v>0</v>
      </c>
      <c r="O55" s="15">
        <f t="shared" si="0"/>
        <v>87</v>
      </c>
      <c r="P55" s="15">
        <f t="shared" si="1"/>
        <v>231</v>
      </c>
      <c r="R55" s="8"/>
      <c r="T55"/>
    </row>
    <row r="56" spans="2:20" ht="23.1" customHeight="1" x14ac:dyDescent="0.25">
      <c r="B56" s="23" t="s">
        <v>83</v>
      </c>
      <c r="C56" s="50">
        <v>45</v>
      </c>
      <c r="D56" s="50">
        <v>4</v>
      </c>
      <c r="E56" s="50">
        <v>12</v>
      </c>
      <c r="F56" s="50">
        <v>26</v>
      </c>
      <c r="G56" s="50">
        <v>2</v>
      </c>
      <c r="H56" s="50">
        <v>0</v>
      </c>
      <c r="I56" s="50">
        <v>4</v>
      </c>
      <c r="J56" s="50">
        <v>2</v>
      </c>
      <c r="K56" s="50">
        <v>1</v>
      </c>
      <c r="L56" s="50">
        <v>0</v>
      </c>
      <c r="M56" s="50">
        <v>133</v>
      </c>
      <c r="N56" s="50">
        <v>0</v>
      </c>
      <c r="O56" s="15">
        <f t="shared" si="0"/>
        <v>96</v>
      </c>
      <c r="P56" s="15">
        <f t="shared" si="1"/>
        <v>229</v>
      </c>
      <c r="R56" s="8"/>
      <c r="T56"/>
    </row>
    <row r="57" spans="2:20" ht="23.1" customHeight="1" x14ac:dyDescent="0.25">
      <c r="B57" s="23" t="s">
        <v>84</v>
      </c>
      <c r="C57" s="50">
        <v>34</v>
      </c>
      <c r="D57" s="50">
        <v>3</v>
      </c>
      <c r="E57" s="50">
        <v>8</v>
      </c>
      <c r="F57" s="50">
        <v>28</v>
      </c>
      <c r="G57" s="50">
        <v>0</v>
      </c>
      <c r="H57" s="50">
        <v>0</v>
      </c>
      <c r="I57" s="50">
        <v>7</v>
      </c>
      <c r="J57" s="50">
        <v>0</v>
      </c>
      <c r="K57" s="50">
        <v>1</v>
      </c>
      <c r="L57" s="50">
        <v>0</v>
      </c>
      <c r="M57" s="50">
        <v>160</v>
      </c>
      <c r="N57" s="50">
        <v>0</v>
      </c>
      <c r="O57" s="15">
        <f t="shared" si="0"/>
        <v>81</v>
      </c>
      <c r="P57" s="15">
        <f t="shared" si="1"/>
        <v>241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2796</v>
      </c>
      <c r="D58" s="16">
        <f t="shared" si="21"/>
        <v>322</v>
      </c>
      <c r="E58" s="16">
        <f t="shared" si="21"/>
        <v>437</v>
      </c>
      <c r="F58" s="16">
        <f t="shared" si="21"/>
        <v>1149</v>
      </c>
      <c r="G58" s="16">
        <f t="shared" si="21"/>
        <v>20</v>
      </c>
      <c r="H58" s="16">
        <f t="shared" si="21"/>
        <v>10</v>
      </c>
      <c r="I58" s="16">
        <f t="shared" si="21"/>
        <v>308</v>
      </c>
      <c r="J58" s="16">
        <f t="shared" si="21"/>
        <v>34</v>
      </c>
      <c r="K58" s="16">
        <f t="shared" si="21"/>
        <v>37</v>
      </c>
      <c r="L58" s="16">
        <f t="shared" si="21"/>
        <v>9</v>
      </c>
      <c r="M58" s="16">
        <f t="shared" si="21"/>
        <v>5862</v>
      </c>
      <c r="N58" s="16">
        <f t="shared" si="21"/>
        <v>0</v>
      </c>
      <c r="O58" s="16">
        <f t="shared" si="21"/>
        <v>5122</v>
      </c>
      <c r="P58" s="16">
        <f t="shared" si="21"/>
        <v>10984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0.25455207574654043</v>
      </c>
      <c r="D59" s="43">
        <f t="shared" si="22"/>
        <v>2.931536780772032E-2</v>
      </c>
      <c r="E59" s="43">
        <f t="shared" si="22"/>
        <v>3.9785142024763291E-2</v>
      </c>
      <c r="F59" s="43">
        <f t="shared" si="22"/>
        <v>0.1046067006554989</v>
      </c>
      <c r="G59" s="43">
        <f t="shared" si="22"/>
        <v>1.820830298616169E-3</v>
      </c>
      <c r="H59" s="43">
        <f t="shared" si="22"/>
        <v>9.1041514930808448E-4</v>
      </c>
      <c r="I59" s="43">
        <f t="shared" si="22"/>
        <v>2.8040786598689003E-2</v>
      </c>
      <c r="J59" s="43">
        <f t="shared" si="22"/>
        <v>3.0954115076474872E-3</v>
      </c>
      <c r="K59" s="43">
        <f t="shared" si="22"/>
        <v>3.3685360524399128E-3</v>
      </c>
      <c r="L59" s="43">
        <f t="shared" si="22"/>
        <v>8.1937363437727606E-4</v>
      </c>
      <c r="M59" s="43">
        <f t="shared" si="22"/>
        <v>0.53368536052439908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0.54588051542366267</v>
      </c>
      <c r="D60" s="44">
        <f t="shared" ref="D60:N60" si="23">D58/$O$58</f>
        <v>6.2866067942210072E-2</v>
      </c>
      <c r="E60" s="44">
        <f t="shared" si="23"/>
        <v>8.5318235064427955E-2</v>
      </c>
      <c r="F60" s="44">
        <f t="shared" si="23"/>
        <v>0.22432643498633345</v>
      </c>
      <c r="G60" s="44">
        <f t="shared" si="23"/>
        <v>3.9047247169074579E-3</v>
      </c>
      <c r="H60" s="44">
        <f t="shared" si="23"/>
        <v>1.952362358453729E-3</v>
      </c>
      <c r="I60" s="44">
        <f t="shared" si="23"/>
        <v>6.0132760640374851E-2</v>
      </c>
      <c r="J60" s="44">
        <f t="shared" si="23"/>
        <v>6.6380320187426787E-3</v>
      </c>
      <c r="K60" s="44">
        <f t="shared" si="23"/>
        <v>7.2237407262787977E-3</v>
      </c>
      <c r="L60" s="44">
        <f t="shared" si="23"/>
        <v>1.7571261226083561E-3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0" t="str">
        <f>'01.08 KIREKA-NAMUGONGO'!C3:G3</f>
        <v>MCC - C1 - STN039 - NAMUGONGO ROAD</v>
      </c>
      <c r="D3" s="60"/>
      <c r="E3" s="60"/>
      <c r="F3" s="60"/>
      <c r="G3" s="6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'30.07 NAMUGONGO-KIREKA'!D5</f>
        <v>30.07.19</v>
      </c>
      <c r="E5" s="3"/>
      <c r="F5" s="41" t="s">
        <v>1</v>
      </c>
      <c r="G5" s="56" t="str">
        <f>'30.07 NAMUGONGO-KIREKA'!G5:H5</f>
        <v>AGENDA</v>
      </c>
      <c r="H5" s="57"/>
      <c r="I5" s="14"/>
      <c r="J5" s="2" t="s">
        <v>5</v>
      </c>
      <c r="K5" s="56" t="str">
        <f>'30.07 NAMUGONGO-KIREKA'!K5:L5</f>
        <v>STEVEN</v>
      </c>
      <c r="L5" s="57"/>
      <c r="M5" s="10"/>
      <c r="N5" s="10"/>
      <c r="O5" s="3"/>
      <c r="P5" s="3"/>
    </row>
    <row r="6" spans="2:32" ht="23.25" customHeight="1" x14ac:dyDescent="0.25">
      <c r="C6" s="2" t="s">
        <v>4</v>
      </c>
      <c r="D6" s="56" t="str">
        <f>'01.08 KIREKA-NAMUGONGO'!D6:E6</f>
        <v>KIREKA</v>
      </c>
      <c r="E6" s="57"/>
      <c r="F6" s="2" t="s">
        <v>2</v>
      </c>
      <c r="G6" s="56" t="str">
        <f>'01.08 KIREKA-NAMUGONGO'!G6:H6</f>
        <v>NAMUGONGO</v>
      </c>
      <c r="H6" s="57"/>
      <c r="J6" s="2" t="s">
        <v>21</v>
      </c>
      <c r="K6" s="56" t="str">
        <f>'30.07 NAMUGONGO-KIREKA'!K6:L6</f>
        <v>NAIDO GRACE BRENDA</v>
      </c>
      <c r="L6" s="5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5" t="s">
        <v>88</v>
      </c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8</v>
      </c>
      <c r="D10" s="50">
        <v>3</v>
      </c>
      <c r="E10" s="50">
        <v>5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15">
        <f t="shared" ref="O10:O57" si="0">SUM(C10:L10,N10)</f>
        <v>16</v>
      </c>
      <c r="P10" s="15">
        <f t="shared" ref="P10:P57" si="1">SUM(C10:N10)</f>
        <v>16</v>
      </c>
      <c r="R10" s="1" t="s">
        <v>6</v>
      </c>
      <c r="S10" s="17">
        <f t="shared" ref="S10:AF10" si="2">SUM(C10:C13)</f>
        <v>122</v>
      </c>
      <c r="T10" s="17">
        <f t="shared" si="2"/>
        <v>39</v>
      </c>
      <c r="U10" s="17">
        <f t="shared" si="2"/>
        <v>14</v>
      </c>
      <c r="V10" s="17">
        <f t="shared" si="2"/>
        <v>29</v>
      </c>
      <c r="W10" s="17">
        <f t="shared" si="2"/>
        <v>1</v>
      </c>
      <c r="X10" s="17">
        <f t="shared" si="2"/>
        <v>1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0</v>
      </c>
      <c r="AD10" s="17">
        <f t="shared" si="2"/>
        <v>0</v>
      </c>
      <c r="AE10" s="31">
        <f t="shared" si="2"/>
        <v>206</v>
      </c>
      <c r="AF10" s="31">
        <f t="shared" si="2"/>
        <v>206</v>
      </c>
    </row>
    <row r="11" spans="2:32" s="6" customFormat="1" ht="23.1" customHeight="1" x14ac:dyDescent="0.25">
      <c r="B11" s="23" t="s">
        <v>38</v>
      </c>
      <c r="C11" s="50">
        <v>34</v>
      </c>
      <c r="D11" s="50">
        <v>13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15">
        <f t="shared" si="0"/>
        <v>47</v>
      </c>
      <c r="P11" s="15">
        <f t="shared" si="1"/>
        <v>47</v>
      </c>
      <c r="R11" s="1" t="s">
        <v>7</v>
      </c>
      <c r="S11" s="17">
        <f t="shared" ref="S11:AF11" si="3">SUM(C14:C17)</f>
        <v>136</v>
      </c>
      <c r="T11" s="17">
        <f t="shared" si="3"/>
        <v>33</v>
      </c>
      <c r="U11" s="17">
        <f t="shared" si="3"/>
        <v>15</v>
      </c>
      <c r="V11" s="17">
        <f t="shared" si="3"/>
        <v>62</v>
      </c>
      <c r="W11" s="17">
        <f t="shared" si="3"/>
        <v>1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0</v>
      </c>
      <c r="AD11" s="17">
        <f t="shared" si="3"/>
        <v>0</v>
      </c>
      <c r="AE11" s="31">
        <f t="shared" si="3"/>
        <v>247</v>
      </c>
      <c r="AF11" s="31">
        <f t="shared" si="3"/>
        <v>247</v>
      </c>
    </row>
    <row r="12" spans="2:32" ht="23.1" customHeight="1" x14ac:dyDescent="0.25">
      <c r="B12" s="23" t="s">
        <v>39</v>
      </c>
      <c r="C12" s="50">
        <v>35</v>
      </c>
      <c r="D12" s="50">
        <v>10</v>
      </c>
      <c r="E12" s="50">
        <v>1</v>
      </c>
      <c r="F12" s="50">
        <v>16</v>
      </c>
      <c r="G12" s="50">
        <v>1</v>
      </c>
      <c r="H12" s="50">
        <v>1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15">
        <f t="shared" si="0"/>
        <v>64</v>
      </c>
      <c r="P12" s="15">
        <f t="shared" si="1"/>
        <v>64</v>
      </c>
      <c r="R12" s="1" t="s">
        <v>8</v>
      </c>
      <c r="S12" s="17">
        <f t="shared" ref="S12:AF12" si="4">SUM(C18:C21)</f>
        <v>138</v>
      </c>
      <c r="T12" s="17">
        <f t="shared" si="4"/>
        <v>30</v>
      </c>
      <c r="U12" s="17">
        <f t="shared" si="4"/>
        <v>23</v>
      </c>
      <c r="V12" s="17">
        <f t="shared" si="4"/>
        <v>70</v>
      </c>
      <c r="W12" s="17">
        <f t="shared" si="4"/>
        <v>0</v>
      </c>
      <c r="X12" s="17">
        <f t="shared" si="4"/>
        <v>0</v>
      </c>
      <c r="Y12" s="17">
        <f t="shared" si="4"/>
        <v>27</v>
      </c>
      <c r="Z12" s="17">
        <f t="shared" si="4"/>
        <v>5</v>
      </c>
      <c r="AA12" s="17">
        <f t="shared" si="4"/>
        <v>9</v>
      </c>
      <c r="AB12" s="17">
        <f t="shared" si="4"/>
        <v>1</v>
      </c>
      <c r="AC12" s="17">
        <f t="shared" si="4"/>
        <v>503</v>
      </c>
      <c r="AD12" s="17">
        <f t="shared" si="4"/>
        <v>0</v>
      </c>
      <c r="AE12" s="31">
        <f t="shared" si="4"/>
        <v>303</v>
      </c>
      <c r="AF12" s="31">
        <f t="shared" si="4"/>
        <v>806</v>
      </c>
    </row>
    <row r="13" spans="2:32" ht="23.1" customHeight="1" x14ac:dyDescent="0.25">
      <c r="B13" s="23" t="s">
        <v>40</v>
      </c>
      <c r="C13" s="50">
        <v>45</v>
      </c>
      <c r="D13" s="50">
        <v>13</v>
      </c>
      <c r="E13" s="50">
        <v>8</v>
      </c>
      <c r="F13" s="50">
        <v>13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15">
        <f t="shared" si="0"/>
        <v>79</v>
      </c>
      <c r="P13" s="15">
        <f t="shared" si="1"/>
        <v>79</v>
      </c>
      <c r="R13" s="1" t="s">
        <v>9</v>
      </c>
      <c r="S13" s="17">
        <f t="shared" ref="S13:AF13" si="5">SUM(C22:C25)</f>
        <v>156</v>
      </c>
      <c r="T13" s="17">
        <f t="shared" si="5"/>
        <v>66</v>
      </c>
      <c r="U13" s="17">
        <f t="shared" si="5"/>
        <v>18</v>
      </c>
      <c r="V13" s="17">
        <f t="shared" si="5"/>
        <v>45</v>
      </c>
      <c r="W13" s="17">
        <f t="shared" si="5"/>
        <v>16</v>
      </c>
      <c r="X13" s="17">
        <f t="shared" si="5"/>
        <v>0</v>
      </c>
      <c r="Y13" s="17">
        <f t="shared" si="5"/>
        <v>9</v>
      </c>
      <c r="Z13" s="17">
        <f t="shared" si="5"/>
        <v>18</v>
      </c>
      <c r="AA13" s="17">
        <f t="shared" si="5"/>
        <v>7</v>
      </c>
      <c r="AB13" s="17">
        <f t="shared" si="5"/>
        <v>7</v>
      </c>
      <c r="AC13" s="17">
        <f t="shared" si="5"/>
        <v>471</v>
      </c>
      <c r="AD13" s="17">
        <f t="shared" si="5"/>
        <v>0</v>
      </c>
      <c r="AE13" s="31">
        <f t="shared" si="5"/>
        <v>342</v>
      </c>
      <c r="AF13" s="31">
        <f t="shared" si="5"/>
        <v>813</v>
      </c>
    </row>
    <row r="14" spans="2:32" ht="23.1" customHeight="1" x14ac:dyDescent="0.25">
      <c r="B14" s="23" t="s">
        <v>41</v>
      </c>
      <c r="C14" s="50">
        <v>27</v>
      </c>
      <c r="D14" s="50">
        <v>8</v>
      </c>
      <c r="E14" s="50">
        <v>2</v>
      </c>
      <c r="F14" s="50">
        <v>15</v>
      </c>
      <c r="G14" s="50">
        <v>1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15">
        <f t="shared" si="0"/>
        <v>53</v>
      </c>
      <c r="P14" s="15">
        <f t="shared" si="1"/>
        <v>53</v>
      </c>
      <c r="R14" s="1" t="s">
        <v>10</v>
      </c>
      <c r="S14" s="17">
        <f t="shared" ref="S14:AF14" si="6">SUM(C26:C29)</f>
        <v>122</v>
      </c>
      <c r="T14" s="17">
        <f t="shared" si="6"/>
        <v>35</v>
      </c>
      <c r="U14" s="17">
        <f t="shared" si="6"/>
        <v>20</v>
      </c>
      <c r="V14" s="17">
        <f t="shared" si="6"/>
        <v>40</v>
      </c>
      <c r="W14" s="17">
        <f t="shared" si="6"/>
        <v>12</v>
      </c>
      <c r="X14" s="17">
        <f t="shared" si="6"/>
        <v>0</v>
      </c>
      <c r="Y14" s="17">
        <f t="shared" si="6"/>
        <v>36</v>
      </c>
      <c r="Z14" s="17">
        <f t="shared" si="6"/>
        <v>19</v>
      </c>
      <c r="AA14" s="17">
        <f t="shared" si="6"/>
        <v>0</v>
      </c>
      <c r="AB14" s="17">
        <f t="shared" si="6"/>
        <v>3</v>
      </c>
      <c r="AC14" s="17">
        <f t="shared" si="6"/>
        <v>400</v>
      </c>
      <c r="AD14" s="17">
        <f t="shared" si="6"/>
        <v>0</v>
      </c>
      <c r="AE14" s="31">
        <f t="shared" si="6"/>
        <v>287</v>
      </c>
      <c r="AF14" s="31">
        <f t="shared" si="6"/>
        <v>687</v>
      </c>
    </row>
    <row r="15" spans="2:32" ht="23.1" customHeight="1" x14ac:dyDescent="0.25">
      <c r="B15" s="23" t="s">
        <v>42</v>
      </c>
      <c r="C15" s="50">
        <v>34</v>
      </c>
      <c r="D15" s="50">
        <v>6</v>
      </c>
      <c r="E15" s="50">
        <v>6</v>
      </c>
      <c r="F15" s="50">
        <v>18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15">
        <f t="shared" si="0"/>
        <v>64</v>
      </c>
      <c r="P15" s="15">
        <f t="shared" si="1"/>
        <v>64</v>
      </c>
      <c r="R15" s="1" t="s">
        <v>11</v>
      </c>
      <c r="S15" s="17">
        <f t="shared" ref="S15:AF15" si="7">SUM(C30:C33)</f>
        <v>138</v>
      </c>
      <c r="T15" s="17">
        <f t="shared" si="7"/>
        <v>42</v>
      </c>
      <c r="U15" s="17">
        <f t="shared" si="7"/>
        <v>34</v>
      </c>
      <c r="V15" s="17">
        <f t="shared" si="7"/>
        <v>50</v>
      </c>
      <c r="W15" s="17">
        <f t="shared" si="7"/>
        <v>4</v>
      </c>
      <c r="X15" s="17">
        <f t="shared" si="7"/>
        <v>0</v>
      </c>
      <c r="Y15" s="17">
        <f t="shared" si="7"/>
        <v>20</v>
      </c>
      <c r="Z15" s="17">
        <f t="shared" si="7"/>
        <v>23</v>
      </c>
      <c r="AA15" s="17">
        <f t="shared" si="7"/>
        <v>9</v>
      </c>
      <c r="AB15" s="17">
        <f t="shared" si="7"/>
        <v>2</v>
      </c>
      <c r="AC15" s="17">
        <f t="shared" si="7"/>
        <v>356</v>
      </c>
      <c r="AD15" s="17">
        <f t="shared" si="7"/>
        <v>0</v>
      </c>
      <c r="AE15" s="31">
        <f t="shared" si="7"/>
        <v>322</v>
      </c>
      <c r="AF15" s="31">
        <f t="shared" si="7"/>
        <v>678</v>
      </c>
    </row>
    <row r="16" spans="2:32" ht="23.1" customHeight="1" x14ac:dyDescent="0.25">
      <c r="B16" s="23" t="s">
        <v>43</v>
      </c>
      <c r="C16" s="50">
        <v>43</v>
      </c>
      <c r="D16" s="50">
        <v>13</v>
      </c>
      <c r="E16" s="50">
        <v>5</v>
      </c>
      <c r="F16" s="50">
        <v>16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15">
        <f t="shared" si="0"/>
        <v>77</v>
      </c>
      <c r="P16" s="15">
        <f t="shared" si="1"/>
        <v>77</v>
      </c>
      <c r="R16" s="1" t="s">
        <v>12</v>
      </c>
      <c r="S16" s="17">
        <f t="shared" ref="S16:AF16" si="8">SUM(C34:C37)</f>
        <v>167</v>
      </c>
      <c r="T16" s="17">
        <f t="shared" si="8"/>
        <v>37</v>
      </c>
      <c r="U16" s="17">
        <f t="shared" si="8"/>
        <v>27</v>
      </c>
      <c r="V16" s="17">
        <f t="shared" si="8"/>
        <v>62</v>
      </c>
      <c r="W16" s="17">
        <f t="shared" si="8"/>
        <v>0</v>
      </c>
      <c r="X16" s="17">
        <f t="shared" si="8"/>
        <v>0</v>
      </c>
      <c r="Y16" s="17">
        <f t="shared" si="8"/>
        <v>28</v>
      </c>
      <c r="Z16" s="17">
        <f t="shared" si="8"/>
        <v>21</v>
      </c>
      <c r="AA16" s="17">
        <f t="shared" si="8"/>
        <v>5</v>
      </c>
      <c r="AB16" s="17">
        <f t="shared" si="8"/>
        <v>1</v>
      </c>
      <c r="AC16" s="17">
        <f t="shared" si="8"/>
        <v>394</v>
      </c>
      <c r="AD16" s="17">
        <f t="shared" si="8"/>
        <v>0</v>
      </c>
      <c r="AE16" s="31">
        <f t="shared" si="8"/>
        <v>348</v>
      </c>
      <c r="AF16" s="31">
        <f t="shared" si="8"/>
        <v>742</v>
      </c>
    </row>
    <row r="17" spans="2:32" ht="23.1" customHeight="1" x14ac:dyDescent="0.25">
      <c r="B17" s="23" t="s">
        <v>44</v>
      </c>
      <c r="C17" s="50">
        <v>32</v>
      </c>
      <c r="D17" s="50">
        <v>6</v>
      </c>
      <c r="E17" s="50">
        <v>2</v>
      </c>
      <c r="F17" s="50">
        <v>13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15">
        <f t="shared" si="0"/>
        <v>53</v>
      </c>
      <c r="P17" s="15">
        <f t="shared" si="1"/>
        <v>53</v>
      </c>
      <c r="R17" s="1" t="s">
        <v>13</v>
      </c>
      <c r="S17" s="17">
        <f t="shared" ref="S17:AF17" si="9">SUM(C38:C41)</f>
        <v>157</v>
      </c>
      <c r="T17" s="17">
        <f t="shared" si="9"/>
        <v>58</v>
      </c>
      <c r="U17" s="17">
        <f t="shared" si="9"/>
        <v>26</v>
      </c>
      <c r="V17" s="17">
        <f t="shared" si="9"/>
        <v>71</v>
      </c>
      <c r="W17" s="17">
        <f t="shared" si="9"/>
        <v>0</v>
      </c>
      <c r="X17" s="17">
        <f t="shared" si="9"/>
        <v>0</v>
      </c>
      <c r="Y17" s="17">
        <f t="shared" si="9"/>
        <v>26</v>
      </c>
      <c r="Z17" s="17">
        <f t="shared" si="9"/>
        <v>13</v>
      </c>
      <c r="AA17" s="17">
        <f t="shared" si="9"/>
        <v>5</v>
      </c>
      <c r="AB17" s="17">
        <f t="shared" si="9"/>
        <v>3</v>
      </c>
      <c r="AC17" s="17">
        <f t="shared" si="9"/>
        <v>332</v>
      </c>
      <c r="AD17" s="17">
        <f t="shared" si="9"/>
        <v>0</v>
      </c>
      <c r="AE17" s="31">
        <f t="shared" si="9"/>
        <v>359</v>
      </c>
      <c r="AF17" s="31">
        <f t="shared" si="9"/>
        <v>691</v>
      </c>
    </row>
    <row r="18" spans="2:32" ht="23.1" customHeight="1" x14ac:dyDescent="0.25">
      <c r="B18" s="23" t="s">
        <v>45</v>
      </c>
      <c r="C18" s="50">
        <v>27</v>
      </c>
      <c r="D18" s="50">
        <v>6</v>
      </c>
      <c r="E18" s="50">
        <v>7</v>
      </c>
      <c r="F18" s="50">
        <v>20</v>
      </c>
      <c r="G18" s="50">
        <v>0</v>
      </c>
      <c r="H18" s="50">
        <v>0</v>
      </c>
      <c r="I18" s="50">
        <v>5</v>
      </c>
      <c r="J18" s="50">
        <v>2</v>
      </c>
      <c r="K18" s="50">
        <v>3</v>
      </c>
      <c r="L18" s="50">
        <v>0</v>
      </c>
      <c r="M18" s="50">
        <v>133</v>
      </c>
      <c r="N18" s="50">
        <v>0</v>
      </c>
      <c r="O18" s="15">
        <f t="shared" si="0"/>
        <v>70</v>
      </c>
      <c r="P18" s="15">
        <f t="shared" si="1"/>
        <v>203</v>
      </c>
      <c r="R18" s="1" t="s">
        <v>14</v>
      </c>
      <c r="S18" s="17">
        <f t="shared" ref="S18:AF18" si="10">SUM(C42:C45)</f>
        <v>179</v>
      </c>
      <c r="T18" s="17">
        <f t="shared" si="10"/>
        <v>44</v>
      </c>
      <c r="U18" s="17">
        <f t="shared" si="10"/>
        <v>23</v>
      </c>
      <c r="V18" s="17">
        <f t="shared" si="10"/>
        <v>62</v>
      </c>
      <c r="W18" s="17">
        <f t="shared" si="10"/>
        <v>3</v>
      </c>
      <c r="X18" s="17">
        <f t="shared" si="10"/>
        <v>0</v>
      </c>
      <c r="Y18" s="17">
        <f t="shared" si="10"/>
        <v>30</v>
      </c>
      <c r="Z18" s="17">
        <f t="shared" si="10"/>
        <v>14</v>
      </c>
      <c r="AA18" s="17">
        <f t="shared" si="10"/>
        <v>4</v>
      </c>
      <c r="AB18" s="17">
        <f t="shared" si="10"/>
        <v>1</v>
      </c>
      <c r="AC18" s="17">
        <f t="shared" si="10"/>
        <v>405</v>
      </c>
      <c r="AD18" s="17">
        <f t="shared" si="10"/>
        <v>0</v>
      </c>
      <c r="AE18" s="31">
        <f t="shared" si="10"/>
        <v>360</v>
      </c>
      <c r="AF18" s="31">
        <f t="shared" si="10"/>
        <v>765</v>
      </c>
    </row>
    <row r="19" spans="2:32" ht="23.1" customHeight="1" x14ac:dyDescent="0.25">
      <c r="B19" s="23" t="s">
        <v>46</v>
      </c>
      <c r="C19" s="50">
        <v>25</v>
      </c>
      <c r="D19" s="50">
        <v>7</v>
      </c>
      <c r="E19" s="50">
        <v>6</v>
      </c>
      <c r="F19" s="50">
        <v>18</v>
      </c>
      <c r="G19" s="50">
        <v>0</v>
      </c>
      <c r="H19" s="50">
        <v>0</v>
      </c>
      <c r="I19" s="50">
        <v>11</v>
      </c>
      <c r="J19" s="50">
        <v>1</v>
      </c>
      <c r="K19" s="50">
        <v>0</v>
      </c>
      <c r="L19" s="50">
        <v>0</v>
      </c>
      <c r="M19" s="50">
        <v>142</v>
      </c>
      <c r="N19" s="50">
        <v>0</v>
      </c>
      <c r="O19" s="15">
        <f t="shared" si="0"/>
        <v>68</v>
      </c>
      <c r="P19" s="15">
        <f t="shared" si="1"/>
        <v>210</v>
      </c>
      <c r="R19" s="1" t="s">
        <v>15</v>
      </c>
      <c r="S19" s="17">
        <f t="shared" ref="S19:AF19" si="11">SUM(C46:C49)</f>
        <v>285</v>
      </c>
      <c r="T19" s="17">
        <f t="shared" si="11"/>
        <v>77</v>
      </c>
      <c r="U19" s="17">
        <f t="shared" si="11"/>
        <v>47</v>
      </c>
      <c r="V19" s="17">
        <f t="shared" si="11"/>
        <v>79</v>
      </c>
      <c r="W19" s="17">
        <f t="shared" si="11"/>
        <v>3</v>
      </c>
      <c r="X19" s="17">
        <f t="shared" si="11"/>
        <v>0</v>
      </c>
      <c r="Y19" s="17">
        <f t="shared" si="11"/>
        <v>32</v>
      </c>
      <c r="Z19" s="17">
        <f t="shared" si="11"/>
        <v>7</v>
      </c>
      <c r="AA19" s="17">
        <f t="shared" si="11"/>
        <v>4</v>
      </c>
      <c r="AB19" s="17">
        <f t="shared" si="11"/>
        <v>2</v>
      </c>
      <c r="AC19" s="17">
        <f t="shared" si="11"/>
        <v>411</v>
      </c>
      <c r="AD19" s="17">
        <f t="shared" si="11"/>
        <v>0</v>
      </c>
      <c r="AE19" s="31">
        <f t="shared" si="11"/>
        <v>536</v>
      </c>
      <c r="AF19" s="31">
        <f t="shared" si="11"/>
        <v>947</v>
      </c>
    </row>
    <row r="20" spans="2:32" ht="23.1" customHeight="1" x14ac:dyDescent="0.25">
      <c r="B20" s="23" t="s">
        <v>47</v>
      </c>
      <c r="C20" s="50">
        <v>42</v>
      </c>
      <c r="D20" s="50">
        <v>9</v>
      </c>
      <c r="E20" s="50">
        <v>6</v>
      </c>
      <c r="F20" s="50">
        <v>15</v>
      </c>
      <c r="G20" s="50">
        <v>0</v>
      </c>
      <c r="H20" s="50">
        <v>0</v>
      </c>
      <c r="I20" s="50">
        <v>6</v>
      </c>
      <c r="J20" s="50">
        <v>0</v>
      </c>
      <c r="K20" s="50">
        <v>2</v>
      </c>
      <c r="L20" s="50">
        <v>1</v>
      </c>
      <c r="M20" s="50">
        <v>113</v>
      </c>
      <c r="N20" s="50">
        <v>0</v>
      </c>
      <c r="O20" s="15">
        <f t="shared" si="0"/>
        <v>81</v>
      </c>
      <c r="P20" s="15">
        <f t="shared" si="1"/>
        <v>194</v>
      </c>
      <c r="R20" s="1" t="s">
        <v>16</v>
      </c>
      <c r="S20" s="17">
        <f t="shared" ref="S20:AF20" si="12">SUM(C50:C53)</f>
        <v>409</v>
      </c>
      <c r="T20" s="17">
        <f t="shared" si="12"/>
        <v>85</v>
      </c>
      <c r="U20" s="17">
        <f t="shared" si="12"/>
        <v>47</v>
      </c>
      <c r="V20" s="17">
        <f t="shared" si="12"/>
        <v>96</v>
      </c>
      <c r="W20" s="17">
        <f t="shared" si="12"/>
        <v>17</v>
      </c>
      <c r="X20" s="17">
        <f t="shared" si="12"/>
        <v>2</v>
      </c>
      <c r="Y20" s="17">
        <f t="shared" si="12"/>
        <v>26</v>
      </c>
      <c r="Z20" s="17">
        <f t="shared" si="12"/>
        <v>2</v>
      </c>
      <c r="AA20" s="17">
        <f t="shared" si="12"/>
        <v>3</v>
      </c>
      <c r="AB20" s="17">
        <f t="shared" si="12"/>
        <v>1</v>
      </c>
      <c r="AC20" s="17">
        <f t="shared" si="12"/>
        <v>565</v>
      </c>
      <c r="AD20" s="17">
        <f t="shared" si="12"/>
        <v>1</v>
      </c>
      <c r="AE20" s="31">
        <f t="shared" si="12"/>
        <v>689</v>
      </c>
      <c r="AF20" s="31">
        <f t="shared" si="12"/>
        <v>1254</v>
      </c>
    </row>
    <row r="21" spans="2:32" ht="23.1" customHeight="1" x14ac:dyDescent="0.25">
      <c r="B21" s="23" t="s">
        <v>48</v>
      </c>
      <c r="C21" s="50">
        <v>44</v>
      </c>
      <c r="D21" s="50">
        <v>8</v>
      </c>
      <c r="E21" s="50">
        <v>4</v>
      </c>
      <c r="F21" s="50">
        <v>17</v>
      </c>
      <c r="G21" s="50">
        <v>0</v>
      </c>
      <c r="H21" s="50">
        <v>0</v>
      </c>
      <c r="I21" s="50">
        <v>5</v>
      </c>
      <c r="J21" s="50">
        <v>2</v>
      </c>
      <c r="K21" s="50">
        <v>4</v>
      </c>
      <c r="L21" s="50">
        <v>0</v>
      </c>
      <c r="M21" s="50">
        <v>115</v>
      </c>
      <c r="N21" s="50">
        <v>0</v>
      </c>
      <c r="O21" s="15">
        <f t="shared" si="0"/>
        <v>84</v>
      </c>
      <c r="P21" s="15">
        <f t="shared" si="1"/>
        <v>199</v>
      </c>
      <c r="R21" s="36" t="s">
        <v>20</v>
      </c>
      <c r="S21" s="34">
        <f t="shared" ref="S21:AF21" si="13">SUM(C54:C57)</f>
        <v>340</v>
      </c>
      <c r="T21" s="17">
        <f t="shared" si="13"/>
        <v>104</v>
      </c>
      <c r="U21" s="17">
        <f t="shared" si="13"/>
        <v>45</v>
      </c>
      <c r="V21" s="17">
        <f t="shared" si="13"/>
        <v>116</v>
      </c>
      <c r="W21" s="17">
        <f t="shared" si="13"/>
        <v>1</v>
      </c>
      <c r="X21" s="17">
        <f t="shared" si="13"/>
        <v>1</v>
      </c>
      <c r="Y21" s="17">
        <f t="shared" si="13"/>
        <v>17</v>
      </c>
      <c r="Z21" s="17">
        <f t="shared" si="13"/>
        <v>11</v>
      </c>
      <c r="AA21" s="17">
        <f t="shared" si="13"/>
        <v>15</v>
      </c>
      <c r="AB21" s="17">
        <f t="shared" si="13"/>
        <v>1</v>
      </c>
      <c r="AC21" s="17">
        <f t="shared" si="13"/>
        <v>705</v>
      </c>
      <c r="AD21" s="17">
        <f t="shared" si="13"/>
        <v>0</v>
      </c>
      <c r="AE21" s="31">
        <f t="shared" si="13"/>
        <v>651</v>
      </c>
      <c r="AF21" s="31">
        <f t="shared" si="13"/>
        <v>1356</v>
      </c>
    </row>
    <row r="22" spans="2:32" ht="23.1" customHeight="1" x14ac:dyDescent="0.25">
      <c r="B22" s="23" t="s">
        <v>49</v>
      </c>
      <c r="C22" s="50">
        <v>49</v>
      </c>
      <c r="D22" s="50">
        <v>20</v>
      </c>
      <c r="E22" s="50">
        <v>7</v>
      </c>
      <c r="F22" s="50">
        <v>10</v>
      </c>
      <c r="G22" s="50">
        <v>1</v>
      </c>
      <c r="H22" s="50">
        <v>0</v>
      </c>
      <c r="I22" s="50">
        <v>0</v>
      </c>
      <c r="J22" s="50">
        <v>10</v>
      </c>
      <c r="K22" s="50">
        <v>3</v>
      </c>
      <c r="L22" s="50">
        <v>0</v>
      </c>
      <c r="M22" s="50">
        <v>119</v>
      </c>
      <c r="N22" s="50">
        <v>0</v>
      </c>
      <c r="O22" s="15">
        <f t="shared" si="0"/>
        <v>100</v>
      </c>
      <c r="P22" s="15">
        <f t="shared" si="1"/>
        <v>219</v>
      </c>
      <c r="R22" s="38" t="s">
        <v>90</v>
      </c>
      <c r="S22" s="39">
        <f>MAX(S10:S12)</f>
        <v>138</v>
      </c>
      <c r="T22" s="39">
        <f t="shared" ref="T22:AF22" si="14">MAX(T10:T12)</f>
        <v>39</v>
      </c>
      <c r="U22" s="39">
        <f t="shared" si="14"/>
        <v>23</v>
      </c>
      <c r="V22" s="39">
        <f t="shared" si="14"/>
        <v>70</v>
      </c>
      <c r="W22" s="39">
        <f t="shared" si="14"/>
        <v>1</v>
      </c>
      <c r="X22" s="39">
        <f t="shared" si="14"/>
        <v>1</v>
      </c>
      <c r="Y22" s="39">
        <f t="shared" si="14"/>
        <v>27</v>
      </c>
      <c r="Z22" s="39">
        <f t="shared" si="14"/>
        <v>5</v>
      </c>
      <c r="AA22" s="39">
        <f t="shared" si="14"/>
        <v>9</v>
      </c>
      <c r="AB22" s="39">
        <f t="shared" si="14"/>
        <v>1</v>
      </c>
      <c r="AC22" s="39">
        <f t="shared" si="14"/>
        <v>503</v>
      </c>
      <c r="AD22" s="39">
        <f t="shared" si="14"/>
        <v>0</v>
      </c>
      <c r="AE22" s="40">
        <f t="shared" si="14"/>
        <v>303</v>
      </c>
      <c r="AF22" s="40">
        <f t="shared" si="14"/>
        <v>806</v>
      </c>
    </row>
    <row r="23" spans="2:32" ht="23.1" customHeight="1" x14ac:dyDescent="0.25">
      <c r="B23" s="23" t="s">
        <v>50</v>
      </c>
      <c r="C23" s="50">
        <v>36</v>
      </c>
      <c r="D23" s="50">
        <v>18</v>
      </c>
      <c r="E23" s="50">
        <v>4</v>
      </c>
      <c r="F23" s="50">
        <v>15</v>
      </c>
      <c r="G23" s="50">
        <v>0</v>
      </c>
      <c r="H23" s="50">
        <v>0</v>
      </c>
      <c r="I23" s="50">
        <v>9</v>
      </c>
      <c r="J23" s="50">
        <v>1</v>
      </c>
      <c r="K23" s="50">
        <v>1</v>
      </c>
      <c r="L23" s="50">
        <v>1</v>
      </c>
      <c r="M23" s="50">
        <v>169</v>
      </c>
      <c r="N23" s="50">
        <v>0</v>
      </c>
      <c r="O23" s="15">
        <f t="shared" si="0"/>
        <v>85</v>
      </c>
      <c r="P23" s="15">
        <f t="shared" si="1"/>
        <v>254</v>
      </c>
      <c r="R23" s="38" t="s">
        <v>91</v>
      </c>
      <c r="S23" s="39">
        <f>MAX(S13:S18)</f>
        <v>179</v>
      </c>
      <c r="T23" s="39">
        <f t="shared" ref="T23:AF23" si="15">MAX(T13:T18)</f>
        <v>66</v>
      </c>
      <c r="U23" s="39">
        <f t="shared" si="15"/>
        <v>34</v>
      </c>
      <c r="V23" s="39">
        <f t="shared" si="15"/>
        <v>71</v>
      </c>
      <c r="W23" s="39">
        <f t="shared" si="15"/>
        <v>16</v>
      </c>
      <c r="X23" s="39">
        <f t="shared" si="15"/>
        <v>0</v>
      </c>
      <c r="Y23" s="39">
        <f t="shared" si="15"/>
        <v>36</v>
      </c>
      <c r="Z23" s="39">
        <f t="shared" si="15"/>
        <v>23</v>
      </c>
      <c r="AA23" s="39">
        <f t="shared" si="15"/>
        <v>9</v>
      </c>
      <c r="AB23" s="39">
        <f t="shared" si="15"/>
        <v>7</v>
      </c>
      <c r="AC23" s="39">
        <f t="shared" si="15"/>
        <v>471</v>
      </c>
      <c r="AD23" s="39">
        <f t="shared" si="15"/>
        <v>0</v>
      </c>
      <c r="AE23" s="40">
        <f t="shared" si="15"/>
        <v>360</v>
      </c>
      <c r="AF23" s="40">
        <f t="shared" si="15"/>
        <v>813</v>
      </c>
    </row>
    <row r="24" spans="2:32" ht="23.1" customHeight="1" x14ac:dyDescent="0.25">
      <c r="B24" s="23" t="s">
        <v>51</v>
      </c>
      <c r="C24" s="50">
        <v>32</v>
      </c>
      <c r="D24" s="50">
        <v>9</v>
      </c>
      <c r="E24" s="50">
        <v>0</v>
      </c>
      <c r="F24" s="50">
        <v>4</v>
      </c>
      <c r="G24" s="50">
        <v>15</v>
      </c>
      <c r="H24" s="50">
        <v>0</v>
      </c>
      <c r="I24" s="50">
        <v>0</v>
      </c>
      <c r="J24" s="50">
        <v>7</v>
      </c>
      <c r="K24" s="50">
        <v>3</v>
      </c>
      <c r="L24" s="50">
        <v>6</v>
      </c>
      <c r="M24" s="50">
        <v>100</v>
      </c>
      <c r="N24" s="50">
        <v>0</v>
      </c>
      <c r="O24" s="15">
        <f t="shared" si="0"/>
        <v>76</v>
      </c>
      <c r="P24" s="15">
        <f t="shared" si="1"/>
        <v>176</v>
      </c>
      <c r="R24" s="38" t="s">
        <v>92</v>
      </c>
      <c r="S24" s="39">
        <f>MAX(S19:S21)</f>
        <v>409</v>
      </c>
      <c r="T24" s="39">
        <f t="shared" ref="T24:AF24" si="16">MAX(T19:T21)</f>
        <v>104</v>
      </c>
      <c r="U24" s="39">
        <f t="shared" si="16"/>
        <v>47</v>
      </c>
      <c r="V24" s="39">
        <f t="shared" si="16"/>
        <v>116</v>
      </c>
      <c r="W24" s="39">
        <f t="shared" si="16"/>
        <v>17</v>
      </c>
      <c r="X24" s="39">
        <f t="shared" si="16"/>
        <v>2</v>
      </c>
      <c r="Y24" s="39">
        <f t="shared" si="16"/>
        <v>32</v>
      </c>
      <c r="Z24" s="39">
        <f t="shared" si="16"/>
        <v>11</v>
      </c>
      <c r="AA24" s="39">
        <f t="shared" si="16"/>
        <v>15</v>
      </c>
      <c r="AB24" s="39">
        <f t="shared" si="16"/>
        <v>2</v>
      </c>
      <c r="AC24" s="39">
        <f t="shared" si="16"/>
        <v>705</v>
      </c>
      <c r="AD24" s="39">
        <f t="shared" si="16"/>
        <v>1</v>
      </c>
      <c r="AE24" s="40">
        <f t="shared" si="16"/>
        <v>689</v>
      </c>
      <c r="AF24" s="40">
        <f t="shared" si="16"/>
        <v>1356</v>
      </c>
    </row>
    <row r="25" spans="2:32" ht="23.1" customHeight="1" x14ac:dyDescent="0.25">
      <c r="B25" s="23" t="s">
        <v>52</v>
      </c>
      <c r="C25" s="50">
        <v>39</v>
      </c>
      <c r="D25" s="50">
        <v>19</v>
      </c>
      <c r="E25" s="50">
        <v>7</v>
      </c>
      <c r="F25" s="50">
        <v>16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83</v>
      </c>
      <c r="N25" s="50">
        <v>0</v>
      </c>
      <c r="O25" s="15">
        <f t="shared" si="0"/>
        <v>81</v>
      </c>
      <c r="P25" s="15">
        <f t="shared" si="1"/>
        <v>164</v>
      </c>
      <c r="R25" s="37" t="s">
        <v>85</v>
      </c>
      <c r="S25" s="35">
        <f t="shared" ref="S25:AF25" si="17">SUM(S10:S12)</f>
        <v>396</v>
      </c>
      <c r="T25" s="16">
        <f t="shared" si="17"/>
        <v>102</v>
      </c>
      <c r="U25" s="16">
        <f t="shared" si="17"/>
        <v>52</v>
      </c>
      <c r="V25" s="16">
        <f t="shared" si="17"/>
        <v>161</v>
      </c>
      <c r="W25" s="16">
        <f t="shared" si="17"/>
        <v>2</v>
      </c>
      <c r="X25" s="16">
        <f t="shared" si="17"/>
        <v>1</v>
      </c>
      <c r="Y25" s="16">
        <f t="shared" si="17"/>
        <v>27</v>
      </c>
      <c r="Z25" s="16">
        <f t="shared" si="17"/>
        <v>5</v>
      </c>
      <c r="AA25" s="16">
        <f t="shared" si="17"/>
        <v>9</v>
      </c>
      <c r="AB25" s="16">
        <f t="shared" si="17"/>
        <v>1</v>
      </c>
      <c r="AC25" s="16">
        <f t="shared" si="17"/>
        <v>503</v>
      </c>
      <c r="AD25" s="16">
        <f t="shared" si="17"/>
        <v>0</v>
      </c>
      <c r="AE25" s="32">
        <f t="shared" si="17"/>
        <v>756</v>
      </c>
      <c r="AF25" s="32">
        <f t="shared" si="17"/>
        <v>1259</v>
      </c>
    </row>
    <row r="26" spans="2:32" ht="23.1" customHeight="1" x14ac:dyDescent="0.25">
      <c r="B26" s="23" t="s">
        <v>53</v>
      </c>
      <c r="C26" s="50">
        <v>27</v>
      </c>
      <c r="D26" s="50">
        <v>12</v>
      </c>
      <c r="E26" s="50">
        <v>5</v>
      </c>
      <c r="F26" s="50">
        <v>0</v>
      </c>
      <c r="G26" s="50">
        <v>12</v>
      </c>
      <c r="H26" s="50">
        <v>0</v>
      </c>
      <c r="I26" s="50">
        <v>0</v>
      </c>
      <c r="J26" s="50">
        <v>5</v>
      </c>
      <c r="K26" s="50">
        <v>0</v>
      </c>
      <c r="L26" s="50">
        <v>3</v>
      </c>
      <c r="M26" s="50">
        <v>84</v>
      </c>
      <c r="N26" s="50">
        <v>0</v>
      </c>
      <c r="O26" s="15">
        <f t="shared" si="0"/>
        <v>64</v>
      </c>
      <c r="P26" s="15">
        <f t="shared" si="1"/>
        <v>148</v>
      </c>
      <c r="R26" s="28" t="s">
        <v>86</v>
      </c>
      <c r="S26" s="16">
        <f t="shared" ref="S26:AF26" si="18">SUM(S13:S18)</f>
        <v>919</v>
      </c>
      <c r="T26" s="16">
        <f t="shared" si="18"/>
        <v>282</v>
      </c>
      <c r="U26" s="16">
        <f t="shared" si="18"/>
        <v>148</v>
      </c>
      <c r="V26" s="16">
        <f t="shared" si="18"/>
        <v>330</v>
      </c>
      <c r="W26" s="16">
        <f t="shared" si="18"/>
        <v>35</v>
      </c>
      <c r="X26" s="16">
        <f t="shared" si="18"/>
        <v>0</v>
      </c>
      <c r="Y26" s="16">
        <f t="shared" si="18"/>
        <v>149</v>
      </c>
      <c r="Z26" s="16">
        <f t="shared" si="18"/>
        <v>108</v>
      </c>
      <c r="AA26" s="16">
        <f t="shared" si="18"/>
        <v>30</v>
      </c>
      <c r="AB26" s="16">
        <f t="shared" si="18"/>
        <v>17</v>
      </c>
      <c r="AC26" s="16">
        <f t="shared" si="18"/>
        <v>2358</v>
      </c>
      <c r="AD26" s="16">
        <f t="shared" si="18"/>
        <v>0</v>
      </c>
      <c r="AE26" s="32">
        <f t="shared" si="18"/>
        <v>2018</v>
      </c>
      <c r="AF26" s="32">
        <f t="shared" si="18"/>
        <v>4376</v>
      </c>
    </row>
    <row r="27" spans="2:32" ht="23.1" customHeight="1" x14ac:dyDescent="0.25">
      <c r="B27" s="23" t="s">
        <v>54</v>
      </c>
      <c r="C27" s="50">
        <v>37</v>
      </c>
      <c r="D27" s="50">
        <v>4</v>
      </c>
      <c r="E27" s="50">
        <v>5</v>
      </c>
      <c r="F27" s="50">
        <v>18</v>
      </c>
      <c r="G27" s="50">
        <v>0</v>
      </c>
      <c r="H27" s="50">
        <v>0</v>
      </c>
      <c r="I27" s="50">
        <v>8</v>
      </c>
      <c r="J27" s="50">
        <v>3</v>
      </c>
      <c r="K27" s="50">
        <v>0</v>
      </c>
      <c r="L27" s="50">
        <v>0</v>
      </c>
      <c r="M27" s="50">
        <v>71</v>
      </c>
      <c r="N27" s="50">
        <v>0</v>
      </c>
      <c r="O27" s="15">
        <f t="shared" si="0"/>
        <v>75</v>
      </c>
      <c r="P27" s="15">
        <f t="shared" si="1"/>
        <v>146</v>
      </c>
      <c r="R27" s="29" t="s">
        <v>87</v>
      </c>
      <c r="S27" s="16">
        <f t="shared" ref="S27:AF27" si="19">SUM(S19:S21)</f>
        <v>1034</v>
      </c>
      <c r="T27" s="16">
        <f t="shared" si="19"/>
        <v>266</v>
      </c>
      <c r="U27" s="16">
        <f t="shared" si="19"/>
        <v>139</v>
      </c>
      <c r="V27" s="16">
        <f t="shared" si="19"/>
        <v>291</v>
      </c>
      <c r="W27" s="16">
        <f t="shared" si="19"/>
        <v>21</v>
      </c>
      <c r="X27" s="16">
        <f t="shared" si="19"/>
        <v>3</v>
      </c>
      <c r="Y27" s="16">
        <f t="shared" si="19"/>
        <v>75</v>
      </c>
      <c r="Z27" s="16">
        <f t="shared" si="19"/>
        <v>20</v>
      </c>
      <c r="AA27" s="16">
        <f t="shared" si="19"/>
        <v>22</v>
      </c>
      <c r="AB27" s="16">
        <f t="shared" si="19"/>
        <v>4</v>
      </c>
      <c r="AC27" s="16">
        <f t="shared" si="19"/>
        <v>1681</v>
      </c>
      <c r="AD27" s="16">
        <f t="shared" si="19"/>
        <v>1</v>
      </c>
      <c r="AE27" s="32">
        <f t="shared" si="19"/>
        <v>1876</v>
      </c>
      <c r="AF27" s="32">
        <f t="shared" si="19"/>
        <v>3557</v>
      </c>
    </row>
    <row r="28" spans="2:32" ht="23.1" customHeight="1" x14ac:dyDescent="0.25">
      <c r="B28" s="23" t="s">
        <v>55</v>
      </c>
      <c r="C28" s="50">
        <v>28</v>
      </c>
      <c r="D28" s="50">
        <v>13</v>
      </c>
      <c r="E28" s="50">
        <v>4</v>
      </c>
      <c r="F28" s="50">
        <v>10</v>
      </c>
      <c r="G28" s="50">
        <v>0</v>
      </c>
      <c r="H28" s="50">
        <v>0</v>
      </c>
      <c r="I28" s="50">
        <v>12</v>
      </c>
      <c r="J28" s="50">
        <v>5</v>
      </c>
      <c r="K28" s="50">
        <v>0</v>
      </c>
      <c r="L28" s="50">
        <v>0</v>
      </c>
      <c r="M28" s="50">
        <v>132</v>
      </c>
      <c r="N28" s="50">
        <v>0</v>
      </c>
      <c r="O28" s="15">
        <f t="shared" si="0"/>
        <v>72</v>
      </c>
      <c r="P28" s="15">
        <f t="shared" si="1"/>
        <v>204</v>
      </c>
      <c r="R28" s="5" t="s">
        <v>17</v>
      </c>
      <c r="S28" s="16">
        <f t="shared" ref="S28:AF28" si="20">SUM(S10:S21)</f>
        <v>2349</v>
      </c>
      <c r="T28" s="16">
        <f t="shared" si="20"/>
        <v>650</v>
      </c>
      <c r="U28" s="16">
        <f t="shared" si="20"/>
        <v>339</v>
      </c>
      <c r="V28" s="16">
        <f t="shared" si="20"/>
        <v>782</v>
      </c>
      <c r="W28" s="16">
        <f t="shared" si="20"/>
        <v>58</v>
      </c>
      <c r="X28" s="16">
        <f t="shared" si="20"/>
        <v>4</v>
      </c>
      <c r="Y28" s="16">
        <f t="shared" si="20"/>
        <v>251</v>
      </c>
      <c r="Z28" s="16">
        <f t="shared" si="20"/>
        <v>133</v>
      </c>
      <c r="AA28" s="16">
        <f t="shared" si="20"/>
        <v>61</v>
      </c>
      <c r="AB28" s="16">
        <f t="shared" si="20"/>
        <v>22</v>
      </c>
      <c r="AC28" s="16">
        <f t="shared" si="20"/>
        <v>4542</v>
      </c>
      <c r="AD28" s="16">
        <f t="shared" si="20"/>
        <v>1</v>
      </c>
      <c r="AE28" s="32">
        <f t="shared" si="20"/>
        <v>4650</v>
      </c>
      <c r="AF28" s="32">
        <f t="shared" si="20"/>
        <v>9192</v>
      </c>
    </row>
    <row r="29" spans="2:32" ht="23.1" customHeight="1" x14ac:dyDescent="0.25">
      <c r="B29" s="23" t="s">
        <v>56</v>
      </c>
      <c r="C29" s="50">
        <v>30</v>
      </c>
      <c r="D29" s="50">
        <v>6</v>
      </c>
      <c r="E29" s="50">
        <v>6</v>
      </c>
      <c r="F29" s="50">
        <v>12</v>
      </c>
      <c r="G29" s="50">
        <v>0</v>
      </c>
      <c r="H29" s="50">
        <v>0</v>
      </c>
      <c r="I29" s="50">
        <v>16</v>
      </c>
      <c r="J29" s="50">
        <v>6</v>
      </c>
      <c r="K29" s="50">
        <v>0</v>
      </c>
      <c r="L29" s="50">
        <v>0</v>
      </c>
      <c r="M29" s="50">
        <v>113</v>
      </c>
      <c r="N29" s="50">
        <v>0</v>
      </c>
      <c r="O29" s="15">
        <f t="shared" si="0"/>
        <v>76</v>
      </c>
      <c r="P29" s="15">
        <f t="shared" si="1"/>
        <v>189</v>
      </c>
      <c r="R29"/>
      <c r="S29" s="20"/>
      <c r="T29" s="19"/>
    </row>
    <row r="30" spans="2:32" ht="23.1" customHeight="1" x14ac:dyDescent="0.25">
      <c r="B30" s="23" t="s">
        <v>57</v>
      </c>
      <c r="C30" s="50">
        <v>41</v>
      </c>
      <c r="D30" s="50">
        <v>11</v>
      </c>
      <c r="E30" s="50">
        <v>4</v>
      </c>
      <c r="F30" s="50">
        <v>12</v>
      </c>
      <c r="G30" s="50">
        <v>0</v>
      </c>
      <c r="H30" s="50">
        <v>0</v>
      </c>
      <c r="I30" s="50">
        <v>16</v>
      </c>
      <c r="J30" s="50">
        <v>3</v>
      </c>
      <c r="K30" s="50">
        <v>1</v>
      </c>
      <c r="L30" s="50">
        <v>0</v>
      </c>
      <c r="M30" s="50">
        <v>109</v>
      </c>
      <c r="N30" s="50">
        <v>0</v>
      </c>
      <c r="O30" s="15">
        <f t="shared" si="0"/>
        <v>88</v>
      </c>
      <c r="P30" s="15">
        <f t="shared" si="1"/>
        <v>197</v>
      </c>
    </row>
    <row r="31" spans="2:32" ht="23.1" customHeight="1" x14ac:dyDescent="0.25">
      <c r="B31" s="24" t="s">
        <v>58</v>
      </c>
      <c r="C31" s="50">
        <v>32</v>
      </c>
      <c r="D31" s="50">
        <v>12</v>
      </c>
      <c r="E31" s="50">
        <v>5</v>
      </c>
      <c r="F31" s="50">
        <v>9</v>
      </c>
      <c r="G31" s="50">
        <v>1</v>
      </c>
      <c r="H31" s="50">
        <v>0</v>
      </c>
      <c r="I31" s="50">
        <v>0</v>
      </c>
      <c r="J31" s="50">
        <v>5</v>
      </c>
      <c r="K31" s="50">
        <v>3</v>
      </c>
      <c r="L31" s="50">
        <v>1</v>
      </c>
      <c r="M31" s="50">
        <v>101</v>
      </c>
      <c r="N31" s="50">
        <v>0</v>
      </c>
      <c r="O31" s="15">
        <f t="shared" si="0"/>
        <v>68</v>
      </c>
      <c r="P31" s="15">
        <f t="shared" si="1"/>
        <v>169</v>
      </c>
    </row>
    <row r="32" spans="2:32" ht="23.1" customHeight="1" x14ac:dyDescent="0.25">
      <c r="B32" s="24" t="s">
        <v>59</v>
      </c>
      <c r="C32" s="50">
        <v>33</v>
      </c>
      <c r="D32" s="50">
        <v>8</v>
      </c>
      <c r="E32" s="50">
        <v>4</v>
      </c>
      <c r="F32" s="50">
        <v>16</v>
      </c>
      <c r="G32" s="50">
        <v>0</v>
      </c>
      <c r="H32" s="50">
        <v>0</v>
      </c>
      <c r="I32" s="50">
        <v>4</v>
      </c>
      <c r="J32" s="50">
        <v>5</v>
      </c>
      <c r="K32" s="50">
        <v>0</v>
      </c>
      <c r="L32" s="50">
        <v>1</v>
      </c>
      <c r="M32" s="50">
        <v>69</v>
      </c>
      <c r="N32" s="50">
        <v>0</v>
      </c>
      <c r="O32" s="15">
        <f t="shared" si="0"/>
        <v>71</v>
      </c>
      <c r="P32" s="15">
        <f t="shared" si="1"/>
        <v>140</v>
      </c>
    </row>
    <row r="33" spans="2:20" ht="23.1" customHeight="1" x14ac:dyDescent="0.25">
      <c r="B33" s="23" t="s">
        <v>60</v>
      </c>
      <c r="C33" s="50">
        <v>32</v>
      </c>
      <c r="D33" s="50">
        <v>11</v>
      </c>
      <c r="E33" s="50">
        <v>21</v>
      </c>
      <c r="F33" s="50">
        <v>13</v>
      </c>
      <c r="G33" s="50">
        <v>3</v>
      </c>
      <c r="H33" s="50">
        <v>0</v>
      </c>
      <c r="I33" s="50">
        <v>0</v>
      </c>
      <c r="J33" s="50">
        <v>10</v>
      </c>
      <c r="K33" s="50">
        <v>5</v>
      </c>
      <c r="L33" s="50">
        <v>0</v>
      </c>
      <c r="M33" s="50">
        <v>77</v>
      </c>
      <c r="N33" s="50">
        <v>0</v>
      </c>
      <c r="O33" s="15">
        <f t="shared" si="0"/>
        <v>95</v>
      </c>
      <c r="P33" s="15">
        <f t="shared" si="1"/>
        <v>172</v>
      </c>
    </row>
    <row r="34" spans="2:20" ht="23.1" customHeight="1" x14ac:dyDescent="0.25">
      <c r="B34" s="24" t="s">
        <v>61</v>
      </c>
      <c r="C34" s="50">
        <v>42</v>
      </c>
      <c r="D34" s="50">
        <v>14</v>
      </c>
      <c r="E34" s="50">
        <v>7</v>
      </c>
      <c r="F34" s="50">
        <v>13</v>
      </c>
      <c r="G34" s="50">
        <v>0</v>
      </c>
      <c r="H34" s="50">
        <v>0</v>
      </c>
      <c r="I34" s="50">
        <v>0</v>
      </c>
      <c r="J34" s="50">
        <v>9</v>
      </c>
      <c r="K34" s="50">
        <v>5</v>
      </c>
      <c r="L34" s="50">
        <v>0</v>
      </c>
      <c r="M34" s="50">
        <v>97</v>
      </c>
      <c r="N34" s="50">
        <v>0</v>
      </c>
      <c r="O34" s="15">
        <f t="shared" si="0"/>
        <v>90</v>
      </c>
      <c r="P34" s="15">
        <f t="shared" si="1"/>
        <v>187</v>
      </c>
    </row>
    <row r="35" spans="2:20" ht="23.1" customHeight="1" x14ac:dyDescent="0.25">
      <c r="B35" s="24" t="s">
        <v>62</v>
      </c>
      <c r="C35" s="50">
        <v>31</v>
      </c>
      <c r="D35" s="50">
        <v>12</v>
      </c>
      <c r="E35" s="50">
        <v>5</v>
      </c>
      <c r="F35" s="50">
        <v>11</v>
      </c>
      <c r="G35" s="50">
        <v>0</v>
      </c>
      <c r="H35" s="50">
        <v>0</v>
      </c>
      <c r="I35" s="50">
        <v>12</v>
      </c>
      <c r="J35" s="50">
        <v>3</v>
      </c>
      <c r="K35" s="50">
        <v>0</v>
      </c>
      <c r="L35" s="50">
        <v>0</v>
      </c>
      <c r="M35" s="50">
        <v>94</v>
      </c>
      <c r="N35" s="50">
        <v>0</v>
      </c>
      <c r="O35" s="15">
        <f t="shared" si="0"/>
        <v>74</v>
      </c>
      <c r="P35" s="15">
        <f t="shared" si="1"/>
        <v>168</v>
      </c>
    </row>
    <row r="36" spans="2:20" ht="23.1" customHeight="1" x14ac:dyDescent="0.25">
      <c r="B36" s="24" t="s">
        <v>63</v>
      </c>
      <c r="C36" s="50">
        <v>46</v>
      </c>
      <c r="D36" s="50">
        <v>4</v>
      </c>
      <c r="E36" s="50">
        <v>8</v>
      </c>
      <c r="F36" s="50">
        <v>19</v>
      </c>
      <c r="G36" s="50">
        <v>0</v>
      </c>
      <c r="H36" s="50">
        <v>0</v>
      </c>
      <c r="I36" s="50">
        <v>7</v>
      </c>
      <c r="J36" s="50">
        <v>4</v>
      </c>
      <c r="K36" s="50">
        <v>0</v>
      </c>
      <c r="L36" s="50">
        <v>0</v>
      </c>
      <c r="M36" s="50">
        <v>106</v>
      </c>
      <c r="N36" s="50">
        <v>0</v>
      </c>
      <c r="O36" s="15">
        <f t="shared" si="0"/>
        <v>88</v>
      </c>
      <c r="P36" s="15">
        <f t="shared" si="1"/>
        <v>194</v>
      </c>
    </row>
    <row r="37" spans="2:20" ht="23.1" customHeight="1" x14ac:dyDescent="0.25">
      <c r="B37" s="23" t="s">
        <v>64</v>
      </c>
      <c r="C37" s="50">
        <v>48</v>
      </c>
      <c r="D37" s="50">
        <v>7</v>
      </c>
      <c r="E37" s="50">
        <v>7</v>
      </c>
      <c r="F37" s="50">
        <v>19</v>
      </c>
      <c r="G37" s="50">
        <v>0</v>
      </c>
      <c r="H37" s="50">
        <v>0</v>
      </c>
      <c r="I37" s="50">
        <v>9</v>
      </c>
      <c r="J37" s="50">
        <v>5</v>
      </c>
      <c r="K37" s="50">
        <v>0</v>
      </c>
      <c r="L37" s="50">
        <v>1</v>
      </c>
      <c r="M37" s="50">
        <v>97</v>
      </c>
      <c r="N37" s="50">
        <v>0</v>
      </c>
      <c r="O37" s="15">
        <f t="shared" si="0"/>
        <v>96</v>
      </c>
      <c r="P37" s="15">
        <f t="shared" si="1"/>
        <v>193</v>
      </c>
    </row>
    <row r="38" spans="2:20" ht="23.1" customHeight="1" x14ac:dyDescent="0.25">
      <c r="B38" s="24" t="s">
        <v>65</v>
      </c>
      <c r="C38" s="50">
        <v>37</v>
      </c>
      <c r="D38" s="50">
        <v>18</v>
      </c>
      <c r="E38" s="50">
        <v>9</v>
      </c>
      <c r="F38" s="50">
        <v>19</v>
      </c>
      <c r="G38" s="50">
        <v>0</v>
      </c>
      <c r="H38" s="50">
        <v>0</v>
      </c>
      <c r="I38" s="50">
        <v>9</v>
      </c>
      <c r="J38" s="50">
        <v>2</v>
      </c>
      <c r="K38" s="50">
        <v>1</v>
      </c>
      <c r="L38" s="50">
        <v>1</v>
      </c>
      <c r="M38" s="50">
        <v>78</v>
      </c>
      <c r="N38" s="50">
        <v>0</v>
      </c>
      <c r="O38" s="15">
        <f t="shared" si="0"/>
        <v>96</v>
      </c>
      <c r="P38" s="15">
        <f t="shared" si="1"/>
        <v>174</v>
      </c>
    </row>
    <row r="39" spans="2:20" ht="23.1" customHeight="1" x14ac:dyDescent="0.25">
      <c r="B39" s="24" t="s">
        <v>66</v>
      </c>
      <c r="C39" s="50">
        <v>35</v>
      </c>
      <c r="D39" s="50">
        <v>13</v>
      </c>
      <c r="E39" s="50">
        <v>6</v>
      </c>
      <c r="F39" s="50">
        <v>23</v>
      </c>
      <c r="G39" s="50">
        <v>0</v>
      </c>
      <c r="H39" s="50">
        <v>0</v>
      </c>
      <c r="I39" s="50">
        <v>7</v>
      </c>
      <c r="J39" s="50">
        <v>6</v>
      </c>
      <c r="K39" s="50">
        <v>1</v>
      </c>
      <c r="L39" s="50">
        <v>2</v>
      </c>
      <c r="M39" s="50">
        <v>85</v>
      </c>
      <c r="N39" s="50">
        <v>0</v>
      </c>
      <c r="O39" s="15">
        <f t="shared" si="0"/>
        <v>93</v>
      </c>
      <c r="P39" s="15">
        <f t="shared" si="1"/>
        <v>178</v>
      </c>
    </row>
    <row r="40" spans="2:20" ht="23.1" customHeight="1" x14ac:dyDescent="0.25">
      <c r="B40" s="24" t="s">
        <v>67</v>
      </c>
      <c r="C40" s="50">
        <v>44</v>
      </c>
      <c r="D40" s="50">
        <v>10</v>
      </c>
      <c r="E40" s="50">
        <v>5</v>
      </c>
      <c r="F40" s="50">
        <v>14</v>
      </c>
      <c r="G40" s="50">
        <v>0</v>
      </c>
      <c r="H40" s="50">
        <v>0</v>
      </c>
      <c r="I40" s="50">
        <v>4</v>
      </c>
      <c r="J40" s="50">
        <v>3</v>
      </c>
      <c r="K40" s="50">
        <v>2</v>
      </c>
      <c r="L40" s="50">
        <v>0</v>
      </c>
      <c r="M40" s="50">
        <v>92</v>
      </c>
      <c r="N40" s="50">
        <v>0</v>
      </c>
      <c r="O40" s="15">
        <f t="shared" si="0"/>
        <v>82</v>
      </c>
      <c r="P40" s="15">
        <f t="shared" si="1"/>
        <v>174</v>
      </c>
    </row>
    <row r="41" spans="2:20" ht="23.1" customHeight="1" x14ac:dyDescent="0.25">
      <c r="B41" s="23" t="s">
        <v>68</v>
      </c>
      <c r="C41" s="50">
        <v>41</v>
      </c>
      <c r="D41" s="50">
        <v>17</v>
      </c>
      <c r="E41" s="50">
        <v>6</v>
      </c>
      <c r="F41" s="50">
        <v>15</v>
      </c>
      <c r="G41" s="50">
        <v>0</v>
      </c>
      <c r="H41" s="50">
        <v>0</v>
      </c>
      <c r="I41" s="50">
        <v>6</v>
      </c>
      <c r="J41" s="50">
        <v>2</v>
      </c>
      <c r="K41" s="50">
        <v>1</v>
      </c>
      <c r="L41" s="50">
        <v>0</v>
      </c>
      <c r="M41" s="50">
        <v>77</v>
      </c>
      <c r="N41" s="50">
        <v>0</v>
      </c>
      <c r="O41" s="15">
        <f t="shared" si="0"/>
        <v>88</v>
      </c>
      <c r="P41" s="15">
        <f t="shared" si="1"/>
        <v>165</v>
      </c>
    </row>
    <row r="42" spans="2:20" ht="23.1" customHeight="1" x14ac:dyDescent="0.25">
      <c r="B42" s="24" t="s">
        <v>69</v>
      </c>
      <c r="C42" s="50">
        <v>54</v>
      </c>
      <c r="D42" s="50">
        <v>11</v>
      </c>
      <c r="E42" s="50">
        <v>7</v>
      </c>
      <c r="F42" s="50">
        <v>17</v>
      </c>
      <c r="G42" s="50">
        <v>2</v>
      </c>
      <c r="H42" s="50">
        <v>0</v>
      </c>
      <c r="I42" s="50">
        <v>7</v>
      </c>
      <c r="J42" s="50">
        <v>4</v>
      </c>
      <c r="K42" s="50">
        <v>1</v>
      </c>
      <c r="L42" s="50">
        <v>1</v>
      </c>
      <c r="M42" s="50">
        <v>110</v>
      </c>
      <c r="N42" s="50">
        <v>0</v>
      </c>
      <c r="O42" s="15">
        <f t="shared" si="0"/>
        <v>104</v>
      </c>
      <c r="P42" s="15">
        <f t="shared" si="1"/>
        <v>214</v>
      </c>
    </row>
    <row r="43" spans="2:20" ht="23.1" customHeight="1" x14ac:dyDescent="0.25">
      <c r="B43" s="23" t="s">
        <v>70</v>
      </c>
      <c r="C43" s="50">
        <v>55</v>
      </c>
      <c r="D43" s="50">
        <v>11</v>
      </c>
      <c r="E43" s="50">
        <v>4</v>
      </c>
      <c r="F43" s="50">
        <v>17</v>
      </c>
      <c r="G43" s="50">
        <v>1</v>
      </c>
      <c r="H43" s="50">
        <v>0</v>
      </c>
      <c r="I43" s="50">
        <v>8</v>
      </c>
      <c r="J43" s="50">
        <v>2</v>
      </c>
      <c r="K43" s="50">
        <v>0</v>
      </c>
      <c r="L43" s="50">
        <v>0</v>
      </c>
      <c r="M43" s="50">
        <v>95</v>
      </c>
      <c r="N43" s="50">
        <v>0</v>
      </c>
      <c r="O43" s="15">
        <f t="shared" si="0"/>
        <v>98</v>
      </c>
      <c r="P43" s="15">
        <f t="shared" si="1"/>
        <v>193</v>
      </c>
    </row>
    <row r="44" spans="2:20" ht="23.1" customHeight="1" x14ac:dyDescent="0.25">
      <c r="B44" s="25" t="s">
        <v>71</v>
      </c>
      <c r="C44" s="50">
        <v>28</v>
      </c>
      <c r="D44" s="50">
        <v>9</v>
      </c>
      <c r="E44" s="50">
        <v>8</v>
      </c>
      <c r="F44" s="50">
        <v>8</v>
      </c>
      <c r="G44" s="50">
        <v>0</v>
      </c>
      <c r="H44" s="50">
        <v>0</v>
      </c>
      <c r="I44" s="50">
        <v>8</v>
      </c>
      <c r="J44" s="50">
        <v>1</v>
      </c>
      <c r="K44" s="50">
        <v>1</v>
      </c>
      <c r="L44" s="50">
        <v>0</v>
      </c>
      <c r="M44" s="50">
        <v>100</v>
      </c>
      <c r="N44" s="50">
        <v>0</v>
      </c>
      <c r="O44" s="15">
        <f t="shared" si="0"/>
        <v>63</v>
      </c>
      <c r="P44" s="15">
        <f t="shared" si="1"/>
        <v>163</v>
      </c>
    </row>
    <row r="45" spans="2:20" ht="23.1" customHeight="1" x14ac:dyDescent="0.25">
      <c r="B45" s="23" t="s">
        <v>72</v>
      </c>
      <c r="C45" s="50">
        <v>42</v>
      </c>
      <c r="D45" s="50">
        <v>13</v>
      </c>
      <c r="E45" s="50">
        <v>4</v>
      </c>
      <c r="F45" s="50">
        <v>20</v>
      </c>
      <c r="G45" s="50">
        <v>0</v>
      </c>
      <c r="H45" s="50">
        <v>0</v>
      </c>
      <c r="I45" s="50">
        <v>7</v>
      </c>
      <c r="J45" s="50">
        <v>7</v>
      </c>
      <c r="K45" s="50">
        <v>2</v>
      </c>
      <c r="L45" s="50">
        <v>0</v>
      </c>
      <c r="M45" s="50">
        <v>100</v>
      </c>
      <c r="N45" s="50">
        <v>0</v>
      </c>
      <c r="O45" s="15">
        <f t="shared" si="0"/>
        <v>95</v>
      </c>
      <c r="P45" s="15">
        <f t="shared" si="1"/>
        <v>195</v>
      </c>
    </row>
    <row r="46" spans="2:20" ht="23.1" customHeight="1" x14ac:dyDescent="0.25">
      <c r="B46" s="24" t="s">
        <v>73</v>
      </c>
      <c r="C46" s="50">
        <v>43</v>
      </c>
      <c r="D46" s="50">
        <v>20</v>
      </c>
      <c r="E46" s="50">
        <v>12</v>
      </c>
      <c r="F46" s="50">
        <v>16</v>
      </c>
      <c r="G46" s="50">
        <v>0</v>
      </c>
      <c r="H46" s="50">
        <v>0</v>
      </c>
      <c r="I46" s="50">
        <v>8</v>
      </c>
      <c r="J46" s="50">
        <v>2</v>
      </c>
      <c r="K46" s="50">
        <v>0</v>
      </c>
      <c r="L46" s="50">
        <v>0</v>
      </c>
      <c r="M46" s="50">
        <v>101</v>
      </c>
      <c r="N46" s="50">
        <v>0</v>
      </c>
      <c r="O46" s="15">
        <f t="shared" si="0"/>
        <v>101</v>
      </c>
      <c r="P46" s="15">
        <f t="shared" si="1"/>
        <v>202</v>
      </c>
      <c r="R46" s="8"/>
      <c r="T46"/>
    </row>
    <row r="47" spans="2:20" ht="23.1" customHeight="1" x14ac:dyDescent="0.25">
      <c r="B47" s="24" t="s">
        <v>74</v>
      </c>
      <c r="C47" s="50">
        <v>65</v>
      </c>
      <c r="D47" s="50">
        <v>24</v>
      </c>
      <c r="E47" s="50">
        <v>6</v>
      </c>
      <c r="F47" s="50">
        <v>30</v>
      </c>
      <c r="G47" s="50">
        <v>0</v>
      </c>
      <c r="H47" s="50">
        <v>0</v>
      </c>
      <c r="I47" s="50">
        <v>10</v>
      </c>
      <c r="J47" s="50">
        <v>3</v>
      </c>
      <c r="K47" s="50">
        <v>3</v>
      </c>
      <c r="L47" s="50">
        <v>0</v>
      </c>
      <c r="M47" s="50">
        <v>90</v>
      </c>
      <c r="N47" s="50">
        <v>0</v>
      </c>
      <c r="O47" s="15">
        <f t="shared" si="0"/>
        <v>141</v>
      </c>
      <c r="P47" s="15">
        <f t="shared" si="1"/>
        <v>231</v>
      </c>
      <c r="R47" s="8"/>
      <c r="T47"/>
    </row>
    <row r="48" spans="2:20" ht="23.1" customHeight="1" x14ac:dyDescent="0.25">
      <c r="B48" s="24" t="s">
        <v>75</v>
      </c>
      <c r="C48" s="50">
        <v>77</v>
      </c>
      <c r="D48" s="50">
        <v>11</v>
      </c>
      <c r="E48" s="50">
        <v>14</v>
      </c>
      <c r="F48" s="50">
        <v>15</v>
      </c>
      <c r="G48" s="50">
        <v>1</v>
      </c>
      <c r="H48" s="50">
        <v>0</v>
      </c>
      <c r="I48" s="50">
        <v>4</v>
      </c>
      <c r="J48" s="50">
        <v>2</v>
      </c>
      <c r="K48" s="50">
        <v>1</v>
      </c>
      <c r="L48" s="50">
        <v>2</v>
      </c>
      <c r="M48" s="50">
        <v>90</v>
      </c>
      <c r="N48" s="50">
        <v>0</v>
      </c>
      <c r="O48" s="15">
        <f t="shared" si="0"/>
        <v>127</v>
      </c>
      <c r="P48" s="15">
        <f t="shared" si="1"/>
        <v>217</v>
      </c>
      <c r="R48" s="8"/>
      <c r="T48"/>
    </row>
    <row r="49" spans="2:20" ht="23.1" customHeight="1" x14ac:dyDescent="0.25">
      <c r="B49" s="23" t="s">
        <v>76</v>
      </c>
      <c r="C49" s="50">
        <v>100</v>
      </c>
      <c r="D49" s="50">
        <v>22</v>
      </c>
      <c r="E49" s="50">
        <v>15</v>
      </c>
      <c r="F49" s="50">
        <v>18</v>
      </c>
      <c r="G49" s="50">
        <v>2</v>
      </c>
      <c r="H49" s="50">
        <v>0</v>
      </c>
      <c r="I49" s="50">
        <v>10</v>
      </c>
      <c r="J49" s="50">
        <v>0</v>
      </c>
      <c r="K49" s="50">
        <v>0</v>
      </c>
      <c r="L49" s="50">
        <v>0</v>
      </c>
      <c r="M49" s="50">
        <v>130</v>
      </c>
      <c r="N49" s="50">
        <v>0</v>
      </c>
      <c r="O49" s="15">
        <f t="shared" si="0"/>
        <v>167</v>
      </c>
      <c r="P49" s="15">
        <f t="shared" si="1"/>
        <v>297</v>
      </c>
      <c r="R49" s="8"/>
      <c r="T49"/>
    </row>
    <row r="50" spans="2:20" ht="23.1" customHeight="1" x14ac:dyDescent="0.25">
      <c r="B50" s="24" t="s">
        <v>77</v>
      </c>
      <c r="C50" s="50">
        <v>105</v>
      </c>
      <c r="D50" s="50">
        <v>22</v>
      </c>
      <c r="E50" s="50">
        <v>7</v>
      </c>
      <c r="F50" s="50">
        <v>21</v>
      </c>
      <c r="G50" s="50">
        <v>13</v>
      </c>
      <c r="H50" s="50">
        <v>2</v>
      </c>
      <c r="I50" s="50">
        <v>0</v>
      </c>
      <c r="J50" s="50">
        <v>0</v>
      </c>
      <c r="K50" s="50">
        <v>0</v>
      </c>
      <c r="L50" s="50">
        <v>0</v>
      </c>
      <c r="M50" s="50">
        <v>137</v>
      </c>
      <c r="N50" s="50">
        <v>0</v>
      </c>
      <c r="O50" s="15">
        <f t="shared" si="0"/>
        <v>170</v>
      </c>
      <c r="P50" s="15">
        <f t="shared" si="1"/>
        <v>307</v>
      </c>
      <c r="R50" s="8"/>
      <c r="T50"/>
    </row>
    <row r="51" spans="2:20" ht="23.1" customHeight="1" x14ac:dyDescent="0.25">
      <c r="B51" s="24" t="s">
        <v>78</v>
      </c>
      <c r="C51" s="50">
        <v>116</v>
      </c>
      <c r="D51" s="50">
        <v>22</v>
      </c>
      <c r="E51" s="50">
        <v>13</v>
      </c>
      <c r="F51" s="50">
        <v>24</v>
      </c>
      <c r="G51" s="50">
        <v>2</v>
      </c>
      <c r="H51" s="50">
        <v>0</v>
      </c>
      <c r="I51" s="50">
        <v>7</v>
      </c>
      <c r="J51" s="50">
        <v>1</v>
      </c>
      <c r="K51" s="50">
        <v>2</v>
      </c>
      <c r="L51" s="50">
        <v>1</v>
      </c>
      <c r="M51" s="50">
        <v>146</v>
      </c>
      <c r="N51" s="50">
        <v>0</v>
      </c>
      <c r="O51" s="15">
        <f t="shared" si="0"/>
        <v>188</v>
      </c>
      <c r="P51" s="15">
        <f t="shared" si="1"/>
        <v>334</v>
      </c>
      <c r="R51" s="8"/>
      <c r="T51"/>
    </row>
    <row r="52" spans="2:20" ht="23.1" customHeight="1" x14ac:dyDescent="0.25">
      <c r="B52" s="24" t="s">
        <v>79</v>
      </c>
      <c r="C52" s="50">
        <v>113</v>
      </c>
      <c r="D52" s="50">
        <v>23</v>
      </c>
      <c r="E52" s="50">
        <v>9</v>
      </c>
      <c r="F52" s="50">
        <v>27</v>
      </c>
      <c r="G52" s="50">
        <v>1</v>
      </c>
      <c r="H52" s="50">
        <v>0</v>
      </c>
      <c r="I52" s="50">
        <v>12</v>
      </c>
      <c r="J52" s="50">
        <v>1</v>
      </c>
      <c r="K52" s="50">
        <v>1</v>
      </c>
      <c r="L52" s="50">
        <v>0</v>
      </c>
      <c r="M52" s="50">
        <v>157</v>
      </c>
      <c r="N52" s="50">
        <v>0</v>
      </c>
      <c r="O52" s="15">
        <f t="shared" si="0"/>
        <v>187</v>
      </c>
      <c r="P52" s="15">
        <f t="shared" si="1"/>
        <v>344</v>
      </c>
      <c r="R52" s="8"/>
      <c r="T52"/>
    </row>
    <row r="53" spans="2:20" ht="23.1" customHeight="1" x14ac:dyDescent="0.25">
      <c r="B53" s="23" t="s">
        <v>80</v>
      </c>
      <c r="C53" s="50">
        <v>75</v>
      </c>
      <c r="D53" s="50">
        <v>18</v>
      </c>
      <c r="E53" s="50">
        <v>18</v>
      </c>
      <c r="F53" s="50">
        <v>24</v>
      </c>
      <c r="G53" s="50">
        <v>1</v>
      </c>
      <c r="H53" s="50">
        <v>0</v>
      </c>
      <c r="I53" s="50">
        <v>7</v>
      </c>
      <c r="J53" s="50">
        <v>0</v>
      </c>
      <c r="K53" s="50">
        <v>0</v>
      </c>
      <c r="L53" s="50">
        <v>0</v>
      </c>
      <c r="M53" s="50">
        <v>125</v>
      </c>
      <c r="N53" s="50">
        <v>1</v>
      </c>
      <c r="O53" s="15">
        <f t="shared" si="0"/>
        <v>144</v>
      </c>
      <c r="P53" s="15">
        <f t="shared" si="1"/>
        <v>269</v>
      </c>
      <c r="R53" s="8"/>
      <c r="T53"/>
    </row>
    <row r="54" spans="2:20" ht="23.1" customHeight="1" x14ac:dyDescent="0.25">
      <c r="B54" s="23" t="s">
        <v>81</v>
      </c>
      <c r="C54" s="50">
        <v>90</v>
      </c>
      <c r="D54" s="50">
        <v>20</v>
      </c>
      <c r="E54" s="50">
        <v>12</v>
      </c>
      <c r="F54" s="50">
        <v>27</v>
      </c>
      <c r="G54" s="50">
        <v>1</v>
      </c>
      <c r="H54" s="50">
        <v>1</v>
      </c>
      <c r="I54" s="50">
        <v>0</v>
      </c>
      <c r="J54" s="50">
        <v>7</v>
      </c>
      <c r="K54" s="50">
        <v>12</v>
      </c>
      <c r="L54" s="50">
        <v>0</v>
      </c>
      <c r="M54" s="50">
        <v>172</v>
      </c>
      <c r="N54" s="50">
        <v>0</v>
      </c>
      <c r="O54" s="15">
        <f t="shared" si="0"/>
        <v>170</v>
      </c>
      <c r="P54" s="15">
        <f t="shared" si="1"/>
        <v>342</v>
      </c>
      <c r="R54" s="8"/>
      <c r="T54"/>
    </row>
    <row r="55" spans="2:20" ht="23.1" customHeight="1" x14ac:dyDescent="0.25">
      <c r="B55" s="23" t="s">
        <v>82</v>
      </c>
      <c r="C55" s="50">
        <v>90</v>
      </c>
      <c r="D55" s="50">
        <v>27</v>
      </c>
      <c r="E55" s="50">
        <v>13</v>
      </c>
      <c r="F55" s="50">
        <v>26</v>
      </c>
      <c r="G55" s="50">
        <v>0</v>
      </c>
      <c r="H55" s="50">
        <v>0</v>
      </c>
      <c r="I55" s="50">
        <v>4</v>
      </c>
      <c r="J55" s="50">
        <v>2</v>
      </c>
      <c r="K55" s="50">
        <v>2</v>
      </c>
      <c r="L55" s="50">
        <v>0</v>
      </c>
      <c r="M55" s="50">
        <v>162</v>
      </c>
      <c r="N55" s="50">
        <v>0</v>
      </c>
      <c r="O55" s="15">
        <f t="shared" si="0"/>
        <v>164</v>
      </c>
      <c r="P55" s="15">
        <f t="shared" si="1"/>
        <v>326</v>
      </c>
      <c r="R55" s="8"/>
      <c r="T55"/>
    </row>
    <row r="56" spans="2:20" ht="23.1" customHeight="1" x14ac:dyDescent="0.25">
      <c r="B56" s="23" t="s">
        <v>83</v>
      </c>
      <c r="C56" s="50">
        <v>80</v>
      </c>
      <c r="D56" s="50">
        <v>22</v>
      </c>
      <c r="E56" s="50">
        <v>10</v>
      </c>
      <c r="F56" s="50">
        <v>25</v>
      </c>
      <c r="G56" s="50">
        <v>0</v>
      </c>
      <c r="H56" s="50">
        <v>0</v>
      </c>
      <c r="I56" s="50">
        <v>8</v>
      </c>
      <c r="J56" s="50">
        <v>1</v>
      </c>
      <c r="K56" s="50">
        <v>0</v>
      </c>
      <c r="L56" s="50">
        <v>1</v>
      </c>
      <c r="M56" s="50">
        <v>201</v>
      </c>
      <c r="N56" s="50">
        <v>0</v>
      </c>
      <c r="O56" s="15">
        <f t="shared" si="0"/>
        <v>147</v>
      </c>
      <c r="P56" s="15">
        <f t="shared" si="1"/>
        <v>348</v>
      </c>
      <c r="R56" s="8"/>
      <c r="T56"/>
    </row>
    <row r="57" spans="2:20" ht="23.1" customHeight="1" x14ac:dyDescent="0.25">
      <c r="B57" s="23" t="s">
        <v>84</v>
      </c>
      <c r="C57" s="50">
        <v>80</v>
      </c>
      <c r="D57" s="50">
        <v>35</v>
      </c>
      <c r="E57" s="50">
        <v>10</v>
      </c>
      <c r="F57" s="50">
        <v>38</v>
      </c>
      <c r="G57" s="50">
        <v>0</v>
      </c>
      <c r="H57" s="50">
        <v>0</v>
      </c>
      <c r="I57" s="50">
        <v>5</v>
      </c>
      <c r="J57" s="50">
        <v>1</v>
      </c>
      <c r="K57" s="50">
        <v>1</v>
      </c>
      <c r="L57" s="50">
        <v>0</v>
      </c>
      <c r="M57" s="50">
        <v>170</v>
      </c>
      <c r="N57" s="50">
        <v>0</v>
      </c>
      <c r="O57" s="15">
        <f t="shared" si="0"/>
        <v>170</v>
      </c>
      <c r="P57" s="15">
        <f t="shared" si="1"/>
        <v>340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2349</v>
      </c>
      <c r="D58" s="16">
        <f t="shared" si="21"/>
        <v>650</v>
      </c>
      <c r="E58" s="16">
        <f t="shared" si="21"/>
        <v>339</v>
      </c>
      <c r="F58" s="16">
        <f t="shared" si="21"/>
        <v>782</v>
      </c>
      <c r="G58" s="16">
        <f t="shared" si="21"/>
        <v>58</v>
      </c>
      <c r="H58" s="16">
        <f t="shared" si="21"/>
        <v>4</v>
      </c>
      <c r="I58" s="16">
        <f t="shared" si="21"/>
        <v>251</v>
      </c>
      <c r="J58" s="16">
        <f t="shared" si="21"/>
        <v>133</v>
      </c>
      <c r="K58" s="16">
        <f t="shared" si="21"/>
        <v>61</v>
      </c>
      <c r="L58" s="16">
        <f t="shared" si="21"/>
        <v>22</v>
      </c>
      <c r="M58" s="16">
        <f t="shared" si="21"/>
        <v>4542</v>
      </c>
      <c r="N58" s="16">
        <f t="shared" si="21"/>
        <v>1</v>
      </c>
      <c r="O58" s="16">
        <f t="shared" si="21"/>
        <v>4650</v>
      </c>
      <c r="P58" s="16">
        <f t="shared" si="21"/>
        <v>9192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0.25554830287206265</v>
      </c>
      <c r="D59" s="43">
        <f t="shared" si="22"/>
        <v>7.0713664055700606E-2</v>
      </c>
      <c r="E59" s="43">
        <f t="shared" si="22"/>
        <v>3.6879895561357699E-2</v>
      </c>
      <c r="F59" s="43">
        <f t="shared" si="22"/>
        <v>8.5073977371627502E-2</v>
      </c>
      <c r="G59" s="43">
        <f t="shared" si="22"/>
        <v>6.3098346388163621E-3</v>
      </c>
      <c r="H59" s="43">
        <f t="shared" si="22"/>
        <v>4.351610095735422E-4</v>
      </c>
      <c r="I59" s="43">
        <f t="shared" si="22"/>
        <v>2.7306353350739773E-2</v>
      </c>
      <c r="J59" s="43">
        <f t="shared" si="22"/>
        <v>1.4469103568320279E-2</v>
      </c>
      <c r="K59" s="43">
        <f t="shared" si="22"/>
        <v>6.6362053959965186E-3</v>
      </c>
      <c r="L59" s="43">
        <f t="shared" si="22"/>
        <v>2.3933855526544821E-3</v>
      </c>
      <c r="M59" s="43">
        <f t="shared" si="22"/>
        <v>0.49412532637075718</v>
      </c>
      <c r="N59" s="43">
        <f t="shared" si="22"/>
        <v>1.0879025239338555E-4</v>
      </c>
      <c r="R59" s="8"/>
      <c r="T59"/>
    </row>
    <row r="60" spans="2:20" ht="23.1" customHeight="1" x14ac:dyDescent="0.25">
      <c r="B60" s="42" t="s">
        <v>94</v>
      </c>
      <c r="C60" s="44">
        <f>C58/$O$58</f>
        <v>0.50516129032258061</v>
      </c>
      <c r="D60" s="44">
        <f t="shared" ref="D60:N60" si="23">D58/$O$58</f>
        <v>0.13978494623655913</v>
      </c>
      <c r="E60" s="44">
        <f t="shared" si="23"/>
        <v>7.2903225806451616E-2</v>
      </c>
      <c r="F60" s="44">
        <f t="shared" si="23"/>
        <v>0.1681720430107527</v>
      </c>
      <c r="G60" s="44">
        <f t="shared" si="23"/>
        <v>1.2473118279569893E-2</v>
      </c>
      <c r="H60" s="44">
        <f t="shared" si="23"/>
        <v>8.6021505376344086E-4</v>
      </c>
      <c r="I60" s="44">
        <f t="shared" si="23"/>
        <v>5.3978494623655913E-2</v>
      </c>
      <c r="J60" s="44">
        <f t="shared" si="23"/>
        <v>2.8602150537634409E-2</v>
      </c>
      <c r="K60" s="44">
        <f t="shared" si="23"/>
        <v>1.3118279569892474E-2</v>
      </c>
      <c r="L60" s="44">
        <f t="shared" si="23"/>
        <v>4.7311827956989247E-3</v>
      </c>
      <c r="M60" s="44"/>
      <c r="N60" s="44">
        <f t="shared" si="23"/>
        <v>2.1505376344086021E-4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0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0" t="str">
        <f>'01.08 NAMUGONGO-KIREKA'!C3:G3</f>
        <v>MCC - C1 - STN039 - NAMUGONGO ROAD</v>
      </c>
      <c r="D3" s="60"/>
      <c r="E3" s="60"/>
      <c r="F3" s="60"/>
      <c r="G3" s="6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178</v>
      </c>
      <c r="E5" s="3"/>
      <c r="F5" s="41" t="s">
        <v>1</v>
      </c>
      <c r="G5" s="56" t="str">
        <f>'03.08 KIREKA-NAMUGONGO-24h'!G5:H5</f>
        <v>AGENDA</v>
      </c>
      <c r="H5" s="57"/>
      <c r="I5" s="14"/>
      <c r="J5" s="2" t="s">
        <v>5</v>
      </c>
      <c r="K5" s="56" t="str">
        <f>'03.08 KIREKA-NAMUGONGO-24h'!K5:L5</f>
        <v>STEVEN</v>
      </c>
      <c r="L5" s="57"/>
      <c r="M5" s="10"/>
      <c r="N5" s="10"/>
      <c r="O5" s="3"/>
      <c r="P5" s="3"/>
    </row>
    <row r="6" spans="2:32" ht="23.25" customHeight="1" x14ac:dyDescent="0.25">
      <c r="C6" s="2" t="s">
        <v>4</v>
      </c>
      <c r="D6" s="56" t="str">
        <f>'01.08 NAMUGONGO-KIREKA'!D6:E6</f>
        <v>NAMUGONGO</v>
      </c>
      <c r="E6" s="57"/>
      <c r="F6" s="2" t="s">
        <v>2</v>
      </c>
      <c r="G6" s="56" t="str">
        <f>'01.08 NAMUGONGO-KIREKA'!G6:H6</f>
        <v>KIREKA</v>
      </c>
      <c r="H6" s="57"/>
      <c r="J6" s="2" t="s">
        <v>21</v>
      </c>
      <c r="K6" s="56" t="str">
        <f>'03.08 KIREKA-NAMUGONGO-24h'!K6:L6</f>
        <v>NAIDO GRACE BRENDA</v>
      </c>
      <c r="L6" s="5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5" t="s">
        <v>88</v>
      </c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52</v>
      </c>
      <c r="D10" s="50">
        <v>4</v>
      </c>
      <c r="E10" s="50">
        <v>2</v>
      </c>
      <c r="F10" s="50">
        <v>12</v>
      </c>
      <c r="G10" s="50">
        <v>1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15">
        <f t="shared" ref="O10:O73" si="0">SUM(C10:L10,N10)</f>
        <v>71</v>
      </c>
      <c r="P10" s="15">
        <f t="shared" ref="P10:P73" si="1">SUM(C10:N10)</f>
        <v>71</v>
      </c>
      <c r="R10" s="1" t="s">
        <v>6</v>
      </c>
      <c r="S10" s="17">
        <f t="shared" ref="S10:AF10" si="2">SUM(C10:C13)</f>
        <v>407</v>
      </c>
      <c r="T10" s="17">
        <f t="shared" si="2"/>
        <v>34</v>
      </c>
      <c r="U10" s="17">
        <f t="shared" si="2"/>
        <v>63</v>
      </c>
      <c r="V10" s="17">
        <f t="shared" si="2"/>
        <v>133</v>
      </c>
      <c r="W10" s="17">
        <f t="shared" si="2"/>
        <v>2</v>
      </c>
      <c r="X10" s="17">
        <f t="shared" si="2"/>
        <v>0</v>
      </c>
      <c r="Y10" s="17">
        <f t="shared" si="2"/>
        <v>8</v>
      </c>
      <c r="Z10" s="17">
        <f t="shared" si="2"/>
        <v>2</v>
      </c>
      <c r="AA10" s="17">
        <f t="shared" si="2"/>
        <v>0</v>
      </c>
      <c r="AB10" s="17">
        <f t="shared" si="2"/>
        <v>0</v>
      </c>
      <c r="AC10" s="17">
        <f t="shared" si="2"/>
        <v>526</v>
      </c>
      <c r="AD10" s="17">
        <f t="shared" si="2"/>
        <v>0</v>
      </c>
      <c r="AE10" s="31">
        <f t="shared" si="2"/>
        <v>649</v>
      </c>
      <c r="AF10" s="31">
        <f t="shared" si="2"/>
        <v>1175</v>
      </c>
    </row>
    <row r="11" spans="2:32" s="6" customFormat="1" ht="23.1" customHeight="1" x14ac:dyDescent="0.25">
      <c r="B11" s="45" t="s">
        <v>38</v>
      </c>
      <c r="C11" s="50">
        <v>130</v>
      </c>
      <c r="D11" s="50">
        <v>9</v>
      </c>
      <c r="E11" s="50">
        <v>15</v>
      </c>
      <c r="F11" s="50">
        <v>48</v>
      </c>
      <c r="G11" s="50">
        <v>1</v>
      </c>
      <c r="H11" s="50">
        <v>0</v>
      </c>
      <c r="I11" s="50">
        <v>6</v>
      </c>
      <c r="J11" s="50">
        <v>0</v>
      </c>
      <c r="K11" s="50">
        <v>0</v>
      </c>
      <c r="L11" s="50">
        <v>0</v>
      </c>
      <c r="M11" s="50">
        <v>155</v>
      </c>
      <c r="N11" s="50">
        <v>0</v>
      </c>
      <c r="O11" s="15">
        <f t="shared" si="0"/>
        <v>209</v>
      </c>
      <c r="P11" s="15">
        <f t="shared" si="1"/>
        <v>364</v>
      </c>
      <c r="R11" s="1" t="s">
        <v>7</v>
      </c>
      <c r="S11" s="17">
        <f t="shared" ref="S11:AF11" si="3">SUM(C14:C17)</f>
        <v>407</v>
      </c>
      <c r="T11" s="17">
        <f t="shared" si="3"/>
        <v>41</v>
      </c>
      <c r="U11" s="17">
        <f t="shared" si="3"/>
        <v>40</v>
      </c>
      <c r="V11" s="17">
        <f t="shared" si="3"/>
        <v>95</v>
      </c>
      <c r="W11" s="17">
        <f t="shared" si="3"/>
        <v>1</v>
      </c>
      <c r="X11" s="17">
        <f t="shared" si="3"/>
        <v>0</v>
      </c>
      <c r="Y11" s="17">
        <f t="shared" si="3"/>
        <v>46</v>
      </c>
      <c r="Z11" s="17">
        <f t="shared" si="3"/>
        <v>1</v>
      </c>
      <c r="AA11" s="17">
        <f t="shared" si="3"/>
        <v>1</v>
      </c>
      <c r="AB11" s="17">
        <f t="shared" si="3"/>
        <v>0</v>
      </c>
      <c r="AC11" s="17">
        <f t="shared" si="3"/>
        <v>1068</v>
      </c>
      <c r="AD11" s="17">
        <f t="shared" si="3"/>
        <v>0</v>
      </c>
      <c r="AE11" s="31">
        <f t="shared" si="3"/>
        <v>632</v>
      </c>
      <c r="AF11" s="31">
        <f t="shared" si="3"/>
        <v>1700</v>
      </c>
    </row>
    <row r="12" spans="2:32" ht="23.1" customHeight="1" x14ac:dyDescent="0.25">
      <c r="B12" s="45" t="s">
        <v>39</v>
      </c>
      <c r="C12" s="50">
        <v>105</v>
      </c>
      <c r="D12" s="50">
        <v>10</v>
      </c>
      <c r="E12" s="50">
        <v>23</v>
      </c>
      <c r="F12" s="50">
        <v>33</v>
      </c>
      <c r="G12" s="50">
        <v>0</v>
      </c>
      <c r="H12" s="50">
        <v>0</v>
      </c>
      <c r="I12" s="50">
        <v>1</v>
      </c>
      <c r="J12" s="50">
        <v>1</v>
      </c>
      <c r="K12" s="50">
        <v>0</v>
      </c>
      <c r="L12" s="50">
        <v>0</v>
      </c>
      <c r="M12" s="50">
        <v>198</v>
      </c>
      <c r="N12" s="50">
        <v>0</v>
      </c>
      <c r="O12" s="15">
        <f t="shared" si="0"/>
        <v>173</v>
      </c>
      <c r="P12" s="15">
        <f t="shared" si="1"/>
        <v>371</v>
      </c>
      <c r="R12" s="1" t="s">
        <v>8</v>
      </c>
      <c r="S12" s="17">
        <f t="shared" ref="S12:AF12" si="4">SUM(C18:C21)</f>
        <v>351</v>
      </c>
      <c r="T12" s="17">
        <f t="shared" si="4"/>
        <v>38</v>
      </c>
      <c r="U12" s="17">
        <f t="shared" si="4"/>
        <v>36</v>
      </c>
      <c r="V12" s="17">
        <f t="shared" si="4"/>
        <v>108</v>
      </c>
      <c r="W12" s="17">
        <f t="shared" si="4"/>
        <v>0</v>
      </c>
      <c r="X12" s="17">
        <f t="shared" si="4"/>
        <v>0</v>
      </c>
      <c r="Y12" s="17">
        <f t="shared" si="4"/>
        <v>27</v>
      </c>
      <c r="Z12" s="17">
        <f t="shared" si="4"/>
        <v>5</v>
      </c>
      <c r="AA12" s="17">
        <f t="shared" si="4"/>
        <v>1</v>
      </c>
      <c r="AB12" s="17">
        <f t="shared" si="4"/>
        <v>1</v>
      </c>
      <c r="AC12" s="17">
        <f t="shared" si="4"/>
        <v>551</v>
      </c>
      <c r="AD12" s="17">
        <f t="shared" si="4"/>
        <v>0</v>
      </c>
      <c r="AE12" s="31">
        <f t="shared" si="4"/>
        <v>567</v>
      </c>
      <c r="AF12" s="31">
        <f t="shared" si="4"/>
        <v>1118</v>
      </c>
    </row>
    <row r="13" spans="2:32" ht="23.1" customHeight="1" x14ac:dyDescent="0.25">
      <c r="B13" s="45" t="s">
        <v>40</v>
      </c>
      <c r="C13" s="50">
        <v>120</v>
      </c>
      <c r="D13" s="50">
        <v>11</v>
      </c>
      <c r="E13" s="50">
        <v>23</v>
      </c>
      <c r="F13" s="50">
        <v>40</v>
      </c>
      <c r="G13" s="50">
        <v>0</v>
      </c>
      <c r="H13" s="50">
        <v>0</v>
      </c>
      <c r="I13" s="50">
        <v>1</v>
      </c>
      <c r="J13" s="50">
        <v>1</v>
      </c>
      <c r="K13" s="50">
        <v>0</v>
      </c>
      <c r="L13" s="50">
        <v>0</v>
      </c>
      <c r="M13" s="50">
        <v>173</v>
      </c>
      <c r="N13" s="50">
        <v>0</v>
      </c>
      <c r="O13" s="15">
        <f t="shared" si="0"/>
        <v>196</v>
      </c>
      <c r="P13" s="15">
        <f t="shared" si="1"/>
        <v>369</v>
      </c>
      <c r="R13" s="1" t="s">
        <v>9</v>
      </c>
      <c r="S13" s="17">
        <f t="shared" ref="S13:AF13" si="5">SUM(C22:C25)</f>
        <v>236</v>
      </c>
      <c r="T13" s="17">
        <f t="shared" si="5"/>
        <v>33</v>
      </c>
      <c r="U13" s="17">
        <f t="shared" si="5"/>
        <v>27</v>
      </c>
      <c r="V13" s="17">
        <f t="shared" si="5"/>
        <v>88</v>
      </c>
      <c r="W13" s="17">
        <f t="shared" si="5"/>
        <v>3</v>
      </c>
      <c r="X13" s="17">
        <f t="shared" si="5"/>
        <v>0</v>
      </c>
      <c r="Y13" s="17">
        <f t="shared" si="5"/>
        <v>16</v>
      </c>
      <c r="Z13" s="17">
        <f t="shared" si="5"/>
        <v>7</v>
      </c>
      <c r="AA13" s="17">
        <f t="shared" si="5"/>
        <v>6</v>
      </c>
      <c r="AB13" s="17">
        <f t="shared" si="5"/>
        <v>1</v>
      </c>
      <c r="AC13" s="17">
        <f t="shared" si="5"/>
        <v>445</v>
      </c>
      <c r="AD13" s="17">
        <f t="shared" si="5"/>
        <v>0</v>
      </c>
      <c r="AE13" s="31">
        <f t="shared" si="5"/>
        <v>417</v>
      </c>
      <c r="AF13" s="31">
        <f t="shared" si="5"/>
        <v>862</v>
      </c>
    </row>
    <row r="14" spans="2:32" ht="23.1" customHeight="1" x14ac:dyDescent="0.25">
      <c r="B14" s="45" t="s">
        <v>41</v>
      </c>
      <c r="C14" s="50">
        <v>104</v>
      </c>
      <c r="D14" s="50">
        <v>9</v>
      </c>
      <c r="E14" s="50">
        <v>9</v>
      </c>
      <c r="F14" s="50">
        <v>24</v>
      </c>
      <c r="G14" s="50">
        <v>0</v>
      </c>
      <c r="H14" s="50">
        <v>0</v>
      </c>
      <c r="I14" s="50">
        <v>10</v>
      </c>
      <c r="J14" s="50">
        <v>0</v>
      </c>
      <c r="K14" s="50">
        <v>1</v>
      </c>
      <c r="L14" s="50">
        <v>0</v>
      </c>
      <c r="M14" s="50">
        <v>515</v>
      </c>
      <c r="N14" s="50">
        <v>0</v>
      </c>
      <c r="O14" s="15">
        <f t="shared" si="0"/>
        <v>157</v>
      </c>
      <c r="P14" s="15">
        <f t="shared" si="1"/>
        <v>672</v>
      </c>
      <c r="R14" s="1" t="s">
        <v>10</v>
      </c>
      <c r="S14" s="17">
        <f t="shared" ref="S14:AF14" si="6">SUM(C26:C29)</f>
        <v>193</v>
      </c>
      <c r="T14" s="17">
        <f t="shared" si="6"/>
        <v>32</v>
      </c>
      <c r="U14" s="17">
        <f t="shared" si="6"/>
        <v>34</v>
      </c>
      <c r="V14" s="17">
        <f t="shared" si="6"/>
        <v>74</v>
      </c>
      <c r="W14" s="17">
        <f t="shared" si="6"/>
        <v>2</v>
      </c>
      <c r="X14" s="17">
        <f t="shared" si="6"/>
        <v>0</v>
      </c>
      <c r="Y14" s="17">
        <f t="shared" si="6"/>
        <v>29</v>
      </c>
      <c r="Z14" s="17">
        <f t="shared" si="6"/>
        <v>6</v>
      </c>
      <c r="AA14" s="17">
        <f t="shared" si="6"/>
        <v>5</v>
      </c>
      <c r="AB14" s="17">
        <f t="shared" si="6"/>
        <v>1</v>
      </c>
      <c r="AC14" s="17">
        <f t="shared" si="6"/>
        <v>452</v>
      </c>
      <c r="AD14" s="17">
        <f t="shared" si="6"/>
        <v>0</v>
      </c>
      <c r="AE14" s="31">
        <f t="shared" si="6"/>
        <v>376</v>
      </c>
      <c r="AF14" s="31">
        <f t="shared" si="6"/>
        <v>828</v>
      </c>
    </row>
    <row r="15" spans="2:32" ht="23.1" customHeight="1" x14ac:dyDescent="0.25">
      <c r="B15" s="45" t="s">
        <v>42</v>
      </c>
      <c r="C15" s="50">
        <v>111</v>
      </c>
      <c r="D15" s="50">
        <v>7</v>
      </c>
      <c r="E15" s="50">
        <v>10</v>
      </c>
      <c r="F15" s="50">
        <v>33</v>
      </c>
      <c r="G15" s="50">
        <v>1</v>
      </c>
      <c r="H15" s="50">
        <v>0</v>
      </c>
      <c r="I15" s="50">
        <v>8</v>
      </c>
      <c r="J15" s="50">
        <v>1</v>
      </c>
      <c r="K15" s="50">
        <v>0</v>
      </c>
      <c r="L15" s="50">
        <v>0</v>
      </c>
      <c r="M15" s="50">
        <v>213</v>
      </c>
      <c r="N15" s="50">
        <v>0</v>
      </c>
      <c r="O15" s="15">
        <f t="shared" si="0"/>
        <v>171</v>
      </c>
      <c r="P15" s="15">
        <f t="shared" si="1"/>
        <v>384</v>
      </c>
      <c r="R15" s="1" t="s">
        <v>11</v>
      </c>
      <c r="S15" s="17">
        <f t="shared" ref="S15:AF15" si="7">SUM(C30:C33)</f>
        <v>217</v>
      </c>
      <c r="T15" s="17">
        <f t="shared" si="7"/>
        <v>21</v>
      </c>
      <c r="U15" s="17">
        <f t="shared" si="7"/>
        <v>43</v>
      </c>
      <c r="V15" s="17">
        <f t="shared" si="7"/>
        <v>54</v>
      </c>
      <c r="W15" s="17">
        <f t="shared" si="7"/>
        <v>5</v>
      </c>
      <c r="X15" s="17">
        <f t="shared" si="7"/>
        <v>0</v>
      </c>
      <c r="Y15" s="17">
        <f t="shared" si="7"/>
        <v>25</v>
      </c>
      <c r="Z15" s="17">
        <f t="shared" si="7"/>
        <v>7</v>
      </c>
      <c r="AA15" s="17">
        <f t="shared" si="7"/>
        <v>7</v>
      </c>
      <c r="AB15" s="17">
        <f t="shared" si="7"/>
        <v>0</v>
      </c>
      <c r="AC15" s="17">
        <f t="shared" si="7"/>
        <v>419</v>
      </c>
      <c r="AD15" s="17">
        <f t="shared" si="7"/>
        <v>0</v>
      </c>
      <c r="AE15" s="31">
        <f t="shared" si="7"/>
        <v>379</v>
      </c>
      <c r="AF15" s="31">
        <f t="shared" si="7"/>
        <v>798</v>
      </c>
    </row>
    <row r="16" spans="2:32" ht="23.1" customHeight="1" x14ac:dyDescent="0.25">
      <c r="B16" s="45" t="s">
        <v>43</v>
      </c>
      <c r="C16" s="50">
        <v>90</v>
      </c>
      <c r="D16" s="50">
        <v>11</v>
      </c>
      <c r="E16" s="50">
        <v>9</v>
      </c>
      <c r="F16" s="50">
        <v>26</v>
      </c>
      <c r="G16" s="50">
        <v>0</v>
      </c>
      <c r="H16" s="50">
        <v>0</v>
      </c>
      <c r="I16" s="50">
        <v>2</v>
      </c>
      <c r="J16" s="50">
        <v>0</v>
      </c>
      <c r="K16" s="50">
        <v>0</v>
      </c>
      <c r="L16" s="50">
        <v>0</v>
      </c>
      <c r="M16" s="50">
        <v>164</v>
      </c>
      <c r="N16" s="50">
        <v>0</v>
      </c>
      <c r="O16" s="15">
        <f t="shared" si="0"/>
        <v>138</v>
      </c>
      <c r="P16" s="15">
        <f t="shared" si="1"/>
        <v>302</v>
      </c>
      <c r="R16" s="1" t="s">
        <v>12</v>
      </c>
      <c r="S16" s="17">
        <f t="shared" ref="S16:AF16" si="8">SUM(C34:C37)</f>
        <v>184</v>
      </c>
      <c r="T16" s="17">
        <f t="shared" si="8"/>
        <v>18</v>
      </c>
      <c r="U16" s="17">
        <f t="shared" si="8"/>
        <v>38</v>
      </c>
      <c r="V16" s="17">
        <f t="shared" si="8"/>
        <v>72</v>
      </c>
      <c r="W16" s="17">
        <f t="shared" si="8"/>
        <v>1</v>
      </c>
      <c r="X16" s="17">
        <f t="shared" si="8"/>
        <v>0</v>
      </c>
      <c r="Y16" s="17">
        <f t="shared" si="8"/>
        <v>29</v>
      </c>
      <c r="Z16" s="17">
        <f t="shared" si="8"/>
        <v>8</v>
      </c>
      <c r="AA16" s="17">
        <f t="shared" si="8"/>
        <v>8</v>
      </c>
      <c r="AB16" s="17">
        <f t="shared" si="8"/>
        <v>2</v>
      </c>
      <c r="AC16" s="17">
        <f t="shared" si="8"/>
        <v>411</v>
      </c>
      <c r="AD16" s="17">
        <f t="shared" si="8"/>
        <v>1</v>
      </c>
      <c r="AE16" s="31">
        <f t="shared" si="8"/>
        <v>361</v>
      </c>
      <c r="AF16" s="31">
        <f t="shared" si="8"/>
        <v>772</v>
      </c>
    </row>
    <row r="17" spans="2:32" ht="23.1" customHeight="1" x14ac:dyDescent="0.25">
      <c r="B17" s="45" t="s">
        <v>44</v>
      </c>
      <c r="C17" s="50">
        <v>102</v>
      </c>
      <c r="D17" s="50">
        <v>14</v>
      </c>
      <c r="E17" s="50">
        <v>12</v>
      </c>
      <c r="F17" s="50">
        <v>12</v>
      </c>
      <c r="G17" s="50">
        <v>0</v>
      </c>
      <c r="H17" s="50">
        <v>0</v>
      </c>
      <c r="I17" s="50">
        <v>26</v>
      </c>
      <c r="J17" s="50">
        <v>0</v>
      </c>
      <c r="K17" s="50">
        <v>0</v>
      </c>
      <c r="L17" s="50">
        <v>0</v>
      </c>
      <c r="M17" s="50">
        <v>176</v>
      </c>
      <c r="N17" s="50">
        <v>0</v>
      </c>
      <c r="O17" s="15">
        <f t="shared" si="0"/>
        <v>166</v>
      </c>
      <c r="P17" s="15">
        <f t="shared" si="1"/>
        <v>342</v>
      </c>
      <c r="R17" s="1" t="s">
        <v>13</v>
      </c>
      <c r="S17" s="17">
        <f t="shared" ref="S17:AF17" si="9">SUM(C38:C41)</f>
        <v>186</v>
      </c>
      <c r="T17" s="17">
        <f t="shared" si="9"/>
        <v>21</v>
      </c>
      <c r="U17" s="17">
        <f t="shared" si="9"/>
        <v>25</v>
      </c>
      <c r="V17" s="17">
        <f t="shared" si="9"/>
        <v>72</v>
      </c>
      <c r="W17" s="17">
        <f t="shared" si="9"/>
        <v>0</v>
      </c>
      <c r="X17" s="17">
        <f t="shared" si="9"/>
        <v>1</v>
      </c>
      <c r="Y17" s="17">
        <f t="shared" si="9"/>
        <v>21</v>
      </c>
      <c r="Z17" s="17">
        <f t="shared" si="9"/>
        <v>6</v>
      </c>
      <c r="AA17" s="17">
        <f t="shared" si="9"/>
        <v>0</v>
      </c>
      <c r="AB17" s="17">
        <f t="shared" si="9"/>
        <v>2</v>
      </c>
      <c r="AC17" s="17">
        <f t="shared" si="9"/>
        <v>727</v>
      </c>
      <c r="AD17" s="17">
        <f t="shared" si="9"/>
        <v>0</v>
      </c>
      <c r="AE17" s="31">
        <f t="shared" si="9"/>
        <v>334</v>
      </c>
      <c r="AF17" s="31">
        <f t="shared" si="9"/>
        <v>1061</v>
      </c>
    </row>
    <row r="18" spans="2:32" ht="23.1" customHeight="1" x14ac:dyDescent="0.25">
      <c r="B18" s="45" t="s">
        <v>45</v>
      </c>
      <c r="C18" s="50">
        <v>75</v>
      </c>
      <c r="D18" s="50">
        <v>14</v>
      </c>
      <c r="E18" s="50">
        <v>14</v>
      </c>
      <c r="F18" s="50">
        <v>29</v>
      </c>
      <c r="G18" s="50">
        <v>0</v>
      </c>
      <c r="H18" s="50">
        <v>0</v>
      </c>
      <c r="I18" s="50">
        <v>9</v>
      </c>
      <c r="J18" s="50">
        <v>0</v>
      </c>
      <c r="K18" s="50">
        <v>0</v>
      </c>
      <c r="L18" s="50">
        <v>0</v>
      </c>
      <c r="M18" s="50">
        <v>133</v>
      </c>
      <c r="N18" s="50">
        <v>0</v>
      </c>
      <c r="O18" s="15">
        <f t="shared" si="0"/>
        <v>141</v>
      </c>
      <c r="P18" s="15">
        <f t="shared" si="1"/>
        <v>274</v>
      </c>
      <c r="R18" s="1" t="s">
        <v>14</v>
      </c>
      <c r="S18" s="17">
        <f t="shared" ref="S18:AF18" si="10">SUM(C42:C45)</f>
        <v>149</v>
      </c>
      <c r="T18" s="17">
        <f t="shared" si="10"/>
        <v>13</v>
      </c>
      <c r="U18" s="17">
        <f t="shared" si="10"/>
        <v>44</v>
      </c>
      <c r="V18" s="17">
        <f t="shared" si="10"/>
        <v>60</v>
      </c>
      <c r="W18" s="17">
        <f t="shared" si="10"/>
        <v>3</v>
      </c>
      <c r="X18" s="17">
        <f t="shared" si="10"/>
        <v>0</v>
      </c>
      <c r="Y18" s="17">
        <f t="shared" si="10"/>
        <v>32</v>
      </c>
      <c r="Z18" s="17">
        <f t="shared" si="10"/>
        <v>13</v>
      </c>
      <c r="AA18" s="17">
        <f t="shared" si="10"/>
        <v>3</v>
      </c>
      <c r="AB18" s="17">
        <f t="shared" si="10"/>
        <v>1</v>
      </c>
      <c r="AC18" s="17">
        <f t="shared" si="10"/>
        <v>405</v>
      </c>
      <c r="AD18" s="17">
        <f t="shared" si="10"/>
        <v>0</v>
      </c>
      <c r="AE18" s="31">
        <f t="shared" si="10"/>
        <v>318</v>
      </c>
      <c r="AF18" s="31">
        <f t="shared" si="10"/>
        <v>723</v>
      </c>
    </row>
    <row r="19" spans="2:32" ht="23.1" customHeight="1" x14ac:dyDescent="0.25">
      <c r="B19" s="45" t="s">
        <v>46</v>
      </c>
      <c r="C19" s="50">
        <v>96</v>
      </c>
      <c r="D19" s="50">
        <v>6</v>
      </c>
      <c r="E19" s="50">
        <v>5</v>
      </c>
      <c r="F19" s="50">
        <v>27</v>
      </c>
      <c r="G19" s="50">
        <v>0</v>
      </c>
      <c r="H19" s="50">
        <v>0</v>
      </c>
      <c r="I19" s="50">
        <v>4</v>
      </c>
      <c r="J19" s="50">
        <v>5</v>
      </c>
      <c r="K19" s="50">
        <v>1</v>
      </c>
      <c r="L19" s="50">
        <v>1</v>
      </c>
      <c r="M19" s="50">
        <v>156</v>
      </c>
      <c r="N19" s="50">
        <v>0</v>
      </c>
      <c r="O19" s="15">
        <f t="shared" si="0"/>
        <v>145</v>
      </c>
      <c r="P19" s="15">
        <f t="shared" si="1"/>
        <v>301</v>
      </c>
      <c r="R19" s="1" t="s">
        <v>15</v>
      </c>
      <c r="S19" s="17">
        <f t="shared" ref="S19:AF19" si="11">SUM(C46:C49)</f>
        <v>167</v>
      </c>
      <c r="T19" s="17">
        <f t="shared" si="11"/>
        <v>15</v>
      </c>
      <c r="U19" s="17">
        <f t="shared" si="11"/>
        <v>24</v>
      </c>
      <c r="V19" s="17">
        <f t="shared" si="11"/>
        <v>98</v>
      </c>
      <c r="W19" s="17">
        <f t="shared" si="11"/>
        <v>4</v>
      </c>
      <c r="X19" s="17">
        <f t="shared" si="11"/>
        <v>0</v>
      </c>
      <c r="Y19" s="17">
        <f t="shared" si="11"/>
        <v>31</v>
      </c>
      <c r="Z19" s="17">
        <f t="shared" si="11"/>
        <v>9</v>
      </c>
      <c r="AA19" s="17">
        <f t="shared" si="11"/>
        <v>3</v>
      </c>
      <c r="AB19" s="17">
        <f t="shared" si="11"/>
        <v>1</v>
      </c>
      <c r="AC19" s="17">
        <f t="shared" si="11"/>
        <v>484</v>
      </c>
      <c r="AD19" s="17">
        <f t="shared" si="11"/>
        <v>0</v>
      </c>
      <c r="AE19" s="31">
        <f t="shared" si="11"/>
        <v>352</v>
      </c>
      <c r="AF19" s="31">
        <f t="shared" si="11"/>
        <v>836</v>
      </c>
    </row>
    <row r="20" spans="2:32" ht="23.1" customHeight="1" x14ac:dyDescent="0.25">
      <c r="B20" s="45" t="s">
        <v>47</v>
      </c>
      <c r="C20" s="50">
        <v>100</v>
      </c>
      <c r="D20" s="50">
        <v>11</v>
      </c>
      <c r="E20" s="50">
        <v>9</v>
      </c>
      <c r="F20" s="50">
        <v>27</v>
      </c>
      <c r="G20" s="50">
        <v>0</v>
      </c>
      <c r="H20" s="50">
        <v>0</v>
      </c>
      <c r="I20" s="50">
        <v>4</v>
      </c>
      <c r="J20" s="50">
        <v>0</v>
      </c>
      <c r="K20" s="50">
        <v>0</v>
      </c>
      <c r="L20" s="50">
        <v>0</v>
      </c>
      <c r="M20" s="50">
        <v>145</v>
      </c>
      <c r="N20" s="50">
        <v>0</v>
      </c>
      <c r="O20" s="15">
        <f t="shared" si="0"/>
        <v>151</v>
      </c>
      <c r="P20" s="15">
        <f t="shared" si="1"/>
        <v>296</v>
      </c>
      <c r="R20" s="1" t="s">
        <v>16</v>
      </c>
      <c r="S20" s="17">
        <f t="shared" ref="S20:AF20" si="12">SUM(C50:C53)</f>
        <v>203</v>
      </c>
      <c r="T20" s="17">
        <f t="shared" si="12"/>
        <v>26</v>
      </c>
      <c r="U20" s="17">
        <f t="shared" si="12"/>
        <v>34</v>
      </c>
      <c r="V20" s="17">
        <f t="shared" si="12"/>
        <v>81</v>
      </c>
      <c r="W20" s="17">
        <f t="shared" si="12"/>
        <v>3</v>
      </c>
      <c r="X20" s="17">
        <f t="shared" si="12"/>
        <v>0</v>
      </c>
      <c r="Y20" s="17">
        <f t="shared" si="12"/>
        <v>17</v>
      </c>
      <c r="Z20" s="17">
        <f t="shared" si="12"/>
        <v>12</v>
      </c>
      <c r="AA20" s="17">
        <f t="shared" si="12"/>
        <v>6</v>
      </c>
      <c r="AB20" s="17">
        <f t="shared" si="12"/>
        <v>2</v>
      </c>
      <c r="AC20" s="17">
        <f t="shared" si="12"/>
        <v>500</v>
      </c>
      <c r="AD20" s="17">
        <f t="shared" si="12"/>
        <v>0</v>
      </c>
      <c r="AE20" s="31">
        <f t="shared" si="12"/>
        <v>384</v>
      </c>
      <c r="AF20" s="31">
        <f t="shared" si="12"/>
        <v>884</v>
      </c>
    </row>
    <row r="21" spans="2:32" ht="23.1" customHeight="1" x14ac:dyDescent="0.25">
      <c r="B21" s="45" t="s">
        <v>48</v>
      </c>
      <c r="C21" s="50">
        <v>80</v>
      </c>
      <c r="D21" s="50">
        <v>7</v>
      </c>
      <c r="E21" s="50">
        <v>8</v>
      </c>
      <c r="F21" s="50">
        <v>25</v>
      </c>
      <c r="G21" s="50">
        <v>0</v>
      </c>
      <c r="H21" s="50">
        <v>0</v>
      </c>
      <c r="I21" s="50">
        <v>10</v>
      </c>
      <c r="J21" s="50">
        <v>0</v>
      </c>
      <c r="K21" s="50">
        <v>0</v>
      </c>
      <c r="L21" s="50">
        <v>0</v>
      </c>
      <c r="M21" s="50">
        <v>117</v>
      </c>
      <c r="N21" s="50">
        <v>0</v>
      </c>
      <c r="O21" s="15">
        <f t="shared" si="0"/>
        <v>130</v>
      </c>
      <c r="P21" s="15">
        <f t="shared" si="1"/>
        <v>247</v>
      </c>
      <c r="R21" s="36" t="s">
        <v>20</v>
      </c>
      <c r="S21" s="34">
        <f t="shared" ref="S21:AF21" si="13">SUM(C54:C57)</f>
        <v>204</v>
      </c>
      <c r="T21" s="17">
        <f t="shared" si="13"/>
        <v>23</v>
      </c>
      <c r="U21" s="17">
        <f t="shared" si="13"/>
        <v>38</v>
      </c>
      <c r="V21" s="17">
        <f t="shared" si="13"/>
        <v>64</v>
      </c>
      <c r="W21" s="17">
        <f t="shared" si="13"/>
        <v>4</v>
      </c>
      <c r="X21" s="17">
        <f t="shared" si="13"/>
        <v>0</v>
      </c>
      <c r="Y21" s="17">
        <f t="shared" si="13"/>
        <v>14</v>
      </c>
      <c r="Z21" s="17">
        <f t="shared" si="13"/>
        <v>11</v>
      </c>
      <c r="AA21" s="17">
        <f t="shared" si="13"/>
        <v>7</v>
      </c>
      <c r="AB21" s="17">
        <f t="shared" si="13"/>
        <v>2</v>
      </c>
      <c r="AC21" s="17">
        <f t="shared" si="13"/>
        <v>570</v>
      </c>
      <c r="AD21" s="17">
        <f t="shared" si="13"/>
        <v>0</v>
      </c>
      <c r="AE21" s="31">
        <f t="shared" si="13"/>
        <v>367</v>
      </c>
      <c r="AF21" s="31">
        <f t="shared" si="13"/>
        <v>937</v>
      </c>
    </row>
    <row r="22" spans="2:32" ht="23.1" customHeight="1" x14ac:dyDescent="0.25">
      <c r="B22" s="45" t="s">
        <v>49</v>
      </c>
      <c r="C22" s="50">
        <v>78</v>
      </c>
      <c r="D22" s="50">
        <v>12</v>
      </c>
      <c r="E22" s="50">
        <v>8</v>
      </c>
      <c r="F22" s="50">
        <v>23</v>
      </c>
      <c r="G22" s="50">
        <v>0</v>
      </c>
      <c r="H22" s="50">
        <v>0</v>
      </c>
      <c r="I22" s="50">
        <v>5</v>
      </c>
      <c r="J22" s="50">
        <v>0</v>
      </c>
      <c r="K22" s="50">
        <v>1</v>
      </c>
      <c r="L22" s="50">
        <v>0</v>
      </c>
      <c r="M22" s="50">
        <v>108</v>
      </c>
      <c r="N22" s="50">
        <v>0</v>
      </c>
      <c r="O22" s="15">
        <f t="shared" si="0"/>
        <v>127</v>
      </c>
      <c r="P22" s="15">
        <f t="shared" si="1"/>
        <v>235</v>
      </c>
      <c r="R22" s="36" t="s">
        <v>146</v>
      </c>
      <c r="S22" s="34">
        <f>SUM(C58:C61)</f>
        <v>0</v>
      </c>
      <c r="T22" s="34">
        <f t="shared" ref="T22:AF22" si="14">SUM(D58:D61)</f>
        <v>0</v>
      </c>
      <c r="U22" s="34">
        <f t="shared" si="14"/>
        <v>0</v>
      </c>
      <c r="V22" s="34">
        <f t="shared" si="14"/>
        <v>0</v>
      </c>
      <c r="W22" s="34">
        <f t="shared" si="14"/>
        <v>0</v>
      </c>
      <c r="X22" s="34">
        <f t="shared" si="14"/>
        <v>0</v>
      </c>
      <c r="Y22" s="34">
        <f t="shared" si="14"/>
        <v>0</v>
      </c>
      <c r="Z22" s="34">
        <f t="shared" si="14"/>
        <v>0</v>
      </c>
      <c r="AA22" s="34">
        <f t="shared" si="14"/>
        <v>0</v>
      </c>
      <c r="AB22" s="34">
        <f t="shared" si="14"/>
        <v>0</v>
      </c>
      <c r="AC22" s="34">
        <f t="shared" si="14"/>
        <v>0</v>
      </c>
      <c r="AD22" s="34">
        <f t="shared" si="14"/>
        <v>0</v>
      </c>
      <c r="AE22" s="31">
        <f t="shared" si="14"/>
        <v>0</v>
      </c>
      <c r="AF22" s="31">
        <f t="shared" si="14"/>
        <v>0</v>
      </c>
    </row>
    <row r="23" spans="2:32" ht="23.1" customHeight="1" x14ac:dyDescent="0.25">
      <c r="B23" s="45" t="s">
        <v>50</v>
      </c>
      <c r="C23" s="50">
        <v>57</v>
      </c>
      <c r="D23" s="50">
        <v>4</v>
      </c>
      <c r="E23" s="50">
        <v>9</v>
      </c>
      <c r="F23" s="50">
        <v>28</v>
      </c>
      <c r="G23" s="50">
        <v>2</v>
      </c>
      <c r="H23" s="50">
        <v>0</v>
      </c>
      <c r="I23" s="50">
        <v>4</v>
      </c>
      <c r="J23" s="50">
        <v>3</v>
      </c>
      <c r="K23" s="50">
        <v>1</v>
      </c>
      <c r="L23" s="50">
        <v>0</v>
      </c>
      <c r="M23" s="50">
        <v>133</v>
      </c>
      <c r="N23" s="50">
        <v>0</v>
      </c>
      <c r="O23" s="15">
        <f t="shared" si="0"/>
        <v>108</v>
      </c>
      <c r="P23" s="15">
        <f t="shared" si="1"/>
        <v>241</v>
      </c>
      <c r="R23" s="36" t="s">
        <v>147</v>
      </c>
      <c r="S23" s="34">
        <f>SUM(C62:C65)</f>
        <v>0</v>
      </c>
      <c r="T23" s="34">
        <f t="shared" ref="T23:AF23" si="15">SUM(D62:D65)</f>
        <v>0</v>
      </c>
      <c r="U23" s="34">
        <f t="shared" si="15"/>
        <v>0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0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0</v>
      </c>
      <c r="AD23" s="34">
        <f t="shared" si="15"/>
        <v>0</v>
      </c>
      <c r="AE23" s="31">
        <f t="shared" si="15"/>
        <v>0</v>
      </c>
      <c r="AF23" s="31">
        <f t="shared" si="15"/>
        <v>0</v>
      </c>
    </row>
    <row r="24" spans="2:32" ht="23.1" customHeight="1" x14ac:dyDescent="0.25">
      <c r="B24" s="45" t="s">
        <v>51</v>
      </c>
      <c r="C24" s="50">
        <v>51</v>
      </c>
      <c r="D24" s="50">
        <v>10</v>
      </c>
      <c r="E24" s="50">
        <v>5</v>
      </c>
      <c r="F24" s="50">
        <v>16</v>
      </c>
      <c r="G24" s="50">
        <v>0</v>
      </c>
      <c r="H24" s="50">
        <v>0</v>
      </c>
      <c r="I24" s="50">
        <v>0</v>
      </c>
      <c r="J24" s="50">
        <v>4</v>
      </c>
      <c r="K24" s="50">
        <v>1</v>
      </c>
      <c r="L24" s="50">
        <v>1</v>
      </c>
      <c r="M24" s="50">
        <v>106</v>
      </c>
      <c r="N24" s="50">
        <v>0</v>
      </c>
      <c r="O24" s="15">
        <f t="shared" si="0"/>
        <v>88</v>
      </c>
      <c r="P24" s="15">
        <f t="shared" si="1"/>
        <v>194</v>
      </c>
      <c r="R24" s="36" t="s">
        <v>148</v>
      </c>
      <c r="S24" s="34">
        <f>SUM(C66:C69)</f>
        <v>0</v>
      </c>
      <c r="T24" s="34">
        <f t="shared" ref="T24:AF24" si="16">SUM(D66:D69)</f>
        <v>0</v>
      </c>
      <c r="U24" s="34">
        <f t="shared" si="16"/>
        <v>0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0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0</v>
      </c>
      <c r="AD24" s="34">
        <f t="shared" si="16"/>
        <v>0</v>
      </c>
      <c r="AE24" s="31">
        <f t="shared" si="16"/>
        <v>0</v>
      </c>
      <c r="AF24" s="31">
        <f t="shared" si="16"/>
        <v>0</v>
      </c>
    </row>
    <row r="25" spans="2:32" ht="23.1" customHeight="1" x14ac:dyDescent="0.25">
      <c r="B25" s="45" t="s">
        <v>52</v>
      </c>
      <c r="C25" s="50">
        <v>50</v>
      </c>
      <c r="D25" s="50">
        <v>7</v>
      </c>
      <c r="E25" s="50">
        <v>5</v>
      </c>
      <c r="F25" s="50">
        <v>21</v>
      </c>
      <c r="G25" s="50">
        <v>1</v>
      </c>
      <c r="H25" s="50">
        <v>0</v>
      </c>
      <c r="I25" s="50">
        <v>7</v>
      </c>
      <c r="J25" s="50">
        <v>0</v>
      </c>
      <c r="K25" s="50">
        <v>3</v>
      </c>
      <c r="L25" s="50">
        <v>0</v>
      </c>
      <c r="M25" s="50">
        <v>98</v>
      </c>
      <c r="N25" s="50">
        <v>0</v>
      </c>
      <c r="O25" s="15">
        <f t="shared" si="0"/>
        <v>94</v>
      </c>
      <c r="P25" s="15">
        <f t="shared" si="1"/>
        <v>192</v>
      </c>
      <c r="R25" s="36" t="s">
        <v>149</v>
      </c>
      <c r="S25" s="34">
        <f>SUM(C70:C73)</f>
        <v>0</v>
      </c>
      <c r="T25" s="34">
        <f t="shared" ref="T25:AF25" si="17">SUM(D70:D73)</f>
        <v>0</v>
      </c>
      <c r="U25" s="34">
        <f t="shared" si="17"/>
        <v>0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0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0</v>
      </c>
      <c r="AD25" s="34">
        <f t="shared" si="17"/>
        <v>0</v>
      </c>
      <c r="AE25" s="31">
        <f t="shared" si="17"/>
        <v>0</v>
      </c>
      <c r="AF25" s="31">
        <f t="shared" si="17"/>
        <v>0</v>
      </c>
    </row>
    <row r="26" spans="2:32" ht="23.1" customHeight="1" x14ac:dyDescent="0.25">
      <c r="B26" s="45" t="s">
        <v>53</v>
      </c>
      <c r="C26" s="50">
        <v>60</v>
      </c>
      <c r="D26" s="50">
        <v>15</v>
      </c>
      <c r="E26" s="50">
        <v>8</v>
      </c>
      <c r="F26" s="50">
        <v>17</v>
      </c>
      <c r="G26" s="50">
        <v>2</v>
      </c>
      <c r="H26" s="50">
        <v>0</v>
      </c>
      <c r="I26" s="50">
        <v>2</v>
      </c>
      <c r="J26" s="50">
        <v>2</v>
      </c>
      <c r="K26" s="50">
        <v>2</v>
      </c>
      <c r="L26" s="50">
        <v>1</v>
      </c>
      <c r="M26" s="50">
        <v>110</v>
      </c>
      <c r="N26" s="50">
        <v>0</v>
      </c>
      <c r="O26" s="15">
        <f t="shared" si="0"/>
        <v>109</v>
      </c>
      <c r="P26" s="15">
        <f t="shared" si="1"/>
        <v>219</v>
      </c>
      <c r="R26" s="36" t="s">
        <v>150</v>
      </c>
      <c r="S26" s="34">
        <f>SUM(C74:C77)</f>
        <v>0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0</v>
      </c>
      <c r="AD26" s="34">
        <f t="shared" si="18"/>
        <v>0</v>
      </c>
      <c r="AE26" s="31">
        <f t="shared" si="18"/>
        <v>0</v>
      </c>
      <c r="AF26" s="31">
        <f t="shared" si="18"/>
        <v>0</v>
      </c>
    </row>
    <row r="27" spans="2:32" ht="23.1" customHeight="1" x14ac:dyDescent="0.25">
      <c r="B27" s="45" t="s">
        <v>54</v>
      </c>
      <c r="C27" s="50">
        <v>47</v>
      </c>
      <c r="D27" s="50">
        <v>7</v>
      </c>
      <c r="E27" s="50">
        <v>8</v>
      </c>
      <c r="F27" s="50">
        <v>22</v>
      </c>
      <c r="G27" s="50">
        <v>0</v>
      </c>
      <c r="H27" s="50">
        <v>0</v>
      </c>
      <c r="I27" s="50">
        <v>5</v>
      </c>
      <c r="J27" s="50">
        <v>0</v>
      </c>
      <c r="K27" s="50">
        <v>2</v>
      </c>
      <c r="L27" s="50">
        <v>0</v>
      </c>
      <c r="M27" s="50">
        <v>98</v>
      </c>
      <c r="N27" s="50">
        <v>0</v>
      </c>
      <c r="O27" s="15">
        <f t="shared" si="0"/>
        <v>91</v>
      </c>
      <c r="P27" s="15">
        <f t="shared" si="1"/>
        <v>189</v>
      </c>
      <c r="R27" s="36" t="s">
        <v>151</v>
      </c>
      <c r="S27" s="34">
        <f>SUM(C78:C81)</f>
        <v>0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0</v>
      </c>
      <c r="AD27" s="34">
        <f t="shared" si="19"/>
        <v>0</v>
      </c>
      <c r="AE27" s="31">
        <f t="shared" si="19"/>
        <v>0</v>
      </c>
      <c r="AF27" s="31">
        <f t="shared" si="19"/>
        <v>0</v>
      </c>
    </row>
    <row r="28" spans="2:32" ht="23.1" customHeight="1" x14ac:dyDescent="0.25">
      <c r="B28" s="45" t="s">
        <v>55</v>
      </c>
      <c r="C28" s="50">
        <v>53</v>
      </c>
      <c r="D28" s="50">
        <v>6</v>
      </c>
      <c r="E28" s="50">
        <v>9</v>
      </c>
      <c r="F28" s="50">
        <v>18</v>
      </c>
      <c r="G28" s="50">
        <v>0</v>
      </c>
      <c r="H28" s="50">
        <v>0</v>
      </c>
      <c r="I28" s="50">
        <v>13</v>
      </c>
      <c r="J28" s="50">
        <v>1</v>
      </c>
      <c r="K28" s="50">
        <v>1</v>
      </c>
      <c r="L28" s="50">
        <v>0</v>
      </c>
      <c r="M28" s="50">
        <v>122</v>
      </c>
      <c r="N28" s="50">
        <v>0</v>
      </c>
      <c r="O28" s="15">
        <f t="shared" si="0"/>
        <v>101</v>
      </c>
      <c r="P28" s="15">
        <f t="shared" si="1"/>
        <v>223</v>
      </c>
      <c r="R28" s="36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0</v>
      </c>
      <c r="AD28" s="34">
        <f t="shared" si="20"/>
        <v>0</v>
      </c>
      <c r="AE28" s="31">
        <f t="shared" si="20"/>
        <v>0</v>
      </c>
      <c r="AF28" s="31">
        <f t="shared" si="20"/>
        <v>0</v>
      </c>
    </row>
    <row r="29" spans="2:32" ht="23.1" customHeight="1" x14ac:dyDescent="0.25">
      <c r="B29" s="45" t="s">
        <v>56</v>
      </c>
      <c r="C29" s="50">
        <v>33</v>
      </c>
      <c r="D29" s="50">
        <v>4</v>
      </c>
      <c r="E29" s="50">
        <v>9</v>
      </c>
      <c r="F29" s="50">
        <v>17</v>
      </c>
      <c r="G29" s="50">
        <v>0</v>
      </c>
      <c r="H29" s="50">
        <v>0</v>
      </c>
      <c r="I29" s="50">
        <v>9</v>
      </c>
      <c r="J29" s="50">
        <v>3</v>
      </c>
      <c r="K29" s="50">
        <v>0</v>
      </c>
      <c r="L29" s="50">
        <v>0</v>
      </c>
      <c r="M29" s="50">
        <v>122</v>
      </c>
      <c r="N29" s="50">
        <v>0</v>
      </c>
      <c r="O29" s="15">
        <f t="shared" si="0"/>
        <v>75</v>
      </c>
      <c r="P29" s="15">
        <f t="shared" si="1"/>
        <v>197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0</v>
      </c>
      <c r="AF29" s="31">
        <f t="shared" si="21"/>
        <v>0</v>
      </c>
    </row>
    <row r="30" spans="2:32" ht="23.1" customHeight="1" x14ac:dyDescent="0.25">
      <c r="B30" s="45" t="s">
        <v>57</v>
      </c>
      <c r="C30" s="50">
        <v>47</v>
      </c>
      <c r="D30" s="50">
        <v>6</v>
      </c>
      <c r="E30" s="50">
        <v>8</v>
      </c>
      <c r="F30" s="50">
        <v>22</v>
      </c>
      <c r="G30" s="50">
        <v>0</v>
      </c>
      <c r="H30" s="50">
        <v>0</v>
      </c>
      <c r="I30" s="50">
        <v>9</v>
      </c>
      <c r="J30" s="50">
        <v>1</v>
      </c>
      <c r="K30" s="50">
        <v>1</v>
      </c>
      <c r="L30" s="50">
        <v>0</v>
      </c>
      <c r="M30" s="50">
        <v>97</v>
      </c>
      <c r="N30" s="50">
        <v>0</v>
      </c>
      <c r="O30" s="15">
        <f t="shared" si="0"/>
        <v>94</v>
      </c>
      <c r="P30" s="15">
        <f t="shared" si="1"/>
        <v>191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0</v>
      </c>
      <c r="AF30" s="31">
        <f t="shared" si="22"/>
        <v>0</v>
      </c>
    </row>
    <row r="31" spans="2:32" ht="23.1" customHeight="1" x14ac:dyDescent="0.25">
      <c r="B31" s="46" t="s">
        <v>58</v>
      </c>
      <c r="C31" s="50">
        <v>73</v>
      </c>
      <c r="D31" s="50">
        <v>3</v>
      </c>
      <c r="E31" s="50">
        <v>7</v>
      </c>
      <c r="F31" s="50">
        <v>2</v>
      </c>
      <c r="G31" s="50">
        <v>3</v>
      </c>
      <c r="H31" s="50">
        <v>0</v>
      </c>
      <c r="I31" s="50">
        <v>6</v>
      </c>
      <c r="J31" s="50">
        <v>0</v>
      </c>
      <c r="K31" s="50">
        <v>1</v>
      </c>
      <c r="L31" s="50">
        <v>0</v>
      </c>
      <c r="M31" s="50">
        <v>114</v>
      </c>
      <c r="N31" s="50">
        <v>0</v>
      </c>
      <c r="O31" s="15">
        <f t="shared" si="0"/>
        <v>95</v>
      </c>
      <c r="P31" s="15">
        <f t="shared" si="1"/>
        <v>209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0</v>
      </c>
      <c r="AD31" s="34">
        <f t="shared" si="23"/>
        <v>0</v>
      </c>
      <c r="AE31" s="31">
        <f t="shared" si="23"/>
        <v>0</v>
      </c>
      <c r="AF31" s="31">
        <f t="shared" si="23"/>
        <v>0</v>
      </c>
    </row>
    <row r="32" spans="2:32" ht="23.1" customHeight="1" x14ac:dyDescent="0.25">
      <c r="B32" s="46" t="s">
        <v>59</v>
      </c>
      <c r="C32" s="50">
        <v>50</v>
      </c>
      <c r="D32" s="50">
        <v>9</v>
      </c>
      <c r="E32" s="50">
        <v>18</v>
      </c>
      <c r="F32" s="50">
        <v>15</v>
      </c>
      <c r="G32" s="50">
        <v>1</v>
      </c>
      <c r="H32" s="50">
        <v>0</v>
      </c>
      <c r="I32" s="50">
        <v>4</v>
      </c>
      <c r="J32" s="50">
        <v>4</v>
      </c>
      <c r="K32" s="50">
        <v>2</v>
      </c>
      <c r="L32" s="50">
        <v>0</v>
      </c>
      <c r="M32" s="50">
        <v>96</v>
      </c>
      <c r="N32" s="50">
        <v>0</v>
      </c>
      <c r="O32" s="15">
        <f t="shared" si="0"/>
        <v>103</v>
      </c>
      <c r="P32" s="15">
        <f t="shared" si="1"/>
        <v>199</v>
      </c>
      <c r="R32" s="33" t="s">
        <v>156</v>
      </c>
      <c r="S32" s="34">
        <f>SUM(C98:C101)</f>
        <v>0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0</v>
      </c>
      <c r="AD32" s="34">
        <f t="shared" si="24"/>
        <v>0</v>
      </c>
      <c r="AE32" s="31">
        <f t="shared" si="24"/>
        <v>0</v>
      </c>
      <c r="AF32" s="31">
        <f t="shared" si="24"/>
        <v>0</v>
      </c>
    </row>
    <row r="33" spans="2:32" ht="23.1" customHeight="1" x14ac:dyDescent="0.25">
      <c r="B33" s="45" t="s">
        <v>60</v>
      </c>
      <c r="C33" s="50">
        <v>47</v>
      </c>
      <c r="D33" s="50">
        <v>3</v>
      </c>
      <c r="E33" s="50">
        <v>10</v>
      </c>
      <c r="F33" s="50">
        <v>15</v>
      </c>
      <c r="G33" s="50">
        <v>1</v>
      </c>
      <c r="H33" s="50">
        <v>0</v>
      </c>
      <c r="I33" s="50">
        <v>6</v>
      </c>
      <c r="J33" s="50">
        <v>2</v>
      </c>
      <c r="K33" s="50">
        <v>3</v>
      </c>
      <c r="L33" s="50">
        <v>0</v>
      </c>
      <c r="M33" s="50">
        <v>112</v>
      </c>
      <c r="N33" s="50">
        <v>0</v>
      </c>
      <c r="O33" s="15">
        <f t="shared" si="0"/>
        <v>87</v>
      </c>
      <c r="P33" s="15">
        <f t="shared" si="1"/>
        <v>199</v>
      </c>
      <c r="R33" s="33" t="s">
        <v>157</v>
      </c>
      <c r="S33" s="34">
        <f>SUM(C102:C105)</f>
        <v>0</v>
      </c>
      <c r="T33" s="34">
        <f t="shared" ref="T33:AF33" si="25">SUM(D102:D105)</f>
        <v>0</v>
      </c>
      <c r="U33" s="34">
        <f t="shared" si="25"/>
        <v>0</v>
      </c>
      <c r="V33" s="34">
        <f t="shared" si="25"/>
        <v>0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0</v>
      </c>
      <c r="AD33" s="34">
        <f t="shared" si="25"/>
        <v>0</v>
      </c>
      <c r="AE33" s="31">
        <f t="shared" si="25"/>
        <v>0</v>
      </c>
      <c r="AF33" s="31">
        <f t="shared" si="25"/>
        <v>0</v>
      </c>
    </row>
    <row r="34" spans="2:32" ht="23.1" customHeight="1" x14ac:dyDescent="0.25">
      <c r="B34" s="46" t="s">
        <v>61</v>
      </c>
      <c r="C34" s="50">
        <v>65</v>
      </c>
      <c r="D34" s="50">
        <v>6</v>
      </c>
      <c r="E34" s="50">
        <v>12</v>
      </c>
      <c r="F34" s="50">
        <v>0</v>
      </c>
      <c r="G34" s="50">
        <v>1</v>
      </c>
      <c r="H34" s="50">
        <v>0</v>
      </c>
      <c r="I34" s="50">
        <v>8</v>
      </c>
      <c r="J34" s="50">
        <v>3</v>
      </c>
      <c r="K34" s="50">
        <v>0</v>
      </c>
      <c r="L34" s="50">
        <v>0</v>
      </c>
      <c r="M34" s="50">
        <v>97</v>
      </c>
      <c r="N34" s="50">
        <v>1</v>
      </c>
      <c r="O34" s="15">
        <f t="shared" si="0"/>
        <v>96</v>
      </c>
      <c r="P34" s="15">
        <f t="shared" si="1"/>
        <v>193</v>
      </c>
      <c r="R34" s="38" t="s">
        <v>90</v>
      </c>
      <c r="S34" s="39">
        <f t="shared" ref="S34:AF34" si="26">MAX(S10:S12)</f>
        <v>407</v>
      </c>
      <c r="T34" s="39">
        <f t="shared" si="26"/>
        <v>41</v>
      </c>
      <c r="U34" s="39">
        <f t="shared" si="26"/>
        <v>63</v>
      </c>
      <c r="V34" s="39">
        <f t="shared" si="26"/>
        <v>133</v>
      </c>
      <c r="W34" s="39">
        <f t="shared" si="26"/>
        <v>2</v>
      </c>
      <c r="X34" s="39">
        <f t="shared" si="26"/>
        <v>0</v>
      </c>
      <c r="Y34" s="39">
        <f t="shared" si="26"/>
        <v>46</v>
      </c>
      <c r="Z34" s="39">
        <f t="shared" si="26"/>
        <v>5</v>
      </c>
      <c r="AA34" s="39">
        <f t="shared" si="26"/>
        <v>1</v>
      </c>
      <c r="AB34" s="39">
        <f t="shared" si="26"/>
        <v>1</v>
      </c>
      <c r="AC34" s="39">
        <f t="shared" si="26"/>
        <v>1068</v>
      </c>
      <c r="AD34" s="39">
        <f t="shared" si="26"/>
        <v>0</v>
      </c>
      <c r="AE34" s="40">
        <f t="shared" si="26"/>
        <v>649</v>
      </c>
      <c r="AF34" s="40">
        <f t="shared" si="26"/>
        <v>1700</v>
      </c>
    </row>
    <row r="35" spans="2:32" ht="23.1" customHeight="1" x14ac:dyDescent="0.25">
      <c r="B35" s="46" t="s">
        <v>62</v>
      </c>
      <c r="C35" s="50">
        <v>37</v>
      </c>
      <c r="D35" s="50">
        <v>8</v>
      </c>
      <c r="E35" s="50">
        <v>4</v>
      </c>
      <c r="F35" s="50">
        <v>33</v>
      </c>
      <c r="G35" s="50">
        <v>0</v>
      </c>
      <c r="H35" s="50">
        <v>0</v>
      </c>
      <c r="I35" s="50">
        <v>8</v>
      </c>
      <c r="J35" s="50">
        <v>2</v>
      </c>
      <c r="K35" s="50">
        <v>2</v>
      </c>
      <c r="L35" s="50">
        <v>1</v>
      </c>
      <c r="M35" s="50">
        <v>95</v>
      </c>
      <c r="N35" s="50">
        <v>0</v>
      </c>
      <c r="O35" s="15">
        <f t="shared" si="0"/>
        <v>95</v>
      </c>
      <c r="P35" s="15">
        <f t="shared" si="1"/>
        <v>190</v>
      </c>
      <c r="R35" s="38" t="s">
        <v>91</v>
      </c>
      <c r="S35" s="39">
        <f t="shared" ref="S35:AF35" si="27">MAX(S13:S18)</f>
        <v>236</v>
      </c>
      <c r="T35" s="39">
        <f t="shared" si="27"/>
        <v>33</v>
      </c>
      <c r="U35" s="39">
        <f t="shared" si="27"/>
        <v>44</v>
      </c>
      <c r="V35" s="39">
        <f t="shared" si="27"/>
        <v>88</v>
      </c>
      <c r="W35" s="39">
        <f t="shared" si="27"/>
        <v>5</v>
      </c>
      <c r="X35" s="39">
        <f t="shared" si="27"/>
        <v>1</v>
      </c>
      <c r="Y35" s="39">
        <f t="shared" si="27"/>
        <v>32</v>
      </c>
      <c r="Z35" s="39">
        <f t="shared" si="27"/>
        <v>13</v>
      </c>
      <c r="AA35" s="39">
        <f t="shared" si="27"/>
        <v>8</v>
      </c>
      <c r="AB35" s="39">
        <f t="shared" si="27"/>
        <v>2</v>
      </c>
      <c r="AC35" s="39">
        <f t="shared" si="27"/>
        <v>727</v>
      </c>
      <c r="AD35" s="39">
        <f t="shared" si="27"/>
        <v>1</v>
      </c>
      <c r="AE35" s="40">
        <f t="shared" si="27"/>
        <v>417</v>
      </c>
      <c r="AF35" s="40">
        <f t="shared" si="27"/>
        <v>1061</v>
      </c>
    </row>
    <row r="36" spans="2:32" ht="23.1" customHeight="1" x14ac:dyDescent="0.25">
      <c r="B36" s="46" t="s">
        <v>63</v>
      </c>
      <c r="C36" s="50">
        <v>27</v>
      </c>
      <c r="D36" s="50">
        <v>1</v>
      </c>
      <c r="E36" s="50">
        <v>14</v>
      </c>
      <c r="F36" s="50">
        <v>15</v>
      </c>
      <c r="G36" s="50">
        <v>0</v>
      </c>
      <c r="H36" s="50">
        <v>0</v>
      </c>
      <c r="I36" s="50">
        <v>5</v>
      </c>
      <c r="J36" s="50">
        <v>2</v>
      </c>
      <c r="K36" s="50">
        <v>3</v>
      </c>
      <c r="L36" s="50">
        <v>0</v>
      </c>
      <c r="M36" s="50">
        <v>104</v>
      </c>
      <c r="N36" s="50">
        <v>0</v>
      </c>
      <c r="O36" s="15">
        <f t="shared" si="0"/>
        <v>67</v>
      </c>
      <c r="P36" s="15">
        <f t="shared" si="1"/>
        <v>171</v>
      </c>
      <c r="R36" s="38" t="s">
        <v>92</v>
      </c>
      <c r="S36" s="39">
        <f t="shared" ref="S36:AF36" si="28">MAX(S19:S21)</f>
        <v>204</v>
      </c>
      <c r="T36" s="39">
        <f t="shared" si="28"/>
        <v>26</v>
      </c>
      <c r="U36" s="39">
        <f t="shared" si="28"/>
        <v>38</v>
      </c>
      <c r="V36" s="39">
        <f t="shared" si="28"/>
        <v>98</v>
      </c>
      <c r="W36" s="39">
        <f t="shared" si="28"/>
        <v>4</v>
      </c>
      <c r="X36" s="39">
        <f t="shared" si="28"/>
        <v>0</v>
      </c>
      <c r="Y36" s="39">
        <f t="shared" si="28"/>
        <v>31</v>
      </c>
      <c r="Z36" s="39">
        <f t="shared" si="28"/>
        <v>12</v>
      </c>
      <c r="AA36" s="39">
        <f t="shared" si="28"/>
        <v>7</v>
      </c>
      <c r="AB36" s="39">
        <f t="shared" si="28"/>
        <v>2</v>
      </c>
      <c r="AC36" s="39">
        <f t="shared" si="28"/>
        <v>570</v>
      </c>
      <c r="AD36" s="39">
        <f t="shared" si="28"/>
        <v>0</v>
      </c>
      <c r="AE36" s="40">
        <f t="shared" si="28"/>
        <v>384</v>
      </c>
      <c r="AF36" s="40">
        <f t="shared" si="28"/>
        <v>937</v>
      </c>
    </row>
    <row r="37" spans="2:32" ht="23.1" customHeight="1" x14ac:dyDescent="0.25">
      <c r="B37" s="45" t="s">
        <v>64</v>
      </c>
      <c r="C37" s="50">
        <v>55</v>
      </c>
      <c r="D37" s="50">
        <v>3</v>
      </c>
      <c r="E37" s="50">
        <v>8</v>
      </c>
      <c r="F37" s="50">
        <v>24</v>
      </c>
      <c r="G37" s="50">
        <v>0</v>
      </c>
      <c r="H37" s="50">
        <v>0</v>
      </c>
      <c r="I37" s="50">
        <v>8</v>
      </c>
      <c r="J37" s="50">
        <v>1</v>
      </c>
      <c r="K37" s="50">
        <v>3</v>
      </c>
      <c r="L37" s="50">
        <v>1</v>
      </c>
      <c r="M37" s="50">
        <v>115</v>
      </c>
      <c r="N37" s="50">
        <v>0</v>
      </c>
      <c r="O37" s="15">
        <f t="shared" si="0"/>
        <v>103</v>
      </c>
      <c r="P37" s="15">
        <f t="shared" si="1"/>
        <v>218</v>
      </c>
      <c r="R37" s="37" t="s">
        <v>85</v>
      </c>
      <c r="S37" s="35">
        <f t="shared" ref="S37:AF37" si="29">SUM(S10:S12)</f>
        <v>1165</v>
      </c>
      <c r="T37" s="16">
        <f t="shared" si="29"/>
        <v>113</v>
      </c>
      <c r="U37" s="16">
        <f t="shared" si="29"/>
        <v>139</v>
      </c>
      <c r="V37" s="16">
        <f t="shared" si="29"/>
        <v>336</v>
      </c>
      <c r="W37" s="16">
        <f t="shared" si="29"/>
        <v>3</v>
      </c>
      <c r="X37" s="16">
        <f t="shared" si="29"/>
        <v>0</v>
      </c>
      <c r="Y37" s="16">
        <f t="shared" si="29"/>
        <v>81</v>
      </c>
      <c r="Z37" s="16">
        <f t="shared" si="29"/>
        <v>8</v>
      </c>
      <c r="AA37" s="16">
        <f t="shared" si="29"/>
        <v>2</v>
      </c>
      <c r="AB37" s="16">
        <f t="shared" si="29"/>
        <v>1</v>
      </c>
      <c r="AC37" s="16">
        <f t="shared" si="29"/>
        <v>2145</v>
      </c>
      <c r="AD37" s="16">
        <f t="shared" si="29"/>
        <v>0</v>
      </c>
      <c r="AE37" s="32">
        <f t="shared" si="29"/>
        <v>1848</v>
      </c>
      <c r="AF37" s="32">
        <f t="shared" si="29"/>
        <v>3993</v>
      </c>
    </row>
    <row r="38" spans="2:32" ht="23.1" customHeight="1" x14ac:dyDescent="0.25">
      <c r="B38" s="46" t="s">
        <v>65</v>
      </c>
      <c r="C38" s="50">
        <v>45</v>
      </c>
      <c r="D38" s="50">
        <v>6</v>
      </c>
      <c r="E38" s="50">
        <v>8</v>
      </c>
      <c r="F38" s="50">
        <v>19</v>
      </c>
      <c r="G38" s="50">
        <v>0</v>
      </c>
      <c r="H38" s="50">
        <v>1</v>
      </c>
      <c r="I38" s="50">
        <v>1</v>
      </c>
      <c r="J38" s="50">
        <v>0</v>
      </c>
      <c r="K38" s="50">
        <v>0</v>
      </c>
      <c r="L38" s="50">
        <v>0</v>
      </c>
      <c r="M38" s="50">
        <v>119</v>
      </c>
      <c r="N38" s="50">
        <v>0</v>
      </c>
      <c r="O38" s="15">
        <f t="shared" si="0"/>
        <v>80</v>
      </c>
      <c r="P38" s="15">
        <f t="shared" si="1"/>
        <v>199</v>
      </c>
      <c r="R38" s="28" t="s">
        <v>86</v>
      </c>
      <c r="S38" s="16">
        <f t="shared" ref="S38:AF38" si="30">SUM(S13:S18)</f>
        <v>1165</v>
      </c>
      <c r="T38" s="16">
        <f t="shared" si="30"/>
        <v>138</v>
      </c>
      <c r="U38" s="16">
        <f t="shared" si="30"/>
        <v>211</v>
      </c>
      <c r="V38" s="16">
        <f t="shared" si="30"/>
        <v>420</v>
      </c>
      <c r="W38" s="16">
        <f t="shared" si="30"/>
        <v>14</v>
      </c>
      <c r="X38" s="16">
        <f t="shared" si="30"/>
        <v>1</v>
      </c>
      <c r="Y38" s="16">
        <f t="shared" si="30"/>
        <v>152</v>
      </c>
      <c r="Z38" s="16">
        <f t="shared" si="30"/>
        <v>47</v>
      </c>
      <c r="AA38" s="16">
        <f t="shared" si="30"/>
        <v>29</v>
      </c>
      <c r="AB38" s="16">
        <f t="shared" si="30"/>
        <v>7</v>
      </c>
      <c r="AC38" s="16">
        <f t="shared" si="30"/>
        <v>2859</v>
      </c>
      <c r="AD38" s="16">
        <f t="shared" si="30"/>
        <v>1</v>
      </c>
      <c r="AE38" s="32">
        <f t="shared" si="30"/>
        <v>2185</v>
      </c>
      <c r="AF38" s="32">
        <f t="shared" si="30"/>
        <v>5044</v>
      </c>
    </row>
    <row r="39" spans="2:32" ht="23.1" customHeight="1" x14ac:dyDescent="0.25">
      <c r="B39" s="46" t="s">
        <v>66</v>
      </c>
      <c r="C39" s="50">
        <v>50</v>
      </c>
      <c r="D39" s="50">
        <v>6</v>
      </c>
      <c r="E39" s="50">
        <v>8</v>
      </c>
      <c r="F39" s="50">
        <v>23</v>
      </c>
      <c r="G39" s="50">
        <v>0</v>
      </c>
      <c r="H39" s="50">
        <v>0</v>
      </c>
      <c r="I39" s="50">
        <v>11</v>
      </c>
      <c r="J39" s="50">
        <v>1</v>
      </c>
      <c r="K39" s="50">
        <v>0</v>
      </c>
      <c r="L39" s="50">
        <v>0</v>
      </c>
      <c r="M39" s="50">
        <v>99</v>
      </c>
      <c r="N39" s="50">
        <v>0</v>
      </c>
      <c r="O39" s="15">
        <f t="shared" si="0"/>
        <v>99</v>
      </c>
      <c r="P39" s="15">
        <f t="shared" si="1"/>
        <v>198</v>
      </c>
      <c r="R39" s="29" t="s">
        <v>87</v>
      </c>
      <c r="S39" s="16">
        <f t="shared" ref="S39:AF39" si="31">SUM(S19:S21)</f>
        <v>574</v>
      </c>
      <c r="T39" s="16">
        <f t="shared" si="31"/>
        <v>64</v>
      </c>
      <c r="U39" s="16">
        <f t="shared" si="31"/>
        <v>96</v>
      </c>
      <c r="V39" s="16">
        <f t="shared" si="31"/>
        <v>243</v>
      </c>
      <c r="W39" s="16">
        <f t="shared" si="31"/>
        <v>11</v>
      </c>
      <c r="X39" s="16">
        <f t="shared" si="31"/>
        <v>0</v>
      </c>
      <c r="Y39" s="16">
        <f t="shared" si="31"/>
        <v>62</v>
      </c>
      <c r="Z39" s="16">
        <f t="shared" si="31"/>
        <v>32</v>
      </c>
      <c r="AA39" s="16">
        <f t="shared" si="31"/>
        <v>16</v>
      </c>
      <c r="AB39" s="16">
        <f t="shared" si="31"/>
        <v>5</v>
      </c>
      <c r="AC39" s="16">
        <f t="shared" si="31"/>
        <v>1554</v>
      </c>
      <c r="AD39" s="16">
        <f t="shared" si="31"/>
        <v>0</v>
      </c>
      <c r="AE39" s="32">
        <f t="shared" si="31"/>
        <v>1103</v>
      </c>
      <c r="AF39" s="32">
        <f t="shared" si="31"/>
        <v>2657</v>
      </c>
    </row>
    <row r="40" spans="2:32" ht="23.1" customHeight="1" x14ac:dyDescent="0.25">
      <c r="B40" s="46" t="s">
        <v>67</v>
      </c>
      <c r="C40" s="50">
        <v>45</v>
      </c>
      <c r="D40" s="50">
        <v>3</v>
      </c>
      <c r="E40" s="50">
        <v>3</v>
      </c>
      <c r="F40" s="50">
        <v>16</v>
      </c>
      <c r="G40" s="50">
        <v>0</v>
      </c>
      <c r="H40" s="50">
        <v>0</v>
      </c>
      <c r="I40" s="50">
        <v>5</v>
      </c>
      <c r="J40" s="50">
        <v>1</v>
      </c>
      <c r="K40" s="50">
        <v>0</v>
      </c>
      <c r="L40" s="50">
        <v>0</v>
      </c>
      <c r="M40" s="50">
        <v>405</v>
      </c>
      <c r="N40" s="50">
        <v>0</v>
      </c>
      <c r="O40" s="15">
        <f t="shared" si="0"/>
        <v>73</v>
      </c>
      <c r="P40" s="15">
        <f t="shared" si="1"/>
        <v>478</v>
      </c>
      <c r="R40" s="5" t="s">
        <v>17</v>
      </c>
      <c r="S40" s="16">
        <f t="shared" ref="S40:AF40" si="32">SUM(S10:S21)</f>
        <v>2904</v>
      </c>
      <c r="T40" s="16">
        <f t="shared" si="32"/>
        <v>315</v>
      </c>
      <c r="U40" s="16">
        <f t="shared" si="32"/>
        <v>446</v>
      </c>
      <c r="V40" s="16">
        <f t="shared" si="32"/>
        <v>999</v>
      </c>
      <c r="W40" s="16">
        <f t="shared" si="32"/>
        <v>28</v>
      </c>
      <c r="X40" s="16">
        <f t="shared" si="32"/>
        <v>1</v>
      </c>
      <c r="Y40" s="16">
        <f t="shared" si="32"/>
        <v>295</v>
      </c>
      <c r="Z40" s="16">
        <f t="shared" si="32"/>
        <v>87</v>
      </c>
      <c r="AA40" s="16">
        <f t="shared" si="32"/>
        <v>47</v>
      </c>
      <c r="AB40" s="16">
        <f t="shared" si="32"/>
        <v>13</v>
      </c>
      <c r="AC40" s="16">
        <f t="shared" si="32"/>
        <v>6558</v>
      </c>
      <c r="AD40" s="16">
        <f t="shared" si="32"/>
        <v>1</v>
      </c>
      <c r="AE40" s="32">
        <f t="shared" si="32"/>
        <v>5136</v>
      </c>
      <c r="AF40" s="32">
        <f t="shared" si="32"/>
        <v>11694</v>
      </c>
    </row>
    <row r="41" spans="2:32" ht="23.1" customHeight="1" x14ac:dyDescent="0.25">
      <c r="B41" s="45" t="s">
        <v>68</v>
      </c>
      <c r="C41" s="50">
        <v>46</v>
      </c>
      <c r="D41" s="50">
        <v>6</v>
      </c>
      <c r="E41" s="50">
        <v>6</v>
      </c>
      <c r="F41" s="50">
        <v>14</v>
      </c>
      <c r="G41" s="50">
        <v>0</v>
      </c>
      <c r="H41" s="50">
        <v>0</v>
      </c>
      <c r="I41" s="50">
        <v>4</v>
      </c>
      <c r="J41" s="50">
        <v>4</v>
      </c>
      <c r="K41" s="50">
        <v>0</v>
      </c>
      <c r="L41" s="50">
        <v>2</v>
      </c>
      <c r="M41" s="50">
        <v>104</v>
      </c>
      <c r="N41" s="50">
        <v>0</v>
      </c>
      <c r="O41" s="15">
        <f t="shared" si="0"/>
        <v>82</v>
      </c>
      <c r="P41" s="15">
        <f t="shared" si="1"/>
        <v>186</v>
      </c>
      <c r="R41" s="5" t="s">
        <v>159</v>
      </c>
      <c r="S41" s="16">
        <f>SUM(S10:S33)</f>
        <v>2904</v>
      </c>
      <c r="T41" s="16">
        <f t="shared" ref="T41:AF41" si="33">SUM(T10:T33)</f>
        <v>315</v>
      </c>
      <c r="U41" s="16">
        <f t="shared" si="33"/>
        <v>446</v>
      </c>
      <c r="V41" s="16">
        <f t="shared" si="33"/>
        <v>999</v>
      </c>
      <c r="W41" s="16">
        <f t="shared" si="33"/>
        <v>28</v>
      </c>
      <c r="X41" s="16">
        <f t="shared" si="33"/>
        <v>1</v>
      </c>
      <c r="Y41" s="16">
        <f t="shared" si="33"/>
        <v>295</v>
      </c>
      <c r="Z41" s="16">
        <f t="shared" si="33"/>
        <v>87</v>
      </c>
      <c r="AA41" s="16">
        <f t="shared" si="33"/>
        <v>47</v>
      </c>
      <c r="AB41" s="16">
        <f t="shared" si="33"/>
        <v>13</v>
      </c>
      <c r="AC41" s="16">
        <f t="shared" si="33"/>
        <v>6558</v>
      </c>
      <c r="AD41" s="16">
        <f t="shared" si="33"/>
        <v>1</v>
      </c>
      <c r="AE41" s="32">
        <f t="shared" si="33"/>
        <v>5136</v>
      </c>
      <c r="AF41" s="32">
        <f t="shared" si="33"/>
        <v>11694</v>
      </c>
    </row>
    <row r="42" spans="2:32" ht="23.1" customHeight="1" x14ac:dyDescent="0.25">
      <c r="B42" s="46" t="s">
        <v>69</v>
      </c>
      <c r="C42" s="50">
        <v>35</v>
      </c>
      <c r="D42" s="50">
        <v>2</v>
      </c>
      <c r="E42" s="50">
        <v>14</v>
      </c>
      <c r="F42" s="50">
        <v>24</v>
      </c>
      <c r="G42" s="50">
        <v>1</v>
      </c>
      <c r="H42" s="50">
        <v>0</v>
      </c>
      <c r="I42" s="50">
        <v>5</v>
      </c>
      <c r="J42" s="50">
        <v>3</v>
      </c>
      <c r="K42" s="50">
        <v>0</v>
      </c>
      <c r="L42" s="50">
        <v>0</v>
      </c>
      <c r="M42" s="50">
        <v>94</v>
      </c>
      <c r="N42" s="50">
        <v>0</v>
      </c>
      <c r="O42" s="15">
        <f t="shared" si="0"/>
        <v>84</v>
      </c>
      <c r="P42" s="15">
        <f t="shared" si="1"/>
        <v>178</v>
      </c>
      <c r="R42" s="5" t="s">
        <v>160</v>
      </c>
      <c r="S42" s="48">
        <f>S41/S40</f>
        <v>1</v>
      </c>
      <c r="T42" s="48">
        <f t="shared" ref="T42:AF42" si="34">T41/T40</f>
        <v>1</v>
      </c>
      <c r="U42" s="48">
        <f t="shared" si="34"/>
        <v>1</v>
      </c>
      <c r="V42" s="48">
        <f t="shared" si="34"/>
        <v>1</v>
      </c>
      <c r="W42" s="48">
        <f t="shared" si="34"/>
        <v>1</v>
      </c>
      <c r="X42" s="48">
        <f t="shared" si="34"/>
        <v>1</v>
      </c>
      <c r="Y42" s="48">
        <f t="shared" si="34"/>
        <v>1</v>
      </c>
      <c r="Z42" s="48">
        <f t="shared" si="34"/>
        <v>1</v>
      </c>
      <c r="AA42" s="48">
        <f t="shared" si="34"/>
        <v>1</v>
      </c>
      <c r="AB42" s="48">
        <f t="shared" si="34"/>
        <v>1</v>
      </c>
      <c r="AC42" s="48">
        <f t="shared" si="34"/>
        <v>1</v>
      </c>
      <c r="AD42" s="48">
        <f t="shared" si="34"/>
        <v>1</v>
      </c>
      <c r="AE42" s="48">
        <f t="shared" si="34"/>
        <v>1</v>
      </c>
      <c r="AF42" s="48">
        <f t="shared" si="34"/>
        <v>1</v>
      </c>
    </row>
    <row r="43" spans="2:32" ht="23.1" customHeight="1" x14ac:dyDescent="0.25">
      <c r="B43" s="45" t="s">
        <v>70</v>
      </c>
      <c r="C43" s="50">
        <v>45</v>
      </c>
      <c r="D43" s="50">
        <v>1</v>
      </c>
      <c r="E43" s="50">
        <v>7</v>
      </c>
      <c r="F43" s="50">
        <v>19</v>
      </c>
      <c r="G43" s="50">
        <v>1</v>
      </c>
      <c r="H43" s="50">
        <v>0</v>
      </c>
      <c r="I43" s="50">
        <v>11</v>
      </c>
      <c r="J43" s="50">
        <v>3</v>
      </c>
      <c r="K43" s="50">
        <v>1</v>
      </c>
      <c r="L43" s="50">
        <v>1</v>
      </c>
      <c r="M43" s="50">
        <v>108</v>
      </c>
      <c r="N43" s="50">
        <v>0</v>
      </c>
      <c r="O43" s="15">
        <f t="shared" si="0"/>
        <v>89</v>
      </c>
      <c r="P43" s="15">
        <f t="shared" si="1"/>
        <v>197</v>
      </c>
    </row>
    <row r="44" spans="2:32" ht="23.1" customHeight="1" x14ac:dyDescent="0.25">
      <c r="B44" s="47" t="s">
        <v>71</v>
      </c>
      <c r="C44" s="50">
        <v>40</v>
      </c>
      <c r="D44" s="50">
        <v>6</v>
      </c>
      <c r="E44" s="50">
        <v>11</v>
      </c>
      <c r="F44" s="50">
        <v>8</v>
      </c>
      <c r="G44" s="50">
        <v>1</v>
      </c>
      <c r="H44" s="50">
        <v>0</v>
      </c>
      <c r="I44" s="50">
        <v>7</v>
      </c>
      <c r="J44" s="50">
        <v>3</v>
      </c>
      <c r="K44" s="50">
        <v>0</v>
      </c>
      <c r="L44" s="50">
        <v>0</v>
      </c>
      <c r="M44" s="50">
        <v>104</v>
      </c>
      <c r="N44" s="50">
        <v>0</v>
      </c>
      <c r="O44" s="15">
        <f t="shared" si="0"/>
        <v>76</v>
      </c>
      <c r="P44" s="15">
        <f t="shared" si="1"/>
        <v>180</v>
      </c>
    </row>
    <row r="45" spans="2:32" ht="23.1" customHeight="1" x14ac:dyDescent="0.25">
      <c r="B45" s="45" t="s">
        <v>72</v>
      </c>
      <c r="C45" s="50">
        <v>29</v>
      </c>
      <c r="D45" s="50">
        <v>4</v>
      </c>
      <c r="E45" s="50">
        <v>12</v>
      </c>
      <c r="F45" s="50">
        <v>9</v>
      </c>
      <c r="G45" s="50">
        <v>0</v>
      </c>
      <c r="H45" s="50">
        <v>0</v>
      </c>
      <c r="I45" s="50">
        <v>9</v>
      </c>
      <c r="J45" s="50">
        <v>4</v>
      </c>
      <c r="K45" s="50">
        <v>2</v>
      </c>
      <c r="L45" s="50">
        <v>0</v>
      </c>
      <c r="M45" s="50">
        <v>99</v>
      </c>
      <c r="N45" s="50">
        <v>0</v>
      </c>
      <c r="O45" s="15">
        <f t="shared" si="0"/>
        <v>69</v>
      </c>
      <c r="P45" s="15">
        <f t="shared" si="1"/>
        <v>168</v>
      </c>
    </row>
    <row r="46" spans="2:32" ht="23.1" customHeight="1" x14ac:dyDescent="0.25">
      <c r="B46" s="46" t="s">
        <v>73</v>
      </c>
      <c r="C46" s="50">
        <v>35</v>
      </c>
      <c r="D46" s="50">
        <v>3</v>
      </c>
      <c r="E46" s="50">
        <v>3</v>
      </c>
      <c r="F46" s="50">
        <v>22</v>
      </c>
      <c r="G46" s="50">
        <v>0</v>
      </c>
      <c r="H46" s="50">
        <v>0</v>
      </c>
      <c r="I46" s="50">
        <v>8</v>
      </c>
      <c r="J46" s="50">
        <v>3</v>
      </c>
      <c r="K46" s="50">
        <v>1</v>
      </c>
      <c r="L46" s="50">
        <v>1</v>
      </c>
      <c r="M46" s="50">
        <v>120</v>
      </c>
      <c r="N46" s="50">
        <v>0</v>
      </c>
      <c r="O46" s="15">
        <f t="shared" si="0"/>
        <v>76</v>
      </c>
      <c r="P46" s="15">
        <f t="shared" si="1"/>
        <v>196</v>
      </c>
      <c r="R46" s="8"/>
      <c r="T46"/>
    </row>
    <row r="47" spans="2:32" ht="23.1" customHeight="1" x14ac:dyDescent="0.25">
      <c r="B47" s="46" t="s">
        <v>74</v>
      </c>
      <c r="C47" s="50">
        <v>30</v>
      </c>
      <c r="D47" s="50">
        <v>3</v>
      </c>
      <c r="E47" s="50">
        <v>6</v>
      </c>
      <c r="F47" s="50">
        <v>30</v>
      </c>
      <c r="G47" s="50">
        <v>4</v>
      </c>
      <c r="H47" s="50">
        <v>0</v>
      </c>
      <c r="I47" s="50">
        <v>9</v>
      </c>
      <c r="J47" s="50">
        <v>2</v>
      </c>
      <c r="K47" s="50">
        <v>1</v>
      </c>
      <c r="L47" s="50">
        <v>0</v>
      </c>
      <c r="M47" s="50">
        <v>110</v>
      </c>
      <c r="N47" s="50">
        <v>0</v>
      </c>
      <c r="O47" s="15">
        <f t="shared" si="0"/>
        <v>85</v>
      </c>
      <c r="P47" s="15">
        <f t="shared" si="1"/>
        <v>195</v>
      </c>
      <c r="R47" s="8"/>
      <c r="T47"/>
    </row>
    <row r="48" spans="2:32" ht="23.1" customHeight="1" x14ac:dyDescent="0.25">
      <c r="B48" s="46" t="s">
        <v>75</v>
      </c>
      <c r="C48" s="50">
        <v>57</v>
      </c>
      <c r="D48" s="50">
        <v>4</v>
      </c>
      <c r="E48" s="50">
        <v>2</v>
      </c>
      <c r="F48" s="50">
        <v>30</v>
      </c>
      <c r="G48" s="50">
        <v>0</v>
      </c>
      <c r="H48" s="50">
        <v>0</v>
      </c>
      <c r="I48" s="50">
        <v>6</v>
      </c>
      <c r="J48" s="50">
        <v>0</v>
      </c>
      <c r="K48" s="50">
        <v>1</v>
      </c>
      <c r="L48" s="50">
        <v>0</v>
      </c>
      <c r="M48" s="50">
        <v>132</v>
      </c>
      <c r="N48" s="50">
        <v>0</v>
      </c>
      <c r="O48" s="15">
        <f t="shared" si="0"/>
        <v>100</v>
      </c>
      <c r="P48" s="15">
        <f t="shared" si="1"/>
        <v>232</v>
      </c>
      <c r="R48" s="8"/>
      <c r="T48"/>
    </row>
    <row r="49" spans="2:20" ht="23.1" customHeight="1" x14ac:dyDescent="0.25">
      <c r="B49" s="45" t="s">
        <v>76</v>
      </c>
      <c r="C49" s="50">
        <v>45</v>
      </c>
      <c r="D49" s="50">
        <v>5</v>
      </c>
      <c r="E49" s="50">
        <v>13</v>
      </c>
      <c r="F49" s="50">
        <v>16</v>
      </c>
      <c r="G49" s="50">
        <v>0</v>
      </c>
      <c r="H49" s="50">
        <v>0</v>
      </c>
      <c r="I49" s="50">
        <v>8</v>
      </c>
      <c r="J49" s="50">
        <v>4</v>
      </c>
      <c r="K49" s="50">
        <v>0</v>
      </c>
      <c r="L49" s="50">
        <v>0</v>
      </c>
      <c r="M49" s="50">
        <v>122</v>
      </c>
      <c r="N49" s="50">
        <v>0</v>
      </c>
      <c r="O49" s="15">
        <f t="shared" si="0"/>
        <v>91</v>
      </c>
      <c r="P49" s="15">
        <f t="shared" si="1"/>
        <v>213</v>
      </c>
      <c r="R49" s="8"/>
      <c r="T49"/>
    </row>
    <row r="50" spans="2:20" ht="23.1" customHeight="1" x14ac:dyDescent="0.25">
      <c r="B50" s="46" t="s">
        <v>77</v>
      </c>
      <c r="C50" s="50">
        <v>47</v>
      </c>
      <c r="D50" s="50">
        <v>7</v>
      </c>
      <c r="E50" s="50">
        <v>5</v>
      </c>
      <c r="F50" s="50">
        <v>19</v>
      </c>
      <c r="G50" s="50">
        <v>0</v>
      </c>
      <c r="H50" s="50">
        <v>0</v>
      </c>
      <c r="I50" s="50">
        <v>4</v>
      </c>
      <c r="J50" s="50">
        <v>5</v>
      </c>
      <c r="K50" s="50">
        <v>1</v>
      </c>
      <c r="L50" s="50">
        <v>0</v>
      </c>
      <c r="M50" s="50">
        <v>113</v>
      </c>
      <c r="N50" s="50">
        <v>0</v>
      </c>
      <c r="O50" s="15">
        <f t="shared" si="0"/>
        <v>88</v>
      </c>
      <c r="P50" s="15">
        <f t="shared" si="1"/>
        <v>201</v>
      </c>
      <c r="R50" s="8"/>
      <c r="T50"/>
    </row>
    <row r="51" spans="2:20" ht="23.1" customHeight="1" x14ac:dyDescent="0.25">
      <c r="B51" s="46" t="s">
        <v>78</v>
      </c>
      <c r="C51" s="50">
        <v>59</v>
      </c>
      <c r="D51" s="50">
        <v>8</v>
      </c>
      <c r="E51" s="50">
        <v>8</v>
      </c>
      <c r="F51" s="50">
        <v>21</v>
      </c>
      <c r="G51" s="50">
        <v>2</v>
      </c>
      <c r="H51" s="50">
        <v>0</v>
      </c>
      <c r="I51" s="50">
        <v>3</v>
      </c>
      <c r="J51" s="50">
        <v>0</v>
      </c>
      <c r="K51" s="50">
        <v>0</v>
      </c>
      <c r="L51" s="50">
        <v>0</v>
      </c>
      <c r="M51" s="50">
        <v>109</v>
      </c>
      <c r="N51" s="50">
        <v>0</v>
      </c>
      <c r="O51" s="15">
        <f t="shared" si="0"/>
        <v>101</v>
      </c>
      <c r="P51" s="15">
        <f t="shared" si="1"/>
        <v>210</v>
      </c>
      <c r="R51" s="8"/>
      <c r="T51"/>
    </row>
    <row r="52" spans="2:20" ht="23.1" customHeight="1" x14ac:dyDescent="0.25">
      <c r="B52" s="46" t="s">
        <v>79</v>
      </c>
      <c r="C52" s="50">
        <v>47</v>
      </c>
      <c r="D52" s="50">
        <v>9</v>
      </c>
      <c r="E52" s="50">
        <v>13</v>
      </c>
      <c r="F52" s="50">
        <v>17</v>
      </c>
      <c r="G52" s="50">
        <v>0</v>
      </c>
      <c r="H52" s="50">
        <v>0</v>
      </c>
      <c r="I52" s="50">
        <v>0</v>
      </c>
      <c r="J52" s="50">
        <v>7</v>
      </c>
      <c r="K52" s="50">
        <v>3</v>
      </c>
      <c r="L52" s="50">
        <v>2</v>
      </c>
      <c r="M52" s="50">
        <v>120</v>
      </c>
      <c r="N52" s="50">
        <v>0</v>
      </c>
      <c r="O52" s="15">
        <f t="shared" si="0"/>
        <v>98</v>
      </c>
      <c r="P52" s="15">
        <f t="shared" si="1"/>
        <v>218</v>
      </c>
      <c r="R52" s="8"/>
      <c r="T52"/>
    </row>
    <row r="53" spans="2:20" ht="23.1" customHeight="1" x14ac:dyDescent="0.25">
      <c r="B53" s="45" t="s">
        <v>80</v>
      </c>
      <c r="C53" s="50">
        <v>50</v>
      </c>
      <c r="D53" s="50">
        <v>2</v>
      </c>
      <c r="E53" s="50">
        <v>8</v>
      </c>
      <c r="F53" s="50">
        <v>24</v>
      </c>
      <c r="G53" s="50">
        <v>1</v>
      </c>
      <c r="H53" s="50">
        <v>0</v>
      </c>
      <c r="I53" s="50">
        <v>10</v>
      </c>
      <c r="J53" s="50">
        <v>0</v>
      </c>
      <c r="K53" s="50">
        <v>2</v>
      </c>
      <c r="L53" s="50">
        <v>0</v>
      </c>
      <c r="M53" s="50">
        <v>158</v>
      </c>
      <c r="N53" s="50">
        <v>0</v>
      </c>
      <c r="O53" s="15">
        <f t="shared" si="0"/>
        <v>97</v>
      </c>
      <c r="P53" s="15">
        <f t="shared" si="1"/>
        <v>255</v>
      </c>
      <c r="R53" s="8"/>
      <c r="T53"/>
    </row>
    <row r="54" spans="2:20" ht="23.1" customHeight="1" x14ac:dyDescent="0.25">
      <c r="B54" s="45" t="s">
        <v>81</v>
      </c>
      <c r="C54" s="50">
        <v>45</v>
      </c>
      <c r="D54" s="50">
        <v>6</v>
      </c>
      <c r="E54" s="50">
        <v>5</v>
      </c>
      <c r="F54" s="50">
        <v>16</v>
      </c>
      <c r="G54" s="50">
        <v>3</v>
      </c>
      <c r="H54" s="50">
        <v>0</v>
      </c>
      <c r="I54" s="50">
        <v>1</v>
      </c>
      <c r="J54" s="50">
        <v>1</v>
      </c>
      <c r="K54" s="50">
        <v>3</v>
      </c>
      <c r="L54" s="50">
        <v>1</v>
      </c>
      <c r="M54" s="50">
        <v>150</v>
      </c>
      <c r="N54" s="50">
        <v>0</v>
      </c>
      <c r="O54" s="15">
        <f t="shared" si="0"/>
        <v>81</v>
      </c>
      <c r="P54" s="15">
        <f t="shared" si="1"/>
        <v>231</v>
      </c>
      <c r="R54" s="8"/>
      <c r="T54"/>
    </row>
    <row r="55" spans="2:20" ht="23.1" customHeight="1" x14ac:dyDescent="0.25">
      <c r="B55" s="45" t="s">
        <v>82</v>
      </c>
      <c r="C55" s="50">
        <v>65</v>
      </c>
      <c r="D55" s="50">
        <v>4</v>
      </c>
      <c r="E55" s="50">
        <v>16</v>
      </c>
      <c r="F55" s="50">
        <v>0</v>
      </c>
      <c r="G55" s="50">
        <v>0</v>
      </c>
      <c r="H55" s="50">
        <v>0</v>
      </c>
      <c r="I55" s="50">
        <v>5</v>
      </c>
      <c r="J55" s="50">
        <v>3</v>
      </c>
      <c r="K55" s="50">
        <v>4</v>
      </c>
      <c r="L55" s="50">
        <v>0</v>
      </c>
      <c r="M55" s="50">
        <v>127</v>
      </c>
      <c r="N55" s="50">
        <v>0</v>
      </c>
      <c r="O55" s="15">
        <f t="shared" si="0"/>
        <v>97</v>
      </c>
      <c r="P55" s="15">
        <f t="shared" si="1"/>
        <v>224</v>
      </c>
      <c r="R55" s="8"/>
      <c r="T55"/>
    </row>
    <row r="56" spans="2:20" ht="23.1" customHeight="1" x14ac:dyDescent="0.25">
      <c r="B56" s="45" t="s">
        <v>83</v>
      </c>
      <c r="C56" s="50">
        <v>41</v>
      </c>
      <c r="D56" s="50">
        <v>7</v>
      </c>
      <c r="E56" s="50">
        <v>5</v>
      </c>
      <c r="F56" s="50">
        <v>23</v>
      </c>
      <c r="G56" s="50">
        <v>0</v>
      </c>
      <c r="H56" s="50">
        <v>0</v>
      </c>
      <c r="I56" s="50">
        <v>2</v>
      </c>
      <c r="J56" s="50">
        <v>1</v>
      </c>
      <c r="K56" s="50">
        <v>0</v>
      </c>
      <c r="L56" s="50">
        <v>1</v>
      </c>
      <c r="M56" s="50">
        <v>155</v>
      </c>
      <c r="N56" s="50">
        <v>0</v>
      </c>
      <c r="O56" s="15">
        <f t="shared" si="0"/>
        <v>80</v>
      </c>
      <c r="P56" s="15">
        <f t="shared" si="1"/>
        <v>235</v>
      </c>
      <c r="R56" s="8"/>
      <c r="T56"/>
    </row>
    <row r="57" spans="2:20" ht="23.1" customHeight="1" x14ac:dyDescent="0.25">
      <c r="B57" s="45" t="s">
        <v>84</v>
      </c>
      <c r="C57" s="50">
        <v>53</v>
      </c>
      <c r="D57" s="50">
        <v>6</v>
      </c>
      <c r="E57" s="50">
        <v>12</v>
      </c>
      <c r="F57" s="50">
        <v>25</v>
      </c>
      <c r="G57" s="50">
        <v>1</v>
      </c>
      <c r="H57" s="50">
        <v>0</v>
      </c>
      <c r="I57" s="50">
        <v>6</v>
      </c>
      <c r="J57" s="50">
        <v>6</v>
      </c>
      <c r="K57" s="50">
        <v>0</v>
      </c>
      <c r="L57" s="50">
        <v>0</v>
      </c>
      <c r="M57" s="50">
        <v>138</v>
      </c>
      <c r="N57" s="50">
        <v>0</v>
      </c>
      <c r="O57" s="15">
        <f t="shared" si="0"/>
        <v>109</v>
      </c>
      <c r="P57" s="15">
        <f t="shared" si="1"/>
        <v>247</v>
      </c>
      <c r="R57" s="8"/>
      <c r="T57"/>
    </row>
    <row r="58" spans="2:20" ht="23.1" customHeight="1" x14ac:dyDescent="0.25">
      <c r="B58" s="45" t="s">
        <v>99</v>
      </c>
      <c r="C58" s="50">
        <v>0</v>
      </c>
      <c r="D58" s="50">
        <v>0</v>
      </c>
      <c r="E58" s="50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0</v>
      </c>
      <c r="N58" s="50">
        <v>0</v>
      </c>
      <c r="O58" s="15">
        <f t="shared" si="0"/>
        <v>0</v>
      </c>
      <c r="P58" s="15">
        <f t="shared" si="1"/>
        <v>0</v>
      </c>
      <c r="R58" s="8"/>
      <c r="T58"/>
    </row>
    <row r="59" spans="2:20" ht="23.1" customHeight="1" x14ac:dyDescent="0.25">
      <c r="B59" s="45" t="s">
        <v>100</v>
      </c>
      <c r="C59" s="50">
        <v>0</v>
      </c>
      <c r="D59" s="50">
        <v>0</v>
      </c>
      <c r="E59" s="50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0</v>
      </c>
      <c r="N59" s="50">
        <v>0</v>
      </c>
      <c r="O59" s="15">
        <f t="shared" si="0"/>
        <v>0</v>
      </c>
      <c r="P59" s="15">
        <f t="shared" si="1"/>
        <v>0</v>
      </c>
      <c r="R59" s="8"/>
      <c r="T59"/>
    </row>
    <row r="60" spans="2:20" ht="23.1" customHeight="1" x14ac:dyDescent="0.25">
      <c r="B60" s="45" t="s">
        <v>101</v>
      </c>
      <c r="C60" s="50">
        <v>0</v>
      </c>
      <c r="D60" s="50">
        <v>0</v>
      </c>
      <c r="E60" s="50">
        <v>0</v>
      </c>
      <c r="F60" s="50">
        <v>0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50">
        <v>0</v>
      </c>
      <c r="N60" s="50">
        <v>0</v>
      </c>
      <c r="O60" s="15">
        <f t="shared" si="0"/>
        <v>0</v>
      </c>
      <c r="P60" s="15">
        <f t="shared" si="1"/>
        <v>0</v>
      </c>
      <c r="R60" s="8"/>
      <c r="T60"/>
    </row>
    <row r="61" spans="2:20" ht="23.1" customHeight="1" x14ac:dyDescent="0.25">
      <c r="B61" s="45" t="s">
        <v>102</v>
      </c>
      <c r="C61" s="50">
        <v>0</v>
      </c>
      <c r="D61" s="50">
        <v>0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0</v>
      </c>
      <c r="N61" s="50">
        <v>0</v>
      </c>
      <c r="O61" s="15">
        <f t="shared" si="0"/>
        <v>0</v>
      </c>
      <c r="P61" s="15">
        <f t="shared" si="1"/>
        <v>0</v>
      </c>
      <c r="R61" s="8"/>
      <c r="T61"/>
    </row>
    <row r="62" spans="2:20" ht="23.1" customHeight="1" x14ac:dyDescent="0.25">
      <c r="B62" s="45" t="s">
        <v>107</v>
      </c>
      <c r="C62" s="50">
        <v>0</v>
      </c>
      <c r="D62" s="50">
        <v>0</v>
      </c>
      <c r="E62" s="50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0</v>
      </c>
      <c r="N62" s="50">
        <v>0</v>
      </c>
      <c r="O62" s="15">
        <f t="shared" si="0"/>
        <v>0</v>
      </c>
      <c r="P62" s="15">
        <f t="shared" si="1"/>
        <v>0</v>
      </c>
      <c r="R62" s="8"/>
      <c r="T62"/>
    </row>
    <row r="63" spans="2:20" ht="23.1" customHeight="1" x14ac:dyDescent="0.25">
      <c r="B63" s="45" t="s">
        <v>108</v>
      </c>
      <c r="C63" s="50">
        <v>0</v>
      </c>
      <c r="D63" s="50">
        <v>0</v>
      </c>
      <c r="E63" s="50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0</v>
      </c>
      <c r="N63" s="50">
        <v>0</v>
      </c>
      <c r="O63" s="15">
        <f t="shared" si="0"/>
        <v>0</v>
      </c>
      <c r="P63" s="15">
        <f t="shared" si="1"/>
        <v>0</v>
      </c>
      <c r="R63" s="8"/>
      <c r="T63"/>
    </row>
    <row r="64" spans="2:20" ht="23.1" customHeight="1" x14ac:dyDescent="0.25">
      <c r="B64" s="45" t="s">
        <v>109</v>
      </c>
      <c r="C64" s="50">
        <v>0</v>
      </c>
      <c r="D64" s="50">
        <v>0</v>
      </c>
      <c r="E64" s="50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0</v>
      </c>
      <c r="N64" s="50">
        <v>0</v>
      </c>
      <c r="O64" s="15">
        <f t="shared" si="0"/>
        <v>0</v>
      </c>
      <c r="P64" s="15">
        <f t="shared" si="1"/>
        <v>0</v>
      </c>
      <c r="R64" s="8"/>
      <c r="T64"/>
    </row>
    <row r="65" spans="2:20" ht="23.1" customHeight="1" x14ac:dyDescent="0.25">
      <c r="B65" s="45" t="s">
        <v>158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0</v>
      </c>
      <c r="N65" s="50">
        <v>0</v>
      </c>
      <c r="O65" s="15">
        <f t="shared" si="0"/>
        <v>0</v>
      </c>
      <c r="P65" s="15">
        <f t="shared" si="1"/>
        <v>0</v>
      </c>
      <c r="R65" s="8"/>
      <c r="T65"/>
    </row>
    <row r="66" spans="2:20" ht="23.1" customHeight="1" x14ac:dyDescent="0.25">
      <c r="B66" s="45" t="s">
        <v>103</v>
      </c>
      <c r="C66" s="50">
        <v>0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0</v>
      </c>
      <c r="N66" s="50">
        <v>0</v>
      </c>
      <c r="O66" s="15">
        <f t="shared" si="0"/>
        <v>0</v>
      </c>
      <c r="P66" s="15">
        <f t="shared" si="1"/>
        <v>0</v>
      </c>
      <c r="R66" s="8"/>
      <c r="T66"/>
    </row>
    <row r="67" spans="2:20" ht="23.1" customHeight="1" x14ac:dyDescent="0.25">
      <c r="B67" s="45" t="s">
        <v>104</v>
      </c>
      <c r="C67" s="50">
        <v>0</v>
      </c>
      <c r="D67" s="50">
        <v>0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50">
        <v>0</v>
      </c>
      <c r="O67" s="15">
        <f t="shared" si="0"/>
        <v>0</v>
      </c>
      <c r="P67" s="15">
        <f t="shared" si="1"/>
        <v>0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0</v>
      </c>
      <c r="E68" s="50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0</v>
      </c>
      <c r="N68" s="50">
        <v>0</v>
      </c>
      <c r="O68" s="15">
        <f t="shared" si="0"/>
        <v>0</v>
      </c>
      <c r="P68" s="15">
        <f t="shared" si="1"/>
        <v>0</v>
      </c>
      <c r="R68" s="8"/>
      <c r="T68"/>
    </row>
    <row r="69" spans="2:20" ht="23.1" customHeight="1" x14ac:dyDescent="0.25">
      <c r="B69" s="45" t="s">
        <v>106</v>
      </c>
      <c r="C69" s="50">
        <v>0</v>
      </c>
      <c r="D69" s="50">
        <v>0</v>
      </c>
      <c r="E69" s="50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0</v>
      </c>
      <c r="N69" s="50">
        <v>0</v>
      </c>
      <c r="O69" s="15">
        <f t="shared" si="0"/>
        <v>0</v>
      </c>
      <c r="P69" s="15">
        <f t="shared" si="1"/>
        <v>0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0</v>
      </c>
      <c r="N70" s="50">
        <v>0</v>
      </c>
      <c r="O70" s="15">
        <f t="shared" si="0"/>
        <v>0</v>
      </c>
      <c r="P70" s="15">
        <f t="shared" si="1"/>
        <v>0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0</v>
      </c>
      <c r="N71" s="50">
        <v>0</v>
      </c>
      <c r="O71" s="15">
        <f t="shared" si="0"/>
        <v>0</v>
      </c>
      <c r="P71" s="15">
        <f t="shared" si="1"/>
        <v>0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0</v>
      </c>
      <c r="N72" s="50">
        <v>0</v>
      </c>
      <c r="O72" s="15">
        <f t="shared" si="0"/>
        <v>0</v>
      </c>
      <c r="P72" s="15">
        <f t="shared" si="1"/>
        <v>0</v>
      </c>
      <c r="R72" s="8"/>
      <c r="T72"/>
    </row>
    <row r="73" spans="2:20" ht="23.1" customHeight="1" x14ac:dyDescent="0.25">
      <c r="B73" s="45" t="s">
        <v>113</v>
      </c>
      <c r="C73" s="50">
        <v>0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0</v>
      </c>
      <c r="N73" s="50">
        <v>0</v>
      </c>
      <c r="O73" s="15">
        <f t="shared" si="0"/>
        <v>0</v>
      </c>
      <c r="P73" s="15">
        <f t="shared" si="1"/>
        <v>0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0</v>
      </c>
      <c r="N74" s="50">
        <v>0</v>
      </c>
      <c r="O74" s="15">
        <f t="shared" ref="O74:O105" si="35">SUM(C74:L74,N74)</f>
        <v>0</v>
      </c>
      <c r="P74" s="15">
        <f t="shared" ref="P74:P105" si="36">SUM(C74:N74)</f>
        <v>0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0</v>
      </c>
      <c r="N75" s="50">
        <v>0</v>
      </c>
      <c r="O75" s="15">
        <f t="shared" si="35"/>
        <v>0</v>
      </c>
      <c r="P75" s="15">
        <f t="shared" si="36"/>
        <v>0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0</v>
      </c>
      <c r="N76" s="50">
        <v>0</v>
      </c>
      <c r="O76" s="15">
        <f t="shared" si="35"/>
        <v>0</v>
      </c>
      <c r="P76" s="15">
        <f t="shared" si="36"/>
        <v>0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15">
        <f t="shared" si="35"/>
        <v>0</v>
      </c>
      <c r="P77" s="15">
        <f t="shared" si="36"/>
        <v>0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0</v>
      </c>
      <c r="N78" s="50">
        <v>0</v>
      </c>
      <c r="O78" s="15">
        <f t="shared" si="35"/>
        <v>0</v>
      </c>
      <c r="P78" s="15">
        <f t="shared" si="36"/>
        <v>0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0</v>
      </c>
      <c r="N79" s="50">
        <v>0</v>
      </c>
      <c r="O79" s="15">
        <f t="shared" si="35"/>
        <v>0</v>
      </c>
      <c r="P79" s="15">
        <f t="shared" si="36"/>
        <v>0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0</v>
      </c>
      <c r="N80" s="50">
        <v>0</v>
      </c>
      <c r="O80" s="15">
        <f t="shared" si="35"/>
        <v>0</v>
      </c>
      <c r="P80" s="15">
        <f t="shared" si="36"/>
        <v>0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  <c r="O81" s="15">
        <f t="shared" si="35"/>
        <v>0</v>
      </c>
      <c r="P81" s="15">
        <f t="shared" si="36"/>
        <v>0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0</v>
      </c>
      <c r="N82" s="50">
        <v>0</v>
      </c>
      <c r="O82" s="15">
        <f t="shared" si="35"/>
        <v>0</v>
      </c>
      <c r="P82" s="15">
        <f t="shared" si="36"/>
        <v>0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15">
        <f t="shared" si="35"/>
        <v>0</v>
      </c>
      <c r="P83" s="15">
        <f t="shared" si="36"/>
        <v>0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0</v>
      </c>
      <c r="P85" s="15">
        <f t="shared" si="36"/>
        <v>0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0</v>
      </c>
      <c r="P94" s="15">
        <f t="shared" si="36"/>
        <v>0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0</v>
      </c>
      <c r="P95" s="15">
        <f t="shared" si="36"/>
        <v>0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0</v>
      </c>
      <c r="P96" s="15">
        <f t="shared" si="36"/>
        <v>0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0</v>
      </c>
      <c r="P97" s="15">
        <f t="shared" si="36"/>
        <v>0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15">
        <f t="shared" si="35"/>
        <v>0</v>
      </c>
      <c r="P98" s="15">
        <f t="shared" si="36"/>
        <v>0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  <c r="O99" s="15">
        <f t="shared" si="35"/>
        <v>0</v>
      </c>
      <c r="P99" s="15">
        <f t="shared" si="36"/>
        <v>0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15">
        <f t="shared" si="35"/>
        <v>0</v>
      </c>
      <c r="P100" s="15">
        <f t="shared" si="36"/>
        <v>0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0</v>
      </c>
      <c r="N101" s="50">
        <v>0</v>
      </c>
      <c r="O101" s="15">
        <f t="shared" si="35"/>
        <v>0</v>
      </c>
      <c r="P101" s="15">
        <f t="shared" si="36"/>
        <v>0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0</v>
      </c>
      <c r="N102" s="50">
        <v>0</v>
      </c>
      <c r="O102" s="15">
        <f t="shared" si="35"/>
        <v>0</v>
      </c>
      <c r="P102" s="15">
        <f t="shared" si="36"/>
        <v>0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0</v>
      </c>
      <c r="N103" s="50">
        <v>0</v>
      </c>
      <c r="O103" s="15">
        <f t="shared" si="35"/>
        <v>0</v>
      </c>
      <c r="P103" s="15">
        <f t="shared" si="36"/>
        <v>0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0</v>
      </c>
      <c r="N104" s="50">
        <v>0</v>
      </c>
      <c r="O104" s="15">
        <f t="shared" si="35"/>
        <v>0</v>
      </c>
      <c r="P104" s="15">
        <f t="shared" si="36"/>
        <v>0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0</v>
      </c>
      <c r="N105" s="50">
        <v>0</v>
      </c>
      <c r="O105" s="15">
        <f t="shared" si="35"/>
        <v>0</v>
      </c>
      <c r="P105" s="15">
        <f t="shared" si="36"/>
        <v>0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2904</v>
      </c>
      <c r="D106" s="16">
        <f t="shared" ref="D106:P106" si="37">SUM(D10:D105)</f>
        <v>315</v>
      </c>
      <c r="E106" s="16">
        <f t="shared" si="37"/>
        <v>446</v>
      </c>
      <c r="F106" s="16">
        <f t="shared" si="37"/>
        <v>999</v>
      </c>
      <c r="G106" s="16">
        <f t="shared" si="37"/>
        <v>28</v>
      </c>
      <c r="H106" s="16">
        <f t="shared" si="37"/>
        <v>1</v>
      </c>
      <c r="I106" s="16">
        <f t="shared" si="37"/>
        <v>295</v>
      </c>
      <c r="J106" s="16">
        <f t="shared" si="37"/>
        <v>87</v>
      </c>
      <c r="K106" s="16">
        <f t="shared" si="37"/>
        <v>47</v>
      </c>
      <c r="L106" s="16">
        <f t="shared" si="37"/>
        <v>13</v>
      </c>
      <c r="M106" s="16">
        <f t="shared" si="37"/>
        <v>6558</v>
      </c>
      <c r="N106" s="16">
        <f t="shared" si="37"/>
        <v>1</v>
      </c>
      <c r="O106" s="16">
        <f t="shared" si="37"/>
        <v>5136</v>
      </c>
      <c r="P106" s="16">
        <f t="shared" si="37"/>
        <v>11694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0.2483324781939456</v>
      </c>
      <c r="D107" s="43">
        <f t="shared" si="38"/>
        <v>2.6936890713186248E-2</v>
      </c>
      <c r="E107" s="43">
        <f t="shared" si="38"/>
        <v>3.813921669232085E-2</v>
      </c>
      <c r="F107" s="43">
        <f t="shared" si="38"/>
        <v>8.5428424833247821E-2</v>
      </c>
      <c r="G107" s="43">
        <f t="shared" si="38"/>
        <v>2.3943902856165553E-3</v>
      </c>
      <c r="H107" s="43">
        <f t="shared" si="38"/>
        <v>8.5513938772019844E-5</v>
      </c>
      <c r="I107" s="43">
        <f t="shared" si="38"/>
        <v>2.5226611937745853E-2</v>
      </c>
      <c r="J107" s="43">
        <f t="shared" si="38"/>
        <v>7.4397126731657257E-3</v>
      </c>
      <c r="K107" s="43">
        <f t="shared" si="38"/>
        <v>4.0191551222849321E-3</v>
      </c>
      <c r="L107" s="43">
        <f t="shared" si="38"/>
        <v>1.1116812040362579E-3</v>
      </c>
      <c r="M107" s="43">
        <f t="shared" si="38"/>
        <v>0.5608004104669061</v>
      </c>
      <c r="N107" s="43">
        <f t="shared" si="38"/>
        <v>8.5513938772019844E-5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0.56542056074766356</v>
      </c>
      <c r="D108" s="44">
        <f t="shared" ref="D108:N108" si="39">D106/$O$106</f>
        <v>6.1331775700934579E-2</v>
      </c>
      <c r="E108" s="44">
        <f t="shared" si="39"/>
        <v>8.6838006230529591E-2</v>
      </c>
      <c r="F108" s="44">
        <f t="shared" si="39"/>
        <v>0.19450934579439252</v>
      </c>
      <c r="G108" s="44">
        <f t="shared" si="39"/>
        <v>5.451713395638629E-3</v>
      </c>
      <c r="H108" s="44">
        <f t="shared" si="39"/>
        <v>1.9470404984423675E-4</v>
      </c>
      <c r="I108" s="44">
        <f t="shared" si="39"/>
        <v>5.7437694704049844E-2</v>
      </c>
      <c r="J108" s="44">
        <f t="shared" si="39"/>
        <v>1.6939252336448597E-2</v>
      </c>
      <c r="K108" s="44">
        <f t="shared" si="39"/>
        <v>9.151090342679127E-3</v>
      </c>
      <c r="L108" s="44">
        <f t="shared" si="39"/>
        <v>2.5311526479750777E-3</v>
      </c>
      <c r="M108" s="44"/>
      <c r="N108" s="44">
        <f t="shared" si="39"/>
        <v>1.9470404984423675E-4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9" zoomScale="60" workbookViewId="0">
      <selection activeCell="C58" sqref="C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0" t="str">
        <f>'01.08 NAMUGONGO-KIREKA'!C3:G3</f>
        <v>MCC - C1 - STN039 - NAMUGONGO ROAD</v>
      </c>
      <c r="D3" s="60"/>
      <c r="E3" s="60"/>
      <c r="F3" s="60"/>
      <c r="G3" s="6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'31.07 NAMUGONGO-KIREKA-24h'!D5</f>
        <v>31.07.19</v>
      </c>
      <c r="E5" s="3"/>
      <c r="F5" s="41" t="s">
        <v>1</v>
      </c>
      <c r="G5" s="56" t="str">
        <f>'31.07 NAMUGONGO-KIREKA-24h'!G5:H5</f>
        <v>AGENDA</v>
      </c>
      <c r="H5" s="57"/>
      <c r="I5" s="14"/>
      <c r="J5" s="2" t="s">
        <v>5</v>
      </c>
      <c r="K5" s="56" t="str">
        <f>'31.07 NAMUGONGO-KIREKA-24h'!K5:L5</f>
        <v>STEVEN</v>
      </c>
      <c r="L5" s="57"/>
      <c r="M5" s="10"/>
      <c r="N5" s="10"/>
      <c r="O5" s="3"/>
      <c r="P5" s="3"/>
    </row>
    <row r="6" spans="2:32" ht="23.25" customHeight="1" x14ac:dyDescent="0.25">
      <c r="C6" s="2" t="s">
        <v>4</v>
      </c>
      <c r="D6" s="56" t="str">
        <f>'01.08 KIREKA-NAMUGONGO'!D6:E6</f>
        <v>KIREKA</v>
      </c>
      <c r="E6" s="57"/>
      <c r="F6" s="2" t="s">
        <v>2</v>
      </c>
      <c r="G6" s="56" t="str">
        <f>'01.08 KIREKA-NAMUGONGO'!G6:H6</f>
        <v>NAMUGONGO</v>
      </c>
      <c r="H6" s="57"/>
      <c r="J6" s="2" t="s">
        <v>21</v>
      </c>
      <c r="K6" s="56" t="str">
        <f>'31.07 NAMUGONGO-KIREKA-24h'!K6:L6</f>
        <v>NAIDO GRACE BRENDA</v>
      </c>
      <c r="L6" s="5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5" t="s">
        <v>88</v>
      </c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14</v>
      </c>
      <c r="D10" s="50">
        <v>31</v>
      </c>
      <c r="E10" s="50">
        <v>7</v>
      </c>
      <c r="F10" s="50">
        <v>24</v>
      </c>
      <c r="G10" s="50">
        <v>0</v>
      </c>
      <c r="H10" s="50">
        <v>3</v>
      </c>
      <c r="I10" s="50">
        <v>1</v>
      </c>
      <c r="J10" s="50">
        <v>0</v>
      </c>
      <c r="K10" s="50">
        <v>0</v>
      </c>
      <c r="L10" s="50">
        <v>0</v>
      </c>
      <c r="M10" s="50">
        <v>109</v>
      </c>
      <c r="N10" s="50">
        <v>0</v>
      </c>
      <c r="O10" s="15">
        <f t="shared" ref="O10:O73" si="0">SUM(C10:L10,N10)</f>
        <v>80</v>
      </c>
      <c r="P10" s="15">
        <f t="shared" ref="P10:P73" si="1">SUM(C10:N10)</f>
        <v>189</v>
      </c>
      <c r="R10" s="1" t="s">
        <v>6</v>
      </c>
      <c r="S10" s="17">
        <f t="shared" ref="S10:AF10" si="2">SUM(C10:C13)</f>
        <v>130</v>
      </c>
      <c r="T10" s="17">
        <f t="shared" si="2"/>
        <v>58</v>
      </c>
      <c r="U10" s="17">
        <f t="shared" si="2"/>
        <v>25</v>
      </c>
      <c r="V10" s="17">
        <f t="shared" si="2"/>
        <v>75</v>
      </c>
      <c r="W10" s="17">
        <f t="shared" si="2"/>
        <v>1</v>
      </c>
      <c r="X10" s="17">
        <f t="shared" si="2"/>
        <v>4</v>
      </c>
      <c r="Y10" s="17">
        <f t="shared" si="2"/>
        <v>16</v>
      </c>
      <c r="Z10" s="17">
        <f t="shared" si="2"/>
        <v>6</v>
      </c>
      <c r="AA10" s="17">
        <f t="shared" si="2"/>
        <v>2</v>
      </c>
      <c r="AB10" s="17">
        <f t="shared" si="2"/>
        <v>0</v>
      </c>
      <c r="AC10" s="17">
        <f t="shared" si="2"/>
        <v>480</v>
      </c>
      <c r="AD10" s="17">
        <f t="shared" si="2"/>
        <v>0</v>
      </c>
      <c r="AE10" s="31">
        <f t="shared" si="2"/>
        <v>317</v>
      </c>
      <c r="AF10" s="31">
        <f t="shared" si="2"/>
        <v>797</v>
      </c>
    </row>
    <row r="11" spans="2:32" s="6" customFormat="1" ht="23.1" customHeight="1" x14ac:dyDescent="0.25">
      <c r="B11" s="45" t="s">
        <v>38</v>
      </c>
      <c r="C11" s="50">
        <v>30</v>
      </c>
      <c r="D11" s="50">
        <v>8</v>
      </c>
      <c r="E11" s="50">
        <v>6</v>
      </c>
      <c r="F11" s="50">
        <v>17</v>
      </c>
      <c r="G11" s="50">
        <v>0</v>
      </c>
      <c r="H11" s="50">
        <v>0</v>
      </c>
      <c r="I11" s="50">
        <v>5</v>
      </c>
      <c r="J11" s="50">
        <v>3</v>
      </c>
      <c r="K11" s="50">
        <v>1</v>
      </c>
      <c r="L11" s="50">
        <v>0</v>
      </c>
      <c r="M11" s="50">
        <v>115</v>
      </c>
      <c r="N11" s="50">
        <v>0</v>
      </c>
      <c r="O11" s="15">
        <f t="shared" si="0"/>
        <v>70</v>
      </c>
      <c r="P11" s="15">
        <f t="shared" si="1"/>
        <v>185</v>
      </c>
      <c r="R11" s="1" t="s">
        <v>7</v>
      </c>
      <c r="S11" s="17">
        <f t="shared" ref="S11:AF11" si="3">SUM(C14:C17)</f>
        <v>144</v>
      </c>
      <c r="T11" s="17">
        <f t="shared" si="3"/>
        <v>26</v>
      </c>
      <c r="U11" s="17">
        <f t="shared" si="3"/>
        <v>13</v>
      </c>
      <c r="V11" s="17">
        <f t="shared" si="3"/>
        <v>83</v>
      </c>
      <c r="W11" s="17">
        <f t="shared" si="3"/>
        <v>3</v>
      </c>
      <c r="X11" s="17">
        <f t="shared" si="3"/>
        <v>0</v>
      </c>
      <c r="Y11" s="17">
        <f t="shared" si="3"/>
        <v>14</v>
      </c>
      <c r="Z11" s="17">
        <f t="shared" si="3"/>
        <v>5</v>
      </c>
      <c r="AA11" s="17">
        <f t="shared" si="3"/>
        <v>9</v>
      </c>
      <c r="AB11" s="17">
        <f t="shared" si="3"/>
        <v>1</v>
      </c>
      <c r="AC11" s="17">
        <f t="shared" si="3"/>
        <v>562</v>
      </c>
      <c r="AD11" s="17">
        <f t="shared" si="3"/>
        <v>0</v>
      </c>
      <c r="AE11" s="31">
        <f t="shared" si="3"/>
        <v>298</v>
      </c>
      <c r="AF11" s="31">
        <f t="shared" si="3"/>
        <v>860</v>
      </c>
    </row>
    <row r="12" spans="2:32" ht="23.1" customHeight="1" x14ac:dyDescent="0.25">
      <c r="B12" s="45" t="s">
        <v>39</v>
      </c>
      <c r="C12" s="50">
        <v>51</v>
      </c>
      <c r="D12" s="50">
        <v>11</v>
      </c>
      <c r="E12" s="50">
        <v>6</v>
      </c>
      <c r="F12" s="50">
        <v>20</v>
      </c>
      <c r="G12" s="50">
        <v>1</v>
      </c>
      <c r="H12" s="50">
        <v>1</v>
      </c>
      <c r="I12" s="50">
        <v>5</v>
      </c>
      <c r="J12" s="50">
        <v>3</v>
      </c>
      <c r="K12" s="50">
        <v>0</v>
      </c>
      <c r="L12" s="50">
        <v>0</v>
      </c>
      <c r="M12" s="50">
        <v>106</v>
      </c>
      <c r="N12" s="50">
        <v>0</v>
      </c>
      <c r="O12" s="15">
        <f t="shared" si="0"/>
        <v>98</v>
      </c>
      <c r="P12" s="15">
        <f t="shared" si="1"/>
        <v>204</v>
      </c>
      <c r="R12" s="1" t="s">
        <v>8</v>
      </c>
      <c r="S12" s="17">
        <f t="shared" ref="S12:AF12" si="4">SUM(C18:C21)</f>
        <v>157</v>
      </c>
      <c r="T12" s="17">
        <f t="shared" si="4"/>
        <v>25</v>
      </c>
      <c r="U12" s="17">
        <f t="shared" si="4"/>
        <v>22</v>
      </c>
      <c r="V12" s="17">
        <f t="shared" si="4"/>
        <v>38</v>
      </c>
      <c r="W12" s="17">
        <f t="shared" si="4"/>
        <v>1</v>
      </c>
      <c r="X12" s="17">
        <f t="shared" si="4"/>
        <v>0</v>
      </c>
      <c r="Y12" s="17">
        <f t="shared" si="4"/>
        <v>22</v>
      </c>
      <c r="Z12" s="17">
        <f t="shared" si="4"/>
        <v>4</v>
      </c>
      <c r="AA12" s="17">
        <f t="shared" si="4"/>
        <v>3</v>
      </c>
      <c r="AB12" s="17">
        <f t="shared" si="4"/>
        <v>0</v>
      </c>
      <c r="AC12" s="17">
        <f t="shared" si="4"/>
        <v>517</v>
      </c>
      <c r="AD12" s="17">
        <f t="shared" si="4"/>
        <v>0</v>
      </c>
      <c r="AE12" s="31">
        <f t="shared" si="4"/>
        <v>272</v>
      </c>
      <c r="AF12" s="31">
        <f t="shared" si="4"/>
        <v>789</v>
      </c>
    </row>
    <row r="13" spans="2:32" ht="23.1" customHeight="1" x14ac:dyDescent="0.25">
      <c r="B13" s="45" t="s">
        <v>40</v>
      </c>
      <c r="C13" s="50">
        <v>35</v>
      </c>
      <c r="D13" s="50">
        <v>8</v>
      </c>
      <c r="E13" s="50">
        <v>6</v>
      </c>
      <c r="F13" s="50">
        <v>14</v>
      </c>
      <c r="G13" s="50">
        <v>0</v>
      </c>
      <c r="H13" s="50">
        <v>0</v>
      </c>
      <c r="I13" s="50">
        <v>5</v>
      </c>
      <c r="J13" s="50">
        <v>0</v>
      </c>
      <c r="K13" s="50">
        <v>1</v>
      </c>
      <c r="L13" s="50">
        <v>0</v>
      </c>
      <c r="M13" s="50">
        <v>150</v>
      </c>
      <c r="N13" s="50">
        <v>0</v>
      </c>
      <c r="O13" s="15">
        <f t="shared" si="0"/>
        <v>69</v>
      </c>
      <c r="P13" s="15">
        <f t="shared" si="1"/>
        <v>219</v>
      </c>
      <c r="R13" s="1" t="s">
        <v>9</v>
      </c>
      <c r="S13" s="17">
        <f t="shared" ref="S13:AF13" si="5">SUM(C22:C25)</f>
        <v>124</v>
      </c>
      <c r="T13" s="17">
        <f t="shared" si="5"/>
        <v>38</v>
      </c>
      <c r="U13" s="17">
        <f t="shared" si="5"/>
        <v>30</v>
      </c>
      <c r="V13" s="17">
        <f t="shared" si="5"/>
        <v>51</v>
      </c>
      <c r="W13" s="17">
        <f t="shared" si="5"/>
        <v>9</v>
      </c>
      <c r="X13" s="17">
        <f t="shared" si="5"/>
        <v>0</v>
      </c>
      <c r="Y13" s="17">
        <f t="shared" si="5"/>
        <v>37</v>
      </c>
      <c r="Z13" s="17">
        <f t="shared" si="5"/>
        <v>6</v>
      </c>
      <c r="AA13" s="17">
        <f t="shared" si="5"/>
        <v>2</v>
      </c>
      <c r="AB13" s="17">
        <f t="shared" si="5"/>
        <v>0</v>
      </c>
      <c r="AC13" s="17">
        <f t="shared" si="5"/>
        <v>455</v>
      </c>
      <c r="AD13" s="17">
        <f t="shared" si="5"/>
        <v>0</v>
      </c>
      <c r="AE13" s="31">
        <f t="shared" si="5"/>
        <v>297</v>
      </c>
      <c r="AF13" s="31">
        <f t="shared" si="5"/>
        <v>752</v>
      </c>
    </row>
    <row r="14" spans="2:32" ht="23.1" customHeight="1" x14ac:dyDescent="0.25">
      <c r="B14" s="45" t="s">
        <v>41</v>
      </c>
      <c r="C14" s="50">
        <v>40</v>
      </c>
      <c r="D14" s="50">
        <v>7</v>
      </c>
      <c r="E14" s="50">
        <v>3</v>
      </c>
      <c r="F14" s="50">
        <v>24</v>
      </c>
      <c r="G14" s="50">
        <v>1</v>
      </c>
      <c r="H14" s="50">
        <v>0</v>
      </c>
      <c r="I14" s="50">
        <v>0</v>
      </c>
      <c r="J14" s="50">
        <v>4</v>
      </c>
      <c r="K14" s="50">
        <v>1</v>
      </c>
      <c r="L14" s="50">
        <v>0</v>
      </c>
      <c r="M14" s="50">
        <v>109</v>
      </c>
      <c r="N14" s="50">
        <v>0</v>
      </c>
      <c r="O14" s="15">
        <f t="shared" si="0"/>
        <v>80</v>
      </c>
      <c r="P14" s="15">
        <f t="shared" si="1"/>
        <v>189</v>
      </c>
      <c r="R14" s="1" t="s">
        <v>10</v>
      </c>
      <c r="S14" s="17">
        <f t="shared" ref="S14:AF14" si="6">SUM(C26:C29)</f>
        <v>162</v>
      </c>
      <c r="T14" s="17">
        <f t="shared" si="6"/>
        <v>29</v>
      </c>
      <c r="U14" s="17">
        <f t="shared" si="6"/>
        <v>31</v>
      </c>
      <c r="V14" s="17">
        <f t="shared" si="6"/>
        <v>29</v>
      </c>
      <c r="W14" s="17">
        <f t="shared" si="6"/>
        <v>9</v>
      </c>
      <c r="X14" s="17">
        <f t="shared" si="6"/>
        <v>1</v>
      </c>
      <c r="Y14" s="17">
        <f t="shared" si="6"/>
        <v>32</v>
      </c>
      <c r="Z14" s="17">
        <f t="shared" si="6"/>
        <v>9</v>
      </c>
      <c r="AA14" s="17">
        <f t="shared" si="6"/>
        <v>21</v>
      </c>
      <c r="AB14" s="17">
        <f t="shared" si="6"/>
        <v>1</v>
      </c>
      <c r="AC14" s="17">
        <f t="shared" si="6"/>
        <v>450</v>
      </c>
      <c r="AD14" s="17">
        <f t="shared" si="6"/>
        <v>0</v>
      </c>
      <c r="AE14" s="31">
        <f t="shared" si="6"/>
        <v>324</v>
      </c>
      <c r="AF14" s="31">
        <f t="shared" si="6"/>
        <v>774</v>
      </c>
    </row>
    <row r="15" spans="2:32" ht="23.1" customHeight="1" x14ac:dyDescent="0.25">
      <c r="B15" s="45" t="s">
        <v>42</v>
      </c>
      <c r="C15" s="50">
        <v>35</v>
      </c>
      <c r="D15" s="50">
        <v>8</v>
      </c>
      <c r="E15" s="50">
        <v>2</v>
      </c>
      <c r="F15" s="50">
        <v>25</v>
      </c>
      <c r="G15" s="50">
        <v>1</v>
      </c>
      <c r="H15" s="50">
        <v>0</v>
      </c>
      <c r="I15" s="50">
        <v>5</v>
      </c>
      <c r="J15" s="50">
        <v>0</v>
      </c>
      <c r="K15" s="50">
        <v>3</v>
      </c>
      <c r="L15" s="50">
        <v>0</v>
      </c>
      <c r="M15" s="50">
        <v>143</v>
      </c>
      <c r="N15" s="50">
        <v>0</v>
      </c>
      <c r="O15" s="15">
        <f t="shared" si="0"/>
        <v>79</v>
      </c>
      <c r="P15" s="15">
        <f t="shared" si="1"/>
        <v>222</v>
      </c>
      <c r="R15" s="1" t="s">
        <v>11</v>
      </c>
      <c r="S15" s="17">
        <f t="shared" ref="S15:AF15" si="7">SUM(C30:C33)</f>
        <v>154</v>
      </c>
      <c r="T15" s="17">
        <f t="shared" si="7"/>
        <v>43</v>
      </c>
      <c r="U15" s="17">
        <f t="shared" si="7"/>
        <v>34</v>
      </c>
      <c r="V15" s="17">
        <f t="shared" si="7"/>
        <v>51</v>
      </c>
      <c r="W15" s="17">
        <f t="shared" si="7"/>
        <v>0</v>
      </c>
      <c r="X15" s="17">
        <f t="shared" si="7"/>
        <v>1</v>
      </c>
      <c r="Y15" s="17">
        <f t="shared" si="7"/>
        <v>33</v>
      </c>
      <c r="Z15" s="17">
        <f t="shared" si="7"/>
        <v>13</v>
      </c>
      <c r="AA15" s="17">
        <f t="shared" si="7"/>
        <v>3</v>
      </c>
      <c r="AB15" s="17">
        <f t="shared" si="7"/>
        <v>1</v>
      </c>
      <c r="AC15" s="17">
        <f t="shared" si="7"/>
        <v>447</v>
      </c>
      <c r="AD15" s="17">
        <f t="shared" si="7"/>
        <v>0</v>
      </c>
      <c r="AE15" s="31">
        <f t="shared" si="7"/>
        <v>333</v>
      </c>
      <c r="AF15" s="31">
        <f t="shared" si="7"/>
        <v>780</v>
      </c>
    </row>
    <row r="16" spans="2:32" ht="23.1" customHeight="1" x14ac:dyDescent="0.25">
      <c r="B16" s="45" t="s">
        <v>43</v>
      </c>
      <c r="C16" s="50">
        <v>41</v>
      </c>
      <c r="D16" s="50">
        <v>7</v>
      </c>
      <c r="E16" s="50">
        <v>2</v>
      </c>
      <c r="F16" s="50">
        <v>14</v>
      </c>
      <c r="G16" s="50">
        <v>0</v>
      </c>
      <c r="H16" s="50">
        <v>0</v>
      </c>
      <c r="I16" s="50">
        <v>3</v>
      </c>
      <c r="J16" s="50">
        <v>0</v>
      </c>
      <c r="K16" s="50">
        <v>2</v>
      </c>
      <c r="L16" s="50">
        <v>1</v>
      </c>
      <c r="M16" s="50">
        <v>155</v>
      </c>
      <c r="N16" s="50">
        <v>0</v>
      </c>
      <c r="O16" s="15">
        <f t="shared" si="0"/>
        <v>70</v>
      </c>
      <c r="P16" s="15">
        <f t="shared" si="1"/>
        <v>225</v>
      </c>
      <c r="R16" s="1" t="s">
        <v>12</v>
      </c>
      <c r="S16" s="17">
        <f t="shared" ref="S16:AF16" si="8">SUM(C34:C37)</f>
        <v>153</v>
      </c>
      <c r="T16" s="17">
        <f t="shared" si="8"/>
        <v>46</v>
      </c>
      <c r="U16" s="17">
        <f t="shared" si="8"/>
        <v>37</v>
      </c>
      <c r="V16" s="17">
        <f t="shared" si="8"/>
        <v>41</v>
      </c>
      <c r="W16" s="17">
        <f t="shared" si="8"/>
        <v>9</v>
      </c>
      <c r="X16" s="17">
        <f t="shared" si="8"/>
        <v>0</v>
      </c>
      <c r="Y16" s="17">
        <f t="shared" si="8"/>
        <v>21</v>
      </c>
      <c r="Z16" s="17">
        <f t="shared" si="8"/>
        <v>9</v>
      </c>
      <c r="AA16" s="17">
        <f t="shared" si="8"/>
        <v>4</v>
      </c>
      <c r="AB16" s="17">
        <f t="shared" si="8"/>
        <v>3</v>
      </c>
      <c r="AC16" s="17">
        <f t="shared" si="8"/>
        <v>431</v>
      </c>
      <c r="AD16" s="17">
        <f t="shared" si="8"/>
        <v>0</v>
      </c>
      <c r="AE16" s="31">
        <f t="shared" si="8"/>
        <v>323</v>
      </c>
      <c r="AF16" s="31">
        <f t="shared" si="8"/>
        <v>754</v>
      </c>
    </row>
    <row r="17" spans="2:32" ht="23.1" customHeight="1" x14ac:dyDescent="0.25">
      <c r="B17" s="45" t="s">
        <v>44</v>
      </c>
      <c r="C17" s="50">
        <v>28</v>
      </c>
      <c r="D17" s="50">
        <v>4</v>
      </c>
      <c r="E17" s="50">
        <v>6</v>
      </c>
      <c r="F17" s="50">
        <v>20</v>
      </c>
      <c r="G17" s="50">
        <v>1</v>
      </c>
      <c r="H17" s="50">
        <v>0</v>
      </c>
      <c r="I17" s="50">
        <v>6</v>
      </c>
      <c r="J17" s="50">
        <v>1</v>
      </c>
      <c r="K17" s="50">
        <v>3</v>
      </c>
      <c r="L17" s="50">
        <v>0</v>
      </c>
      <c r="M17" s="50">
        <v>155</v>
      </c>
      <c r="N17" s="50">
        <v>0</v>
      </c>
      <c r="O17" s="15">
        <f t="shared" si="0"/>
        <v>69</v>
      </c>
      <c r="P17" s="15">
        <f t="shared" si="1"/>
        <v>224</v>
      </c>
      <c r="R17" s="1" t="s">
        <v>13</v>
      </c>
      <c r="S17" s="17">
        <f t="shared" ref="S17:AF17" si="9">SUM(C38:C41)</f>
        <v>193</v>
      </c>
      <c r="T17" s="17">
        <f t="shared" si="9"/>
        <v>50</v>
      </c>
      <c r="U17" s="17">
        <f t="shared" si="9"/>
        <v>33</v>
      </c>
      <c r="V17" s="17">
        <f t="shared" si="9"/>
        <v>70</v>
      </c>
      <c r="W17" s="17">
        <f t="shared" si="9"/>
        <v>2</v>
      </c>
      <c r="X17" s="17">
        <f t="shared" si="9"/>
        <v>0</v>
      </c>
      <c r="Y17" s="17">
        <f t="shared" si="9"/>
        <v>38</v>
      </c>
      <c r="Z17" s="17">
        <f t="shared" si="9"/>
        <v>10</v>
      </c>
      <c r="AA17" s="17">
        <f t="shared" si="9"/>
        <v>7</v>
      </c>
      <c r="AB17" s="17">
        <f t="shared" si="9"/>
        <v>1</v>
      </c>
      <c r="AC17" s="17">
        <f t="shared" si="9"/>
        <v>336</v>
      </c>
      <c r="AD17" s="17">
        <f t="shared" si="9"/>
        <v>0</v>
      </c>
      <c r="AE17" s="31">
        <f t="shared" si="9"/>
        <v>404</v>
      </c>
      <c r="AF17" s="31">
        <f t="shared" si="9"/>
        <v>740</v>
      </c>
    </row>
    <row r="18" spans="2:32" ht="23.1" customHeight="1" x14ac:dyDescent="0.25">
      <c r="B18" s="45" t="s">
        <v>45</v>
      </c>
      <c r="C18" s="50">
        <v>30</v>
      </c>
      <c r="D18" s="50">
        <v>6</v>
      </c>
      <c r="E18" s="50">
        <v>2</v>
      </c>
      <c r="F18" s="50">
        <v>1</v>
      </c>
      <c r="G18" s="50">
        <v>1</v>
      </c>
      <c r="H18" s="50">
        <v>0</v>
      </c>
      <c r="I18" s="50">
        <v>4</v>
      </c>
      <c r="J18" s="50">
        <v>0</v>
      </c>
      <c r="K18" s="50">
        <v>0</v>
      </c>
      <c r="L18" s="50">
        <v>0</v>
      </c>
      <c r="M18" s="50">
        <v>117</v>
      </c>
      <c r="N18" s="50">
        <v>0</v>
      </c>
      <c r="O18" s="15">
        <f t="shared" si="0"/>
        <v>44</v>
      </c>
      <c r="P18" s="15">
        <f t="shared" si="1"/>
        <v>161</v>
      </c>
      <c r="R18" s="1" t="s">
        <v>14</v>
      </c>
      <c r="S18" s="17">
        <f t="shared" ref="S18:AF18" si="10">SUM(C42:C45)</f>
        <v>225</v>
      </c>
      <c r="T18" s="17">
        <f t="shared" si="10"/>
        <v>48</v>
      </c>
      <c r="U18" s="17">
        <f t="shared" si="10"/>
        <v>33</v>
      </c>
      <c r="V18" s="17">
        <f t="shared" si="10"/>
        <v>51</v>
      </c>
      <c r="W18" s="17">
        <f t="shared" si="10"/>
        <v>3</v>
      </c>
      <c r="X18" s="17">
        <f t="shared" si="10"/>
        <v>0</v>
      </c>
      <c r="Y18" s="17">
        <f t="shared" si="10"/>
        <v>18</v>
      </c>
      <c r="Z18" s="17">
        <f t="shared" si="10"/>
        <v>17</v>
      </c>
      <c r="AA18" s="17">
        <f t="shared" si="10"/>
        <v>4</v>
      </c>
      <c r="AB18" s="17">
        <f t="shared" si="10"/>
        <v>2</v>
      </c>
      <c r="AC18" s="17">
        <f t="shared" si="10"/>
        <v>463</v>
      </c>
      <c r="AD18" s="17">
        <f t="shared" si="10"/>
        <v>0</v>
      </c>
      <c r="AE18" s="31">
        <f t="shared" si="10"/>
        <v>401</v>
      </c>
      <c r="AF18" s="31">
        <f t="shared" si="10"/>
        <v>864</v>
      </c>
    </row>
    <row r="19" spans="2:32" ht="23.1" customHeight="1" x14ac:dyDescent="0.25">
      <c r="B19" s="45" t="s">
        <v>46</v>
      </c>
      <c r="C19" s="50">
        <v>48</v>
      </c>
      <c r="D19" s="50">
        <v>4</v>
      </c>
      <c r="E19" s="50">
        <v>10</v>
      </c>
      <c r="F19" s="50">
        <v>11</v>
      </c>
      <c r="G19" s="50">
        <v>0</v>
      </c>
      <c r="H19" s="50">
        <v>0</v>
      </c>
      <c r="I19" s="50">
        <v>5</v>
      </c>
      <c r="J19" s="50">
        <v>1</v>
      </c>
      <c r="K19" s="50">
        <v>1</v>
      </c>
      <c r="L19" s="50">
        <v>0</v>
      </c>
      <c r="M19" s="50">
        <v>145</v>
      </c>
      <c r="N19" s="50">
        <v>0</v>
      </c>
      <c r="O19" s="15">
        <f t="shared" si="0"/>
        <v>80</v>
      </c>
      <c r="P19" s="15">
        <f t="shared" si="1"/>
        <v>225</v>
      </c>
      <c r="R19" s="1" t="s">
        <v>15</v>
      </c>
      <c r="S19" s="17">
        <f t="shared" ref="S19:AF19" si="11">SUM(C46:C49)</f>
        <v>313</v>
      </c>
      <c r="T19" s="17">
        <f t="shared" si="11"/>
        <v>89</v>
      </c>
      <c r="U19" s="17">
        <f t="shared" si="11"/>
        <v>59</v>
      </c>
      <c r="V19" s="17">
        <f t="shared" si="11"/>
        <v>76</v>
      </c>
      <c r="W19" s="17">
        <f t="shared" si="11"/>
        <v>2</v>
      </c>
      <c r="X19" s="17">
        <f t="shared" si="11"/>
        <v>0</v>
      </c>
      <c r="Y19" s="17">
        <f t="shared" si="11"/>
        <v>30</v>
      </c>
      <c r="Z19" s="17">
        <f t="shared" si="11"/>
        <v>5</v>
      </c>
      <c r="AA19" s="17">
        <f t="shared" si="11"/>
        <v>4</v>
      </c>
      <c r="AB19" s="17">
        <f t="shared" si="11"/>
        <v>0</v>
      </c>
      <c r="AC19" s="17">
        <f t="shared" si="11"/>
        <v>483</v>
      </c>
      <c r="AD19" s="17">
        <f t="shared" si="11"/>
        <v>0</v>
      </c>
      <c r="AE19" s="31">
        <f t="shared" si="11"/>
        <v>578</v>
      </c>
      <c r="AF19" s="31">
        <f t="shared" si="11"/>
        <v>1061</v>
      </c>
    </row>
    <row r="20" spans="2:32" ht="23.1" customHeight="1" x14ac:dyDescent="0.25">
      <c r="B20" s="45" t="s">
        <v>47</v>
      </c>
      <c r="C20" s="50">
        <v>34</v>
      </c>
      <c r="D20" s="50">
        <v>7</v>
      </c>
      <c r="E20" s="50">
        <v>3</v>
      </c>
      <c r="F20" s="50">
        <v>13</v>
      </c>
      <c r="G20" s="50">
        <v>0</v>
      </c>
      <c r="H20" s="50">
        <v>0</v>
      </c>
      <c r="I20" s="50">
        <v>5</v>
      </c>
      <c r="J20" s="50">
        <v>2</v>
      </c>
      <c r="K20" s="50">
        <v>1</v>
      </c>
      <c r="L20" s="50">
        <v>0</v>
      </c>
      <c r="M20" s="50">
        <v>140</v>
      </c>
      <c r="N20" s="50">
        <v>0</v>
      </c>
      <c r="O20" s="15">
        <f t="shared" si="0"/>
        <v>65</v>
      </c>
      <c r="P20" s="15">
        <f t="shared" si="1"/>
        <v>205</v>
      </c>
      <c r="R20" s="1" t="s">
        <v>16</v>
      </c>
      <c r="S20" s="17">
        <f t="shared" ref="S20:AF20" si="12">SUM(C50:C53)</f>
        <v>408</v>
      </c>
      <c r="T20" s="17">
        <f t="shared" si="12"/>
        <v>126</v>
      </c>
      <c r="U20" s="17">
        <f t="shared" si="12"/>
        <v>58</v>
      </c>
      <c r="V20" s="17">
        <f t="shared" si="12"/>
        <v>40</v>
      </c>
      <c r="W20" s="17">
        <f t="shared" si="12"/>
        <v>24</v>
      </c>
      <c r="X20" s="17">
        <f t="shared" si="12"/>
        <v>0</v>
      </c>
      <c r="Y20" s="17">
        <f t="shared" si="12"/>
        <v>24</v>
      </c>
      <c r="Z20" s="17">
        <f t="shared" si="12"/>
        <v>3</v>
      </c>
      <c r="AA20" s="17">
        <f t="shared" si="12"/>
        <v>6</v>
      </c>
      <c r="AB20" s="17">
        <f t="shared" si="12"/>
        <v>2</v>
      </c>
      <c r="AC20" s="17">
        <f t="shared" si="12"/>
        <v>548</v>
      </c>
      <c r="AD20" s="17">
        <f t="shared" si="12"/>
        <v>0</v>
      </c>
      <c r="AE20" s="31">
        <f t="shared" si="12"/>
        <v>691</v>
      </c>
      <c r="AF20" s="31">
        <f t="shared" si="12"/>
        <v>1239</v>
      </c>
    </row>
    <row r="21" spans="2:32" ht="23.1" customHeight="1" x14ac:dyDescent="0.25">
      <c r="B21" s="45" t="s">
        <v>48</v>
      </c>
      <c r="C21" s="50">
        <v>45</v>
      </c>
      <c r="D21" s="50">
        <v>8</v>
      </c>
      <c r="E21" s="50">
        <v>7</v>
      </c>
      <c r="F21" s="50">
        <v>13</v>
      </c>
      <c r="G21" s="50">
        <v>0</v>
      </c>
      <c r="H21" s="50">
        <v>0</v>
      </c>
      <c r="I21" s="50">
        <v>8</v>
      </c>
      <c r="J21" s="50">
        <v>1</v>
      </c>
      <c r="K21" s="50">
        <v>1</v>
      </c>
      <c r="L21" s="50">
        <v>0</v>
      </c>
      <c r="M21" s="50">
        <v>115</v>
      </c>
      <c r="N21" s="50">
        <v>0</v>
      </c>
      <c r="O21" s="15">
        <f t="shared" si="0"/>
        <v>83</v>
      </c>
      <c r="P21" s="15">
        <f t="shared" si="1"/>
        <v>198</v>
      </c>
      <c r="R21" s="36" t="s">
        <v>20</v>
      </c>
      <c r="S21" s="34">
        <f t="shared" ref="S21:AF21" si="13">SUM(C54:C57)</f>
        <v>427</v>
      </c>
      <c r="T21" s="17">
        <f t="shared" si="13"/>
        <v>112</v>
      </c>
      <c r="U21" s="17">
        <f t="shared" si="13"/>
        <v>38</v>
      </c>
      <c r="V21" s="17">
        <f t="shared" si="13"/>
        <v>97</v>
      </c>
      <c r="W21" s="17">
        <f t="shared" si="13"/>
        <v>7</v>
      </c>
      <c r="X21" s="17">
        <f t="shared" si="13"/>
        <v>0</v>
      </c>
      <c r="Y21" s="17">
        <f t="shared" si="13"/>
        <v>20</v>
      </c>
      <c r="Z21" s="17">
        <f t="shared" si="13"/>
        <v>7</v>
      </c>
      <c r="AA21" s="17">
        <f t="shared" si="13"/>
        <v>5</v>
      </c>
      <c r="AB21" s="17">
        <f t="shared" si="13"/>
        <v>1</v>
      </c>
      <c r="AC21" s="17">
        <f t="shared" si="13"/>
        <v>681</v>
      </c>
      <c r="AD21" s="17">
        <f t="shared" si="13"/>
        <v>0</v>
      </c>
      <c r="AE21" s="31">
        <f t="shared" si="13"/>
        <v>714</v>
      </c>
      <c r="AF21" s="31">
        <f t="shared" si="13"/>
        <v>1395</v>
      </c>
    </row>
    <row r="22" spans="2:32" ht="23.1" customHeight="1" x14ac:dyDescent="0.25">
      <c r="B22" s="45" t="s">
        <v>49</v>
      </c>
      <c r="C22" s="50">
        <v>25</v>
      </c>
      <c r="D22" s="50">
        <v>9</v>
      </c>
      <c r="E22" s="50">
        <v>3</v>
      </c>
      <c r="F22" s="50">
        <v>14</v>
      </c>
      <c r="G22" s="50">
        <v>0</v>
      </c>
      <c r="H22" s="50">
        <v>0</v>
      </c>
      <c r="I22" s="50">
        <v>9</v>
      </c>
      <c r="J22" s="50">
        <v>2</v>
      </c>
      <c r="K22" s="50">
        <v>1</v>
      </c>
      <c r="L22" s="50">
        <v>0</v>
      </c>
      <c r="M22" s="50">
        <v>116</v>
      </c>
      <c r="N22" s="50">
        <v>0</v>
      </c>
      <c r="O22" s="15">
        <f t="shared" si="0"/>
        <v>63</v>
      </c>
      <c r="P22" s="15">
        <f t="shared" si="1"/>
        <v>179</v>
      </c>
      <c r="R22" s="36" t="s">
        <v>146</v>
      </c>
      <c r="S22" s="34">
        <f>SUM(C58:C61)</f>
        <v>0</v>
      </c>
      <c r="T22" s="34">
        <f t="shared" ref="T22:AF22" si="14">SUM(D58:D61)</f>
        <v>0</v>
      </c>
      <c r="U22" s="34">
        <f t="shared" si="14"/>
        <v>0</v>
      </c>
      <c r="V22" s="34">
        <f t="shared" si="14"/>
        <v>0</v>
      </c>
      <c r="W22" s="34">
        <f t="shared" si="14"/>
        <v>0</v>
      </c>
      <c r="X22" s="34">
        <f t="shared" si="14"/>
        <v>0</v>
      </c>
      <c r="Y22" s="34">
        <f t="shared" si="14"/>
        <v>0</v>
      </c>
      <c r="Z22" s="34">
        <f t="shared" si="14"/>
        <v>0</v>
      </c>
      <c r="AA22" s="34">
        <f t="shared" si="14"/>
        <v>0</v>
      </c>
      <c r="AB22" s="34">
        <f t="shared" si="14"/>
        <v>0</v>
      </c>
      <c r="AC22" s="34">
        <f t="shared" si="14"/>
        <v>0</v>
      </c>
      <c r="AD22" s="34">
        <f t="shared" si="14"/>
        <v>0</v>
      </c>
      <c r="AE22" s="31">
        <f t="shared" si="14"/>
        <v>0</v>
      </c>
      <c r="AF22" s="31">
        <f t="shared" si="14"/>
        <v>0</v>
      </c>
    </row>
    <row r="23" spans="2:32" ht="23.1" customHeight="1" x14ac:dyDescent="0.25">
      <c r="B23" s="45" t="s">
        <v>50</v>
      </c>
      <c r="C23" s="50">
        <v>33</v>
      </c>
      <c r="D23" s="50">
        <v>11</v>
      </c>
      <c r="E23" s="50">
        <v>5</v>
      </c>
      <c r="F23" s="50">
        <v>16</v>
      </c>
      <c r="G23" s="50">
        <v>1</v>
      </c>
      <c r="H23" s="50">
        <v>0</v>
      </c>
      <c r="I23" s="50">
        <v>6</v>
      </c>
      <c r="J23" s="50">
        <v>2</v>
      </c>
      <c r="K23" s="50">
        <v>0</v>
      </c>
      <c r="L23" s="50">
        <v>0</v>
      </c>
      <c r="M23" s="50">
        <v>110</v>
      </c>
      <c r="N23" s="50">
        <v>0</v>
      </c>
      <c r="O23" s="15">
        <f t="shared" si="0"/>
        <v>74</v>
      </c>
      <c r="P23" s="15">
        <f t="shared" si="1"/>
        <v>184</v>
      </c>
      <c r="R23" s="36" t="s">
        <v>147</v>
      </c>
      <c r="S23" s="34">
        <f>SUM(C62:C65)</f>
        <v>0</v>
      </c>
      <c r="T23" s="34">
        <f t="shared" ref="T23:AF23" si="15">SUM(D62:D65)</f>
        <v>0</v>
      </c>
      <c r="U23" s="34">
        <f t="shared" si="15"/>
        <v>0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0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0</v>
      </c>
      <c r="AD23" s="34">
        <f t="shared" si="15"/>
        <v>0</v>
      </c>
      <c r="AE23" s="31">
        <f t="shared" si="15"/>
        <v>0</v>
      </c>
      <c r="AF23" s="31">
        <f t="shared" si="15"/>
        <v>0</v>
      </c>
    </row>
    <row r="24" spans="2:32" ht="23.1" customHeight="1" x14ac:dyDescent="0.25">
      <c r="B24" s="45" t="s">
        <v>51</v>
      </c>
      <c r="C24" s="50">
        <v>38</v>
      </c>
      <c r="D24" s="50">
        <v>9</v>
      </c>
      <c r="E24" s="50">
        <v>7</v>
      </c>
      <c r="F24" s="50">
        <v>17</v>
      </c>
      <c r="G24" s="50">
        <v>2</v>
      </c>
      <c r="H24" s="50">
        <v>0</v>
      </c>
      <c r="I24" s="50">
        <v>10</v>
      </c>
      <c r="J24" s="50">
        <v>1</v>
      </c>
      <c r="K24" s="50">
        <v>0</v>
      </c>
      <c r="L24" s="50">
        <v>0</v>
      </c>
      <c r="M24" s="50">
        <v>112</v>
      </c>
      <c r="N24" s="50">
        <v>0</v>
      </c>
      <c r="O24" s="15">
        <f t="shared" si="0"/>
        <v>84</v>
      </c>
      <c r="P24" s="15">
        <f t="shared" si="1"/>
        <v>196</v>
      </c>
      <c r="R24" s="36" t="s">
        <v>148</v>
      </c>
      <c r="S24" s="34">
        <f>SUM(C66:C69)</f>
        <v>0</v>
      </c>
      <c r="T24" s="34">
        <f t="shared" ref="T24:AF24" si="16">SUM(D66:D69)</f>
        <v>0</v>
      </c>
      <c r="U24" s="34">
        <f t="shared" si="16"/>
        <v>0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0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0</v>
      </c>
      <c r="AD24" s="34">
        <f t="shared" si="16"/>
        <v>0</v>
      </c>
      <c r="AE24" s="31">
        <f t="shared" si="16"/>
        <v>0</v>
      </c>
      <c r="AF24" s="31">
        <f t="shared" si="16"/>
        <v>0</v>
      </c>
    </row>
    <row r="25" spans="2:32" ht="23.1" customHeight="1" x14ac:dyDescent="0.25">
      <c r="B25" s="45" t="s">
        <v>52</v>
      </c>
      <c r="C25" s="50">
        <v>28</v>
      </c>
      <c r="D25" s="50">
        <v>9</v>
      </c>
      <c r="E25" s="50">
        <v>15</v>
      </c>
      <c r="F25" s="50">
        <v>4</v>
      </c>
      <c r="G25" s="50">
        <v>6</v>
      </c>
      <c r="H25" s="50">
        <v>0</v>
      </c>
      <c r="I25" s="50">
        <v>12</v>
      </c>
      <c r="J25" s="50">
        <v>1</v>
      </c>
      <c r="K25" s="50">
        <v>1</v>
      </c>
      <c r="L25" s="50">
        <v>0</v>
      </c>
      <c r="M25" s="50">
        <v>117</v>
      </c>
      <c r="N25" s="50">
        <v>0</v>
      </c>
      <c r="O25" s="15">
        <f t="shared" si="0"/>
        <v>76</v>
      </c>
      <c r="P25" s="15">
        <f t="shared" si="1"/>
        <v>193</v>
      </c>
      <c r="R25" s="36" t="s">
        <v>149</v>
      </c>
      <c r="S25" s="34">
        <f>SUM(C70:C73)</f>
        <v>0</v>
      </c>
      <c r="T25" s="34">
        <f t="shared" ref="T25:AF25" si="17">SUM(D70:D73)</f>
        <v>0</v>
      </c>
      <c r="U25" s="34">
        <f t="shared" si="17"/>
        <v>0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0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0</v>
      </c>
      <c r="AD25" s="34">
        <f t="shared" si="17"/>
        <v>0</v>
      </c>
      <c r="AE25" s="31">
        <f t="shared" si="17"/>
        <v>0</v>
      </c>
      <c r="AF25" s="31">
        <f t="shared" si="17"/>
        <v>0</v>
      </c>
    </row>
    <row r="26" spans="2:32" ht="23.1" customHeight="1" x14ac:dyDescent="0.25">
      <c r="B26" s="45" t="s">
        <v>53</v>
      </c>
      <c r="C26" s="50">
        <v>38</v>
      </c>
      <c r="D26" s="50">
        <v>6</v>
      </c>
      <c r="E26" s="50">
        <v>18</v>
      </c>
      <c r="F26" s="50">
        <v>0</v>
      </c>
      <c r="G26" s="50">
        <v>0</v>
      </c>
      <c r="H26" s="50">
        <v>0</v>
      </c>
      <c r="I26" s="50">
        <v>8</v>
      </c>
      <c r="J26" s="50">
        <v>5</v>
      </c>
      <c r="K26" s="50">
        <v>1</v>
      </c>
      <c r="L26" s="50">
        <v>1</v>
      </c>
      <c r="M26" s="50">
        <v>124</v>
      </c>
      <c r="N26" s="50">
        <v>0</v>
      </c>
      <c r="O26" s="15">
        <f t="shared" si="0"/>
        <v>77</v>
      </c>
      <c r="P26" s="15">
        <f t="shared" si="1"/>
        <v>201</v>
      </c>
      <c r="R26" s="36" t="s">
        <v>150</v>
      </c>
      <c r="S26" s="34">
        <f>SUM(C74:C77)</f>
        <v>0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0</v>
      </c>
      <c r="AD26" s="34">
        <f t="shared" si="18"/>
        <v>0</v>
      </c>
      <c r="AE26" s="31">
        <f t="shared" si="18"/>
        <v>0</v>
      </c>
      <c r="AF26" s="31">
        <f t="shared" si="18"/>
        <v>0</v>
      </c>
    </row>
    <row r="27" spans="2:32" ht="23.1" customHeight="1" x14ac:dyDescent="0.25">
      <c r="B27" s="45" t="s">
        <v>54</v>
      </c>
      <c r="C27" s="50">
        <v>39</v>
      </c>
      <c r="D27" s="50">
        <v>10</v>
      </c>
      <c r="E27" s="50">
        <v>5</v>
      </c>
      <c r="F27" s="50">
        <v>11</v>
      </c>
      <c r="G27" s="50">
        <v>0</v>
      </c>
      <c r="H27" s="50">
        <v>0</v>
      </c>
      <c r="I27" s="50">
        <v>12</v>
      </c>
      <c r="J27" s="50">
        <v>2</v>
      </c>
      <c r="K27" s="50">
        <v>3</v>
      </c>
      <c r="L27" s="50">
        <v>0</v>
      </c>
      <c r="M27" s="50">
        <v>102</v>
      </c>
      <c r="N27" s="50">
        <v>0</v>
      </c>
      <c r="O27" s="15">
        <f t="shared" si="0"/>
        <v>82</v>
      </c>
      <c r="P27" s="15">
        <f t="shared" si="1"/>
        <v>184</v>
      </c>
      <c r="R27" s="36" t="s">
        <v>151</v>
      </c>
      <c r="S27" s="34">
        <f>SUM(C78:C81)</f>
        <v>0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0</v>
      </c>
      <c r="AD27" s="34">
        <f t="shared" si="19"/>
        <v>0</v>
      </c>
      <c r="AE27" s="31">
        <f t="shared" si="19"/>
        <v>0</v>
      </c>
      <c r="AF27" s="31">
        <f t="shared" si="19"/>
        <v>0</v>
      </c>
    </row>
    <row r="28" spans="2:32" ht="23.1" customHeight="1" x14ac:dyDescent="0.25">
      <c r="B28" s="45" t="s">
        <v>55</v>
      </c>
      <c r="C28" s="50">
        <v>45</v>
      </c>
      <c r="D28" s="50">
        <v>5</v>
      </c>
      <c r="E28" s="50">
        <v>8</v>
      </c>
      <c r="F28" s="50">
        <v>10</v>
      </c>
      <c r="G28" s="50">
        <v>0</v>
      </c>
      <c r="H28" s="50">
        <v>0</v>
      </c>
      <c r="I28" s="50">
        <v>12</v>
      </c>
      <c r="J28" s="50">
        <v>2</v>
      </c>
      <c r="K28" s="50">
        <v>3</v>
      </c>
      <c r="L28" s="50">
        <v>0</v>
      </c>
      <c r="M28" s="50">
        <v>104</v>
      </c>
      <c r="N28" s="50">
        <v>0</v>
      </c>
      <c r="O28" s="15">
        <f t="shared" si="0"/>
        <v>85</v>
      </c>
      <c r="P28" s="15">
        <f t="shared" si="1"/>
        <v>189</v>
      </c>
      <c r="R28" s="36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0</v>
      </c>
      <c r="AD28" s="34">
        <f t="shared" si="20"/>
        <v>0</v>
      </c>
      <c r="AE28" s="31">
        <f t="shared" si="20"/>
        <v>0</v>
      </c>
      <c r="AF28" s="31">
        <f t="shared" si="20"/>
        <v>0</v>
      </c>
    </row>
    <row r="29" spans="2:32" ht="23.1" customHeight="1" x14ac:dyDescent="0.25">
      <c r="B29" s="45" t="s">
        <v>56</v>
      </c>
      <c r="C29" s="50">
        <v>40</v>
      </c>
      <c r="D29" s="50">
        <v>8</v>
      </c>
      <c r="E29" s="50">
        <v>0</v>
      </c>
      <c r="F29" s="50">
        <v>8</v>
      </c>
      <c r="G29" s="50">
        <v>9</v>
      </c>
      <c r="H29" s="50">
        <v>1</v>
      </c>
      <c r="I29" s="50">
        <v>0</v>
      </c>
      <c r="J29" s="50">
        <v>0</v>
      </c>
      <c r="K29" s="50">
        <v>14</v>
      </c>
      <c r="L29" s="50">
        <v>0</v>
      </c>
      <c r="M29" s="50">
        <v>120</v>
      </c>
      <c r="N29" s="50">
        <v>0</v>
      </c>
      <c r="O29" s="15">
        <f t="shared" si="0"/>
        <v>80</v>
      </c>
      <c r="P29" s="15">
        <f t="shared" si="1"/>
        <v>200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0</v>
      </c>
      <c r="AF29" s="31">
        <f t="shared" si="21"/>
        <v>0</v>
      </c>
    </row>
    <row r="30" spans="2:32" ht="23.1" customHeight="1" x14ac:dyDescent="0.25">
      <c r="B30" s="45" t="s">
        <v>57</v>
      </c>
      <c r="C30" s="50">
        <v>36</v>
      </c>
      <c r="D30" s="50">
        <v>14</v>
      </c>
      <c r="E30" s="50">
        <v>5</v>
      </c>
      <c r="F30" s="50">
        <v>13</v>
      </c>
      <c r="G30" s="50">
        <v>0</v>
      </c>
      <c r="H30" s="50">
        <v>1</v>
      </c>
      <c r="I30" s="50">
        <v>7</v>
      </c>
      <c r="J30" s="50">
        <v>4</v>
      </c>
      <c r="K30" s="50">
        <v>1</v>
      </c>
      <c r="L30" s="50">
        <v>1</v>
      </c>
      <c r="M30" s="50">
        <v>119</v>
      </c>
      <c r="N30" s="50">
        <v>0</v>
      </c>
      <c r="O30" s="15">
        <f t="shared" si="0"/>
        <v>82</v>
      </c>
      <c r="P30" s="15">
        <f t="shared" si="1"/>
        <v>201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0</v>
      </c>
      <c r="AF30" s="31">
        <f t="shared" si="22"/>
        <v>0</v>
      </c>
    </row>
    <row r="31" spans="2:32" ht="23.1" customHeight="1" x14ac:dyDescent="0.25">
      <c r="B31" s="46" t="s">
        <v>58</v>
      </c>
      <c r="C31" s="50">
        <v>37</v>
      </c>
      <c r="D31" s="50">
        <v>15</v>
      </c>
      <c r="E31" s="50">
        <v>14</v>
      </c>
      <c r="F31" s="50">
        <v>11</v>
      </c>
      <c r="G31" s="50">
        <v>0</v>
      </c>
      <c r="H31" s="50">
        <v>0</v>
      </c>
      <c r="I31" s="50">
        <v>16</v>
      </c>
      <c r="J31" s="50">
        <v>2</v>
      </c>
      <c r="K31" s="50">
        <v>1</v>
      </c>
      <c r="L31" s="50">
        <v>0</v>
      </c>
      <c r="M31" s="50">
        <v>127</v>
      </c>
      <c r="N31" s="50">
        <v>0</v>
      </c>
      <c r="O31" s="15">
        <f t="shared" si="0"/>
        <v>96</v>
      </c>
      <c r="P31" s="15">
        <f t="shared" si="1"/>
        <v>223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0</v>
      </c>
      <c r="AD31" s="34">
        <f t="shared" si="23"/>
        <v>0</v>
      </c>
      <c r="AE31" s="31">
        <f t="shared" si="23"/>
        <v>0</v>
      </c>
      <c r="AF31" s="31">
        <f t="shared" si="23"/>
        <v>0</v>
      </c>
    </row>
    <row r="32" spans="2:32" ht="23.1" customHeight="1" x14ac:dyDescent="0.25">
      <c r="B32" s="46" t="s">
        <v>59</v>
      </c>
      <c r="C32" s="50">
        <v>49</v>
      </c>
      <c r="D32" s="50">
        <v>7</v>
      </c>
      <c r="E32" s="50">
        <v>6</v>
      </c>
      <c r="F32" s="50">
        <v>11</v>
      </c>
      <c r="G32" s="50">
        <v>0</v>
      </c>
      <c r="H32" s="50">
        <v>0</v>
      </c>
      <c r="I32" s="50">
        <v>5</v>
      </c>
      <c r="J32" s="50">
        <v>5</v>
      </c>
      <c r="K32" s="50">
        <v>1</v>
      </c>
      <c r="L32" s="50">
        <v>0</v>
      </c>
      <c r="M32" s="50">
        <v>92</v>
      </c>
      <c r="N32" s="50">
        <v>0</v>
      </c>
      <c r="O32" s="15">
        <f t="shared" si="0"/>
        <v>84</v>
      </c>
      <c r="P32" s="15">
        <f t="shared" si="1"/>
        <v>176</v>
      </c>
      <c r="R32" s="33" t="s">
        <v>156</v>
      </c>
      <c r="S32" s="34">
        <f>SUM(C98:C101)</f>
        <v>0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0</v>
      </c>
      <c r="AD32" s="34">
        <f t="shared" si="24"/>
        <v>0</v>
      </c>
      <c r="AE32" s="31">
        <f t="shared" si="24"/>
        <v>0</v>
      </c>
      <c r="AF32" s="31">
        <f t="shared" si="24"/>
        <v>0</v>
      </c>
    </row>
    <row r="33" spans="2:32" ht="23.1" customHeight="1" x14ac:dyDescent="0.25">
      <c r="B33" s="45" t="s">
        <v>60</v>
      </c>
      <c r="C33" s="50">
        <v>32</v>
      </c>
      <c r="D33" s="50">
        <v>7</v>
      </c>
      <c r="E33" s="50">
        <v>9</v>
      </c>
      <c r="F33" s="50">
        <v>16</v>
      </c>
      <c r="G33" s="50">
        <v>0</v>
      </c>
      <c r="H33" s="50">
        <v>0</v>
      </c>
      <c r="I33" s="50">
        <v>5</v>
      </c>
      <c r="J33" s="50">
        <v>2</v>
      </c>
      <c r="K33" s="50">
        <v>0</v>
      </c>
      <c r="L33" s="50">
        <v>0</v>
      </c>
      <c r="M33" s="50">
        <v>109</v>
      </c>
      <c r="N33" s="50">
        <v>0</v>
      </c>
      <c r="O33" s="15">
        <f t="shared" si="0"/>
        <v>71</v>
      </c>
      <c r="P33" s="15">
        <f t="shared" si="1"/>
        <v>180</v>
      </c>
      <c r="R33" s="33" t="s">
        <v>157</v>
      </c>
      <c r="S33" s="34">
        <f>SUM(C102:C105)</f>
        <v>0</v>
      </c>
      <c r="T33" s="34">
        <f t="shared" ref="T33:AF33" si="25">SUM(D102:D105)</f>
        <v>0</v>
      </c>
      <c r="U33" s="34">
        <f t="shared" si="25"/>
        <v>0</v>
      </c>
      <c r="V33" s="34">
        <f t="shared" si="25"/>
        <v>0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0</v>
      </c>
      <c r="AD33" s="34">
        <f t="shared" si="25"/>
        <v>0</v>
      </c>
      <c r="AE33" s="31">
        <f t="shared" si="25"/>
        <v>0</v>
      </c>
      <c r="AF33" s="31">
        <f t="shared" si="25"/>
        <v>0</v>
      </c>
    </row>
    <row r="34" spans="2:32" ht="23.1" customHeight="1" x14ac:dyDescent="0.25">
      <c r="B34" s="46" t="s">
        <v>61</v>
      </c>
      <c r="C34" s="50">
        <v>33</v>
      </c>
      <c r="D34" s="50">
        <v>20</v>
      </c>
      <c r="E34" s="50">
        <v>6</v>
      </c>
      <c r="F34" s="50">
        <v>15</v>
      </c>
      <c r="G34" s="50">
        <v>0</v>
      </c>
      <c r="H34" s="50">
        <v>0</v>
      </c>
      <c r="I34" s="50">
        <v>5</v>
      </c>
      <c r="J34" s="50">
        <v>1</v>
      </c>
      <c r="K34" s="50">
        <v>0</v>
      </c>
      <c r="L34" s="50">
        <v>0</v>
      </c>
      <c r="M34" s="50">
        <v>121</v>
      </c>
      <c r="N34" s="50">
        <v>0</v>
      </c>
      <c r="O34" s="15">
        <f t="shared" si="0"/>
        <v>80</v>
      </c>
      <c r="P34" s="15">
        <f t="shared" si="1"/>
        <v>201</v>
      </c>
      <c r="R34" s="38" t="s">
        <v>90</v>
      </c>
      <c r="S34" s="39">
        <f t="shared" ref="S34:AF34" si="26">MAX(S10:S12)</f>
        <v>157</v>
      </c>
      <c r="T34" s="39">
        <f t="shared" si="26"/>
        <v>58</v>
      </c>
      <c r="U34" s="39">
        <f t="shared" si="26"/>
        <v>25</v>
      </c>
      <c r="V34" s="39">
        <f t="shared" si="26"/>
        <v>83</v>
      </c>
      <c r="W34" s="39">
        <f t="shared" si="26"/>
        <v>3</v>
      </c>
      <c r="X34" s="39">
        <f t="shared" si="26"/>
        <v>4</v>
      </c>
      <c r="Y34" s="39">
        <f t="shared" si="26"/>
        <v>22</v>
      </c>
      <c r="Z34" s="39">
        <f t="shared" si="26"/>
        <v>6</v>
      </c>
      <c r="AA34" s="39">
        <f t="shared" si="26"/>
        <v>9</v>
      </c>
      <c r="AB34" s="39">
        <f t="shared" si="26"/>
        <v>1</v>
      </c>
      <c r="AC34" s="39">
        <f t="shared" si="26"/>
        <v>562</v>
      </c>
      <c r="AD34" s="39">
        <f t="shared" si="26"/>
        <v>0</v>
      </c>
      <c r="AE34" s="40">
        <f t="shared" si="26"/>
        <v>317</v>
      </c>
      <c r="AF34" s="40">
        <f t="shared" si="26"/>
        <v>860</v>
      </c>
    </row>
    <row r="35" spans="2:32" ht="23.1" customHeight="1" x14ac:dyDescent="0.25">
      <c r="B35" s="46" t="s">
        <v>62</v>
      </c>
      <c r="C35" s="50">
        <v>28</v>
      </c>
      <c r="D35" s="50">
        <v>4</v>
      </c>
      <c r="E35" s="50">
        <v>9</v>
      </c>
      <c r="F35" s="50">
        <v>11</v>
      </c>
      <c r="G35" s="50">
        <v>0</v>
      </c>
      <c r="H35" s="50">
        <v>0</v>
      </c>
      <c r="I35" s="50">
        <v>4</v>
      </c>
      <c r="J35" s="50">
        <v>1</v>
      </c>
      <c r="K35" s="50">
        <v>3</v>
      </c>
      <c r="L35" s="50">
        <v>0</v>
      </c>
      <c r="M35" s="50">
        <v>105</v>
      </c>
      <c r="N35" s="50">
        <v>0</v>
      </c>
      <c r="O35" s="15">
        <f t="shared" si="0"/>
        <v>60</v>
      </c>
      <c r="P35" s="15">
        <f t="shared" si="1"/>
        <v>165</v>
      </c>
      <c r="R35" s="38" t="s">
        <v>91</v>
      </c>
      <c r="S35" s="39">
        <f t="shared" ref="S35:AF35" si="27">MAX(S13:S18)</f>
        <v>225</v>
      </c>
      <c r="T35" s="39">
        <f t="shared" si="27"/>
        <v>50</v>
      </c>
      <c r="U35" s="39">
        <f t="shared" si="27"/>
        <v>37</v>
      </c>
      <c r="V35" s="39">
        <f t="shared" si="27"/>
        <v>70</v>
      </c>
      <c r="W35" s="39">
        <f t="shared" si="27"/>
        <v>9</v>
      </c>
      <c r="X35" s="39">
        <f t="shared" si="27"/>
        <v>1</v>
      </c>
      <c r="Y35" s="39">
        <f t="shared" si="27"/>
        <v>38</v>
      </c>
      <c r="Z35" s="39">
        <f t="shared" si="27"/>
        <v>17</v>
      </c>
      <c r="AA35" s="39">
        <f t="shared" si="27"/>
        <v>21</v>
      </c>
      <c r="AB35" s="39">
        <f t="shared" si="27"/>
        <v>3</v>
      </c>
      <c r="AC35" s="39">
        <f t="shared" si="27"/>
        <v>463</v>
      </c>
      <c r="AD35" s="39">
        <f t="shared" si="27"/>
        <v>0</v>
      </c>
      <c r="AE35" s="40">
        <f t="shared" si="27"/>
        <v>404</v>
      </c>
      <c r="AF35" s="40">
        <f t="shared" si="27"/>
        <v>864</v>
      </c>
    </row>
    <row r="36" spans="2:32" ht="23.1" customHeight="1" x14ac:dyDescent="0.25">
      <c r="B36" s="46" t="s">
        <v>63</v>
      </c>
      <c r="C36" s="50">
        <v>52</v>
      </c>
      <c r="D36" s="50">
        <v>9</v>
      </c>
      <c r="E36" s="50">
        <v>18</v>
      </c>
      <c r="F36" s="50">
        <v>15</v>
      </c>
      <c r="G36" s="50">
        <v>0</v>
      </c>
      <c r="H36" s="50">
        <v>0</v>
      </c>
      <c r="I36" s="50">
        <v>4</v>
      </c>
      <c r="J36" s="50">
        <v>1</v>
      </c>
      <c r="K36" s="50">
        <v>0</v>
      </c>
      <c r="L36" s="50">
        <v>0</v>
      </c>
      <c r="M36" s="50">
        <v>110</v>
      </c>
      <c r="N36" s="50">
        <v>0</v>
      </c>
      <c r="O36" s="15">
        <f t="shared" si="0"/>
        <v>99</v>
      </c>
      <c r="P36" s="15">
        <f t="shared" si="1"/>
        <v>209</v>
      </c>
      <c r="R36" s="38" t="s">
        <v>92</v>
      </c>
      <c r="S36" s="39">
        <f t="shared" ref="S36:AF36" si="28">MAX(S19:S21)</f>
        <v>427</v>
      </c>
      <c r="T36" s="39">
        <f t="shared" si="28"/>
        <v>126</v>
      </c>
      <c r="U36" s="39">
        <f t="shared" si="28"/>
        <v>59</v>
      </c>
      <c r="V36" s="39">
        <f t="shared" si="28"/>
        <v>97</v>
      </c>
      <c r="W36" s="39">
        <f t="shared" si="28"/>
        <v>24</v>
      </c>
      <c r="X36" s="39">
        <f t="shared" si="28"/>
        <v>0</v>
      </c>
      <c r="Y36" s="39">
        <f t="shared" si="28"/>
        <v>30</v>
      </c>
      <c r="Z36" s="39">
        <f t="shared" si="28"/>
        <v>7</v>
      </c>
      <c r="AA36" s="39">
        <f t="shared" si="28"/>
        <v>6</v>
      </c>
      <c r="AB36" s="39">
        <f t="shared" si="28"/>
        <v>2</v>
      </c>
      <c r="AC36" s="39">
        <f t="shared" si="28"/>
        <v>681</v>
      </c>
      <c r="AD36" s="39">
        <f t="shared" si="28"/>
        <v>0</v>
      </c>
      <c r="AE36" s="40">
        <f t="shared" si="28"/>
        <v>714</v>
      </c>
      <c r="AF36" s="40">
        <f t="shared" si="28"/>
        <v>1395</v>
      </c>
    </row>
    <row r="37" spans="2:32" ht="23.1" customHeight="1" x14ac:dyDescent="0.25">
      <c r="B37" s="45" t="s">
        <v>64</v>
      </c>
      <c r="C37" s="50">
        <v>40</v>
      </c>
      <c r="D37" s="50">
        <v>13</v>
      </c>
      <c r="E37" s="50">
        <v>4</v>
      </c>
      <c r="F37" s="50">
        <v>0</v>
      </c>
      <c r="G37" s="50">
        <v>9</v>
      </c>
      <c r="H37" s="50">
        <v>0</v>
      </c>
      <c r="I37" s="50">
        <v>8</v>
      </c>
      <c r="J37" s="50">
        <v>6</v>
      </c>
      <c r="K37" s="50">
        <v>1</v>
      </c>
      <c r="L37" s="50">
        <v>3</v>
      </c>
      <c r="M37" s="50">
        <v>95</v>
      </c>
      <c r="N37" s="50">
        <v>0</v>
      </c>
      <c r="O37" s="15">
        <f t="shared" si="0"/>
        <v>84</v>
      </c>
      <c r="P37" s="15">
        <f t="shared" si="1"/>
        <v>179</v>
      </c>
      <c r="R37" s="37" t="s">
        <v>85</v>
      </c>
      <c r="S37" s="35">
        <f t="shared" ref="S37:AF37" si="29">SUM(S10:S12)</f>
        <v>431</v>
      </c>
      <c r="T37" s="16">
        <f t="shared" si="29"/>
        <v>109</v>
      </c>
      <c r="U37" s="16">
        <f t="shared" si="29"/>
        <v>60</v>
      </c>
      <c r="V37" s="16">
        <f t="shared" si="29"/>
        <v>196</v>
      </c>
      <c r="W37" s="16">
        <f t="shared" si="29"/>
        <v>5</v>
      </c>
      <c r="X37" s="16">
        <f t="shared" si="29"/>
        <v>4</v>
      </c>
      <c r="Y37" s="16">
        <f t="shared" si="29"/>
        <v>52</v>
      </c>
      <c r="Z37" s="16">
        <f t="shared" si="29"/>
        <v>15</v>
      </c>
      <c r="AA37" s="16">
        <f t="shared" si="29"/>
        <v>14</v>
      </c>
      <c r="AB37" s="16">
        <f t="shared" si="29"/>
        <v>1</v>
      </c>
      <c r="AC37" s="16">
        <f t="shared" si="29"/>
        <v>1559</v>
      </c>
      <c r="AD37" s="16">
        <f t="shared" si="29"/>
        <v>0</v>
      </c>
      <c r="AE37" s="32">
        <f t="shared" si="29"/>
        <v>887</v>
      </c>
      <c r="AF37" s="32">
        <f t="shared" si="29"/>
        <v>2446</v>
      </c>
    </row>
    <row r="38" spans="2:32" ht="23.1" customHeight="1" x14ac:dyDescent="0.25">
      <c r="B38" s="46" t="s">
        <v>65</v>
      </c>
      <c r="C38" s="50">
        <v>45</v>
      </c>
      <c r="D38" s="50">
        <v>9</v>
      </c>
      <c r="E38" s="50">
        <v>8</v>
      </c>
      <c r="F38" s="50">
        <v>18</v>
      </c>
      <c r="G38" s="50">
        <v>1</v>
      </c>
      <c r="H38" s="50">
        <v>0</v>
      </c>
      <c r="I38" s="50">
        <v>9</v>
      </c>
      <c r="J38" s="50">
        <v>3</v>
      </c>
      <c r="K38" s="50">
        <v>2</v>
      </c>
      <c r="L38" s="50">
        <v>0</v>
      </c>
      <c r="M38" s="50">
        <v>10</v>
      </c>
      <c r="N38" s="50">
        <v>0</v>
      </c>
      <c r="O38" s="15">
        <f t="shared" si="0"/>
        <v>95</v>
      </c>
      <c r="P38" s="15">
        <f t="shared" si="1"/>
        <v>105</v>
      </c>
      <c r="R38" s="28" t="s">
        <v>86</v>
      </c>
      <c r="S38" s="16">
        <f t="shared" ref="S38:AF38" si="30">SUM(S13:S18)</f>
        <v>1011</v>
      </c>
      <c r="T38" s="16">
        <f t="shared" si="30"/>
        <v>254</v>
      </c>
      <c r="U38" s="16">
        <f t="shared" si="30"/>
        <v>198</v>
      </c>
      <c r="V38" s="16">
        <f t="shared" si="30"/>
        <v>293</v>
      </c>
      <c r="W38" s="16">
        <f t="shared" si="30"/>
        <v>32</v>
      </c>
      <c r="X38" s="16">
        <f t="shared" si="30"/>
        <v>2</v>
      </c>
      <c r="Y38" s="16">
        <f t="shared" si="30"/>
        <v>179</v>
      </c>
      <c r="Z38" s="16">
        <f t="shared" si="30"/>
        <v>64</v>
      </c>
      <c r="AA38" s="16">
        <f t="shared" si="30"/>
        <v>41</v>
      </c>
      <c r="AB38" s="16">
        <f t="shared" si="30"/>
        <v>8</v>
      </c>
      <c r="AC38" s="16">
        <f t="shared" si="30"/>
        <v>2582</v>
      </c>
      <c r="AD38" s="16">
        <f t="shared" si="30"/>
        <v>0</v>
      </c>
      <c r="AE38" s="32">
        <f t="shared" si="30"/>
        <v>2082</v>
      </c>
      <c r="AF38" s="32">
        <f t="shared" si="30"/>
        <v>4664</v>
      </c>
    </row>
    <row r="39" spans="2:32" ht="23.1" customHeight="1" x14ac:dyDescent="0.25">
      <c r="B39" s="46" t="s">
        <v>66</v>
      </c>
      <c r="C39" s="50">
        <v>52</v>
      </c>
      <c r="D39" s="50">
        <v>12</v>
      </c>
      <c r="E39" s="50">
        <v>7</v>
      </c>
      <c r="F39" s="50">
        <v>14</v>
      </c>
      <c r="G39" s="50">
        <v>0</v>
      </c>
      <c r="H39" s="50">
        <v>0</v>
      </c>
      <c r="I39" s="50">
        <v>11</v>
      </c>
      <c r="J39" s="50">
        <v>2</v>
      </c>
      <c r="K39" s="50">
        <v>2</v>
      </c>
      <c r="L39" s="50">
        <v>0</v>
      </c>
      <c r="M39" s="50">
        <v>115</v>
      </c>
      <c r="N39" s="50">
        <v>0</v>
      </c>
      <c r="O39" s="15">
        <f t="shared" si="0"/>
        <v>100</v>
      </c>
      <c r="P39" s="15">
        <f t="shared" si="1"/>
        <v>215</v>
      </c>
      <c r="R39" s="29" t="s">
        <v>87</v>
      </c>
      <c r="S39" s="16">
        <f t="shared" ref="S39:AF39" si="31">SUM(S19:S21)</f>
        <v>1148</v>
      </c>
      <c r="T39" s="16">
        <f t="shared" si="31"/>
        <v>327</v>
      </c>
      <c r="U39" s="16">
        <f t="shared" si="31"/>
        <v>155</v>
      </c>
      <c r="V39" s="16">
        <f t="shared" si="31"/>
        <v>213</v>
      </c>
      <c r="W39" s="16">
        <f t="shared" si="31"/>
        <v>33</v>
      </c>
      <c r="X39" s="16">
        <f t="shared" si="31"/>
        <v>0</v>
      </c>
      <c r="Y39" s="16">
        <f t="shared" si="31"/>
        <v>74</v>
      </c>
      <c r="Z39" s="16">
        <f t="shared" si="31"/>
        <v>15</v>
      </c>
      <c r="AA39" s="16">
        <f t="shared" si="31"/>
        <v>15</v>
      </c>
      <c r="AB39" s="16">
        <f t="shared" si="31"/>
        <v>3</v>
      </c>
      <c r="AC39" s="16">
        <f t="shared" si="31"/>
        <v>1712</v>
      </c>
      <c r="AD39" s="16">
        <f t="shared" si="31"/>
        <v>0</v>
      </c>
      <c r="AE39" s="32">
        <f t="shared" si="31"/>
        <v>1983</v>
      </c>
      <c r="AF39" s="32">
        <f t="shared" si="31"/>
        <v>3695</v>
      </c>
    </row>
    <row r="40" spans="2:32" ht="23.1" customHeight="1" x14ac:dyDescent="0.25">
      <c r="B40" s="46" t="s">
        <v>67</v>
      </c>
      <c r="C40" s="50">
        <v>61</v>
      </c>
      <c r="D40" s="50">
        <v>6</v>
      </c>
      <c r="E40" s="50">
        <v>12</v>
      </c>
      <c r="F40" s="50">
        <v>17</v>
      </c>
      <c r="G40" s="50">
        <v>1</v>
      </c>
      <c r="H40" s="50">
        <v>0</v>
      </c>
      <c r="I40" s="50">
        <v>11</v>
      </c>
      <c r="J40" s="50">
        <v>4</v>
      </c>
      <c r="K40" s="50">
        <v>3</v>
      </c>
      <c r="L40" s="50">
        <v>0</v>
      </c>
      <c r="M40" s="50">
        <v>113</v>
      </c>
      <c r="N40" s="50">
        <v>0</v>
      </c>
      <c r="O40" s="15">
        <f t="shared" si="0"/>
        <v>115</v>
      </c>
      <c r="P40" s="15">
        <f t="shared" si="1"/>
        <v>228</v>
      </c>
      <c r="R40" s="5" t="s">
        <v>17</v>
      </c>
      <c r="S40" s="16">
        <f t="shared" ref="S40:AF40" si="32">SUM(S10:S21)</f>
        <v>2590</v>
      </c>
      <c r="T40" s="16">
        <f t="shared" si="32"/>
        <v>690</v>
      </c>
      <c r="U40" s="16">
        <f t="shared" si="32"/>
        <v>413</v>
      </c>
      <c r="V40" s="16">
        <f t="shared" si="32"/>
        <v>702</v>
      </c>
      <c r="W40" s="16">
        <f t="shared" si="32"/>
        <v>70</v>
      </c>
      <c r="X40" s="16">
        <f t="shared" si="32"/>
        <v>6</v>
      </c>
      <c r="Y40" s="16">
        <f t="shared" si="32"/>
        <v>305</v>
      </c>
      <c r="Z40" s="16">
        <f t="shared" si="32"/>
        <v>94</v>
      </c>
      <c r="AA40" s="16">
        <f t="shared" si="32"/>
        <v>70</v>
      </c>
      <c r="AB40" s="16">
        <f t="shared" si="32"/>
        <v>12</v>
      </c>
      <c r="AC40" s="16">
        <f t="shared" si="32"/>
        <v>5853</v>
      </c>
      <c r="AD40" s="16">
        <f t="shared" si="32"/>
        <v>0</v>
      </c>
      <c r="AE40" s="32">
        <f t="shared" si="32"/>
        <v>4952</v>
      </c>
      <c r="AF40" s="32">
        <f t="shared" si="32"/>
        <v>10805</v>
      </c>
    </row>
    <row r="41" spans="2:32" ht="23.1" customHeight="1" x14ac:dyDescent="0.25">
      <c r="B41" s="45" t="s">
        <v>68</v>
      </c>
      <c r="C41" s="50">
        <v>35</v>
      </c>
      <c r="D41" s="50">
        <v>23</v>
      </c>
      <c r="E41" s="50">
        <v>6</v>
      </c>
      <c r="F41" s="50">
        <v>21</v>
      </c>
      <c r="G41" s="50">
        <v>0</v>
      </c>
      <c r="H41" s="50">
        <v>0</v>
      </c>
      <c r="I41" s="50">
        <v>7</v>
      </c>
      <c r="J41" s="50">
        <v>1</v>
      </c>
      <c r="K41" s="50">
        <v>0</v>
      </c>
      <c r="L41" s="50">
        <v>1</v>
      </c>
      <c r="M41" s="50">
        <v>98</v>
      </c>
      <c r="N41" s="50">
        <v>0</v>
      </c>
      <c r="O41" s="15">
        <f t="shared" si="0"/>
        <v>94</v>
      </c>
      <c r="P41" s="15">
        <f t="shared" si="1"/>
        <v>192</v>
      </c>
      <c r="R41" s="5" t="s">
        <v>159</v>
      </c>
      <c r="S41" s="16">
        <f>SUM(S10:S33)</f>
        <v>2590</v>
      </c>
      <c r="T41" s="16">
        <f t="shared" ref="T41:AF41" si="33">SUM(T10:T33)</f>
        <v>690</v>
      </c>
      <c r="U41" s="16">
        <f t="shared" si="33"/>
        <v>413</v>
      </c>
      <c r="V41" s="16">
        <f t="shared" si="33"/>
        <v>702</v>
      </c>
      <c r="W41" s="16">
        <f t="shared" si="33"/>
        <v>70</v>
      </c>
      <c r="X41" s="16">
        <f t="shared" si="33"/>
        <v>6</v>
      </c>
      <c r="Y41" s="16">
        <f t="shared" si="33"/>
        <v>305</v>
      </c>
      <c r="Z41" s="16">
        <f t="shared" si="33"/>
        <v>94</v>
      </c>
      <c r="AA41" s="16">
        <f t="shared" si="33"/>
        <v>70</v>
      </c>
      <c r="AB41" s="16">
        <f t="shared" si="33"/>
        <v>12</v>
      </c>
      <c r="AC41" s="16">
        <f t="shared" si="33"/>
        <v>5853</v>
      </c>
      <c r="AD41" s="16">
        <f t="shared" si="33"/>
        <v>0</v>
      </c>
      <c r="AE41" s="32">
        <f t="shared" si="33"/>
        <v>4952</v>
      </c>
      <c r="AF41" s="32">
        <f t="shared" si="33"/>
        <v>10805</v>
      </c>
    </row>
    <row r="42" spans="2:32" ht="23.1" customHeight="1" x14ac:dyDescent="0.25">
      <c r="B42" s="46" t="s">
        <v>69</v>
      </c>
      <c r="C42" s="50">
        <v>67</v>
      </c>
      <c r="D42" s="50">
        <v>19</v>
      </c>
      <c r="E42" s="50">
        <v>6</v>
      </c>
      <c r="F42" s="50">
        <v>18</v>
      </c>
      <c r="G42" s="50">
        <v>0</v>
      </c>
      <c r="H42" s="50">
        <v>0</v>
      </c>
      <c r="I42" s="50">
        <v>7</v>
      </c>
      <c r="J42" s="50">
        <v>15</v>
      </c>
      <c r="K42" s="50">
        <v>0</v>
      </c>
      <c r="L42" s="50">
        <v>0</v>
      </c>
      <c r="M42" s="50">
        <v>138</v>
      </c>
      <c r="N42" s="50">
        <v>0</v>
      </c>
      <c r="O42" s="15">
        <f t="shared" si="0"/>
        <v>132</v>
      </c>
      <c r="P42" s="15">
        <f t="shared" si="1"/>
        <v>270</v>
      </c>
      <c r="R42" s="5" t="s">
        <v>160</v>
      </c>
      <c r="S42" s="48">
        <f>S41/S40</f>
        <v>1</v>
      </c>
      <c r="T42" s="48">
        <f t="shared" ref="T42:AF42" si="34">T41/T40</f>
        <v>1</v>
      </c>
      <c r="U42" s="48">
        <f t="shared" si="34"/>
        <v>1</v>
      </c>
      <c r="V42" s="48">
        <f t="shared" si="34"/>
        <v>1</v>
      </c>
      <c r="W42" s="48">
        <f t="shared" si="34"/>
        <v>1</v>
      </c>
      <c r="X42" s="48">
        <f t="shared" si="34"/>
        <v>1</v>
      </c>
      <c r="Y42" s="48">
        <f t="shared" si="34"/>
        <v>1</v>
      </c>
      <c r="Z42" s="48">
        <f t="shared" si="34"/>
        <v>1</v>
      </c>
      <c r="AA42" s="48">
        <f t="shared" si="34"/>
        <v>1</v>
      </c>
      <c r="AB42" s="48">
        <f t="shared" si="34"/>
        <v>1</v>
      </c>
      <c r="AC42" s="48">
        <f t="shared" si="34"/>
        <v>1</v>
      </c>
      <c r="AD42" s="48" t="e">
        <f t="shared" si="34"/>
        <v>#DIV/0!</v>
      </c>
      <c r="AE42" s="48">
        <f t="shared" si="34"/>
        <v>1</v>
      </c>
      <c r="AF42" s="48">
        <f t="shared" si="34"/>
        <v>1</v>
      </c>
    </row>
    <row r="43" spans="2:32" ht="23.1" customHeight="1" x14ac:dyDescent="0.25">
      <c r="B43" s="45" t="s">
        <v>70</v>
      </c>
      <c r="C43" s="50">
        <v>51</v>
      </c>
      <c r="D43" s="50">
        <v>13</v>
      </c>
      <c r="E43" s="50">
        <v>4</v>
      </c>
      <c r="F43" s="50">
        <v>11</v>
      </c>
      <c r="G43" s="50">
        <v>1</v>
      </c>
      <c r="H43" s="50">
        <v>0</v>
      </c>
      <c r="I43" s="50">
        <v>7</v>
      </c>
      <c r="J43" s="50">
        <v>0</v>
      </c>
      <c r="K43" s="50">
        <v>3</v>
      </c>
      <c r="L43" s="50">
        <v>1</v>
      </c>
      <c r="M43" s="50">
        <v>105</v>
      </c>
      <c r="N43" s="50">
        <v>0</v>
      </c>
      <c r="O43" s="15">
        <f t="shared" si="0"/>
        <v>91</v>
      </c>
      <c r="P43" s="15">
        <f t="shared" si="1"/>
        <v>196</v>
      </c>
    </row>
    <row r="44" spans="2:32" ht="23.1" customHeight="1" x14ac:dyDescent="0.25">
      <c r="B44" s="47" t="s">
        <v>71</v>
      </c>
      <c r="C44" s="50">
        <v>50</v>
      </c>
      <c r="D44" s="50">
        <v>6</v>
      </c>
      <c r="E44" s="50">
        <v>3</v>
      </c>
      <c r="F44" s="50">
        <v>7</v>
      </c>
      <c r="G44" s="50">
        <v>0</v>
      </c>
      <c r="H44" s="50">
        <v>0</v>
      </c>
      <c r="I44" s="50">
        <v>4</v>
      </c>
      <c r="J44" s="50">
        <v>2</v>
      </c>
      <c r="K44" s="50">
        <v>1</v>
      </c>
      <c r="L44" s="50">
        <v>1</v>
      </c>
      <c r="M44" s="50">
        <v>100</v>
      </c>
      <c r="N44" s="50">
        <v>0</v>
      </c>
      <c r="O44" s="15">
        <f t="shared" si="0"/>
        <v>74</v>
      </c>
      <c r="P44" s="15">
        <f t="shared" si="1"/>
        <v>174</v>
      </c>
    </row>
    <row r="45" spans="2:32" ht="23.1" customHeight="1" x14ac:dyDescent="0.25">
      <c r="B45" s="45" t="s">
        <v>72</v>
      </c>
      <c r="C45" s="50">
        <v>57</v>
      </c>
      <c r="D45" s="50">
        <v>10</v>
      </c>
      <c r="E45" s="50">
        <v>20</v>
      </c>
      <c r="F45" s="50">
        <v>15</v>
      </c>
      <c r="G45" s="50">
        <v>2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120</v>
      </c>
      <c r="N45" s="50">
        <v>0</v>
      </c>
      <c r="O45" s="15">
        <f t="shared" si="0"/>
        <v>104</v>
      </c>
      <c r="P45" s="15">
        <f t="shared" si="1"/>
        <v>224</v>
      </c>
    </row>
    <row r="46" spans="2:32" ht="23.1" customHeight="1" x14ac:dyDescent="0.25">
      <c r="B46" s="46" t="s">
        <v>73</v>
      </c>
      <c r="C46" s="50">
        <v>61</v>
      </c>
      <c r="D46" s="50">
        <v>12</v>
      </c>
      <c r="E46" s="50">
        <v>10</v>
      </c>
      <c r="F46" s="50">
        <v>18</v>
      </c>
      <c r="G46" s="50">
        <v>1</v>
      </c>
      <c r="H46" s="50">
        <v>0</v>
      </c>
      <c r="I46" s="50">
        <v>6</v>
      </c>
      <c r="J46" s="50">
        <v>1</v>
      </c>
      <c r="K46" s="50">
        <v>0</v>
      </c>
      <c r="L46" s="50">
        <v>0</v>
      </c>
      <c r="M46" s="50">
        <v>121</v>
      </c>
      <c r="N46" s="50">
        <v>0</v>
      </c>
      <c r="O46" s="15">
        <f t="shared" si="0"/>
        <v>109</v>
      </c>
      <c r="P46" s="15">
        <f t="shared" si="1"/>
        <v>230</v>
      </c>
      <c r="R46" s="8"/>
      <c r="T46"/>
    </row>
    <row r="47" spans="2:32" ht="23.1" customHeight="1" x14ac:dyDescent="0.25">
      <c r="B47" s="46" t="s">
        <v>74</v>
      </c>
      <c r="C47" s="50">
        <v>68</v>
      </c>
      <c r="D47" s="50">
        <v>23</v>
      </c>
      <c r="E47" s="50">
        <v>25</v>
      </c>
      <c r="F47" s="50">
        <v>18</v>
      </c>
      <c r="G47" s="50">
        <v>0</v>
      </c>
      <c r="H47" s="50">
        <v>0</v>
      </c>
      <c r="I47" s="50">
        <v>9</v>
      </c>
      <c r="J47" s="50">
        <v>2</v>
      </c>
      <c r="K47" s="50">
        <v>1</v>
      </c>
      <c r="L47" s="50">
        <v>0</v>
      </c>
      <c r="M47" s="50">
        <v>111</v>
      </c>
      <c r="N47" s="50">
        <v>0</v>
      </c>
      <c r="O47" s="15">
        <f t="shared" si="0"/>
        <v>146</v>
      </c>
      <c r="P47" s="15">
        <f t="shared" si="1"/>
        <v>257</v>
      </c>
      <c r="R47" s="8"/>
      <c r="T47"/>
    </row>
    <row r="48" spans="2:32" ht="23.1" customHeight="1" x14ac:dyDescent="0.25">
      <c r="B48" s="46" t="s">
        <v>75</v>
      </c>
      <c r="C48" s="50">
        <v>97</v>
      </c>
      <c r="D48" s="50">
        <v>30</v>
      </c>
      <c r="E48" s="50">
        <v>11</v>
      </c>
      <c r="F48" s="50">
        <v>17</v>
      </c>
      <c r="G48" s="50">
        <v>1</v>
      </c>
      <c r="H48" s="50">
        <v>0</v>
      </c>
      <c r="I48" s="50">
        <v>7</v>
      </c>
      <c r="J48" s="50">
        <v>1</v>
      </c>
      <c r="K48" s="50">
        <v>2</v>
      </c>
      <c r="L48" s="50">
        <v>0</v>
      </c>
      <c r="M48" s="50">
        <v>112</v>
      </c>
      <c r="N48" s="50">
        <v>0</v>
      </c>
      <c r="O48" s="15">
        <f t="shared" si="0"/>
        <v>166</v>
      </c>
      <c r="P48" s="15">
        <f t="shared" si="1"/>
        <v>278</v>
      </c>
      <c r="R48" s="8"/>
      <c r="T48"/>
    </row>
    <row r="49" spans="2:20" ht="23.1" customHeight="1" x14ac:dyDescent="0.25">
      <c r="B49" s="45" t="s">
        <v>76</v>
      </c>
      <c r="C49" s="50">
        <v>87</v>
      </c>
      <c r="D49" s="50">
        <v>24</v>
      </c>
      <c r="E49" s="50">
        <v>13</v>
      </c>
      <c r="F49" s="50">
        <v>23</v>
      </c>
      <c r="G49" s="50">
        <v>0</v>
      </c>
      <c r="H49" s="50">
        <v>0</v>
      </c>
      <c r="I49" s="50">
        <v>8</v>
      </c>
      <c r="J49" s="50">
        <v>1</v>
      </c>
      <c r="K49" s="50">
        <v>1</v>
      </c>
      <c r="L49" s="50">
        <v>0</v>
      </c>
      <c r="M49" s="50">
        <v>139</v>
      </c>
      <c r="N49" s="50">
        <v>0</v>
      </c>
      <c r="O49" s="15">
        <f t="shared" si="0"/>
        <v>157</v>
      </c>
      <c r="P49" s="15">
        <f t="shared" si="1"/>
        <v>296</v>
      </c>
      <c r="R49" s="8"/>
      <c r="T49"/>
    </row>
    <row r="50" spans="2:20" ht="23.1" customHeight="1" x14ac:dyDescent="0.25">
      <c r="B50" s="46" t="s">
        <v>77</v>
      </c>
      <c r="C50" s="50">
        <v>105</v>
      </c>
      <c r="D50" s="50">
        <v>32</v>
      </c>
      <c r="E50" s="50">
        <v>17</v>
      </c>
      <c r="F50" s="50">
        <v>23</v>
      </c>
      <c r="G50" s="50">
        <v>0</v>
      </c>
      <c r="H50" s="50">
        <v>0</v>
      </c>
      <c r="I50" s="50">
        <v>7</v>
      </c>
      <c r="J50" s="50">
        <v>2</v>
      </c>
      <c r="K50" s="50">
        <v>2</v>
      </c>
      <c r="L50" s="50">
        <v>2</v>
      </c>
      <c r="M50" s="50">
        <v>121</v>
      </c>
      <c r="N50" s="50">
        <v>0</v>
      </c>
      <c r="O50" s="15">
        <f t="shared" si="0"/>
        <v>190</v>
      </c>
      <c r="P50" s="15">
        <f t="shared" si="1"/>
        <v>311</v>
      </c>
      <c r="R50" s="8"/>
      <c r="T50"/>
    </row>
    <row r="51" spans="2:20" ht="23.1" customHeight="1" x14ac:dyDescent="0.25">
      <c r="B51" s="46" t="s">
        <v>78</v>
      </c>
      <c r="C51" s="50">
        <v>115</v>
      </c>
      <c r="D51" s="50">
        <v>28</v>
      </c>
      <c r="E51" s="50">
        <v>8</v>
      </c>
      <c r="F51" s="50">
        <v>15</v>
      </c>
      <c r="G51" s="50">
        <v>3</v>
      </c>
      <c r="H51" s="50">
        <v>0</v>
      </c>
      <c r="I51" s="50">
        <v>5</v>
      </c>
      <c r="J51" s="50">
        <v>0</v>
      </c>
      <c r="K51" s="50">
        <v>2</v>
      </c>
      <c r="L51" s="50">
        <v>0</v>
      </c>
      <c r="M51" s="50">
        <v>151</v>
      </c>
      <c r="N51" s="50">
        <v>0</v>
      </c>
      <c r="O51" s="15">
        <f t="shared" si="0"/>
        <v>176</v>
      </c>
      <c r="P51" s="15">
        <f t="shared" si="1"/>
        <v>327</v>
      </c>
      <c r="R51" s="8"/>
      <c r="T51"/>
    </row>
    <row r="52" spans="2:20" ht="23.1" customHeight="1" x14ac:dyDescent="0.25">
      <c r="B52" s="46" t="s">
        <v>79</v>
      </c>
      <c r="C52" s="50">
        <v>100</v>
      </c>
      <c r="D52" s="50">
        <v>28</v>
      </c>
      <c r="E52" s="50">
        <v>6</v>
      </c>
      <c r="F52" s="50">
        <v>2</v>
      </c>
      <c r="G52" s="50">
        <v>20</v>
      </c>
      <c r="H52" s="50">
        <v>0</v>
      </c>
      <c r="I52" s="50">
        <v>7</v>
      </c>
      <c r="J52" s="50">
        <v>0</v>
      </c>
      <c r="K52" s="50">
        <v>1</v>
      </c>
      <c r="L52" s="50">
        <v>0</v>
      </c>
      <c r="M52" s="50">
        <v>127</v>
      </c>
      <c r="N52" s="50">
        <v>0</v>
      </c>
      <c r="O52" s="15">
        <f t="shared" si="0"/>
        <v>164</v>
      </c>
      <c r="P52" s="15">
        <f t="shared" si="1"/>
        <v>291</v>
      </c>
      <c r="R52" s="8"/>
      <c r="T52"/>
    </row>
    <row r="53" spans="2:20" ht="23.1" customHeight="1" x14ac:dyDescent="0.25">
      <c r="B53" s="45" t="s">
        <v>80</v>
      </c>
      <c r="C53" s="50">
        <v>88</v>
      </c>
      <c r="D53" s="50">
        <v>38</v>
      </c>
      <c r="E53" s="50">
        <v>27</v>
      </c>
      <c r="F53" s="50">
        <v>0</v>
      </c>
      <c r="G53" s="50">
        <v>1</v>
      </c>
      <c r="H53" s="50">
        <v>0</v>
      </c>
      <c r="I53" s="50">
        <v>5</v>
      </c>
      <c r="J53" s="50">
        <v>1</v>
      </c>
      <c r="K53" s="50">
        <v>1</v>
      </c>
      <c r="L53" s="50">
        <v>0</v>
      </c>
      <c r="M53" s="50">
        <v>149</v>
      </c>
      <c r="N53" s="50">
        <v>0</v>
      </c>
      <c r="O53" s="15">
        <f t="shared" si="0"/>
        <v>161</v>
      </c>
      <c r="P53" s="15">
        <f t="shared" si="1"/>
        <v>310</v>
      </c>
      <c r="R53" s="8"/>
      <c r="T53"/>
    </row>
    <row r="54" spans="2:20" ht="23.1" customHeight="1" x14ac:dyDescent="0.25">
      <c r="B54" s="45" t="s">
        <v>81</v>
      </c>
      <c r="C54" s="50">
        <v>102</v>
      </c>
      <c r="D54" s="50">
        <v>13</v>
      </c>
      <c r="E54" s="50">
        <v>8</v>
      </c>
      <c r="F54" s="50">
        <v>26</v>
      </c>
      <c r="G54" s="50">
        <v>1</v>
      </c>
      <c r="H54" s="50">
        <v>0</v>
      </c>
      <c r="I54" s="50">
        <v>0</v>
      </c>
      <c r="J54" s="50">
        <v>4</v>
      </c>
      <c r="K54" s="50">
        <v>2</v>
      </c>
      <c r="L54" s="50">
        <v>1</v>
      </c>
      <c r="M54" s="50">
        <v>186</v>
      </c>
      <c r="N54" s="50">
        <v>0</v>
      </c>
      <c r="O54" s="15">
        <f t="shared" si="0"/>
        <v>157</v>
      </c>
      <c r="P54" s="15">
        <f t="shared" si="1"/>
        <v>343</v>
      </c>
      <c r="R54" s="8"/>
      <c r="T54"/>
    </row>
    <row r="55" spans="2:20" ht="23.1" customHeight="1" x14ac:dyDescent="0.25">
      <c r="B55" s="45" t="s">
        <v>82</v>
      </c>
      <c r="C55" s="50">
        <v>110</v>
      </c>
      <c r="D55" s="50">
        <v>22</v>
      </c>
      <c r="E55" s="50">
        <v>9</v>
      </c>
      <c r="F55" s="50">
        <v>25</v>
      </c>
      <c r="G55" s="50">
        <v>6</v>
      </c>
      <c r="H55" s="50">
        <v>0</v>
      </c>
      <c r="I55" s="50">
        <v>8</v>
      </c>
      <c r="J55" s="50">
        <v>0</v>
      </c>
      <c r="K55" s="50">
        <v>1</v>
      </c>
      <c r="L55" s="50">
        <v>0</v>
      </c>
      <c r="M55" s="50">
        <v>166</v>
      </c>
      <c r="N55" s="50">
        <v>0</v>
      </c>
      <c r="O55" s="15">
        <f t="shared" si="0"/>
        <v>181</v>
      </c>
      <c r="P55" s="15">
        <f t="shared" si="1"/>
        <v>347</v>
      </c>
      <c r="R55" s="8"/>
      <c r="T55"/>
    </row>
    <row r="56" spans="2:20" ht="23.1" customHeight="1" x14ac:dyDescent="0.25">
      <c r="B56" s="45" t="s">
        <v>83</v>
      </c>
      <c r="C56" s="50">
        <v>115</v>
      </c>
      <c r="D56" s="50">
        <v>26</v>
      </c>
      <c r="E56" s="50">
        <v>8</v>
      </c>
      <c r="F56" s="50">
        <v>26</v>
      </c>
      <c r="G56" s="50">
        <v>0</v>
      </c>
      <c r="H56" s="50">
        <v>0</v>
      </c>
      <c r="I56" s="50">
        <v>5</v>
      </c>
      <c r="J56" s="50">
        <v>1</v>
      </c>
      <c r="K56" s="50">
        <v>1</v>
      </c>
      <c r="L56" s="50">
        <v>0</v>
      </c>
      <c r="M56" s="50">
        <v>159</v>
      </c>
      <c r="N56" s="50">
        <v>0</v>
      </c>
      <c r="O56" s="15">
        <f t="shared" si="0"/>
        <v>182</v>
      </c>
      <c r="P56" s="15">
        <f t="shared" si="1"/>
        <v>341</v>
      </c>
      <c r="R56" s="8"/>
      <c r="T56"/>
    </row>
    <row r="57" spans="2:20" ht="23.1" customHeight="1" x14ac:dyDescent="0.25">
      <c r="B57" s="45" t="s">
        <v>84</v>
      </c>
      <c r="C57" s="50">
        <v>100</v>
      </c>
      <c r="D57" s="50">
        <v>51</v>
      </c>
      <c r="E57" s="50">
        <v>13</v>
      </c>
      <c r="F57" s="50">
        <v>20</v>
      </c>
      <c r="G57" s="50">
        <v>0</v>
      </c>
      <c r="H57" s="50">
        <v>0</v>
      </c>
      <c r="I57" s="50">
        <v>7</v>
      </c>
      <c r="J57" s="50">
        <v>2</v>
      </c>
      <c r="K57" s="50">
        <v>1</v>
      </c>
      <c r="L57" s="50">
        <v>0</v>
      </c>
      <c r="M57" s="50">
        <v>170</v>
      </c>
      <c r="N57" s="50">
        <v>0</v>
      </c>
      <c r="O57" s="15">
        <f t="shared" si="0"/>
        <v>194</v>
      </c>
      <c r="P57" s="15">
        <f t="shared" si="1"/>
        <v>364</v>
      </c>
      <c r="R57" s="8"/>
      <c r="T57"/>
    </row>
    <row r="58" spans="2:20" ht="23.1" customHeight="1" x14ac:dyDescent="0.25">
      <c r="B58" s="45" t="s">
        <v>99</v>
      </c>
      <c r="C58" s="50">
        <v>0</v>
      </c>
      <c r="D58" s="50">
        <v>0</v>
      </c>
      <c r="E58" s="50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0</v>
      </c>
      <c r="N58" s="50">
        <v>0</v>
      </c>
      <c r="O58" s="15">
        <f t="shared" si="0"/>
        <v>0</v>
      </c>
      <c r="P58" s="15">
        <f t="shared" si="1"/>
        <v>0</v>
      </c>
      <c r="R58" s="8"/>
      <c r="T58"/>
    </row>
    <row r="59" spans="2:20" ht="23.1" customHeight="1" x14ac:dyDescent="0.25">
      <c r="B59" s="45" t="s">
        <v>100</v>
      </c>
      <c r="C59" s="50">
        <v>0</v>
      </c>
      <c r="D59" s="50">
        <v>0</v>
      </c>
      <c r="E59" s="50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0</v>
      </c>
      <c r="N59" s="50">
        <v>0</v>
      </c>
      <c r="O59" s="15">
        <f t="shared" si="0"/>
        <v>0</v>
      </c>
      <c r="P59" s="15">
        <f t="shared" si="1"/>
        <v>0</v>
      </c>
      <c r="R59" s="8"/>
      <c r="T59"/>
    </row>
    <row r="60" spans="2:20" ht="23.1" customHeight="1" x14ac:dyDescent="0.25">
      <c r="B60" s="45" t="s">
        <v>101</v>
      </c>
      <c r="C60" s="50">
        <v>0</v>
      </c>
      <c r="D60" s="50">
        <v>0</v>
      </c>
      <c r="E60" s="50">
        <v>0</v>
      </c>
      <c r="F60" s="50">
        <v>0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50">
        <v>0</v>
      </c>
      <c r="N60" s="50">
        <v>0</v>
      </c>
      <c r="O60" s="15">
        <f t="shared" si="0"/>
        <v>0</v>
      </c>
      <c r="P60" s="15">
        <f t="shared" si="1"/>
        <v>0</v>
      </c>
      <c r="R60" s="8"/>
      <c r="T60"/>
    </row>
    <row r="61" spans="2:20" ht="23.1" customHeight="1" x14ac:dyDescent="0.25">
      <c r="B61" s="45" t="s">
        <v>102</v>
      </c>
      <c r="C61" s="50">
        <v>0</v>
      </c>
      <c r="D61" s="50">
        <v>0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0</v>
      </c>
      <c r="N61" s="50">
        <v>0</v>
      </c>
      <c r="O61" s="15">
        <f t="shared" si="0"/>
        <v>0</v>
      </c>
      <c r="P61" s="15">
        <f t="shared" si="1"/>
        <v>0</v>
      </c>
      <c r="R61" s="8"/>
      <c r="T61"/>
    </row>
    <row r="62" spans="2:20" ht="23.1" customHeight="1" x14ac:dyDescent="0.25">
      <c r="B62" s="45" t="s">
        <v>107</v>
      </c>
      <c r="C62" s="50">
        <v>0</v>
      </c>
      <c r="D62" s="50">
        <v>0</v>
      </c>
      <c r="E62" s="50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0</v>
      </c>
      <c r="N62" s="50">
        <v>0</v>
      </c>
      <c r="O62" s="15">
        <f t="shared" si="0"/>
        <v>0</v>
      </c>
      <c r="P62" s="15">
        <f t="shared" si="1"/>
        <v>0</v>
      </c>
      <c r="R62" s="8"/>
      <c r="T62"/>
    </row>
    <row r="63" spans="2:20" ht="23.1" customHeight="1" x14ac:dyDescent="0.25">
      <c r="B63" s="45" t="s">
        <v>108</v>
      </c>
      <c r="C63" s="50">
        <v>0</v>
      </c>
      <c r="D63" s="50">
        <v>0</v>
      </c>
      <c r="E63" s="50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0</v>
      </c>
      <c r="N63" s="50">
        <v>0</v>
      </c>
      <c r="O63" s="15">
        <f t="shared" si="0"/>
        <v>0</v>
      </c>
      <c r="P63" s="15">
        <f t="shared" si="1"/>
        <v>0</v>
      </c>
      <c r="R63" s="8"/>
      <c r="T63"/>
    </row>
    <row r="64" spans="2:20" ht="23.1" customHeight="1" x14ac:dyDescent="0.25">
      <c r="B64" s="45" t="s">
        <v>109</v>
      </c>
      <c r="C64" s="50">
        <v>0</v>
      </c>
      <c r="D64" s="50">
        <v>0</v>
      </c>
      <c r="E64" s="50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0</v>
      </c>
      <c r="N64" s="50">
        <v>0</v>
      </c>
      <c r="O64" s="15">
        <f t="shared" si="0"/>
        <v>0</v>
      </c>
      <c r="P64" s="15">
        <f t="shared" si="1"/>
        <v>0</v>
      </c>
      <c r="R64" s="8"/>
      <c r="T64"/>
    </row>
    <row r="65" spans="2:20" ht="23.1" customHeight="1" x14ac:dyDescent="0.25">
      <c r="B65" s="45" t="s">
        <v>158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0</v>
      </c>
      <c r="N65" s="50">
        <v>0</v>
      </c>
      <c r="O65" s="15">
        <f t="shared" si="0"/>
        <v>0</v>
      </c>
      <c r="P65" s="15">
        <f t="shared" si="1"/>
        <v>0</v>
      </c>
      <c r="R65" s="8"/>
      <c r="T65"/>
    </row>
    <row r="66" spans="2:20" ht="23.1" customHeight="1" x14ac:dyDescent="0.25">
      <c r="B66" s="45" t="s">
        <v>103</v>
      </c>
      <c r="C66" s="50">
        <v>0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0</v>
      </c>
      <c r="N66" s="50">
        <v>0</v>
      </c>
      <c r="O66" s="15">
        <f t="shared" si="0"/>
        <v>0</v>
      </c>
      <c r="P66" s="15">
        <f t="shared" si="1"/>
        <v>0</v>
      </c>
      <c r="R66" s="8"/>
      <c r="T66"/>
    </row>
    <row r="67" spans="2:20" ht="23.1" customHeight="1" x14ac:dyDescent="0.25">
      <c r="B67" s="45" t="s">
        <v>104</v>
      </c>
      <c r="C67" s="50">
        <v>0</v>
      </c>
      <c r="D67" s="50">
        <v>0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50">
        <v>0</v>
      </c>
      <c r="O67" s="15">
        <f t="shared" si="0"/>
        <v>0</v>
      </c>
      <c r="P67" s="15">
        <f t="shared" si="1"/>
        <v>0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0</v>
      </c>
      <c r="E68" s="50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0</v>
      </c>
      <c r="N68" s="50">
        <v>0</v>
      </c>
      <c r="O68" s="15">
        <f t="shared" si="0"/>
        <v>0</v>
      </c>
      <c r="P68" s="15">
        <f t="shared" si="1"/>
        <v>0</v>
      </c>
      <c r="R68" s="8"/>
      <c r="T68"/>
    </row>
    <row r="69" spans="2:20" ht="23.1" customHeight="1" x14ac:dyDescent="0.25">
      <c r="B69" s="45" t="s">
        <v>106</v>
      </c>
      <c r="C69" s="50">
        <v>0</v>
      </c>
      <c r="D69" s="50">
        <v>0</v>
      </c>
      <c r="E69" s="50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0</v>
      </c>
      <c r="N69" s="50">
        <v>0</v>
      </c>
      <c r="O69" s="15">
        <f t="shared" si="0"/>
        <v>0</v>
      </c>
      <c r="P69" s="15">
        <f t="shared" si="1"/>
        <v>0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0</v>
      </c>
      <c r="N70" s="50">
        <v>0</v>
      </c>
      <c r="O70" s="15">
        <f t="shared" si="0"/>
        <v>0</v>
      </c>
      <c r="P70" s="15">
        <f t="shared" si="1"/>
        <v>0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0</v>
      </c>
      <c r="N71" s="50">
        <v>0</v>
      </c>
      <c r="O71" s="15">
        <f t="shared" si="0"/>
        <v>0</v>
      </c>
      <c r="P71" s="15">
        <f t="shared" si="1"/>
        <v>0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0</v>
      </c>
      <c r="N72" s="50">
        <v>0</v>
      </c>
      <c r="O72" s="15">
        <f t="shared" si="0"/>
        <v>0</v>
      </c>
      <c r="P72" s="15">
        <f t="shared" si="1"/>
        <v>0</v>
      </c>
      <c r="R72" s="8"/>
      <c r="T72"/>
    </row>
    <row r="73" spans="2:20" ht="23.1" customHeight="1" x14ac:dyDescent="0.25">
      <c r="B73" s="45" t="s">
        <v>113</v>
      </c>
      <c r="C73" s="50">
        <v>0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0</v>
      </c>
      <c r="N73" s="50">
        <v>0</v>
      </c>
      <c r="O73" s="15">
        <f t="shared" si="0"/>
        <v>0</v>
      </c>
      <c r="P73" s="15">
        <f t="shared" si="1"/>
        <v>0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0</v>
      </c>
      <c r="N74" s="50">
        <v>0</v>
      </c>
      <c r="O74" s="15">
        <f t="shared" ref="O74:O105" si="35">SUM(C74:L74,N74)</f>
        <v>0</v>
      </c>
      <c r="P74" s="15">
        <f t="shared" ref="P74:P105" si="36">SUM(C74:N74)</f>
        <v>0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0</v>
      </c>
      <c r="N75" s="50">
        <v>0</v>
      </c>
      <c r="O75" s="15">
        <f t="shared" si="35"/>
        <v>0</v>
      </c>
      <c r="P75" s="15">
        <f t="shared" si="36"/>
        <v>0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0</v>
      </c>
      <c r="N76" s="50">
        <v>0</v>
      </c>
      <c r="O76" s="15">
        <f t="shared" si="35"/>
        <v>0</v>
      </c>
      <c r="P76" s="15">
        <f t="shared" si="36"/>
        <v>0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15">
        <f t="shared" si="35"/>
        <v>0</v>
      </c>
      <c r="P77" s="15">
        <f t="shared" si="36"/>
        <v>0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0</v>
      </c>
      <c r="N78" s="50">
        <v>0</v>
      </c>
      <c r="O78" s="15">
        <f t="shared" si="35"/>
        <v>0</v>
      </c>
      <c r="P78" s="15">
        <f t="shared" si="36"/>
        <v>0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0</v>
      </c>
      <c r="N79" s="50">
        <v>0</v>
      </c>
      <c r="O79" s="15">
        <f t="shared" si="35"/>
        <v>0</v>
      </c>
      <c r="P79" s="15">
        <f t="shared" si="36"/>
        <v>0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0</v>
      </c>
      <c r="N80" s="50">
        <v>0</v>
      </c>
      <c r="O80" s="15">
        <f t="shared" si="35"/>
        <v>0</v>
      </c>
      <c r="P80" s="15">
        <f t="shared" si="36"/>
        <v>0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  <c r="O81" s="15">
        <f t="shared" si="35"/>
        <v>0</v>
      </c>
      <c r="P81" s="15">
        <f t="shared" si="36"/>
        <v>0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0</v>
      </c>
      <c r="N82" s="50">
        <v>0</v>
      </c>
      <c r="O82" s="15">
        <f t="shared" si="35"/>
        <v>0</v>
      </c>
      <c r="P82" s="15">
        <f t="shared" si="36"/>
        <v>0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15">
        <f t="shared" si="35"/>
        <v>0</v>
      </c>
      <c r="P83" s="15">
        <f t="shared" si="36"/>
        <v>0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0</v>
      </c>
      <c r="P85" s="15">
        <f t="shared" si="36"/>
        <v>0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0</v>
      </c>
      <c r="P94" s="15">
        <f t="shared" si="36"/>
        <v>0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0</v>
      </c>
      <c r="P95" s="15">
        <f t="shared" si="36"/>
        <v>0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0</v>
      </c>
      <c r="P96" s="15">
        <f t="shared" si="36"/>
        <v>0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0</v>
      </c>
      <c r="P97" s="15">
        <f t="shared" si="36"/>
        <v>0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15">
        <f t="shared" si="35"/>
        <v>0</v>
      </c>
      <c r="P98" s="15">
        <f t="shared" si="36"/>
        <v>0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  <c r="O99" s="15">
        <f t="shared" si="35"/>
        <v>0</v>
      </c>
      <c r="P99" s="15">
        <f t="shared" si="36"/>
        <v>0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15">
        <f t="shared" si="35"/>
        <v>0</v>
      </c>
      <c r="P100" s="15">
        <f t="shared" si="36"/>
        <v>0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0</v>
      </c>
      <c r="N101" s="50">
        <v>0</v>
      </c>
      <c r="O101" s="15">
        <f t="shared" si="35"/>
        <v>0</v>
      </c>
      <c r="P101" s="15">
        <f t="shared" si="36"/>
        <v>0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0</v>
      </c>
      <c r="N102" s="50">
        <v>0</v>
      </c>
      <c r="O102" s="15">
        <f t="shared" si="35"/>
        <v>0</v>
      </c>
      <c r="P102" s="15">
        <f t="shared" si="36"/>
        <v>0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0</v>
      </c>
      <c r="N103" s="50">
        <v>0</v>
      </c>
      <c r="O103" s="15">
        <f t="shared" si="35"/>
        <v>0</v>
      </c>
      <c r="P103" s="15">
        <f t="shared" si="36"/>
        <v>0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0</v>
      </c>
      <c r="N104" s="50">
        <v>0</v>
      </c>
      <c r="O104" s="15">
        <f t="shared" si="35"/>
        <v>0</v>
      </c>
      <c r="P104" s="15">
        <f t="shared" si="36"/>
        <v>0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0</v>
      </c>
      <c r="N105" s="50">
        <v>0</v>
      </c>
      <c r="O105" s="15">
        <f t="shared" si="35"/>
        <v>0</v>
      </c>
      <c r="P105" s="15">
        <f t="shared" si="36"/>
        <v>0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2590</v>
      </c>
      <c r="D106" s="16">
        <f t="shared" ref="D106:P106" si="37">SUM(D10:D105)</f>
        <v>690</v>
      </c>
      <c r="E106" s="16">
        <f t="shared" si="37"/>
        <v>413</v>
      </c>
      <c r="F106" s="16">
        <f t="shared" si="37"/>
        <v>702</v>
      </c>
      <c r="G106" s="16">
        <f t="shared" si="37"/>
        <v>70</v>
      </c>
      <c r="H106" s="16">
        <f t="shared" si="37"/>
        <v>6</v>
      </c>
      <c r="I106" s="16">
        <f t="shared" si="37"/>
        <v>305</v>
      </c>
      <c r="J106" s="16">
        <f t="shared" si="37"/>
        <v>94</v>
      </c>
      <c r="K106" s="16">
        <f t="shared" si="37"/>
        <v>70</v>
      </c>
      <c r="L106" s="16">
        <f t="shared" si="37"/>
        <v>12</v>
      </c>
      <c r="M106" s="16">
        <f t="shared" si="37"/>
        <v>5853</v>
      </c>
      <c r="N106" s="16">
        <f t="shared" si="37"/>
        <v>0</v>
      </c>
      <c r="O106" s="16">
        <f t="shared" si="37"/>
        <v>4952</v>
      </c>
      <c r="P106" s="16">
        <f t="shared" si="37"/>
        <v>10805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0.23970384081443777</v>
      </c>
      <c r="D107" s="43">
        <f t="shared" si="38"/>
        <v>6.385932438685793E-2</v>
      </c>
      <c r="E107" s="43">
        <f t="shared" si="38"/>
        <v>3.8223044886626562E-2</v>
      </c>
      <c r="F107" s="43">
        <f t="shared" si="38"/>
        <v>6.4969921332716341E-2</v>
      </c>
      <c r="G107" s="43">
        <f t="shared" si="38"/>
        <v>6.4784821841739936E-3</v>
      </c>
      <c r="H107" s="43">
        <f t="shared" si="38"/>
        <v>5.5529847292919946E-4</v>
      </c>
      <c r="I107" s="43">
        <f t="shared" si="38"/>
        <v>2.8227672373900971E-2</v>
      </c>
      <c r="J107" s="43">
        <f t="shared" si="38"/>
        <v>8.6996760758907919E-3</v>
      </c>
      <c r="K107" s="43">
        <f t="shared" si="38"/>
        <v>6.4784821841739936E-3</v>
      </c>
      <c r="L107" s="43">
        <f t="shared" si="38"/>
        <v>1.1105969458583989E-3</v>
      </c>
      <c r="M107" s="43">
        <f t="shared" si="38"/>
        <v>0.54169366034243405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0.52302100161550891</v>
      </c>
      <c r="D108" s="44">
        <f t="shared" ref="D108:N108" si="39">D106/$O$106</f>
        <v>0.13933764135702748</v>
      </c>
      <c r="E108" s="44">
        <f t="shared" si="39"/>
        <v>8.3400646203554113E-2</v>
      </c>
      <c r="F108" s="44">
        <f t="shared" si="39"/>
        <v>0.14176090468497576</v>
      </c>
      <c r="G108" s="44">
        <f t="shared" si="39"/>
        <v>1.4135702746365105E-2</v>
      </c>
      <c r="H108" s="44">
        <f t="shared" si="39"/>
        <v>1.2116316639741518E-3</v>
      </c>
      <c r="I108" s="44">
        <f t="shared" si="39"/>
        <v>6.1591276252019385E-2</v>
      </c>
      <c r="J108" s="44">
        <f t="shared" si="39"/>
        <v>1.8982229402261713E-2</v>
      </c>
      <c r="K108" s="44">
        <f t="shared" si="39"/>
        <v>1.4135702746365105E-2</v>
      </c>
      <c r="L108" s="44">
        <f t="shared" si="39"/>
        <v>2.4232633279483036E-3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F46" sqref="F4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1" t="s">
        <v>96</v>
      </c>
      <c r="C3" s="63" t="s">
        <v>163</v>
      </c>
      <c r="D3" s="63"/>
      <c r="E3" s="63"/>
      <c r="F3" s="63"/>
      <c r="G3" s="63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164</v>
      </c>
      <c r="E5" s="3"/>
      <c r="F5" s="41" t="s">
        <v>1</v>
      </c>
      <c r="G5" s="61" t="s">
        <v>165</v>
      </c>
      <c r="H5" s="62"/>
      <c r="I5" s="14"/>
      <c r="J5" s="2" t="s">
        <v>5</v>
      </c>
      <c r="K5" s="61" t="s">
        <v>167</v>
      </c>
      <c r="L5" s="62"/>
      <c r="M5" s="10"/>
      <c r="N5" s="10"/>
      <c r="O5" s="3"/>
      <c r="P5" s="3"/>
    </row>
    <row r="6" spans="2:32" ht="23.25" customHeight="1" x14ac:dyDescent="0.25">
      <c r="C6" s="2" t="s">
        <v>4</v>
      </c>
      <c r="D6" s="61" t="s">
        <v>169</v>
      </c>
      <c r="E6" s="62"/>
      <c r="F6" s="2" t="s">
        <v>2</v>
      </c>
      <c r="G6" s="61" t="s">
        <v>166</v>
      </c>
      <c r="H6" s="62"/>
      <c r="J6" s="2" t="s">
        <v>21</v>
      </c>
      <c r="K6" s="61" t="s">
        <v>168</v>
      </c>
      <c r="L6" s="6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5" t="s">
        <v>88</v>
      </c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105</v>
      </c>
      <c r="D10" s="50">
        <v>9</v>
      </c>
      <c r="E10" s="50">
        <v>4</v>
      </c>
      <c r="F10" s="50">
        <v>27</v>
      </c>
      <c r="G10" s="50">
        <v>0</v>
      </c>
      <c r="H10" s="50">
        <v>0</v>
      </c>
      <c r="I10" s="50">
        <v>3</v>
      </c>
      <c r="J10" s="50">
        <v>0</v>
      </c>
      <c r="K10" s="50">
        <v>0</v>
      </c>
      <c r="L10" s="50">
        <v>0</v>
      </c>
      <c r="M10" s="50">
        <v>133</v>
      </c>
      <c r="N10" s="50">
        <v>0</v>
      </c>
      <c r="O10" s="15">
        <f t="shared" ref="O10:O57" si="0">SUM(C10:L10,N10)</f>
        <v>148</v>
      </c>
      <c r="P10" s="15">
        <f t="shared" ref="P10:P57" si="1">SUM(C10:N10)</f>
        <v>281</v>
      </c>
      <c r="R10" s="1" t="s">
        <v>6</v>
      </c>
      <c r="S10" s="17">
        <f t="shared" ref="S10:AF10" si="2">SUM(C10:C13)</f>
        <v>451</v>
      </c>
      <c r="T10" s="17">
        <f t="shared" si="2"/>
        <v>37</v>
      </c>
      <c r="U10" s="17">
        <f t="shared" si="2"/>
        <v>37</v>
      </c>
      <c r="V10" s="17">
        <f t="shared" si="2"/>
        <v>132</v>
      </c>
      <c r="W10" s="17">
        <f t="shared" si="2"/>
        <v>4</v>
      </c>
      <c r="X10" s="17">
        <f t="shared" si="2"/>
        <v>0</v>
      </c>
      <c r="Y10" s="17">
        <f t="shared" si="2"/>
        <v>13</v>
      </c>
      <c r="Z10" s="17">
        <f t="shared" si="2"/>
        <v>4</v>
      </c>
      <c r="AA10" s="17">
        <f t="shared" si="2"/>
        <v>0</v>
      </c>
      <c r="AB10" s="17">
        <f t="shared" si="2"/>
        <v>0</v>
      </c>
      <c r="AC10" s="17">
        <f t="shared" si="2"/>
        <v>635</v>
      </c>
      <c r="AD10" s="17">
        <f t="shared" si="2"/>
        <v>0</v>
      </c>
      <c r="AE10" s="31">
        <f t="shared" si="2"/>
        <v>678</v>
      </c>
      <c r="AF10" s="31">
        <f t="shared" si="2"/>
        <v>1313</v>
      </c>
    </row>
    <row r="11" spans="2:32" s="6" customFormat="1" ht="23.1" customHeight="1" x14ac:dyDescent="0.25">
      <c r="B11" s="23" t="s">
        <v>38</v>
      </c>
      <c r="C11" s="50">
        <v>111</v>
      </c>
      <c r="D11" s="50">
        <v>9</v>
      </c>
      <c r="E11" s="50">
        <v>10</v>
      </c>
      <c r="F11" s="50">
        <v>36</v>
      </c>
      <c r="G11" s="50">
        <v>2</v>
      </c>
      <c r="H11" s="50"/>
      <c r="I11" s="50">
        <v>1</v>
      </c>
      <c r="J11" s="50">
        <v>1</v>
      </c>
      <c r="K11" s="50">
        <v>0</v>
      </c>
      <c r="L11" s="50">
        <v>0</v>
      </c>
      <c r="M11" s="50">
        <v>150</v>
      </c>
      <c r="N11" s="50">
        <v>0</v>
      </c>
      <c r="O11" s="15">
        <f t="shared" si="0"/>
        <v>170</v>
      </c>
      <c r="P11" s="15">
        <f t="shared" si="1"/>
        <v>320</v>
      </c>
      <c r="R11" s="1" t="s">
        <v>7</v>
      </c>
      <c r="S11" s="17">
        <f t="shared" ref="S11:AF11" si="3">SUM(C14:C17)</f>
        <v>391</v>
      </c>
      <c r="T11" s="17">
        <f t="shared" si="3"/>
        <v>46</v>
      </c>
      <c r="U11" s="17">
        <f t="shared" si="3"/>
        <v>59</v>
      </c>
      <c r="V11" s="17">
        <f t="shared" si="3"/>
        <v>94</v>
      </c>
      <c r="W11" s="17">
        <f t="shared" si="3"/>
        <v>0</v>
      </c>
      <c r="X11" s="17">
        <f t="shared" si="3"/>
        <v>0</v>
      </c>
      <c r="Y11" s="17">
        <f t="shared" si="3"/>
        <v>2</v>
      </c>
      <c r="Z11" s="17">
        <f t="shared" si="3"/>
        <v>16</v>
      </c>
      <c r="AA11" s="17">
        <f t="shared" si="3"/>
        <v>7</v>
      </c>
      <c r="AB11" s="17">
        <f t="shared" si="3"/>
        <v>0</v>
      </c>
      <c r="AC11" s="17">
        <f t="shared" si="3"/>
        <v>608</v>
      </c>
      <c r="AD11" s="17">
        <f t="shared" si="3"/>
        <v>0</v>
      </c>
      <c r="AE11" s="31">
        <f t="shared" si="3"/>
        <v>615</v>
      </c>
      <c r="AF11" s="31">
        <f t="shared" si="3"/>
        <v>1223</v>
      </c>
    </row>
    <row r="12" spans="2:32" ht="23.1" customHeight="1" x14ac:dyDescent="0.25">
      <c r="B12" s="23" t="s">
        <v>39</v>
      </c>
      <c r="C12" s="50">
        <v>119</v>
      </c>
      <c r="D12" s="50">
        <v>9</v>
      </c>
      <c r="E12" s="50">
        <v>10</v>
      </c>
      <c r="F12" s="50">
        <v>36</v>
      </c>
      <c r="G12" s="50">
        <v>2</v>
      </c>
      <c r="H12" s="50">
        <v>0</v>
      </c>
      <c r="I12" s="50">
        <v>2</v>
      </c>
      <c r="J12" s="50">
        <v>1</v>
      </c>
      <c r="K12" s="50">
        <v>0</v>
      </c>
      <c r="L12" s="50">
        <v>0</v>
      </c>
      <c r="M12" s="50">
        <v>167</v>
      </c>
      <c r="N12" s="50">
        <v>0</v>
      </c>
      <c r="O12" s="15">
        <f t="shared" si="0"/>
        <v>179</v>
      </c>
      <c r="P12" s="15">
        <f t="shared" si="1"/>
        <v>346</v>
      </c>
      <c r="R12" s="1" t="s">
        <v>8</v>
      </c>
      <c r="S12" s="17">
        <f t="shared" ref="S12:AF12" si="4">SUM(C18:C21)</f>
        <v>298</v>
      </c>
      <c r="T12" s="17">
        <f t="shared" si="4"/>
        <v>36</v>
      </c>
      <c r="U12" s="17">
        <f t="shared" si="4"/>
        <v>38</v>
      </c>
      <c r="V12" s="17">
        <f t="shared" si="4"/>
        <v>82</v>
      </c>
      <c r="W12" s="17">
        <f t="shared" si="4"/>
        <v>1</v>
      </c>
      <c r="X12" s="17">
        <f t="shared" si="4"/>
        <v>0</v>
      </c>
      <c r="Y12" s="17">
        <f t="shared" si="4"/>
        <v>0</v>
      </c>
      <c r="Z12" s="17">
        <f t="shared" si="4"/>
        <v>15</v>
      </c>
      <c r="AA12" s="17">
        <f t="shared" si="4"/>
        <v>11</v>
      </c>
      <c r="AB12" s="17">
        <f t="shared" si="4"/>
        <v>5</v>
      </c>
      <c r="AC12" s="17">
        <f t="shared" si="4"/>
        <v>531</v>
      </c>
      <c r="AD12" s="17">
        <f t="shared" si="4"/>
        <v>0</v>
      </c>
      <c r="AE12" s="31">
        <f t="shared" si="4"/>
        <v>486</v>
      </c>
      <c r="AF12" s="31">
        <f t="shared" si="4"/>
        <v>1017</v>
      </c>
    </row>
    <row r="13" spans="2:32" ht="23.1" customHeight="1" x14ac:dyDescent="0.25">
      <c r="B13" s="23" t="s">
        <v>40</v>
      </c>
      <c r="C13" s="50">
        <v>116</v>
      </c>
      <c r="D13" s="50">
        <v>10</v>
      </c>
      <c r="E13" s="50">
        <v>13</v>
      </c>
      <c r="F13" s="50">
        <v>33</v>
      </c>
      <c r="G13" s="50">
        <v>0</v>
      </c>
      <c r="H13" s="50">
        <v>0</v>
      </c>
      <c r="I13" s="50">
        <v>7</v>
      </c>
      <c r="J13" s="50">
        <v>2</v>
      </c>
      <c r="K13" s="50">
        <v>0</v>
      </c>
      <c r="L13" s="50">
        <v>0</v>
      </c>
      <c r="M13" s="50">
        <v>185</v>
      </c>
      <c r="N13" s="50">
        <v>0</v>
      </c>
      <c r="O13" s="15">
        <f t="shared" si="0"/>
        <v>181</v>
      </c>
      <c r="P13" s="15">
        <f t="shared" si="1"/>
        <v>366</v>
      </c>
      <c r="R13" s="1" t="s">
        <v>9</v>
      </c>
      <c r="S13" s="17">
        <f t="shared" ref="S13:AF13" si="5">SUM(C22:C25)</f>
        <v>228</v>
      </c>
      <c r="T13" s="17">
        <f t="shared" si="5"/>
        <v>28</v>
      </c>
      <c r="U13" s="17">
        <f t="shared" si="5"/>
        <v>28</v>
      </c>
      <c r="V13" s="17">
        <f t="shared" si="5"/>
        <v>72</v>
      </c>
      <c r="W13" s="17">
        <f t="shared" si="5"/>
        <v>2</v>
      </c>
      <c r="X13" s="17">
        <f t="shared" si="5"/>
        <v>0</v>
      </c>
      <c r="Y13" s="17">
        <f t="shared" si="5"/>
        <v>0</v>
      </c>
      <c r="Z13" s="17">
        <f t="shared" si="5"/>
        <v>26</v>
      </c>
      <c r="AA13" s="17">
        <f t="shared" si="5"/>
        <v>6</v>
      </c>
      <c r="AB13" s="17">
        <f t="shared" si="5"/>
        <v>6</v>
      </c>
      <c r="AC13" s="17">
        <f t="shared" si="5"/>
        <v>453</v>
      </c>
      <c r="AD13" s="17">
        <f t="shared" si="5"/>
        <v>0</v>
      </c>
      <c r="AE13" s="31">
        <f t="shared" si="5"/>
        <v>396</v>
      </c>
      <c r="AF13" s="31">
        <f t="shared" si="5"/>
        <v>849</v>
      </c>
    </row>
    <row r="14" spans="2:32" ht="23.1" customHeight="1" x14ac:dyDescent="0.25">
      <c r="B14" s="23" t="s">
        <v>41</v>
      </c>
      <c r="C14" s="50">
        <v>116</v>
      </c>
      <c r="D14" s="50">
        <v>11</v>
      </c>
      <c r="E14" s="50">
        <v>13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193</v>
      </c>
      <c r="N14" s="50">
        <v>0</v>
      </c>
      <c r="O14" s="15">
        <f t="shared" si="0"/>
        <v>140</v>
      </c>
      <c r="P14" s="15">
        <f t="shared" si="1"/>
        <v>333</v>
      </c>
      <c r="R14" s="1" t="s">
        <v>10</v>
      </c>
      <c r="S14" s="17">
        <f t="shared" ref="S14:AF14" si="6">SUM(C26:C29)</f>
        <v>235</v>
      </c>
      <c r="T14" s="17">
        <f t="shared" si="6"/>
        <v>28</v>
      </c>
      <c r="U14" s="17">
        <f t="shared" si="6"/>
        <v>34</v>
      </c>
      <c r="V14" s="17">
        <f t="shared" si="6"/>
        <v>84</v>
      </c>
      <c r="W14" s="17">
        <f t="shared" si="6"/>
        <v>1</v>
      </c>
      <c r="X14" s="17">
        <f t="shared" si="6"/>
        <v>0</v>
      </c>
      <c r="Y14" s="17">
        <f t="shared" si="6"/>
        <v>13</v>
      </c>
      <c r="Z14" s="17">
        <f t="shared" si="6"/>
        <v>11</v>
      </c>
      <c r="AA14" s="17">
        <f t="shared" si="6"/>
        <v>10</v>
      </c>
      <c r="AB14" s="17">
        <f t="shared" si="6"/>
        <v>2</v>
      </c>
      <c r="AC14" s="17">
        <f t="shared" si="6"/>
        <v>410</v>
      </c>
      <c r="AD14" s="17">
        <f t="shared" si="6"/>
        <v>0</v>
      </c>
      <c r="AE14" s="31">
        <f t="shared" si="6"/>
        <v>418</v>
      </c>
      <c r="AF14" s="31">
        <f t="shared" si="6"/>
        <v>828</v>
      </c>
    </row>
    <row r="15" spans="2:32" ht="23.1" customHeight="1" x14ac:dyDescent="0.25">
      <c r="B15" s="23" t="s">
        <v>42</v>
      </c>
      <c r="C15" s="50">
        <v>115</v>
      </c>
      <c r="D15" s="50">
        <v>11</v>
      </c>
      <c r="E15" s="50">
        <v>13</v>
      </c>
      <c r="F15" s="50">
        <v>34</v>
      </c>
      <c r="G15" s="50">
        <v>0</v>
      </c>
      <c r="H15" s="50">
        <v>0</v>
      </c>
      <c r="I15" s="50">
        <v>2</v>
      </c>
      <c r="J15" s="50">
        <v>4</v>
      </c>
      <c r="K15" s="50">
        <v>4</v>
      </c>
      <c r="L15" s="50">
        <v>0</v>
      </c>
      <c r="M15" s="50">
        <v>180</v>
      </c>
      <c r="N15" s="50">
        <v>0</v>
      </c>
      <c r="O15" s="15">
        <f t="shared" si="0"/>
        <v>183</v>
      </c>
      <c r="P15" s="15">
        <f t="shared" si="1"/>
        <v>363</v>
      </c>
      <c r="R15" s="1" t="s">
        <v>11</v>
      </c>
      <c r="S15" s="17">
        <f t="shared" ref="S15:AF15" si="7">SUM(C30:C33)</f>
        <v>152</v>
      </c>
      <c r="T15" s="17">
        <f t="shared" si="7"/>
        <v>20</v>
      </c>
      <c r="U15" s="17">
        <f t="shared" si="7"/>
        <v>22</v>
      </c>
      <c r="V15" s="17">
        <f t="shared" si="7"/>
        <v>87</v>
      </c>
      <c r="W15" s="17">
        <f t="shared" si="7"/>
        <v>1</v>
      </c>
      <c r="X15" s="17">
        <f t="shared" si="7"/>
        <v>5</v>
      </c>
      <c r="Y15" s="17">
        <f t="shared" si="7"/>
        <v>18</v>
      </c>
      <c r="Z15" s="17">
        <f t="shared" si="7"/>
        <v>10</v>
      </c>
      <c r="AA15" s="17">
        <f t="shared" si="7"/>
        <v>6</v>
      </c>
      <c r="AB15" s="17">
        <f t="shared" si="7"/>
        <v>0</v>
      </c>
      <c r="AC15" s="17">
        <f t="shared" si="7"/>
        <v>397</v>
      </c>
      <c r="AD15" s="17">
        <f t="shared" si="7"/>
        <v>0</v>
      </c>
      <c r="AE15" s="31">
        <f t="shared" si="7"/>
        <v>321</v>
      </c>
      <c r="AF15" s="31">
        <f t="shared" si="7"/>
        <v>718</v>
      </c>
    </row>
    <row r="16" spans="2:32" ht="23.1" customHeight="1" x14ac:dyDescent="0.25">
      <c r="B16" s="23" t="s">
        <v>43</v>
      </c>
      <c r="C16" s="50">
        <v>73</v>
      </c>
      <c r="D16" s="50">
        <v>10</v>
      </c>
      <c r="E16" s="50">
        <v>16</v>
      </c>
      <c r="F16" s="50">
        <v>29</v>
      </c>
      <c r="G16" s="50">
        <v>0</v>
      </c>
      <c r="H16" s="50">
        <v>0</v>
      </c>
      <c r="I16" s="50">
        <v>0</v>
      </c>
      <c r="J16" s="50">
        <v>8</v>
      </c>
      <c r="K16" s="50">
        <v>1</v>
      </c>
      <c r="L16" s="50">
        <v>0</v>
      </c>
      <c r="M16" s="50">
        <v>121</v>
      </c>
      <c r="N16" s="50">
        <v>0</v>
      </c>
      <c r="O16" s="15">
        <f t="shared" si="0"/>
        <v>137</v>
      </c>
      <c r="P16" s="15">
        <f t="shared" si="1"/>
        <v>258</v>
      </c>
      <c r="R16" s="1" t="s">
        <v>12</v>
      </c>
      <c r="S16" s="17">
        <f t="shared" ref="S16:AF16" si="8">SUM(C34:C37)</f>
        <v>165</v>
      </c>
      <c r="T16" s="17">
        <f t="shared" si="8"/>
        <v>20</v>
      </c>
      <c r="U16" s="17">
        <f t="shared" si="8"/>
        <v>28</v>
      </c>
      <c r="V16" s="17">
        <f t="shared" si="8"/>
        <v>76</v>
      </c>
      <c r="W16" s="17">
        <f t="shared" si="8"/>
        <v>0</v>
      </c>
      <c r="X16" s="17">
        <f t="shared" si="8"/>
        <v>1</v>
      </c>
      <c r="Y16" s="17">
        <f t="shared" si="8"/>
        <v>11</v>
      </c>
      <c r="Z16" s="17">
        <f t="shared" si="8"/>
        <v>13</v>
      </c>
      <c r="AA16" s="17">
        <f t="shared" si="8"/>
        <v>6</v>
      </c>
      <c r="AB16" s="17">
        <f t="shared" si="8"/>
        <v>0</v>
      </c>
      <c r="AC16" s="17">
        <f t="shared" si="8"/>
        <v>305</v>
      </c>
      <c r="AD16" s="17">
        <f t="shared" si="8"/>
        <v>0</v>
      </c>
      <c r="AE16" s="31">
        <f t="shared" si="8"/>
        <v>320</v>
      </c>
      <c r="AF16" s="31">
        <f t="shared" si="8"/>
        <v>625</v>
      </c>
    </row>
    <row r="17" spans="2:32" ht="23.1" customHeight="1" x14ac:dyDescent="0.25">
      <c r="B17" s="23" t="s">
        <v>44</v>
      </c>
      <c r="C17" s="50">
        <v>87</v>
      </c>
      <c r="D17" s="50">
        <v>14</v>
      </c>
      <c r="E17" s="50">
        <v>17</v>
      </c>
      <c r="F17" s="50">
        <v>31</v>
      </c>
      <c r="G17" s="50">
        <v>0</v>
      </c>
      <c r="H17" s="50">
        <v>0</v>
      </c>
      <c r="I17" s="50">
        <v>0</v>
      </c>
      <c r="J17" s="50">
        <v>4</v>
      </c>
      <c r="K17" s="50">
        <v>2</v>
      </c>
      <c r="L17" s="50">
        <v>0</v>
      </c>
      <c r="M17" s="50">
        <v>114</v>
      </c>
      <c r="N17" s="50">
        <v>0</v>
      </c>
      <c r="O17" s="15">
        <f t="shared" si="0"/>
        <v>155</v>
      </c>
      <c r="P17" s="15">
        <f t="shared" si="1"/>
        <v>269</v>
      </c>
      <c r="R17" s="1" t="s">
        <v>13</v>
      </c>
      <c r="S17" s="17">
        <f t="shared" ref="S17:AF17" si="9">SUM(C38:C41)</f>
        <v>177</v>
      </c>
      <c r="T17" s="17">
        <f t="shared" si="9"/>
        <v>18</v>
      </c>
      <c r="U17" s="17">
        <f t="shared" si="9"/>
        <v>21</v>
      </c>
      <c r="V17" s="17">
        <f t="shared" si="9"/>
        <v>59</v>
      </c>
      <c r="W17" s="17">
        <f t="shared" si="9"/>
        <v>0</v>
      </c>
      <c r="X17" s="17">
        <f t="shared" si="9"/>
        <v>0</v>
      </c>
      <c r="Y17" s="17">
        <f t="shared" si="9"/>
        <v>14</v>
      </c>
      <c r="Z17" s="17">
        <f t="shared" si="9"/>
        <v>15</v>
      </c>
      <c r="AA17" s="17">
        <f t="shared" si="9"/>
        <v>7</v>
      </c>
      <c r="AB17" s="17">
        <f t="shared" si="9"/>
        <v>1</v>
      </c>
      <c r="AC17" s="17">
        <f t="shared" si="9"/>
        <v>385</v>
      </c>
      <c r="AD17" s="17">
        <f t="shared" si="9"/>
        <v>0</v>
      </c>
      <c r="AE17" s="31">
        <f t="shared" si="9"/>
        <v>312</v>
      </c>
      <c r="AF17" s="31">
        <f t="shared" si="9"/>
        <v>697</v>
      </c>
    </row>
    <row r="18" spans="2:32" ht="23.1" customHeight="1" x14ac:dyDescent="0.25">
      <c r="B18" s="23" t="s">
        <v>45</v>
      </c>
      <c r="C18" s="50">
        <v>72</v>
      </c>
      <c r="D18" s="50">
        <v>9</v>
      </c>
      <c r="E18" s="50">
        <v>10</v>
      </c>
      <c r="F18" s="50">
        <v>25</v>
      </c>
      <c r="G18" s="50">
        <v>1</v>
      </c>
      <c r="H18" s="50">
        <v>0</v>
      </c>
      <c r="I18" s="50">
        <v>0</v>
      </c>
      <c r="J18" s="50">
        <v>5</v>
      </c>
      <c r="K18" s="50">
        <v>1</v>
      </c>
      <c r="L18" s="50">
        <v>1</v>
      </c>
      <c r="M18" s="50">
        <v>131</v>
      </c>
      <c r="N18" s="50">
        <v>0</v>
      </c>
      <c r="O18" s="15">
        <f t="shared" si="0"/>
        <v>124</v>
      </c>
      <c r="P18" s="15">
        <f t="shared" si="1"/>
        <v>255</v>
      </c>
      <c r="R18" s="1" t="s">
        <v>14</v>
      </c>
      <c r="S18" s="17">
        <f t="shared" ref="S18:AF18" si="10">SUM(C42:C45)</f>
        <v>144</v>
      </c>
      <c r="T18" s="17">
        <f t="shared" si="10"/>
        <v>16</v>
      </c>
      <c r="U18" s="17">
        <f t="shared" si="10"/>
        <v>41</v>
      </c>
      <c r="V18" s="17">
        <f t="shared" si="10"/>
        <v>61</v>
      </c>
      <c r="W18" s="17">
        <f t="shared" si="10"/>
        <v>2</v>
      </c>
      <c r="X18" s="17">
        <f t="shared" si="10"/>
        <v>0</v>
      </c>
      <c r="Y18" s="17">
        <f t="shared" si="10"/>
        <v>0</v>
      </c>
      <c r="Z18" s="17">
        <f t="shared" si="10"/>
        <v>21</v>
      </c>
      <c r="AA18" s="17">
        <f t="shared" si="10"/>
        <v>12</v>
      </c>
      <c r="AB18" s="17">
        <f t="shared" si="10"/>
        <v>4</v>
      </c>
      <c r="AC18" s="17">
        <f t="shared" si="10"/>
        <v>389</v>
      </c>
      <c r="AD18" s="17">
        <f t="shared" si="10"/>
        <v>0</v>
      </c>
      <c r="AE18" s="31">
        <f t="shared" si="10"/>
        <v>301</v>
      </c>
      <c r="AF18" s="31">
        <f t="shared" si="10"/>
        <v>690</v>
      </c>
    </row>
    <row r="19" spans="2:32" ht="23.1" customHeight="1" x14ac:dyDescent="0.25">
      <c r="B19" s="23" t="s">
        <v>46</v>
      </c>
      <c r="C19" s="50">
        <v>82</v>
      </c>
      <c r="D19" s="50">
        <v>11</v>
      </c>
      <c r="E19" s="50">
        <v>11</v>
      </c>
      <c r="F19" s="50">
        <v>16</v>
      </c>
      <c r="G19" s="50">
        <v>0</v>
      </c>
      <c r="H19" s="50">
        <v>0</v>
      </c>
      <c r="I19" s="50">
        <v>0</v>
      </c>
      <c r="J19" s="50">
        <v>2</v>
      </c>
      <c r="K19" s="50">
        <v>2</v>
      </c>
      <c r="L19" s="50">
        <v>2</v>
      </c>
      <c r="M19" s="50">
        <v>156</v>
      </c>
      <c r="N19" s="50">
        <v>0</v>
      </c>
      <c r="O19" s="15">
        <f t="shared" si="0"/>
        <v>126</v>
      </c>
      <c r="P19" s="15">
        <f t="shared" si="1"/>
        <v>282</v>
      </c>
      <c r="R19" s="1" t="s">
        <v>15</v>
      </c>
      <c r="S19" s="17">
        <f t="shared" ref="S19:AF19" si="11">SUM(C46:C49)</f>
        <v>175</v>
      </c>
      <c r="T19" s="17">
        <f t="shared" si="11"/>
        <v>16</v>
      </c>
      <c r="U19" s="17">
        <f t="shared" si="11"/>
        <v>25</v>
      </c>
      <c r="V19" s="17">
        <f t="shared" si="11"/>
        <v>77</v>
      </c>
      <c r="W19" s="17">
        <f t="shared" si="11"/>
        <v>2</v>
      </c>
      <c r="X19" s="17">
        <f t="shared" si="11"/>
        <v>0</v>
      </c>
      <c r="Y19" s="17">
        <f t="shared" si="11"/>
        <v>20</v>
      </c>
      <c r="Z19" s="17">
        <f t="shared" si="11"/>
        <v>12</v>
      </c>
      <c r="AA19" s="17">
        <f t="shared" si="11"/>
        <v>2</v>
      </c>
      <c r="AB19" s="17">
        <f t="shared" si="11"/>
        <v>5</v>
      </c>
      <c r="AC19" s="17">
        <f t="shared" si="11"/>
        <v>427</v>
      </c>
      <c r="AD19" s="17">
        <f t="shared" si="11"/>
        <v>0</v>
      </c>
      <c r="AE19" s="31">
        <f t="shared" si="11"/>
        <v>334</v>
      </c>
      <c r="AF19" s="31">
        <f t="shared" si="11"/>
        <v>761</v>
      </c>
    </row>
    <row r="20" spans="2:32" ht="23.1" customHeight="1" x14ac:dyDescent="0.25">
      <c r="B20" s="23" t="s">
        <v>47</v>
      </c>
      <c r="C20" s="50">
        <v>77</v>
      </c>
      <c r="D20" s="50">
        <v>10</v>
      </c>
      <c r="E20" s="50">
        <v>12</v>
      </c>
      <c r="F20" s="50">
        <v>22</v>
      </c>
      <c r="G20" s="50">
        <v>0</v>
      </c>
      <c r="H20" s="50">
        <v>0</v>
      </c>
      <c r="I20" s="50">
        <v>0</v>
      </c>
      <c r="J20" s="50">
        <v>2</v>
      </c>
      <c r="K20" s="50">
        <v>5</v>
      </c>
      <c r="L20" s="50">
        <v>2</v>
      </c>
      <c r="M20" s="50">
        <v>135</v>
      </c>
      <c r="N20" s="50">
        <v>0</v>
      </c>
      <c r="O20" s="15">
        <f t="shared" si="0"/>
        <v>130</v>
      </c>
      <c r="P20" s="15">
        <f t="shared" si="1"/>
        <v>265</v>
      </c>
      <c r="R20" s="1" t="s">
        <v>16</v>
      </c>
      <c r="S20" s="17">
        <f t="shared" ref="S20:AF20" si="12">SUM(C50:C53)</f>
        <v>225</v>
      </c>
      <c r="T20" s="17">
        <f t="shared" si="12"/>
        <v>19</v>
      </c>
      <c r="U20" s="17">
        <f t="shared" si="12"/>
        <v>43</v>
      </c>
      <c r="V20" s="17">
        <f t="shared" si="12"/>
        <v>73</v>
      </c>
      <c r="W20" s="17">
        <f t="shared" si="12"/>
        <v>4</v>
      </c>
      <c r="X20" s="17">
        <f t="shared" si="12"/>
        <v>0</v>
      </c>
      <c r="Y20" s="17">
        <f t="shared" si="12"/>
        <v>7</v>
      </c>
      <c r="Z20" s="17">
        <f t="shared" si="12"/>
        <v>14</v>
      </c>
      <c r="AA20" s="17">
        <f t="shared" si="12"/>
        <v>8</v>
      </c>
      <c r="AB20" s="17">
        <f t="shared" si="12"/>
        <v>0</v>
      </c>
      <c r="AC20" s="17">
        <f t="shared" si="12"/>
        <v>546</v>
      </c>
      <c r="AD20" s="17">
        <f t="shared" si="12"/>
        <v>0</v>
      </c>
      <c r="AE20" s="31">
        <f t="shared" si="12"/>
        <v>393</v>
      </c>
      <c r="AF20" s="31">
        <f t="shared" si="12"/>
        <v>939</v>
      </c>
    </row>
    <row r="21" spans="2:32" ht="23.1" customHeight="1" x14ac:dyDescent="0.25">
      <c r="B21" s="23" t="s">
        <v>48</v>
      </c>
      <c r="C21" s="50">
        <v>67</v>
      </c>
      <c r="D21" s="50">
        <v>6</v>
      </c>
      <c r="E21" s="50">
        <v>5</v>
      </c>
      <c r="F21" s="50">
        <v>19</v>
      </c>
      <c r="G21" s="50">
        <v>0</v>
      </c>
      <c r="H21" s="50">
        <v>0</v>
      </c>
      <c r="I21" s="50">
        <v>0</v>
      </c>
      <c r="J21" s="50">
        <v>6</v>
      </c>
      <c r="K21" s="50">
        <v>3</v>
      </c>
      <c r="L21" s="50">
        <v>0</v>
      </c>
      <c r="M21" s="50">
        <v>109</v>
      </c>
      <c r="N21" s="50">
        <v>0</v>
      </c>
      <c r="O21" s="15">
        <f t="shared" si="0"/>
        <v>106</v>
      </c>
      <c r="P21" s="15">
        <f t="shared" si="1"/>
        <v>215</v>
      </c>
      <c r="R21" s="36" t="s">
        <v>20</v>
      </c>
      <c r="S21" s="34">
        <f t="shared" ref="S21:AF21" si="13">SUM(C54:C57)</f>
        <v>184</v>
      </c>
      <c r="T21" s="17">
        <f t="shared" si="13"/>
        <v>28</v>
      </c>
      <c r="U21" s="17">
        <f t="shared" si="13"/>
        <v>28</v>
      </c>
      <c r="V21" s="17">
        <f t="shared" si="13"/>
        <v>100</v>
      </c>
      <c r="W21" s="17">
        <f t="shared" si="13"/>
        <v>6</v>
      </c>
      <c r="X21" s="17">
        <f t="shared" si="13"/>
        <v>0</v>
      </c>
      <c r="Y21" s="17">
        <f t="shared" si="13"/>
        <v>12</v>
      </c>
      <c r="Z21" s="17">
        <f t="shared" si="13"/>
        <v>2</v>
      </c>
      <c r="AA21" s="17">
        <f t="shared" si="13"/>
        <v>3</v>
      </c>
      <c r="AB21" s="17">
        <f t="shared" si="13"/>
        <v>0</v>
      </c>
      <c r="AC21" s="17">
        <f t="shared" si="13"/>
        <v>580</v>
      </c>
      <c r="AD21" s="17">
        <f t="shared" si="13"/>
        <v>0</v>
      </c>
      <c r="AE21" s="31">
        <f t="shared" si="13"/>
        <v>363</v>
      </c>
      <c r="AF21" s="31">
        <f t="shared" si="13"/>
        <v>943</v>
      </c>
    </row>
    <row r="22" spans="2:32" ht="23.1" customHeight="1" x14ac:dyDescent="0.25">
      <c r="B22" s="23" t="s">
        <v>49</v>
      </c>
      <c r="C22" s="50">
        <v>46</v>
      </c>
      <c r="D22" s="50">
        <v>10</v>
      </c>
      <c r="E22" s="50">
        <v>9</v>
      </c>
      <c r="F22" s="50">
        <v>19</v>
      </c>
      <c r="G22" s="50">
        <v>2</v>
      </c>
      <c r="H22" s="50">
        <v>0</v>
      </c>
      <c r="I22" s="50">
        <v>0</v>
      </c>
      <c r="J22" s="50">
        <v>6</v>
      </c>
      <c r="K22" s="50">
        <v>1</v>
      </c>
      <c r="L22" s="50">
        <v>2</v>
      </c>
      <c r="M22" s="50">
        <v>135</v>
      </c>
      <c r="N22" s="50">
        <v>0</v>
      </c>
      <c r="O22" s="15">
        <f t="shared" si="0"/>
        <v>95</v>
      </c>
      <c r="P22" s="15">
        <f t="shared" si="1"/>
        <v>230</v>
      </c>
      <c r="R22" s="38" t="s">
        <v>90</v>
      </c>
      <c r="S22" s="39">
        <f>MAX(S10:S12)</f>
        <v>451</v>
      </c>
      <c r="T22" s="39">
        <f t="shared" ref="T22:AF22" si="14">MAX(T10:T12)</f>
        <v>46</v>
      </c>
      <c r="U22" s="39">
        <f t="shared" si="14"/>
        <v>59</v>
      </c>
      <c r="V22" s="39">
        <f t="shared" si="14"/>
        <v>132</v>
      </c>
      <c r="W22" s="39">
        <f t="shared" si="14"/>
        <v>4</v>
      </c>
      <c r="X22" s="39">
        <f t="shared" si="14"/>
        <v>0</v>
      </c>
      <c r="Y22" s="39">
        <f t="shared" si="14"/>
        <v>13</v>
      </c>
      <c r="Z22" s="39">
        <f t="shared" si="14"/>
        <v>16</v>
      </c>
      <c r="AA22" s="39">
        <f t="shared" si="14"/>
        <v>11</v>
      </c>
      <c r="AB22" s="39">
        <f t="shared" si="14"/>
        <v>5</v>
      </c>
      <c r="AC22" s="39">
        <f t="shared" si="14"/>
        <v>635</v>
      </c>
      <c r="AD22" s="39">
        <f t="shared" si="14"/>
        <v>0</v>
      </c>
      <c r="AE22" s="40">
        <f t="shared" si="14"/>
        <v>678</v>
      </c>
      <c r="AF22" s="40">
        <f t="shared" si="14"/>
        <v>1313</v>
      </c>
    </row>
    <row r="23" spans="2:32" ht="23.1" customHeight="1" x14ac:dyDescent="0.25">
      <c r="B23" s="23" t="s">
        <v>50</v>
      </c>
      <c r="C23" s="50">
        <v>57</v>
      </c>
      <c r="D23" s="50">
        <v>12</v>
      </c>
      <c r="E23" s="50">
        <v>8</v>
      </c>
      <c r="F23" s="50">
        <v>25</v>
      </c>
      <c r="G23" s="50">
        <v>0</v>
      </c>
      <c r="H23" s="50">
        <v>0</v>
      </c>
      <c r="I23" s="50">
        <v>0</v>
      </c>
      <c r="J23" s="50">
        <v>7</v>
      </c>
      <c r="K23" s="50">
        <v>2</v>
      </c>
      <c r="L23" s="50">
        <v>0</v>
      </c>
      <c r="M23" s="50">
        <v>108</v>
      </c>
      <c r="N23" s="50">
        <v>0</v>
      </c>
      <c r="O23" s="15">
        <f t="shared" si="0"/>
        <v>111</v>
      </c>
      <c r="P23" s="15">
        <f t="shared" si="1"/>
        <v>219</v>
      </c>
      <c r="R23" s="38" t="s">
        <v>91</v>
      </c>
      <c r="S23" s="39">
        <f>MAX(S13:S18)</f>
        <v>235</v>
      </c>
      <c r="T23" s="39">
        <f t="shared" ref="T23:AF23" si="15">MAX(T13:T18)</f>
        <v>28</v>
      </c>
      <c r="U23" s="39">
        <f t="shared" si="15"/>
        <v>41</v>
      </c>
      <c r="V23" s="39">
        <f t="shared" si="15"/>
        <v>87</v>
      </c>
      <c r="W23" s="39">
        <f t="shared" si="15"/>
        <v>2</v>
      </c>
      <c r="X23" s="39">
        <f t="shared" si="15"/>
        <v>5</v>
      </c>
      <c r="Y23" s="39">
        <f t="shared" si="15"/>
        <v>18</v>
      </c>
      <c r="Z23" s="39">
        <f t="shared" si="15"/>
        <v>26</v>
      </c>
      <c r="AA23" s="39">
        <f t="shared" si="15"/>
        <v>12</v>
      </c>
      <c r="AB23" s="39">
        <f t="shared" si="15"/>
        <v>6</v>
      </c>
      <c r="AC23" s="39">
        <f t="shared" si="15"/>
        <v>453</v>
      </c>
      <c r="AD23" s="39">
        <f t="shared" si="15"/>
        <v>0</v>
      </c>
      <c r="AE23" s="40">
        <f t="shared" si="15"/>
        <v>418</v>
      </c>
      <c r="AF23" s="40">
        <f t="shared" si="15"/>
        <v>849</v>
      </c>
    </row>
    <row r="24" spans="2:32" ht="23.1" customHeight="1" x14ac:dyDescent="0.25">
      <c r="B24" s="23" t="s">
        <v>51</v>
      </c>
      <c r="C24" s="50">
        <v>65</v>
      </c>
      <c r="D24" s="50">
        <v>2</v>
      </c>
      <c r="E24" s="50">
        <v>7</v>
      </c>
      <c r="F24" s="50">
        <v>20</v>
      </c>
      <c r="G24" s="50">
        <v>0</v>
      </c>
      <c r="H24" s="50">
        <v>0</v>
      </c>
      <c r="I24" s="50">
        <v>0</v>
      </c>
      <c r="J24" s="50">
        <v>7</v>
      </c>
      <c r="K24" s="50">
        <v>0</v>
      </c>
      <c r="L24" s="50">
        <v>3</v>
      </c>
      <c r="M24" s="50">
        <v>109</v>
      </c>
      <c r="N24" s="50">
        <v>0</v>
      </c>
      <c r="O24" s="15">
        <f t="shared" si="0"/>
        <v>104</v>
      </c>
      <c r="P24" s="15">
        <f t="shared" si="1"/>
        <v>213</v>
      </c>
      <c r="R24" s="38" t="s">
        <v>92</v>
      </c>
      <c r="S24" s="39">
        <f>MAX(S19:S21)</f>
        <v>225</v>
      </c>
      <c r="T24" s="39">
        <f t="shared" ref="T24:AF24" si="16">MAX(T19:T21)</f>
        <v>28</v>
      </c>
      <c r="U24" s="39">
        <f t="shared" si="16"/>
        <v>43</v>
      </c>
      <c r="V24" s="39">
        <f t="shared" si="16"/>
        <v>100</v>
      </c>
      <c r="W24" s="39">
        <f t="shared" si="16"/>
        <v>6</v>
      </c>
      <c r="X24" s="39">
        <f t="shared" si="16"/>
        <v>0</v>
      </c>
      <c r="Y24" s="39">
        <f t="shared" si="16"/>
        <v>20</v>
      </c>
      <c r="Z24" s="39">
        <f t="shared" si="16"/>
        <v>14</v>
      </c>
      <c r="AA24" s="39">
        <f t="shared" si="16"/>
        <v>8</v>
      </c>
      <c r="AB24" s="39">
        <f t="shared" si="16"/>
        <v>5</v>
      </c>
      <c r="AC24" s="39">
        <f t="shared" si="16"/>
        <v>580</v>
      </c>
      <c r="AD24" s="39">
        <f t="shared" si="16"/>
        <v>0</v>
      </c>
      <c r="AE24" s="40">
        <f t="shared" si="16"/>
        <v>393</v>
      </c>
      <c r="AF24" s="40">
        <f t="shared" si="16"/>
        <v>943</v>
      </c>
    </row>
    <row r="25" spans="2:32" ht="23.1" customHeight="1" x14ac:dyDescent="0.25">
      <c r="B25" s="23" t="s">
        <v>52</v>
      </c>
      <c r="C25" s="50">
        <v>60</v>
      </c>
      <c r="D25" s="50">
        <v>4</v>
      </c>
      <c r="E25" s="50">
        <v>4</v>
      </c>
      <c r="F25" s="50">
        <v>8</v>
      </c>
      <c r="G25" s="50">
        <v>0</v>
      </c>
      <c r="H25" s="50">
        <v>0</v>
      </c>
      <c r="I25" s="50">
        <v>0</v>
      </c>
      <c r="J25" s="50">
        <v>6</v>
      </c>
      <c r="K25" s="50">
        <v>3</v>
      </c>
      <c r="L25" s="50">
        <v>1</v>
      </c>
      <c r="M25" s="50">
        <v>101</v>
      </c>
      <c r="N25" s="50">
        <v>0</v>
      </c>
      <c r="O25" s="15">
        <f t="shared" si="0"/>
        <v>86</v>
      </c>
      <c r="P25" s="15">
        <f t="shared" si="1"/>
        <v>187</v>
      </c>
      <c r="R25" s="37" t="s">
        <v>85</v>
      </c>
      <c r="S25" s="35">
        <f t="shared" ref="S25:AF25" si="17">SUM(S10:S12)</f>
        <v>1140</v>
      </c>
      <c r="T25" s="16">
        <f t="shared" si="17"/>
        <v>119</v>
      </c>
      <c r="U25" s="16">
        <f t="shared" si="17"/>
        <v>134</v>
      </c>
      <c r="V25" s="16">
        <f t="shared" si="17"/>
        <v>308</v>
      </c>
      <c r="W25" s="16">
        <f t="shared" si="17"/>
        <v>5</v>
      </c>
      <c r="X25" s="16">
        <f t="shared" si="17"/>
        <v>0</v>
      </c>
      <c r="Y25" s="16">
        <f t="shared" si="17"/>
        <v>15</v>
      </c>
      <c r="Z25" s="16">
        <f t="shared" si="17"/>
        <v>35</v>
      </c>
      <c r="AA25" s="16">
        <f t="shared" si="17"/>
        <v>18</v>
      </c>
      <c r="AB25" s="16">
        <f t="shared" si="17"/>
        <v>5</v>
      </c>
      <c r="AC25" s="16">
        <f t="shared" si="17"/>
        <v>1774</v>
      </c>
      <c r="AD25" s="16">
        <f t="shared" si="17"/>
        <v>0</v>
      </c>
      <c r="AE25" s="32">
        <f t="shared" si="17"/>
        <v>1779</v>
      </c>
      <c r="AF25" s="32">
        <f t="shared" si="17"/>
        <v>3553</v>
      </c>
    </row>
    <row r="26" spans="2:32" ht="23.1" customHeight="1" x14ac:dyDescent="0.25">
      <c r="B26" s="23" t="s">
        <v>53</v>
      </c>
      <c r="C26" s="50">
        <v>51</v>
      </c>
      <c r="D26" s="50">
        <v>7</v>
      </c>
      <c r="E26" s="50">
        <v>10</v>
      </c>
      <c r="F26" s="50">
        <v>15</v>
      </c>
      <c r="G26" s="50">
        <v>0</v>
      </c>
      <c r="H26" s="50">
        <v>0</v>
      </c>
      <c r="I26" s="50">
        <v>0</v>
      </c>
      <c r="J26" s="50">
        <v>6</v>
      </c>
      <c r="K26" s="50">
        <v>6</v>
      </c>
      <c r="L26" s="50">
        <v>2</v>
      </c>
      <c r="M26" s="50">
        <v>102</v>
      </c>
      <c r="N26" s="50">
        <v>0</v>
      </c>
      <c r="O26" s="15">
        <f t="shared" si="0"/>
        <v>97</v>
      </c>
      <c r="P26" s="15">
        <f t="shared" si="1"/>
        <v>199</v>
      </c>
      <c r="R26" s="28" t="s">
        <v>86</v>
      </c>
      <c r="S26" s="16">
        <f t="shared" ref="S26:AF26" si="18">SUM(S13:S18)</f>
        <v>1101</v>
      </c>
      <c r="T26" s="16">
        <f t="shared" si="18"/>
        <v>130</v>
      </c>
      <c r="U26" s="16">
        <f t="shared" si="18"/>
        <v>174</v>
      </c>
      <c r="V26" s="16">
        <f t="shared" si="18"/>
        <v>439</v>
      </c>
      <c r="W26" s="16">
        <f t="shared" si="18"/>
        <v>6</v>
      </c>
      <c r="X26" s="16">
        <f t="shared" si="18"/>
        <v>6</v>
      </c>
      <c r="Y26" s="16">
        <f t="shared" si="18"/>
        <v>56</v>
      </c>
      <c r="Z26" s="16">
        <f t="shared" si="18"/>
        <v>96</v>
      </c>
      <c r="AA26" s="16">
        <f t="shared" si="18"/>
        <v>47</v>
      </c>
      <c r="AB26" s="16">
        <f t="shared" si="18"/>
        <v>13</v>
      </c>
      <c r="AC26" s="16">
        <f t="shared" si="18"/>
        <v>2339</v>
      </c>
      <c r="AD26" s="16">
        <f t="shared" si="18"/>
        <v>0</v>
      </c>
      <c r="AE26" s="32">
        <f t="shared" si="18"/>
        <v>2068</v>
      </c>
      <c r="AF26" s="32">
        <f t="shared" si="18"/>
        <v>4407</v>
      </c>
    </row>
    <row r="27" spans="2:32" ht="23.1" customHeight="1" x14ac:dyDescent="0.25">
      <c r="B27" s="23" t="s">
        <v>54</v>
      </c>
      <c r="C27" s="50">
        <v>106</v>
      </c>
      <c r="D27" s="50">
        <v>13</v>
      </c>
      <c r="E27" s="50">
        <v>9</v>
      </c>
      <c r="F27" s="50">
        <v>26</v>
      </c>
      <c r="G27" s="50">
        <v>0</v>
      </c>
      <c r="H27" s="50">
        <v>0</v>
      </c>
      <c r="I27" s="50">
        <v>5</v>
      </c>
      <c r="J27" s="50">
        <v>2</v>
      </c>
      <c r="K27" s="50">
        <v>0</v>
      </c>
      <c r="L27" s="50">
        <v>0</v>
      </c>
      <c r="M27" s="50">
        <v>111</v>
      </c>
      <c r="N27" s="50">
        <v>0</v>
      </c>
      <c r="O27" s="15">
        <f t="shared" si="0"/>
        <v>161</v>
      </c>
      <c r="P27" s="15">
        <f t="shared" si="1"/>
        <v>272</v>
      </c>
      <c r="R27" s="29" t="s">
        <v>87</v>
      </c>
      <c r="S27" s="16">
        <f t="shared" ref="S27:AF27" si="19">SUM(S19:S21)</f>
        <v>584</v>
      </c>
      <c r="T27" s="16">
        <f t="shared" si="19"/>
        <v>63</v>
      </c>
      <c r="U27" s="16">
        <f t="shared" si="19"/>
        <v>96</v>
      </c>
      <c r="V27" s="16">
        <f t="shared" si="19"/>
        <v>250</v>
      </c>
      <c r="W27" s="16">
        <f t="shared" si="19"/>
        <v>12</v>
      </c>
      <c r="X27" s="16">
        <f t="shared" si="19"/>
        <v>0</v>
      </c>
      <c r="Y27" s="16">
        <f t="shared" si="19"/>
        <v>39</v>
      </c>
      <c r="Z27" s="16">
        <f t="shared" si="19"/>
        <v>28</v>
      </c>
      <c r="AA27" s="16">
        <f t="shared" si="19"/>
        <v>13</v>
      </c>
      <c r="AB27" s="16">
        <f t="shared" si="19"/>
        <v>5</v>
      </c>
      <c r="AC27" s="16">
        <f t="shared" si="19"/>
        <v>1553</v>
      </c>
      <c r="AD27" s="16">
        <f t="shared" si="19"/>
        <v>0</v>
      </c>
      <c r="AE27" s="32">
        <f t="shared" si="19"/>
        <v>1090</v>
      </c>
      <c r="AF27" s="32">
        <f t="shared" si="19"/>
        <v>2643</v>
      </c>
    </row>
    <row r="28" spans="2:32" ht="23.1" customHeight="1" x14ac:dyDescent="0.25">
      <c r="B28" s="23" t="s">
        <v>55</v>
      </c>
      <c r="C28" s="50">
        <v>45</v>
      </c>
      <c r="D28" s="50">
        <v>6</v>
      </c>
      <c r="E28" s="50">
        <v>11</v>
      </c>
      <c r="F28" s="50">
        <v>25</v>
      </c>
      <c r="G28" s="50">
        <v>1</v>
      </c>
      <c r="H28" s="50">
        <v>0</v>
      </c>
      <c r="I28" s="50">
        <v>5</v>
      </c>
      <c r="J28" s="50">
        <v>1</v>
      </c>
      <c r="K28" s="50">
        <v>1</v>
      </c>
      <c r="L28" s="50">
        <v>0</v>
      </c>
      <c r="M28" s="50">
        <v>103</v>
      </c>
      <c r="N28" s="50">
        <v>0</v>
      </c>
      <c r="O28" s="15">
        <f t="shared" si="0"/>
        <v>95</v>
      </c>
      <c r="P28" s="15">
        <f t="shared" si="1"/>
        <v>198</v>
      </c>
      <c r="R28" s="5" t="s">
        <v>17</v>
      </c>
      <c r="S28" s="16">
        <f t="shared" ref="S28:AF28" si="20">SUM(S10:S21)</f>
        <v>2825</v>
      </c>
      <c r="T28" s="16">
        <f t="shared" si="20"/>
        <v>312</v>
      </c>
      <c r="U28" s="16">
        <f t="shared" si="20"/>
        <v>404</v>
      </c>
      <c r="V28" s="16">
        <f t="shared" si="20"/>
        <v>997</v>
      </c>
      <c r="W28" s="16">
        <f t="shared" si="20"/>
        <v>23</v>
      </c>
      <c r="X28" s="16">
        <f t="shared" si="20"/>
        <v>6</v>
      </c>
      <c r="Y28" s="16">
        <f t="shared" si="20"/>
        <v>110</v>
      </c>
      <c r="Z28" s="16">
        <f t="shared" si="20"/>
        <v>159</v>
      </c>
      <c r="AA28" s="16">
        <f t="shared" si="20"/>
        <v>78</v>
      </c>
      <c r="AB28" s="16">
        <f t="shared" si="20"/>
        <v>23</v>
      </c>
      <c r="AC28" s="16">
        <f t="shared" si="20"/>
        <v>5666</v>
      </c>
      <c r="AD28" s="16">
        <f t="shared" si="20"/>
        <v>0</v>
      </c>
      <c r="AE28" s="32">
        <f t="shared" si="20"/>
        <v>4937</v>
      </c>
      <c r="AF28" s="32">
        <f t="shared" si="20"/>
        <v>10603</v>
      </c>
    </row>
    <row r="29" spans="2:32" ht="23.1" customHeight="1" x14ac:dyDescent="0.25">
      <c r="B29" s="23" t="s">
        <v>56</v>
      </c>
      <c r="C29" s="50">
        <v>33</v>
      </c>
      <c r="D29" s="50">
        <v>2</v>
      </c>
      <c r="E29" s="50">
        <v>4</v>
      </c>
      <c r="F29" s="50">
        <v>18</v>
      </c>
      <c r="G29" s="50">
        <v>0</v>
      </c>
      <c r="H29" s="50">
        <v>0</v>
      </c>
      <c r="I29" s="50">
        <v>3</v>
      </c>
      <c r="J29" s="50">
        <v>2</v>
      </c>
      <c r="K29" s="50">
        <v>3</v>
      </c>
      <c r="L29" s="50">
        <v>0</v>
      </c>
      <c r="M29" s="50">
        <v>94</v>
      </c>
      <c r="N29" s="50">
        <v>0</v>
      </c>
      <c r="O29" s="15">
        <f t="shared" si="0"/>
        <v>65</v>
      </c>
      <c r="P29" s="15">
        <f t="shared" si="1"/>
        <v>159</v>
      </c>
      <c r="R29"/>
      <c r="S29" s="20"/>
      <c r="T29" s="19"/>
    </row>
    <row r="30" spans="2:32" ht="23.1" customHeight="1" x14ac:dyDescent="0.25">
      <c r="B30" s="23" t="s">
        <v>57</v>
      </c>
      <c r="C30" s="50">
        <v>48</v>
      </c>
      <c r="D30" s="50">
        <v>7</v>
      </c>
      <c r="E30" s="50">
        <v>3</v>
      </c>
      <c r="F30" s="50">
        <v>20</v>
      </c>
      <c r="G30" s="50">
        <v>0</v>
      </c>
      <c r="H30" s="50">
        <v>0</v>
      </c>
      <c r="I30" s="50">
        <v>4</v>
      </c>
      <c r="J30" s="50">
        <v>3</v>
      </c>
      <c r="K30" s="50">
        <v>1</v>
      </c>
      <c r="L30" s="50">
        <v>0</v>
      </c>
      <c r="M30" s="50">
        <v>105</v>
      </c>
      <c r="N30" s="50">
        <v>0</v>
      </c>
      <c r="O30" s="15">
        <f t="shared" si="0"/>
        <v>86</v>
      </c>
      <c r="P30" s="15">
        <f t="shared" si="1"/>
        <v>191</v>
      </c>
    </row>
    <row r="31" spans="2:32" ht="23.1" customHeight="1" x14ac:dyDescent="0.25">
      <c r="B31" s="24" t="s">
        <v>58</v>
      </c>
      <c r="C31" s="50">
        <v>36</v>
      </c>
      <c r="D31" s="50">
        <v>11</v>
      </c>
      <c r="E31" s="50">
        <v>7</v>
      </c>
      <c r="F31" s="50">
        <v>23</v>
      </c>
      <c r="G31" s="50">
        <v>1</v>
      </c>
      <c r="H31" s="50">
        <v>3</v>
      </c>
      <c r="I31" s="50">
        <v>3</v>
      </c>
      <c r="J31" s="50">
        <v>2</v>
      </c>
      <c r="K31" s="50">
        <v>2</v>
      </c>
      <c r="L31" s="50">
        <v>0</v>
      </c>
      <c r="M31" s="50">
        <v>90</v>
      </c>
      <c r="N31" s="50">
        <v>0</v>
      </c>
      <c r="O31" s="15">
        <f t="shared" si="0"/>
        <v>88</v>
      </c>
      <c r="P31" s="15">
        <f t="shared" si="1"/>
        <v>178</v>
      </c>
    </row>
    <row r="32" spans="2:32" ht="23.1" customHeight="1" x14ac:dyDescent="0.25">
      <c r="B32" s="24" t="s">
        <v>59</v>
      </c>
      <c r="C32" s="50">
        <v>42</v>
      </c>
      <c r="D32" s="50">
        <v>2</v>
      </c>
      <c r="E32" s="50">
        <v>4</v>
      </c>
      <c r="F32" s="50">
        <v>18</v>
      </c>
      <c r="G32" s="50">
        <v>0</v>
      </c>
      <c r="H32" s="50">
        <v>0</v>
      </c>
      <c r="I32" s="50">
        <v>4</v>
      </c>
      <c r="J32" s="50">
        <v>2</v>
      </c>
      <c r="K32" s="50">
        <v>2</v>
      </c>
      <c r="L32" s="50">
        <v>0</v>
      </c>
      <c r="M32" s="50">
        <v>97</v>
      </c>
      <c r="N32" s="50">
        <v>0</v>
      </c>
      <c r="O32" s="15">
        <f t="shared" si="0"/>
        <v>74</v>
      </c>
      <c r="P32" s="15">
        <f t="shared" si="1"/>
        <v>171</v>
      </c>
    </row>
    <row r="33" spans="2:20" ht="23.1" customHeight="1" x14ac:dyDescent="0.25">
      <c r="B33" s="23" t="s">
        <v>60</v>
      </c>
      <c r="C33" s="50">
        <v>26</v>
      </c>
      <c r="D33" s="50">
        <v>0</v>
      </c>
      <c r="E33" s="50">
        <v>8</v>
      </c>
      <c r="F33" s="50">
        <v>26</v>
      </c>
      <c r="G33" s="50">
        <v>0</v>
      </c>
      <c r="H33" s="50">
        <v>2</v>
      </c>
      <c r="I33" s="50">
        <v>7</v>
      </c>
      <c r="J33" s="50">
        <v>3</v>
      </c>
      <c r="K33" s="50">
        <v>1</v>
      </c>
      <c r="L33" s="50">
        <v>0</v>
      </c>
      <c r="M33" s="50">
        <v>105</v>
      </c>
      <c r="N33" s="50">
        <v>0</v>
      </c>
      <c r="O33" s="15">
        <f t="shared" si="0"/>
        <v>73</v>
      </c>
      <c r="P33" s="15">
        <f t="shared" si="1"/>
        <v>178</v>
      </c>
    </row>
    <row r="34" spans="2:20" ht="23.1" customHeight="1" x14ac:dyDescent="0.25">
      <c r="B34" s="24" t="s">
        <v>61</v>
      </c>
      <c r="C34" s="50">
        <v>37</v>
      </c>
      <c r="D34" s="50">
        <v>7</v>
      </c>
      <c r="E34" s="50">
        <v>5</v>
      </c>
      <c r="F34" s="50">
        <v>23</v>
      </c>
      <c r="G34" s="50">
        <v>0</v>
      </c>
      <c r="H34" s="50">
        <v>0</v>
      </c>
      <c r="I34" s="50">
        <v>5</v>
      </c>
      <c r="J34" s="50">
        <v>3</v>
      </c>
      <c r="K34" s="50">
        <v>2</v>
      </c>
      <c r="L34" s="50">
        <v>0</v>
      </c>
      <c r="M34" s="50">
        <v>65</v>
      </c>
      <c r="N34" s="50">
        <v>0</v>
      </c>
      <c r="O34" s="15">
        <f t="shared" si="0"/>
        <v>82</v>
      </c>
      <c r="P34" s="15">
        <f t="shared" si="1"/>
        <v>147</v>
      </c>
    </row>
    <row r="35" spans="2:20" ht="23.1" customHeight="1" x14ac:dyDescent="0.25">
      <c r="B35" s="24" t="s">
        <v>62</v>
      </c>
      <c r="C35" s="50">
        <v>43</v>
      </c>
      <c r="D35" s="50">
        <v>3</v>
      </c>
      <c r="E35" s="50">
        <v>8</v>
      </c>
      <c r="F35" s="50">
        <v>23</v>
      </c>
      <c r="G35" s="50">
        <v>0</v>
      </c>
      <c r="H35" s="50">
        <v>0</v>
      </c>
      <c r="I35" s="50">
        <v>3</v>
      </c>
      <c r="J35" s="50">
        <v>1</v>
      </c>
      <c r="K35" s="50">
        <v>0</v>
      </c>
      <c r="L35" s="50">
        <v>0</v>
      </c>
      <c r="M35" s="50">
        <v>62</v>
      </c>
      <c r="N35" s="50">
        <v>0</v>
      </c>
      <c r="O35" s="15">
        <f t="shared" si="0"/>
        <v>81</v>
      </c>
      <c r="P35" s="15">
        <f t="shared" si="1"/>
        <v>143</v>
      </c>
    </row>
    <row r="36" spans="2:20" ht="23.1" customHeight="1" x14ac:dyDescent="0.25">
      <c r="B36" s="24" t="s">
        <v>63</v>
      </c>
      <c r="C36" s="50">
        <v>47</v>
      </c>
      <c r="D36" s="50">
        <v>7</v>
      </c>
      <c r="E36" s="50">
        <v>9</v>
      </c>
      <c r="F36" s="50">
        <v>16</v>
      </c>
      <c r="G36" s="50">
        <v>0</v>
      </c>
      <c r="H36" s="50">
        <v>1</v>
      </c>
      <c r="I36" s="50">
        <v>0</v>
      </c>
      <c r="J36" s="50">
        <v>4</v>
      </c>
      <c r="K36" s="50">
        <v>4</v>
      </c>
      <c r="L36" s="50">
        <v>0</v>
      </c>
      <c r="M36" s="50">
        <v>92</v>
      </c>
      <c r="N36" s="50">
        <v>0</v>
      </c>
      <c r="O36" s="15">
        <f t="shared" si="0"/>
        <v>88</v>
      </c>
      <c r="P36" s="15">
        <f t="shared" si="1"/>
        <v>180</v>
      </c>
    </row>
    <row r="37" spans="2:20" ht="23.1" customHeight="1" x14ac:dyDescent="0.25">
      <c r="B37" s="23" t="s">
        <v>64</v>
      </c>
      <c r="C37" s="50">
        <v>38</v>
      </c>
      <c r="D37" s="50">
        <v>3</v>
      </c>
      <c r="E37" s="50">
        <v>6</v>
      </c>
      <c r="F37" s="50">
        <v>14</v>
      </c>
      <c r="G37" s="50">
        <v>0</v>
      </c>
      <c r="H37" s="50">
        <v>0</v>
      </c>
      <c r="I37" s="50">
        <v>3</v>
      </c>
      <c r="J37" s="50">
        <v>5</v>
      </c>
      <c r="K37" s="50">
        <v>0</v>
      </c>
      <c r="L37" s="50">
        <v>0</v>
      </c>
      <c r="M37" s="50">
        <v>86</v>
      </c>
      <c r="N37" s="50">
        <v>0</v>
      </c>
      <c r="O37" s="15">
        <f t="shared" si="0"/>
        <v>69</v>
      </c>
      <c r="P37" s="15">
        <f t="shared" si="1"/>
        <v>155</v>
      </c>
    </row>
    <row r="38" spans="2:20" ht="23.1" customHeight="1" x14ac:dyDescent="0.25">
      <c r="B38" s="24" t="s">
        <v>65</v>
      </c>
      <c r="C38" s="50">
        <v>57</v>
      </c>
      <c r="D38" s="50">
        <v>12</v>
      </c>
      <c r="E38" s="50">
        <v>5</v>
      </c>
      <c r="F38" s="50">
        <v>15</v>
      </c>
      <c r="G38" s="50">
        <v>0</v>
      </c>
      <c r="H38" s="50">
        <v>0</v>
      </c>
      <c r="I38" s="50">
        <v>5</v>
      </c>
      <c r="J38" s="50">
        <v>3</v>
      </c>
      <c r="K38" s="50">
        <v>2</v>
      </c>
      <c r="L38" s="50">
        <v>0</v>
      </c>
      <c r="M38" s="50">
        <v>88</v>
      </c>
      <c r="N38" s="50">
        <v>0</v>
      </c>
      <c r="O38" s="15">
        <f t="shared" si="0"/>
        <v>99</v>
      </c>
      <c r="P38" s="15">
        <f t="shared" si="1"/>
        <v>187</v>
      </c>
    </row>
    <row r="39" spans="2:20" ht="23.1" customHeight="1" x14ac:dyDescent="0.25">
      <c r="B39" s="24" t="s">
        <v>66</v>
      </c>
      <c r="C39" s="50">
        <v>50</v>
      </c>
      <c r="D39" s="50">
        <v>2</v>
      </c>
      <c r="E39" s="50">
        <v>7</v>
      </c>
      <c r="F39" s="50">
        <v>18</v>
      </c>
      <c r="G39" s="50">
        <v>0</v>
      </c>
      <c r="H39" s="50">
        <v>0</v>
      </c>
      <c r="I39" s="50">
        <v>3</v>
      </c>
      <c r="J39" s="50">
        <v>1</v>
      </c>
      <c r="K39" s="50">
        <v>1</v>
      </c>
      <c r="L39" s="50">
        <v>0</v>
      </c>
      <c r="M39" s="50">
        <v>101</v>
      </c>
      <c r="N39" s="50">
        <v>0</v>
      </c>
      <c r="O39" s="15">
        <f t="shared" si="0"/>
        <v>82</v>
      </c>
      <c r="P39" s="15">
        <f t="shared" si="1"/>
        <v>183</v>
      </c>
    </row>
    <row r="40" spans="2:20" ht="23.1" customHeight="1" x14ac:dyDescent="0.25">
      <c r="B40" s="24" t="s">
        <v>67</v>
      </c>
      <c r="C40" s="50">
        <v>30</v>
      </c>
      <c r="D40" s="50">
        <v>4</v>
      </c>
      <c r="E40" s="50">
        <v>5</v>
      </c>
      <c r="F40" s="50">
        <v>13</v>
      </c>
      <c r="G40" s="50">
        <v>0</v>
      </c>
      <c r="H40" s="50">
        <v>0</v>
      </c>
      <c r="I40" s="50">
        <v>6</v>
      </c>
      <c r="J40" s="50">
        <v>4</v>
      </c>
      <c r="K40" s="50">
        <v>1</v>
      </c>
      <c r="L40" s="50">
        <v>0</v>
      </c>
      <c r="M40" s="50">
        <v>103</v>
      </c>
      <c r="N40" s="50">
        <v>0</v>
      </c>
      <c r="O40" s="15">
        <f t="shared" si="0"/>
        <v>63</v>
      </c>
      <c r="P40" s="15">
        <f t="shared" si="1"/>
        <v>166</v>
      </c>
    </row>
    <row r="41" spans="2:20" ht="23.1" customHeight="1" x14ac:dyDescent="0.25">
      <c r="B41" s="23" t="s">
        <v>68</v>
      </c>
      <c r="C41" s="50">
        <v>40</v>
      </c>
      <c r="D41" s="50">
        <v>0</v>
      </c>
      <c r="E41" s="50">
        <v>4</v>
      </c>
      <c r="F41" s="50">
        <v>13</v>
      </c>
      <c r="G41" s="50">
        <v>0</v>
      </c>
      <c r="H41" s="50">
        <v>0</v>
      </c>
      <c r="I41" s="50">
        <v>0</v>
      </c>
      <c r="J41" s="50">
        <v>7</v>
      </c>
      <c r="K41" s="50">
        <v>3</v>
      </c>
      <c r="L41" s="50">
        <v>1</v>
      </c>
      <c r="M41" s="50">
        <v>93</v>
      </c>
      <c r="N41" s="50">
        <v>0</v>
      </c>
      <c r="O41" s="15">
        <f t="shared" si="0"/>
        <v>68</v>
      </c>
      <c r="P41" s="15">
        <f t="shared" si="1"/>
        <v>161</v>
      </c>
    </row>
    <row r="42" spans="2:20" ht="23.1" customHeight="1" x14ac:dyDescent="0.25">
      <c r="B42" s="24" t="s">
        <v>69</v>
      </c>
      <c r="C42" s="50">
        <v>36</v>
      </c>
      <c r="D42" s="50">
        <v>3</v>
      </c>
      <c r="E42" s="50">
        <v>8</v>
      </c>
      <c r="F42" s="50">
        <v>22</v>
      </c>
      <c r="G42" s="50">
        <v>2</v>
      </c>
      <c r="H42" s="50">
        <v>0</v>
      </c>
      <c r="I42" s="50">
        <v>0</v>
      </c>
      <c r="J42" s="50">
        <v>7</v>
      </c>
      <c r="K42" s="50">
        <v>3</v>
      </c>
      <c r="L42" s="50">
        <v>2</v>
      </c>
      <c r="M42" s="50">
        <v>98</v>
      </c>
      <c r="N42" s="50">
        <v>0</v>
      </c>
      <c r="O42" s="15">
        <f t="shared" si="0"/>
        <v>83</v>
      </c>
      <c r="P42" s="15">
        <f t="shared" si="1"/>
        <v>181</v>
      </c>
    </row>
    <row r="43" spans="2:20" ht="23.1" customHeight="1" x14ac:dyDescent="0.25">
      <c r="B43" s="23" t="s">
        <v>70</v>
      </c>
      <c r="C43" s="50">
        <v>32</v>
      </c>
      <c r="D43" s="50">
        <v>2</v>
      </c>
      <c r="E43" s="50">
        <v>17</v>
      </c>
      <c r="F43" s="50">
        <v>2</v>
      </c>
      <c r="G43" s="50">
        <v>0</v>
      </c>
      <c r="H43" s="50">
        <v>0</v>
      </c>
      <c r="I43" s="50">
        <v>0</v>
      </c>
      <c r="J43" s="50">
        <v>7</v>
      </c>
      <c r="K43" s="50">
        <v>3</v>
      </c>
      <c r="L43" s="50">
        <v>2</v>
      </c>
      <c r="M43" s="50">
        <v>98</v>
      </c>
      <c r="N43" s="50">
        <v>0</v>
      </c>
      <c r="O43" s="15">
        <f t="shared" si="0"/>
        <v>65</v>
      </c>
      <c r="P43" s="15">
        <f t="shared" si="1"/>
        <v>163</v>
      </c>
    </row>
    <row r="44" spans="2:20" ht="23.1" customHeight="1" x14ac:dyDescent="0.25">
      <c r="B44" s="25" t="s">
        <v>71</v>
      </c>
      <c r="C44" s="50">
        <v>43</v>
      </c>
      <c r="D44" s="50">
        <v>4</v>
      </c>
      <c r="E44" s="50">
        <v>4</v>
      </c>
      <c r="F44" s="50">
        <v>16</v>
      </c>
      <c r="G44" s="50">
        <v>0</v>
      </c>
      <c r="H44" s="50">
        <v>0</v>
      </c>
      <c r="I44" s="50">
        <v>0</v>
      </c>
      <c r="J44" s="50">
        <v>4</v>
      </c>
      <c r="K44" s="50">
        <v>4</v>
      </c>
      <c r="L44" s="50">
        <v>0</v>
      </c>
      <c r="M44" s="50">
        <v>90</v>
      </c>
      <c r="N44" s="50">
        <v>0</v>
      </c>
      <c r="O44" s="15">
        <f t="shared" si="0"/>
        <v>75</v>
      </c>
      <c r="P44" s="15">
        <f t="shared" si="1"/>
        <v>165</v>
      </c>
    </row>
    <row r="45" spans="2:20" ht="23.1" customHeight="1" x14ac:dyDescent="0.25">
      <c r="B45" s="23" t="s">
        <v>72</v>
      </c>
      <c r="C45" s="50">
        <v>33</v>
      </c>
      <c r="D45" s="50">
        <v>7</v>
      </c>
      <c r="E45" s="50">
        <v>12</v>
      </c>
      <c r="F45" s="50">
        <v>21</v>
      </c>
      <c r="G45" s="50">
        <v>0</v>
      </c>
      <c r="H45" s="50">
        <v>0</v>
      </c>
      <c r="I45" s="50">
        <v>0</v>
      </c>
      <c r="J45" s="50">
        <v>3</v>
      </c>
      <c r="K45" s="50">
        <v>2</v>
      </c>
      <c r="L45" s="50">
        <v>0</v>
      </c>
      <c r="M45" s="50">
        <v>103</v>
      </c>
      <c r="N45" s="50">
        <v>0</v>
      </c>
      <c r="O45" s="15">
        <f t="shared" si="0"/>
        <v>78</v>
      </c>
      <c r="P45" s="15">
        <f t="shared" si="1"/>
        <v>181</v>
      </c>
    </row>
    <row r="46" spans="2:20" ht="23.1" customHeight="1" x14ac:dyDescent="0.25">
      <c r="B46" s="24" t="s">
        <v>73</v>
      </c>
      <c r="C46" s="50">
        <v>42</v>
      </c>
      <c r="D46" s="50">
        <v>6</v>
      </c>
      <c r="E46" s="50">
        <v>4</v>
      </c>
      <c r="F46" s="50">
        <v>16</v>
      </c>
      <c r="G46" s="50">
        <v>0</v>
      </c>
      <c r="H46" s="50">
        <v>0</v>
      </c>
      <c r="I46" s="50">
        <v>5</v>
      </c>
      <c r="J46" s="50">
        <v>3</v>
      </c>
      <c r="K46" s="50">
        <v>1</v>
      </c>
      <c r="L46" s="50">
        <v>2</v>
      </c>
      <c r="M46" s="50">
        <v>90</v>
      </c>
      <c r="N46" s="50">
        <v>0</v>
      </c>
      <c r="O46" s="15">
        <f t="shared" si="0"/>
        <v>79</v>
      </c>
      <c r="P46" s="15">
        <f t="shared" si="1"/>
        <v>169</v>
      </c>
      <c r="R46" s="8"/>
      <c r="T46"/>
    </row>
    <row r="47" spans="2:20" ht="23.1" customHeight="1" x14ac:dyDescent="0.25">
      <c r="B47" s="24" t="s">
        <v>74</v>
      </c>
      <c r="C47" s="50">
        <v>50</v>
      </c>
      <c r="D47" s="50">
        <v>4</v>
      </c>
      <c r="E47" s="50">
        <v>10</v>
      </c>
      <c r="F47" s="50">
        <v>18</v>
      </c>
      <c r="G47" s="50">
        <v>0</v>
      </c>
      <c r="H47" s="50">
        <v>0</v>
      </c>
      <c r="I47" s="50">
        <v>9</v>
      </c>
      <c r="J47" s="50">
        <v>4</v>
      </c>
      <c r="K47" s="50">
        <v>0</v>
      </c>
      <c r="L47" s="50">
        <v>0</v>
      </c>
      <c r="M47" s="50">
        <v>94</v>
      </c>
      <c r="N47" s="50">
        <v>0</v>
      </c>
      <c r="O47" s="15">
        <f t="shared" si="0"/>
        <v>95</v>
      </c>
      <c r="P47" s="15">
        <f t="shared" si="1"/>
        <v>189</v>
      </c>
      <c r="R47" s="8"/>
      <c r="T47"/>
    </row>
    <row r="48" spans="2:20" ht="23.1" customHeight="1" x14ac:dyDescent="0.25">
      <c r="B48" s="24" t="s">
        <v>75</v>
      </c>
      <c r="C48" s="50">
        <v>27</v>
      </c>
      <c r="D48" s="50">
        <v>5</v>
      </c>
      <c r="E48" s="50">
        <v>6</v>
      </c>
      <c r="F48" s="50">
        <v>18</v>
      </c>
      <c r="G48" s="50">
        <v>0</v>
      </c>
      <c r="H48" s="50">
        <v>0</v>
      </c>
      <c r="I48" s="50">
        <v>4</v>
      </c>
      <c r="J48" s="50">
        <v>1</v>
      </c>
      <c r="K48" s="50">
        <v>0</v>
      </c>
      <c r="L48" s="50">
        <v>2</v>
      </c>
      <c r="M48" s="50">
        <v>111</v>
      </c>
      <c r="N48" s="50">
        <v>0</v>
      </c>
      <c r="O48" s="15">
        <f t="shared" si="0"/>
        <v>63</v>
      </c>
      <c r="P48" s="15">
        <f t="shared" si="1"/>
        <v>174</v>
      </c>
      <c r="R48" s="8"/>
      <c r="T48"/>
    </row>
    <row r="49" spans="2:20" ht="23.1" customHeight="1" x14ac:dyDescent="0.25">
      <c r="B49" s="23" t="s">
        <v>76</v>
      </c>
      <c r="C49" s="50">
        <v>56</v>
      </c>
      <c r="D49" s="50">
        <v>1</v>
      </c>
      <c r="E49" s="50">
        <v>5</v>
      </c>
      <c r="F49" s="50">
        <v>25</v>
      </c>
      <c r="G49" s="50">
        <v>2</v>
      </c>
      <c r="H49" s="50">
        <v>0</v>
      </c>
      <c r="I49" s="50">
        <v>2</v>
      </c>
      <c r="J49" s="50">
        <v>4</v>
      </c>
      <c r="K49" s="50">
        <v>1</v>
      </c>
      <c r="L49" s="50">
        <v>1</v>
      </c>
      <c r="M49" s="50">
        <v>132</v>
      </c>
      <c r="N49" s="50">
        <v>0</v>
      </c>
      <c r="O49" s="15">
        <f t="shared" si="0"/>
        <v>97</v>
      </c>
      <c r="P49" s="15">
        <f t="shared" si="1"/>
        <v>229</v>
      </c>
      <c r="R49" s="8"/>
      <c r="T49"/>
    </row>
    <row r="50" spans="2:20" ht="23.1" customHeight="1" x14ac:dyDescent="0.25">
      <c r="B50" s="24" t="s">
        <v>77</v>
      </c>
      <c r="C50" s="50">
        <v>56</v>
      </c>
      <c r="D50" s="50">
        <v>6</v>
      </c>
      <c r="E50" s="50">
        <v>9</v>
      </c>
      <c r="F50" s="50">
        <v>18</v>
      </c>
      <c r="G50" s="50">
        <v>0</v>
      </c>
      <c r="H50" s="50">
        <v>0</v>
      </c>
      <c r="I50" s="50">
        <v>2</v>
      </c>
      <c r="J50" s="50">
        <v>2</v>
      </c>
      <c r="K50" s="50">
        <v>5</v>
      </c>
      <c r="L50" s="50">
        <v>0</v>
      </c>
      <c r="M50" s="50">
        <v>125</v>
      </c>
      <c r="N50" s="50">
        <v>0</v>
      </c>
      <c r="O50" s="15">
        <f t="shared" si="0"/>
        <v>98</v>
      </c>
      <c r="P50" s="15">
        <f t="shared" si="1"/>
        <v>223</v>
      </c>
      <c r="R50" s="8"/>
      <c r="T50"/>
    </row>
    <row r="51" spans="2:20" ht="23.1" customHeight="1" x14ac:dyDescent="0.25">
      <c r="B51" s="24" t="s">
        <v>78</v>
      </c>
      <c r="C51" s="50">
        <v>45</v>
      </c>
      <c r="D51" s="50">
        <v>4</v>
      </c>
      <c r="E51" s="50">
        <v>4</v>
      </c>
      <c r="F51" s="50">
        <v>28</v>
      </c>
      <c r="G51" s="50">
        <v>2</v>
      </c>
      <c r="H51" s="50">
        <v>0</v>
      </c>
      <c r="I51" s="50">
        <v>0</v>
      </c>
      <c r="J51" s="50">
        <v>3</v>
      </c>
      <c r="K51" s="50">
        <v>1</v>
      </c>
      <c r="L51" s="50">
        <v>0</v>
      </c>
      <c r="M51" s="50">
        <v>137</v>
      </c>
      <c r="N51" s="50">
        <v>0</v>
      </c>
      <c r="O51" s="15">
        <f t="shared" si="0"/>
        <v>87</v>
      </c>
      <c r="P51" s="15">
        <f t="shared" si="1"/>
        <v>224</v>
      </c>
      <c r="R51" s="8"/>
      <c r="T51"/>
    </row>
    <row r="52" spans="2:20" ht="23.1" customHeight="1" x14ac:dyDescent="0.25">
      <c r="B52" s="24" t="s">
        <v>79</v>
      </c>
      <c r="C52" s="50">
        <v>52</v>
      </c>
      <c r="D52" s="50">
        <v>4</v>
      </c>
      <c r="E52" s="50">
        <v>7</v>
      </c>
      <c r="F52" s="50">
        <v>26</v>
      </c>
      <c r="G52" s="50">
        <v>2</v>
      </c>
      <c r="H52" s="50">
        <v>0</v>
      </c>
      <c r="I52" s="50">
        <v>0</v>
      </c>
      <c r="J52" s="50">
        <v>8</v>
      </c>
      <c r="K52" s="50">
        <v>0</v>
      </c>
      <c r="L52" s="50">
        <v>0</v>
      </c>
      <c r="M52" s="50">
        <v>128</v>
      </c>
      <c r="N52" s="50">
        <v>0</v>
      </c>
      <c r="O52" s="15">
        <f t="shared" si="0"/>
        <v>99</v>
      </c>
      <c r="P52" s="15">
        <f t="shared" si="1"/>
        <v>227</v>
      </c>
      <c r="R52" s="8"/>
      <c r="T52"/>
    </row>
    <row r="53" spans="2:20" ht="23.1" customHeight="1" x14ac:dyDescent="0.25">
      <c r="B53" s="23" t="s">
        <v>80</v>
      </c>
      <c r="C53" s="50">
        <v>72</v>
      </c>
      <c r="D53" s="50">
        <v>5</v>
      </c>
      <c r="E53" s="50">
        <v>23</v>
      </c>
      <c r="F53" s="50">
        <v>1</v>
      </c>
      <c r="G53" s="50">
        <v>0</v>
      </c>
      <c r="H53" s="50">
        <v>0</v>
      </c>
      <c r="I53" s="50">
        <v>5</v>
      </c>
      <c r="J53" s="50">
        <v>1</v>
      </c>
      <c r="K53" s="50">
        <v>2</v>
      </c>
      <c r="L53" s="50">
        <v>0</v>
      </c>
      <c r="M53" s="50">
        <v>156</v>
      </c>
      <c r="N53" s="50">
        <v>0</v>
      </c>
      <c r="O53" s="15">
        <f t="shared" si="0"/>
        <v>109</v>
      </c>
      <c r="P53" s="15">
        <f t="shared" si="1"/>
        <v>265</v>
      </c>
      <c r="R53" s="8"/>
      <c r="T53"/>
    </row>
    <row r="54" spans="2:20" ht="23.1" customHeight="1" x14ac:dyDescent="0.25">
      <c r="B54" s="23" t="s">
        <v>81</v>
      </c>
      <c r="C54" s="50">
        <v>42</v>
      </c>
      <c r="D54" s="50">
        <v>6</v>
      </c>
      <c r="E54" s="50">
        <v>9</v>
      </c>
      <c r="F54" s="50">
        <v>26</v>
      </c>
      <c r="G54" s="50">
        <v>3</v>
      </c>
      <c r="H54" s="50">
        <v>0</v>
      </c>
      <c r="I54" s="50">
        <v>4</v>
      </c>
      <c r="J54" s="50">
        <v>2</v>
      </c>
      <c r="K54" s="50">
        <v>0</v>
      </c>
      <c r="L54" s="50">
        <v>0</v>
      </c>
      <c r="M54" s="50">
        <v>127</v>
      </c>
      <c r="N54" s="50">
        <v>0</v>
      </c>
      <c r="O54" s="15">
        <f t="shared" si="0"/>
        <v>92</v>
      </c>
      <c r="P54" s="15">
        <f t="shared" si="1"/>
        <v>219</v>
      </c>
      <c r="R54" s="8"/>
      <c r="T54"/>
    </row>
    <row r="55" spans="2:20" ht="23.1" customHeight="1" x14ac:dyDescent="0.25">
      <c r="B55" s="23" t="s">
        <v>82</v>
      </c>
      <c r="C55" s="50">
        <v>61</v>
      </c>
      <c r="D55" s="50">
        <v>4</v>
      </c>
      <c r="E55" s="50">
        <v>7</v>
      </c>
      <c r="F55" s="50">
        <v>28</v>
      </c>
      <c r="G55" s="50">
        <v>2</v>
      </c>
      <c r="H55" s="50">
        <v>0</v>
      </c>
      <c r="I55" s="50">
        <v>3</v>
      </c>
      <c r="J55" s="50">
        <v>0</v>
      </c>
      <c r="K55" s="50">
        <v>2</v>
      </c>
      <c r="L55" s="50">
        <v>0</v>
      </c>
      <c r="M55" s="50">
        <v>175</v>
      </c>
      <c r="N55" s="50">
        <v>0</v>
      </c>
      <c r="O55" s="15">
        <f t="shared" si="0"/>
        <v>107</v>
      </c>
      <c r="P55" s="15">
        <f t="shared" si="1"/>
        <v>282</v>
      </c>
      <c r="R55" s="8"/>
      <c r="T55"/>
    </row>
    <row r="56" spans="2:20" ht="23.1" customHeight="1" x14ac:dyDescent="0.25">
      <c r="B56" s="23" t="s">
        <v>83</v>
      </c>
      <c r="C56" s="50">
        <v>36</v>
      </c>
      <c r="D56" s="50">
        <v>3</v>
      </c>
      <c r="E56" s="50">
        <v>5</v>
      </c>
      <c r="F56" s="50">
        <v>23</v>
      </c>
      <c r="G56" s="50">
        <v>0</v>
      </c>
      <c r="H56" s="50">
        <v>0</v>
      </c>
      <c r="I56" s="50">
        <v>3</v>
      </c>
      <c r="J56" s="50">
        <v>0</v>
      </c>
      <c r="K56" s="50">
        <v>0</v>
      </c>
      <c r="L56" s="50">
        <v>0</v>
      </c>
      <c r="M56" s="50">
        <v>140</v>
      </c>
      <c r="N56" s="50">
        <v>0</v>
      </c>
      <c r="O56" s="15">
        <f t="shared" si="0"/>
        <v>70</v>
      </c>
      <c r="P56" s="15">
        <f t="shared" si="1"/>
        <v>210</v>
      </c>
      <c r="R56" s="8"/>
      <c r="T56"/>
    </row>
    <row r="57" spans="2:20" ht="23.1" customHeight="1" x14ac:dyDescent="0.25">
      <c r="B57" s="23" t="s">
        <v>84</v>
      </c>
      <c r="C57" s="50">
        <v>45</v>
      </c>
      <c r="D57" s="50">
        <v>15</v>
      </c>
      <c r="E57" s="50">
        <v>7</v>
      </c>
      <c r="F57" s="50">
        <v>23</v>
      </c>
      <c r="G57" s="50">
        <v>1</v>
      </c>
      <c r="H57" s="50">
        <v>0</v>
      </c>
      <c r="I57" s="50">
        <v>2</v>
      </c>
      <c r="J57" s="50">
        <v>0</v>
      </c>
      <c r="K57" s="50">
        <v>1</v>
      </c>
      <c r="L57" s="50">
        <v>0</v>
      </c>
      <c r="M57" s="50">
        <v>138</v>
      </c>
      <c r="N57" s="50">
        <v>0</v>
      </c>
      <c r="O57" s="15">
        <f t="shared" si="0"/>
        <v>94</v>
      </c>
      <c r="P57" s="15">
        <f t="shared" si="1"/>
        <v>232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2825</v>
      </c>
      <c r="D58" s="16">
        <f t="shared" si="21"/>
        <v>312</v>
      </c>
      <c r="E58" s="16">
        <f t="shared" si="21"/>
        <v>404</v>
      </c>
      <c r="F58" s="16">
        <f t="shared" si="21"/>
        <v>997</v>
      </c>
      <c r="G58" s="16">
        <f t="shared" si="21"/>
        <v>23</v>
      </c>
      <c r="H58" s="16">
        <f t="shared" si="21"/>
        <v>6</v>
      </c>
      <c r="I58" s="16">
        <f t="shared" si="21"/>
        <v>110</v>
      </c>
      <c r="J58" s="16">
        <f t="shared" si="21"/>
        <v>159</v>
      </c>
      <c r="K58" s="16">
        <f t="shared" si="21"/>
        <v>78</v>
      </c>
      <c r="L58" s="16">
        <f t="shared" si="21"/>
        <v>23</v>
      </c>
      <c r="M58" s="16">
        <f t="shared" si="21"/>
        <v>5666</v>
      </c>
      <c r="N58" s="16">
        <f t="shared" si="21"/>
        <v>0</v>
      </c>
      <c r="O58" s="16">
        <f t="shared" si="21"/>
        <v>4937</v>
      </c>
      <c r="P58" s="16">
        <f t="shared" si="21"/>
        <v>10603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0.26643402810525324</v>
      </c>
      <c r="D59" s="43">
        <f t="shared" si="22"/>
        <v>2.9425634254456285E-2</v>
      </c>
      <c r="E59" s="43">
        <f t="shared" si="22"/>
        <v>3.8102423842308782E-2</v>
      </c>
      <c r="F59" s="43">
        <f t="shared" si="22"/>
        <v>9.4029991511836275E-2</v>
      </c>
      <c r="G59" s="43">
        <f t="shared" si="22"/>
        <v>2.1691973969631237E-3</v>
      </c>
      <c r="H59" s="43">
        <f t="shared" si="22"/>
        <v>5.6587758181646708E-4</v>
      </c>
      <c r="I59" s="43">
        <f t="shared" si="22"/>
        <v>1.0374422333301896E-2</v>
      </c>
      <c r="J59" s="43">
        <f t="shared" si="22"/>
        <v>1.4995755918136377E-2</v>
      </c>
      <c r="K59" s="43">
        <f t="shared" si="22"/>
        <v>7.3564085636140713E-3</v>
      </c>
      <c r="L59" s="43">
        <f t="shared" si="22"/>
        <v>2.1691973969631237E-3</v>
      </c>
      <c r="M59" s="43">
        <f t="shared" si="22"/>
        <v>0.53437706309535038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0.57220984403483899</v>
      </c>
      <c r="D60" s="44">
        <f t="shared" ref="D60:N60" si="23">D58/$O$58</f>
        <v>6.3196273040307879E-2</v>
      </c>
      <c r="E60" s="44">
        <f t="shared" si="23"/>
        <v>8.1831071500911484E-2</v>
      </c>
      <c r="F60" s="44">
        <f t="shared" si="23"/>
        <v>0.20194450070893255</v>
      </c>
      <c r="G60" s="44">
        <f t="shared" si="23"/>
        <v>4.6586996151509012E-3</v>
      </c>
      <c r="H60" s="44">
        <f t="shared" si="23"/>
        <v>1.2153129430828439E-3</v>
      </c>
      <c r="I60" s="44">
        <f t="shared" si="23"/>
        <v>2.2280737289852137E-2</v>
      </c>
      <c r="J60" s="44">
        <f t="shared" si="23"/>
        <v>3.2205792991695362E-2</v>
      </c>
      <c r="K60" s="44">
        <f t="shared" si="23"/>
        <v>1.579906826007697E-2</v>
      </c>
      <c r="L60" s="44">
        <f t="shared" si="23"/>
        <v>4.6586996151509012E-3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L57" sqref="L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0" t="str">
        <f>'01.08 NAMUGONGO-KIREKA'!C3:G3</f>
        <v>MCC - C1 - STN039 - NAMUGONGO ROAD</v>
      </c>
      <c r="D3" s="60"/>
      <c r="E3" s="60"/>
      <c r="F3" s="60"/>
      <c r="G3" s="6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'01.08 NAMUGONGO-KIREKA'!D5</f>
        <v>O1.08.2019</v>
      </c>
      <c r="E5" s="3"/>
      <c r="F5" s="41" t="s">
        <v>1</v>
      </c>
      <c r="G5" s="64" t="str">
        <f>'01.08 NAMUGONGO-KIREKA'!G5:H5</f>
        <v>AGENDA</v>
      </c>
      <c r="H5" s="65"/>
      <c r="I5" s="14" t="s">
        <v>170</v>
      </c>
      <c r="J5" s="2" t="s">
        <v>5</v>
      </c>
      <c r="K5" s="64" t="str">
        <f>'01.08 NAMUGONGO-KIREKA'!K5:L5</f>
        <v>STEVEN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1" t="s">
        <v>166</v>
      </c>
      <c r="E6" s="62"/>
      <c r="F6" s="2" t="s">
        <v>2</v>
      </c>
      <c r="G6" s="61" t="s">
        <v>169</v>
      </c>
      <c r="H6" s="62"/>
      <c r="J6" s="2" t="s">
        <v>21</v>
      </c>
      <c r="K6" s="64" t="str">
        <f>'01.08 NAMUGONGO-KIREKA'!K6:L6</f>
        <v>NAIDO GRACE BRENDA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5" t="s">
        <v>88</v>
      </c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39</v>
      </c>
      <c r="D10" s="50">
        <v>6</v>
      </c>
      <c r="E10" s="50">
        <v>4</v>
      </c>
      <c r="F10" s="50">
        <v>22</v>
      </c>
      <c r="G10" s="50">
        <v>0</v>
      </c>
      <c r="H10" s="50">
        <v>2</v>
      </c>
      <c r="I10" s="50">
        <v>0</v>
      </c>
      <c r="J10" s="50">
        <v>0</v>
      </c>
      <c r="K10" s="50">
        <v>7</v>
      </c>
      <c r="L10" s="50">
        <v>2</v>
      </c>
      <c r="M10" s="50">
        <v>105</v>
      </c>
      <c r="N10" s="50">
        <v>0</v>
      </c>
      <c r="O10" s="15">
        <f t="shared" ref="O10:O57" si="0">SUM(C10:L10,N10)</f>
        <v>82</v>
      </c>
      <c r="P10" s="15">
        <f t="shared" ref="P10:P57" si="1">SUM(C10:N10)</f>
        <v>187</v>
      </c>
      <c r="R10" s="1" t="s">
        <v>6</v>
      </c>
      <c r="S10" s="17">
        <f t="shared" ref="S10:AF10" si="2">SUM(C10:C13)</f>
        <v>160</v>
      </c>
      <c r="T10" s="17">
        <f t="shared" si="2"/>
        <v>27</v>
      </c>
      <c r="U10" s="17">
        <f t="shared" si="2"/>
        <v>24</v>
      </c>
      <c r="V10" s="17">
        <f t="shared" si="2"/>
        <v>67</v>
      </c>
      <c r="W10" s="17">
        <f t="shared" si="2"/>
        <v>1</v>
      </c>
      <c r="X10" s="17">
        <f t="shared" si="2"/>
        <v>2</v>
      </c>
      <c r="Y10" s="17">
        <f t="shared" si="2"/>
        <v>5</v>
      </c>
      <c r="Z10" s="17">
        <f t="shared" si="2"/>
        <v>5</v>
      </c>
      <c r="AA10" s="17">
        <f t="shared" si="2"/>
        <v>10</v>
      </c>
      <c r="AB10" s="17">
        <f t="shared" si="2"/>
        <v>2</v>
      </c>
      <c r="AC10" s="17">
        <f t="shared" si="2"/>
        <v>474</v>
      </c>
      <c r="AD10" s="17">
        <f t="shared" si="2"/>
        <v>0</v>
      </c>
      <c r="AE10" s="31">
        <f t="shared" si="2"/>
        <v>303</v>
      </c>
      <c r="AF10" s="31">
        <f t="shared" si="2"/>
        <v>777</v>
      </c>
    </row>
    <row r="11" spans="2:32" s="6" customFormat="1" ht="23.1" customHeight="1" x14ac:dyDescent="0.25">
      <c r="B11" s="23" t="s">
        <v>38</v>
      </c>
      <c r="C11" s="50">
        <v>41</v>
      </c>
      <c r="D11" s="50">
        <v>3</v>
      </c>
      <c r="E11" s="50">
        <v>10</v>
      </c>
      <c r="F11" s="50">
        <v>14</v>
      </c>
      <c r="G11" s="50">
        <v>0</v>
      </c>
      <c r="H11" s="50">
        <v>0</v>
      </c>
      <c r="I11" s="50">
        <v>2</v>
      </c>
      <c r="J11" s="50">
        <v>1</v>
      </c>
      <c r="K11" s="50">
        <v>1</v>
      </c>
      <c r="L11" s="50">
        <v>0</v>
      </c>
      <c r="M11" s="50">
        <v>104</v>
      </c>
      <c r="N11" s="50">
        <v>0</v>
      </c>
      <c r="O11" s="15">
        <f t="shared" si="0"/>
        <v>72</v>
      </c>
      <c r="P11" s="15">
        <f t="shared" si="1"/>
        <v>176</v>
      </c>
      <c r="R11" s="1" t="s">
        <v>7</v>
      </c>
      <c r="S11" s="17">
        <f t="shared" ref="S11:AF11" si="3">SUM(C14:C17)</f>
        <v>145</v>
      </c>
      <c r="T11" s="17">
        <f t="shared" si="3"/>
        <v>30</v>
      </c>
      <c r="U11" s="17">
        <f t="shared" si="3"/>
        <v>23</v>
      </c>
      <c r="V11" s="17">
        <f t="shared" si="3"/>
        <v>87</v>
      </c>
      <c r="W11" s="17">
        <f t="shared" si="3"/>
        <v>6</v>
      </c>
      <c r="X11" s="17">
        <f t="shared" si="3"/>
        <v>0</v>
      </c>
      <c r="Y11" s="17">
        <f t="shared" si="3"/>
        <v>27</v>
      </c>
      <c r="Z11" s="17">
        <f t="shared" si="3"/>
        <v>5</v>
      </c>
      <c r="AA11" s="17">
        <f t="shared" si="3"/>
        <v>7</v>
      </c>
      <c r="AB11" s="17">
        <f t="shared" si="3"/>
        <v>1</v>
      </c>
      <c r="AC11" s="17">
        <f t="shared" si="3"/>
        <v>592</v>
      </c>
      <c r="AD11" s="17">
        <f t="shared" si="3"/>
        <v>0</v>
      </c>
      <c r="AE11" s="31">
        <f t="shared" si="3"/>
        <v>331</v>
      </c>
      <c r="AF11" s="31">
        <f t="shared" si="3"/>
        <v>923</v>
      </c>
    </row>
    <row r="12" spans="2:32" ht="23.1" customHeight="1" x14ac:dyDescent="0.25">
      <c r="B12" s="23" t="s">
        <v>39</v>
      </c>
      <c r="C12" s="50">
        <v>36</v>
      </c>
      <c r="D12" s="50">
        <v>10</v>
      </c>
      <c r="E12" s="50">
        <v>5</v>
      </c>
      <c r="F12" s="50">
        <v>13</v>
      </c>
      <c r="G12" s="50">
        <v>0</v>
      </c>
      <c r="H12" s="50">
        <v>0</v>
      </c>
      <c r="I12" s="50">
        <v>3</v>
      </c>
      <c r="J12" s="50">
        <v>1</v>
      </c>
      <c r="K12" s="50">
        <v>1</v>
      </c>
      <c r="L12" s="50">
        <v>0</v>
      </c>
      <c r="M12" s="50">
        <v>104</v>
      </c>
      <c r="N12" s="50">
        <v>0</v>
      </c>
      <c r="O12" s="15">
        <f t="shared" si="0"/>
        <v>69</v>
      </c>
      <c r="P12" s="15">
        <f t="shared" si="1"/>
        <v>173</v>
      </c>
      <c r="R12" s="1" t="s">
        <v>8</v>
      </c>
      <c r="S12" s="17">
        <f t="shared" ref="S12:AF12" si="4">SUM(C18:C21)</f>
        <v>137</v>
      </c>
      <c r="T12" s="17">
        <f t="shared" si="4"/>
        <v>32</v>
      </c>
      <c r="U12" s="17">
        <f t="shared" si="4"/>
        <v>17</v>
      </c>
      <c r="V12" s="17">
        <f t="shared" si="4"/>
        <v>52</v>
      </c>
      <c r="W12" s="17">
        <f t="shared" si="4"/>
        <v>0</v>
      </c>
      <c r="X12" s="17">
        <f t="shared" si="4"/>
        <v>7</v>
      </c>
      <c r="Y12" s="17">
        <f t="shared" si="4"/>
        <v>9</v>
      </c>
      <c r="Z12" s="17">
        <f t="shared" si="4"/>
        <v>9</v>
      </c>
      <c r="AA12" s="17">
        <f t="shared" si="4"/>
        <v>1</v>
      </c>
      <c r="AB12" s="17">
        <f t="shared" si="4"/>
        <v>2</v>
      </c>
      <c r="AC12" s="17">
        <f t="shared" si="4"/>
        <v>514</v>
      </c>
      <c r="AD12" s="17">
        <f t="shared" si="4"/>
        <v>0</v>
      </c>
      <c r="AE12" s="31">
        <f t="shared" si="4"/>
        <v>266</v>
      </c>
      <c r="AF12" s="31">
        <f t="shared" si="4"/>
        <v>780</v>
      </c>
    </row>
    <row r="13" spans="2:32" ht="23.1" customHeight="1" x14ac:dyDescent="0.25">
      <c r="B13" s="23" t="s">
        <v>40</v>
      </c>
      <c r="C13" s="50">
        <v>44</v>
      </c>
      <c r="D13" s="50">
        <v>8</v>
      </c>
      <c r="E13" s="50">
        <v>5</v>
      </c>
      <c r="F13" s="50">
        <v>18</v>
      </c>
      <c r="G13" s="50">
        <v>1</v>
      </c>
      <c r="H13" s="50">
        <v>0</v>
      </c>
      <c r="I13" s="50">
        <v>0</v>
      </c>
      <c r="J13" s="50">
        <v>3</v>
      </c>
      <c r="K13" s="50">
        <v>1</v>
      </c>
      <c r="L13" s="50">
        <v>0</v>
      </c>
      <c r="M13" s="50">
        <v>161</v>
      </c>
      <c r="N13" s="50">
        <v>0</v>
      </c>
      <c r="O13" s="15">
        <f t="shared" si="0"/>
        <v>80</v>
      </c>
      <c r="P13" s="15">
        <f t="shared" si="1"/>
        <v>241</v>
      </c>
      <c r="R13" s="1" t="s">
        <v>9</v>
      </c>
      <c r="S13" s="17">
        <f t="shared" ref="S13:AF13" si="5">SUM(C22:C25)</f>
        <v>133</v>
      </c>
      <c r="T13" s="17">
        <f t="shared" si="5"/>
        <v>39</v>
      </c>
      <c r="U13" s="17">
        <f t="shared" si="5"/>
        <v>22</v>
      </c>
      <c r="V13" s="17">
        <f t="shared" si="5"/>
        <v>51</v>
      </c>
      <c r="W13" s="17">
        <f t="shared" si="5"/>
        <v>1</v>
      </c>
      <c r="X13" s="17">
        <f t="shared" si="5"/>
        <v>8</v>
      </c>
      <c r="Y13" s="17">
        <f t="shared" si="5"/>
        <v>14</v>
      </c>
      <c r="Z13" s="17">
        <f t="shared" si="5"/>
        <v>11</v>
      </c>
      <c r="AA13" s="17">
        <f t="shared" si="5"/>
        <v>1</v>
      </c>
      <c r="AB13" s="17">
        <f t="shared" si="5"/>
        <v>1</v>
      </c>
      <c r="AC13" s="17">
        <f t="shared" si="5"/>
        <v>441</v>
      </c>
      <c r="AD13" s="17">
        <f t="shared" si="5"/>
        <v>0</v>
      </c>
      <c r="AE13" s="31">
        <f t="shared" si="5"/>
        <v>281</v>
      </c>
      <c r="AF13" s="31">
        <f t="shared" si="5"/>
        <v>722</v>
      </c>
    </row>
    <row r="14" spans="2:32" ht="23.1" customHeight="1" x14ac:dyDescent="0.25">
      <c r="B14" s="23" t="s">
        <v>41</v>
      </c>
      <c r="C14" s="50">
        <v>37</v>
      </c>
      <c r="D14" s="50">
        <v>8</v>
      </c>
      <c r="E14" s="50">
        <v>4</v>
      </c>
      <c r="F14" s="50">
        <v>25</v>
      </c>
      <c r="G14" s="50">
        <v>2</v>
      </c>
      <c r="H14" s="50">
        <v>0</v>
      </c>
      <c r="I14" s="50">
        <v>5</v>
      </c>
      <c r="J14" s="50">
        <v>0</v>
      </c>
      <c r="K14" s="50">
        <v>0</v>
      </c>
      <c r="L14" s="50">
        <v>0</v>
      </c>
      <c r="M14" s="50">
        <v>145</v>
      </c>
      <c r="N14" s="50">
        <v>0</v>
      </c>
      <c r="O14" s="15">
        <f t="shared" si="0"/>
        <v>81</v>
      </c>
      <c r="P14" s="15">
        <f t="shared" si="1"/>
        <v>226</v>
      </c>
      <c r="R14" s="1" t="s">
        <v>10</v>
      </c>
      <c r="S14" s="17">
        <f t="shared" ref="S14:AF14" si="6">SUM(C26:C29)</f>
        <v>176</v>
      </c>
      <c r="T14" s="17">
        <f t="shared" si="6"/>
        <v>36</v>
      </c>
      <c r="U14" s="17">
        <f t="shared" si="6"/>
        <v>29</v>
      </c>
      <c r="V14" s="17">
        <f t="shared" si="6"/>
        <v>66</v>
      </c>
      <c r="W14" s="17">
        <f t="shared" si="6"/>
        <v>2</v>
      </c>
      <c r="X14" s="17">
        <f t="shared" si="6"/>
        <v>11</v>
      </c>
      <c r="Y14" s="17">
        <f t="shared" si="6"/>
        <v>14</v>
      </c>
      <c r="Z14" s="17">
        <f t="shared" si="6"/>
        <v>3</v>
      </c>
      <c r="AA14" s="17">
        <f t="shared" si="6"/>
        <v>11</v>
      </c>
      <c r="AB14" s="17">
        <f t="shared" si="6"/>
        <v>3</v>
      </c>
      <c r="AC14" s="17">
        <f t="shared" si="6"/>
        <v>494</v>
      </c>
      <c r="AD14" s="17">
        <f t="shared" si="6"/>
        <v>0</v>
      </c>
      <c r="AE14" s="31">
        <f t="shared" si="6"/>
        <v>351</v>
      </c>
      <c r="AF14" s="31">
        <f t="shared" si="6"/>
        <v>845</v>
      </c>
    </row>
    <row r="15" spans="2:32" ht="23.1" customHeight="1" x14ac:dyDescent="0.25">
      <c r="B15" s="23" t="s">
        <v>42</v>
      </c>
      <c r="C15" s="50">
        <v>34</v>
      </c>
      <c r="D15" s="50">
        <v>5</v>
      </c>
      <c r="E15" s="50">
        <v>8</v>
      </c>
      <c r="F15" s="50">
        <v>18</v>
      </c>
      <c r="G15" s="50">
        <v>1</v>
      </c>
      <c r="H15" s="50">
        <v>0</v>
      </c>
      <c r="I15" s="50">
        <v>4</v>
      </c>
      <c r="J15" s="50">
        <v>1</v>
      </c>
      <c r="K15" s="50">
        <v>2</v>
      </c>
      <c r="L15" s="50">
        <v>0</v>
      </c>
      <c r="M15" s="50">
        <v>144</v>
      </c>
      <c r="N15" s="50">
        <v>0</v>
      </c>
      <c r="O15" s="15">
        <f t="shared" si="0"/>
        <v>73</v>
      </c>
      <c r="P15" s="15">
        <f t="shared" si="1"/>
        <v>217</v>
      </c>
      <c r="R15" s="1" t="s">
        <v>11</v>
      </c>
      <c r="S15" s="17">
        <f t="shared" ref="S15:AF15" si="7">SUM(C30:C33)</f>
        <v>184</v>
      </c>
      <c r="T15" s="17">
        <f t="shared" si="7"/>
        <v>46</v>
      </c>
      <c r="U15" s="17">
        <f t="shared" si="7"/>
        <v>28</v>
      </c>
      <c r="V15" s="17">
        <f t="shared" si="7"/>
        <v>53</v>
      </c>
      <c r="W15" s="17">
        <f t="shared" si="7"/>
        <v>0</v>
      </c>
      <c r="X15" s="17">
        <f t="shared" si="7"/>
        <v>5</v>
      </c>
      <c r="Y15" s="17">
        <f t="shared" si="7"/>
        <v>19</v>
      </c>
      <c r="Z15" s="17">
        <f t="shared" si="7"/>
        <v>12</v>
      </c>
      <c r="AA15" s="17">
        <f t="shared" si="7"/>
        <v>7</v>
      </c>
      <c r="AB15" s="17">
        <f t="shared" si="7"/>
        <v>1</v>
      </c>
      <c r="AC15" s="17">
        <f t="shared" si="7"/>
        <v>412</v>
      </c>
      <c r="AD15" s="17">
        <f t="shared" si="7"/>
        <v>0</v>
      </c>
      <c r="AE15" s="31">
        <f t="shared" si="7"/>
        <v>355</v>
      </c>
      <c r="AF15" s="31">
        <f t="shared" si="7"/>
        <v>767</v>
      </c>
    </row>
    <row r="16" spans="2:32" ht="23.1" customHeight="1" x14ac:dyDescent="0.25">
      <c r="B16" s="23" t="s">
        <v>43</v>
      </c>
      <c r="C16" s="50">
        <v>30</v>
      </c>
      <c r="D16" s="50">
        <v>12</v>
      </c>
      <c r="E16" s="50">
        <v>5</v>
      </c>
      <c r="F16" s="50">
        <v>27</v>
      </c>
      <c r="G16" s="50">
        <v>2</v>
      </c>
      <c r="H16" s="50">
        <v>0</v>
      </c>
      <c r="I16" s="50">
        <v>8</v>
      </c>
      <c r="J16" s="50">
        <v>3</v>
      </c>
      <c r="K16" s="50">
        <v>4</v>
      </c>
      <c r="L16" s="50">
        <v>0</v>
      </c>
      <c r="M16" s="50">
        <v>141</v>
      </c>
      <c r="N16" s="50">
        <v>0</v>
      </c>
      <c r="O16" s="15">
        <f t="shared" si="0"/>
        <v>91</v>
      </c>
      <c r="P16" s="15">
        <f t="shared" si="1"/>
        <v>232</v>
      </c>
      <c r="R16" s="1" t="s">
        <v>12</v>
      </c>
      <c r="S16" s="17">
        <f t="shared" ref="S16:AF16" si="8">SUM(C34:C37)</f>
        <v>211</v>
      </c>
      <c r="T16" s="17">
        <f t="shared" si="8"/>
        <v>49</v>
      </c>
      <c r="U16" s="17">
        <f t="shared" si="8"/>
        <v>28</v>
      </c>
      <c r="V16" s="17">
        <f t="shared" si="8"/>
        <v>60</v>
      </c>
      <c r="W16" s="17">
        <f t="shared" si="8"/>
        <v>0</v>
      </c>
      <c r="X16" s="17">
        <f t="shared" si="8"/>
        <v>1</v>
      </c>
      <c r="Y16" s="17">
        <f t="shared" si="8"/>
        <v>25</v>
      </c>
      <c r="Z16" s="17">
        <f t="shared" si="8"/>
        <v>15</v>
      </c>
      <c r="AA16" s="17">
        <f t="shared" si="8"/>
        <v>8</v>
      </c>
      <c r="AB16" s="17">
        <f t="shared" si="8"/>
        <v>1</v>
      </c>
      <c r="AC16" s="17">
        <f t="shared" si="8"/>
        <v>399</v>
      </c>
      <c r="AD16" s="17">
        <f t="shared" si="8"/>
        <v>0</v>
      </c>
      <c r="AE16" s="31">
        <f t="shared" si="8"/>
        <v>398</v>
      </c>
      <c r="AF16" s="31">
        <f t="shared" si="8"/>
        <v>797</v>
      </c>
    </row>
    <row r="17" spans="2:32" ht="23.1" customHeight="1" x14ac:dyDescent="0.25">
      <c r="B17" s="23" t="s">
        <v>44</v>
      </c>
      <c r="C17" s="50">
        <v>44</v>
      </c>
      <c r="D17" s="50">
        <v>5</v>
      </c>
      <c r="E17" s="50">
        <v>6</v>
      </c>
      <c r="F17" s="50">
        <v>17</v>
      </c>
      <c r="G17" s="50">
        <v>1</v>
      </c>
      <c r="H17" s="50">
        <v>0</v>
      </c>
      <c r="I17" s="50">
        <v>10</v>
      </c>
      <c r="J17" s="50">
        <v>1</v>
      </c>
      <c r="K17" s="50">
        <v>1</v>
      </c>
      <c r="L17" s="50">
        <v>1</v>
      </c>
      <c r="M17" s="50">
        <v>162</v>
      </c>
      <c r="N17" s="50">
        <v>0</v>
      </c>
      <c r="O17" s="15">
        <f t="shared" si="0"/>
        <v>86</v>
      </c>
      <c r="P17" s="15">
        <f t="shared" si="1"/>
        <v>248</v>
      </c>
      <c r="R17" s="1" t="s">
        <v>13</v>
      </c>
      <c r="S17" s="17">
        <f t="shared" ref="S17:AF17" si="9">SUM(C38:C41)</f>
        <v>180</v>
      </c>
      <c r="T17" s="17">
        <f t="shared" si="9"/>
        <v>31</v>
      </c>
      <c r="U17" s="17">
        <f t="shared" si="9"/>
        <v>30</v>
      </c>
      <c r="V17" s="17">
        <f t="shared" si="9"/>
        <v>57</v>
      </c>
      <c r="W17" s="17">
        <f t="shared" si="9"/>
        <v>3</v>
      </c>
      <c r="X17" s="17">
        <f t="shared" si="9"/>
        <v>0</v>
      </c>
      <c r="Y17" s="17">
        <f t="shared" si="9"/>
        <v>17</v>
      </c>
      <c r="Z17" s="17">
        <f t="shared" si="9"/>
        <v>12</v>
      </c>
      <c r="AA17" s="17">
        <f t="shared" si="9"/>
        <v>3</v>
      </c>
      <c r="AB17" s="17">
        <f t="shared" si="9"/>
        <v>1</v>
      </c>
      <c r="AC17" s="17">
        <f t="shared" si="9"/>
        <v>393</v>
      </c>
      <c r="AD17" s="17">
        <f t="shared" si="9"/>
        <v>0</v>
      </c>
      <c r="AE17" s="31">
        <f t="shared" si="9"/>
        <v>334</v>
      </c>
      <c r="AF17" s="31">
        <f t="shared" si="9"/>
        <v>727</v>
      </c>
    </row>
    <row r="18" spans="2:32" ht="23.1" customHeight="1" x14ac:dyDescent="0.25">
      <c r="B18" s="23" t="s">
        <v>45</v>
      </c>
      <c r="C18" s="50">
        <v>35</v>
      </c>
      <c r="D18" s="50">
        <v>8</v>
      </c>
      <c r="E18" s="50">
        <v>3</v>
      </c>
      <c r="F18" s="50">
        <v>14</v>
      </c>
      <c r="G18" s="50">
        <v>0</v>
      </c>
      <c r="H18" s="50">
        <v>1</v>
      </c>
      <c r="I18" s="50">
        <v>0</v>
      </c>
      <c r="J18" s="50">
        <v>6</v>
      </c>
      <c r="K18" s="50">
        <v>0</v>
      </c>
      <c r="L18" s="50">
        <v>1</v>
      </c>
      <c r="M18" s="50">
        <v>141</v>
      </c>
      <c r="N18" s="50">
        <v>0</v>
      </c>
      <c r="O18" s="15">
        <f t="shared" si="0"/>
        <v>68</v>
      </c>
      <c r="P18" s="15">
        <f t="shared" si="1"/>
        <v>209</v>
      </c>
      <c r="R18" s="1" t="s">
        <v>14</v>
      </c>
      <c r="S18" s="17">
        <f t="shared" ref="S18:AF18" si="10">SUM(C42:C45)</f>
        <v>226</v>
      </c>
      <c r="T18" s="17">
        <f t="shared" si="10"/>
        <v>68</v>
      </c>
      <c r="U18" s="17">
        <f t="shared" si="10"/>
        <v>26</v>
      </c>
      <c r="V18" s="17">
        <f t="shared" si="10"/>
        <v>68</v>
      </c>
      <c r="W18" s="17">
        <f t="shared" si="10"/>
        <v>1</v>
      </c>
      <c r="X18" s="17">
        <f t="shared" si="10"/>
        <v>11</v>
      </c>
      <c r="Y18" s="17">
        <f t="shared" si="10"/>
        <v>14</v>
      </c>
      <c r="Z18" s="17">
        <f t="shared" si="10"/>
        <v>2</v>
      </c>
      <c r="AA18" s="17">
        <f t="shared" si="10"/>
        <v>2</v>
      </c>
      <c r="AB18" s="17">
        <f t="shared" si="10"/>
        <v>0</v>
      </c>
      <c r="AC18" s="17">
        <f t="shared" si="10"/>
        <v>399</v>
      </c>
      <c r="AD18" s="17">
        <f t="shared" si="10"/>
        <v>0</v>
      </c>
      <c r="AE18" s="31">
        <f t="shared" si="10"/>
        <v>418</v>
      </c>
      <c r="AF18" s="31">
        <f t="shared" si="10"/>
        <v>817</v>
      </c>
    </row>
    <row r="19" spans="2:32" ht="23.1" customHeight="1" x14ac:dyDescent="0.25">
      <c r="B19" s="23" t="s">
        <v>46</v>
      </c>
      <c r="C19" s="50">
        <v>26</v>
      </c>
      <c r="D19" s="50">
        <v>8</v>
      </c>
      <c r="E19" s="50">
        <v>6</v>
      </c>
      <c r="F19" s="50">
        <v>8</v>
      </c>
      <c r="G19" s="50">
        <v>0</v>
      </c>
      <c r="H19" s="50">
        <v>0</v>
      </c>
      <c r="I19" s="50">
        <v>3</v>
      </c>
      <c r="J19" s="50">
        <v>0</v>
      </c>
      <c r="K19" s="50">
        <v>1</v>
      </c>
      <c r="L19" s="50">
        <v>1</v>
      </c>
      <c r="M19" s="50">
        <v>153</v>
      </c>
      <c r="N19" s="50">
        <v>0</v>
      </c>
      <c r="O19" s="15">
        <f t="shared" si="0"/>
        <v>53</v>
      </c>
      <c r="P19" s="15">
        <f t="shared" si="1"/>
        <v>206</v>
      </c>
      <c r="R19" s="1" t="s">
        <v>15</v>
      </c>
      <c r="S19" s="17">
        <f t="shared" ref="S19:AF19" si="11">SUM(C46:C49)</f>
        <v>320</v>
      </c>
      <c r="T19" s="17">
        <f t="shared" si="11"/>
        <v>85</v>
      </c>
      <c r="U19" s="17">
        <f t="shared" si="11"/>
        <v>39</v>
      </c>
      <c r="V19" s="17">
        <f t="shared" si="11"/>
        <v>73</v>
      </c>
      <c r="W19" s="17">
        <f t="shared" si="11"/>
        <v>1</v>
      </c>
      <c r="X19" s="17">
        <f t="shared" si="11"/>
        <v>0</v>
      </c>
      <c r="Y19" s="17">
        <f t="shared" si="11"/>
        <v>22</v>
      </c>
      <c r="Z19" s="17">
        <f t="shared" si="11"/>
        <v>4</v>
      </c>
      <c r="AA19" s="17">
        <f t="shared" si="11"/>
        <v>2</v>
      </c>
      <c r="AB19" s="17">
        <f t="shared" si="11"/>
        <v>1</v>
      </c>
      <c r="AC19" s="17">
        <f t="shared" si="11"/>
        <v>476</v>
      </c>
      <c r="AD19" s="17">
        <f t="shared" si="11"/>
        <v>0</v>
      </c>
      <c r="AE19" s="31">
        <f t="shared" si="11"/>
        <v>547</v>
      </c>
      <c r="AF19" s="31">
        <f t="shared" si="11"/>
        <v>1023</v>
      </c>
    </row>
    <row r="20" spans="2:32" ht="23.1" customHeight="1" x14ac:dyDescent="0.25">
      <c r="B20" s="23" t="s">
        <v>47</v>
      </c>
      <c r="C20" s="50">
        <v>30</v>
      </c>
      <c r="D20" s="50">
        <v>9</v>
      </c>
      <c r="E20" s="50">
        <v>3</v>
      </c>
      <c r="F20" s="50">
        <v>20</v>
      </c>
      <c r="G20" s="50">
        <v>0</v>
      </c>
      <c r="H20" s="50">
        <v>6</v>
      </c>
      <c r="I20" s="50">
        <v>1</v>
      </c>
      <c r="J20" s="50">
        <v>0</v>
      </c>
      <c r="K20" s="50">
        <v>0</v>
      </c>
      <c r="L20" s="50">
        <v>0</v>
      </c>
      <c r="M20" s="50">
        <v>115</v>
      </c>
      <c r="N20" s="50">
        <v>0</v>
      </c>
      <c r="O20" s="15">
        <f t="shared" si="0"/>
        <v>69</v>
      </c>
      <c r="P20" s="15">
        <f t="shared" si="1"/>
        <v>184</v>
      </c>
      <c r="R20" s="1" t="s">
        <v>16</v>
      </c>
      <c r="S20" s="17">
        <f t="shared" ref="S20:AF20" si="12">SUM(C50:C53)</f>
        <v>418</v>
      </c>
      <c r="T20" s="17">
        <f t="shared" si="12"/>
        <v>119</v>
      </c>
      <c r="U20" s="17">
        <f t="shared" si="12"/>
        <v>60</v>
      </c>
      <c r="V20" s="17">
        <f t="shared" si="12"/>
        <v>80</v>
      </c>
      <c r="W20" s="17">
        <f t="shared" si="12"/>
        <v>7</v>
      </c>
      <c r="X20" s="17">
        <f t="shared" si="12"/>
        <v>0</v>
      </c>
      <c r="Y20" s="17">
        <f t="shared" si="12"/>
        <v>21</v>
      </c>
      <c r="Z20" s="17">
        <f t="shared" si="12"/>
        <v>4</v>
      </c>
      <c r="AA20" s="17">
        <f t="shared" si="12"/>
        <v>4</v>
      </c>
      <c r="AB20" s="17">
        <f t="shared" si="12"/>
        <v>5</v>
      </c>
      <c r="AC20" s="17">
        <f t="shared" si="12"/>
        <v>501</v>
      </c>
      <c r="AD20" s="17">
        <f t="shared" si="12"/>
        <v>0</v>
      </c>
      <c r="AE20" s="31">
        <f t="shared" si="12"/>
        <v>718</v>
      </c>
      <c r="AF20" s="31">
        <f t="shared" si="12"/>
        <v>1219</v>
      </c>
    </row>
    <row r="21" spans="2:32" ht="23.1" customHeight="1" x14ac:dyDescent="0.25">
      <c r="B21" s="23" t="s">
        <v>48</v>
      </c>
      <c r="C21" s="50">
        <v>46</v>
      </c>
      <c r="D21" s="50">
        <v>7</v>
      </c>
      <c r="E21" s="50">
        <v>5</v>
      </c>
      <c r="F21" s="50">
        <v>10</v>
      </c>
      <c r="G21" s="50">
        <v>0</v>
      </c>
      <c r="H21" s="50">
        <v>0</v>
      </c>
      <c r="I21" s="50">
        <v>5</v>
      </c>
      <c r="J21" s="50">
        <v>3</v>
      </c>
      <c r="K21" s="50">
        <v>0</v>
      </c>
      <c r="L21" s="50">
        <v>0</v>
      </c>
      <c r="M21" s="50">
        <v>105</v>
      </c>
      <c r="N21" s="50">
        <v>0</v>
      </c>
      <c r="O21" s="15">
        <f t="shared" si="0"/>
        <v>76</v>
      </c>
      <c r="P21" s="15">
        <f t="shared" si="1"/>
        <v>181</v>
      </c>
      <c r="R21" s="36" t="s">
        <v>20</v>
      </c>
      <c r="S21" s="34">
        <f t="shared" ref="S21:AF21" si="13">SUM(C54:C57)</f>
        <v>440</v>
      </c>
      <c r="T21" s="17">
        <f t="shared" si="13"/>
        <v>141</v>
      </c>
      <c r="U21" s="17">
        <f t="shared" si="13"/>
        <v>91</v>
      </c>
      <c r="V21" s="17">
        <f t="shared" si="13"/>
        <v>139</v>
      </c>
      <c r="W21" s="17">
        <f t="shared" si="13"/>
        <v>3</v>
      </c>
      <c r="X21" s="17">
        <f t="shared" si="13"/>
        <v>5</v>
      </c>
      <c r="Y21" s="17">
        <f t="shared" si="13"/>
        <v>4</v>
      </c>
      <c r="Z21" s="17">
        <f t="shared" si="13"/>
        <v>8</v>
      </c>
      <c r="AA21" s="17">
        <f t="shared" si="13"/>
        <v>4</v>
      </c>
      <c r="AB21" s="17">
        <f t="shared" si="13"/>
        <v>327</v>
      </c>
      <c r="AC21" s="17">
        <f t="shared" si="13"/>
        <v>325</v>
      </c>
      <c r="AD21" s="17">
        <f t="shared" si="13"/>
        <v>0</v>
      </c>
      <c r="AE21" s="31">
        <f t="shared" si="13"/>
        <v>1162</v>
      </c>
      <c r="AF21" s="31">
        <f t="shared" si="13"/>
        <v>1487</v>
      </c>
    </row>
    <row r="22" spans="2:32" ht="23.1" customHeight="1" x14ac:dyDescent="0.25">
      <c r="B22" s="23" t="s">
        <v>49</v>
      </c>
      <c r="C22" s="50">
        <v>38</v>
      </c>
      <c r="D22" s="50">
        <v>15</v>
      </c>
      <c r="E22" s="50">
        <v>5</v>
      </c>
      <c r="F22" s="50">
        <v>12</v>
      </c>
      <c r="G22" s="50">
        <v>1</v>
      </c>
      <c r="H22" s="50">
        <v>0</v>
      </c>
      <c r="I22" s="50">
        <v>5</v>
      </c>
      <c r="J22" s="50">
        <v>1</v>
      </c>
      <c r="K22" s="50">
        <v>0</v>
      </c>
      <c r="L22" s="50">
        <v>0</v>
      </c>
      <c r="M22" s="50">
        <v>103</v>
      </c>
      <c r="N22" s="50">
        <v>0</v>
      </c>
      <c r="O22" s="15">
        <f t="shared" si="0"/>
        <v>77</v>
      </c>
      <c r="P22" s="15">
        <f t="shared" si="1"/>
        <v>180</v>
      </c>
      <c r="R22" s="38" t="s">
        <v>90</v>
      </c>
      <c r="S22" s="39">
        <f>MAX(S10:S12)</f>
        <v>160</v>
      </c>
      <c r="T22" s="39">
        <f t="shared" ref="T22:AF22" si="14">MAX(T10:T12)</f>
        <v>32</v>
      </c>
      <c r="U22" s="39">
        <f t="shared" si="14"/>
        <v>24</v>
      </c>
      <c r="V22" s="39">
        <f t="shared" si="14"/>
        <v>87</v>
      </c>
      <c r="W22" s="39">
        <f t="shared" si="14"/>
        <v>6</v>
      </c>
      <c r="X22" s="39">
        <f t="shared" si="14"/>
        <v>7</v>
      </c>
      <c r="Y22" s="39">
        <f t="shared" si="14"/>
        <v>27</v>
      </c>
      <c r="Z22" s="39">
        <f t="shared" si="14"/>
        <v>9</v>
      </c>
      <c r="AA22" s="39">
        <f t="shared" si="14"/>
        <v>10</v>
      </c>
      <c r="AB22" s="39">
        <f t="shared" si="14"/>
        <v>2</v>
      </c>
      <c r="AC22" s="39">
        <f t="shared" si="14"/>
        <v>592</v>
      </c>
      <c r="AD22" s="39">
        <f t="shared" si="14"/>
        <v>0</v>
      </c>
      <c r="AE22" s="40">
        <f t="shared" si="14"/>
        <v>331</v>
      </c>
      <c r="AF22" s="40">
        <f t="shared" si="14"/>
        <v>923</v>
      </c>
    </row>
    <row r="23" spans="2:32" ht="23.1" customHeight="1" x14ac:dyDescent="0.25">
      <c r="B23" s="23" t="s">
        <v>50</v>
      </c>
      <c r="C23" s="50">
        <v>48</v>
      </c>
      <c r="D23" s="50">
        <v>5</v>
      </c>
      <c r="E23" s="50">
        <v>7</v>
      </c>
      <c r="F23" s="50">
        <v>12</v>
      </c>
      <c r="G23" s="50">
        <v>0</v>
      </c>
      <c r="H23" s="50">
        <v>0</v>
      </c>
      <c r="I23" s="50">
        <v>7</v>
      </c>
      <c r="J23" s="50">
        <v>1</v>
      </c>
      <c r="K23" s="50">
        <v>0</v>
      </c>
      <c r="L23" s="50">
        <v>0</v>
      </c>
      <c r="M23" s="50">
        <v>122</v>
      </c>
      <c r="N23" s="50">
        <v>0</v>
      </c>
      <c r="O23" s="15">
        <f t="shared" si="0"/>
        <v>80</v>
      </c>
      <c r="P23" s="15">
        <f t="shared" si="1"/>
        <v>202</v>
      </c>
      <c r="R23" s="38" t="s">
        <v>91</v>
      </c>
      <c r="S23" s="39">
        <f>MAX(S13:S18)</f>
        <v>226</v>
      </c>
      <c r="T23" s="39">
        <f t="shared" ref="T23:AF23" si="15">MAX(T13:T18)</f>
        <v>68</v>
      </c>
      <c r="U23" s="39">
        <f t="shared" si="15"/>
        <v>30</v>
      </c>
      <c r="V23" s="39">
        <f t="shared" si="15"/>
        <v>68</v>
      </c>
      <c r="W23" s="39">
        <f t="shared" si="15"/>
        <v>3</v>
      </c>
      <c r="X23" s="39">
        <f t="shared" si="15"/>
        <v>11</v>
      </c>
      <c r="Y23" s="39">
        <f t="shared" si="15"/>
        <v>25</v>
      </c>
      <c r="Z23" s="39">
        <f t="shared" si="15"/>
        <v>15</v>
      </c>
      <c r="AA23" s="39">
        <f t="shared" si="15"/>
        <v>11</v>
      </c>
      <c r="AB23" s="39">
        <f t="shared" si="15"/>
        <v>3</v>
      </c>
      <c r="AC23" s="39">
        <f t="shared" si="15"/>
        <v>494</v>
      </c>
      <c r="AD23" s="39">
        <f t="shared" si="15"/>
        <v>0</v>
      </c>
      <c r="AE23" s="40">
        <f t="shared" si="15"/>
        <v>418</v>
      </c>
      <c r="AF23" s="40">
        <f t="shared" si="15"/>
        <v>845</v>
      </c>
    </row>
    <row r="24" spans="2:32" ht="23.1" customHeight="1" x14ac:dyDescent="0.25">
      <c r="B24" s="23" t="s">
        <v>51</v>
      </c>
      <c r="C24" s="50">
        <v>27</v>
      </c>
      <c r="D24" s="50">
        <v>10</v>
      </c>
      <c r="E24" s="50">
        <v>5</v>
      </c>
      <c r="F24" s="50">
        <v>12</v>
      </c>
      <c r="G24" s="50">
        <v>0</v>
      </c>
      <c r="H24" s="50">
        <v>7</v>
      </c>
      <c r="I24" s="50">
        <v>2</v>
      </c>
      <c r="J24" s="50">
        <v>3</v>
      </c>
      <c r="K24" s="50">
        <v>0</v>
      </c>
      <c r="L24" s="50">
        <v>0</v>
      </c>
      <c r="M24" s="50">
        <v>118</v>
      </c>
      <c r="N24" s="50">
        <v>0</v>
      </c>
      <c r="O24" s="15">
        <f t="shared" si="0"/>
        <v>66</v>
      </c>
      <c r="P24" s="15">
        <f t="shared" si="1"/>
        <v>184</v>
      </c>
      <c r="R24" s="38" t="s">
        <v>92</v>
      </c>
      <c r="S24" s="39">
        <f>MAX(S19:S21)</f>
        <v>440</v>
      </c>
      <c r="T24" s="39">
        <f t="shared" ref="T24:AF24" si="16">MAX(T19:T21)</f>
        <v>141</v>
      </c>
      <c r="U24" s="39">
        <f t="shared" si="16"/>
        <v>91</v>
      </c>
      <c r="V24" s="39">
        <f t="shared" si="16"/>
        <v>139</v>
      </c>
      <c r="W24" s="39">
        <f t="shared" si="16"/>
        <v>7</v>
      </c>
      <c r="X24" s="39">
        <f t="shared" si="16"/>
        <v>5</v>
      </c>
      <c r="Y24" s="39">
        <f t="shared" si="16"/>
        <v>22</v>
      </c>
      <c r="Z24" s="39">
        <f t="shared" si="16"/>
        <v>8</v>
      </c>
      <c r="AA24" s="39">
        <f t="shared" si="16"/>
        <v>4</v>
      </c>
      <c r="AB24" s="39">
        <f t="shared" si="16"/>
        <v>327</v>
      </c>
      <c r="AC24" s="39">
        <f t="shared" si="16"/>
        <v>501</v>
      </c>
      <c r="AD24" s="39">
        <f t="shared" si="16"/>
        <v>0</v>
      </c>
      <c r="AE24" s="40">
        <f t="shared" si="16"/>
        <v>1162</v>
      </c>
      <c r="AF24" s="40">
        <f t="shared" si="16"/>
        <v>1487</v>
      </c>
    </row>
    <row r="25" spans="2:32" ht="23.1" customHeight="1" x14ac:dyDescent="0.25">
      <c r="B25" s="23" t="s">
        <v>52</v>
      </c>
      <c r="C25" s="50">
        <v>20</v>
      </c>
      <c r="D25" s="50">
        <v>9</v>
      </c>
      <c r="E25" s="50">
        <v>5</v>
      </c>
      <c r="F25" s="50">
        <v>15</v>
      </c>
      <c r="G25" s="50">
        <v>0</v>
      </c>
      <c r="H25" s="50">
        <v>1</v>
      </c>
      <c r="I25" s="50">
        <v>0</v>
      </c>
      <c r="J25" s="50">
        <v>6</v>
      </c>
      <c r="K25" s="50">
        <v>1</v>
      </c>
      <c r="L25" s="50">
        <v>1</v>
      </c>
      <c r="M25" s="50">
        <v>98</v>
      </c>
      <c r="N25" s="50">
        <v>0</v>
      </c>
      <c r="O25" s="15">
        <f t="shared" si="0"/>
        <v>58</v>
      </c>
      <c r="P25" s="15">
        <f t="shared" si="1"/>
        <v>156</v>
      </c>
      <c r="R25" s="37" t="s">
        <v>85</v>
      </c>
      <c r="S25" s="35">
        <f t="shared" ref="S25:AF25" si="17">SUM(S10:S12)</f>
        <v>442</v>
      </c>
      <c r="T25" s="16">
        <f t="shared" si="17"/>
        <v>89</v>
      </c>
      <c r="U25" s="16">
        <f t="shared" si="17"/>
        <v>64</v>
      </c>
      <c r="V25" s="16">
        <f t="shared" si="17"/>
        <v>206</v>
      </c>
      <c r="W25" s="16">
        <f t="shared" si="17"/>
        <v>7</v>
      </c>
      <c r="X25" s="16">
        <f t="shared" si="17"/>
        <v>9</v>
      </c>
      <c r="Y25" s="16">
        <f t="shared" si="17"/>
        <v>41</v>
      </c>
      <c r="Z25" s="16">
        <f t="shared" si="17"/>
        <v>19</v>
      </c>
      <c r="AA25" s="16">
        <f t="shared" si="17"/>
        <v>18</v>
      </c>
      <c r="AB25" s="16">
        <f t="shared" si="17"/>
        <v>5</v>
      </c>
      <c r="AC25" s="16">
        <f t="shared" si="17"/>
        <v>1580</v>
      </c>
      <c r="AD25" s="16">
        <f t="shared" si="17"/>
        <v>0</v>
      </c>
      <c r="AE25" s="32">
        <f t="shared" si="17"/>
        <v>900</v>
      </c>
      <c r="AF25" s="32">
        <f t="shared" si="17"/>
        <v>2480</v>
      </c>
    </row>
    <row r="26" spans="2:32" ht="23.1" customHeight="1" x14ac:dyDescent="0.25">
      <c r="B26" s="23" t="s">
        <v>53</v>
      </c>
      <c r="C26" s="50">
        <v>57</v>
      </c>
      <c r="D26" s="50">
        <v>10</v>
      </c>
      <c r="E26" s="50">
        <v>3</v>
      </c>
      <c r="F26" s="50">
        <v>17</v>
      </c>
      <c r="G26" s="50">
        <v>0</v>
      </c>
      <c r="H26" s="50">
        <v>8</v>
      </c>
      <c r="I26" s="50">
        <v>1</v>
      </c>
      <c r="J26" s="50">
        <v>0</v>
      </c>
      <c r="K26" s="50">
        <v>0</v>
      </c>
      <c r="L26" s="50">
        <v>0</v>
      </c>
      <c r="M26" s="50">
        <v>144</v>
      </c>
      <c r="N26" s="50">
        <v>0</v>
      </c>
      <c r="O26" s="15">
        <f t="shared" si="0"/>
        <v>96</v>
      </c>
      <c r="P26" s="15">
        <f t="shared" si="1"/>
        <v>240</v>
      </c>
      <c r="R26" s="28" t="s">
        <v>86</v>
      </c>
      <c r="S26" s="16">
        <f t="shared" ref="S26:AF26" si="18">SUM(S13:S18)</f>
        <v>1110</v>
      </c>
      <c r="T26" s="16">
        <f t="shared" si="18"/>
        <v>269</v>
      </c>
      <c r="U26" s="16">
        <f t="shared" si="18"/>
        <v>163</v>
      </c>
      <c r="V26" s="16">
        <f t="shared" si="18"/>
        <v>355</v>
      </c>
      <c r="W26" s="16">
        <f t="shared" si="18"/>
        <v>7</v>
      </c>
      <c r="X26" s="16">
        <f t="shared" si="18"/>
        <v>36</v>
      </c>
      <c r="Y26" s="16">
        <f t="shared" si="18"/>
        <v>103</v>
      </c>
      <c r="Z26" s="16">
        <f t="shared" si="18"/>
        <v>55</v>
      </c>
      <c r="AA26" s="16">
        <f t="shared" si="18"/>
        <v>32</v>
      </c>
      <c r="AB26" s="16">
        <f t="shared" si="18"/>
        <v>7</v>
      </c>
      <c r="AC26" s="16">
        <f t="shared" si="18"/>
        <v>2538</v>
      </c>
      <c r="AD26" s="16">
        <f t="shared" si="18"/>
        <v>0</v>
      </c>
      <c r="AE26" s="32">
        <f t="shared" si="18"/>
        <v>2137</v>
      </c>
      <c r="AF26" s="32">
        <f t="shared" si="18"/>
        <v>4675</v>
      </c>
    </row>
    <row r="27" spans="2:32" ht="23.1" customHeight="1" x14ac:dyDescent="0.25">
      <c r="B27" s="23" t="s">
        <v>54</v>
      </c>
      <c r="C27" s="50">
        <v>32</v>
      </c>
      <c r="D27" s="50">
        <v>10</v>
      </c>
      <c r="E27" s="50">
        <v>2</v>
      </c>
      <c r="F27" s="50">
        <v>12</v>
      </c>
      <c r="G27" s="50">
        <v>2</v>
      </c>
      <c r="H27" s="50">
        <v>1</v>
      </c>
      <c r="I27" s="50">
        <v>0</v>
      </c>
      <c r="J27" s="50">
        <v>0</v>
      </c>
      <c r="K27" s="50">
        <v>9</v>
      </c>
      <c r="L27" s="50">
        <v>3</v>
      </c>
      <c r="M27" s="50">
        <v>110</v>
      </c>
      <c r="N27" s="50">
        <v>0</v>
      </c>
      <c r="O27" s="15">
        <f t="shared" si="0"/>
        <v>71</v>
      </c>
      <c r="P27" s="15">
        <f t="shared" si="1"/>
        <v>181</v>
      </c>
      <c r="R27" s="29" t="s">
        <v>87</v>
      </c>
      <c r="S27" s="16">
        <f t="shared" ref="S27:AF27" si="19">SUM(S19:S21)</f>
        <v>1178</v>
      </c>
      <c r="T27" s="16">
        <f t="shared" si="19"/>
        <v>345</v>
      </c>
      <c r="U27" s="16">
        <f t="shared" si="19"/>
        <v>190</v>
      </c>
      <c r="V27" s="16">
        <f t="shared" si="19"/>
        <v>292</v>
      </c>
      <c r="W27" s="16">
        <f t="shared" si="19"/>
        <v>11</v>
      </c>
      <c r="X27" s="16">
        <f t="shared" si="19"/>
        <v>5</v>
      </c>
      <c r="Y27" s="16">
        <f t="shared" si="19"/>
        <v>47</v>
      </c>
      <c r="Z27" s="16">
        <f t="shared" si="19"/>
        <v>16</v>
      </c>
      <c r="AA27" s="16">
        <f t="shared" si="19"/>
        <v>10</v>
      </c>
      <c r="AB27" s="16">
        <f t="shared" si="19"/>
        <v>333</v>
      </c>
      <c r="AC27" s="16">
        <f t="shared" si="19"/>
        <v>1302</v>
      </c>
      <c r="AD27" s="16">
        <f t="shared" si="19"/>
        <v>0</v>
      </c>
      <c r="AE27" s="32">
        <f t="shared" si="19"/>
        <v>2427</v>
      </c>
      <c r="AF27" s="32">
        <f t="shared" si="19"/>
        <v>3729</v>
      </c>
    </row>
    <row r="28" spans="2:32" ht="23.1" customHeight="1" x14ac:dyDescent="0.25">
      <c r="B28" s="23" t="s">
        <v>55</v>
      </c>
      <c r="C28" s="50">
        <v>40</v>
      </c>
      <c r="D28" s="50">
        <v>7</v>
      </c>
      <c r="E28" s="50">
        <v>13</v>
      </c>
      <c r="F28" s="50">
        <v>16</v>
      </c>
      <c r="G28" s="50">
        <v>0</v>
      </c>
      <c r="H28" s="50">
        <v>0</v>
      </c>
      <c r="I28" s="50">
        <v>7</v>
      </c>
      <c r="J28" s="50">
        <v>2</v>
      </c>
      <c r="K28" s="50">
        <v>1</v>
      </c>
      <c r="L28" s="50">
        <v>0</v>
      </c>
      <c r="M28" s="50">
        <v>125</v>
      </c>
      <c r="N28" s="50">
        <v>0</v>
      </c>
      <c r="O28" s="15">
        <f t="shared" si="0"/>
        <v>86</v>
      </c>
      <c r="P28" s="15">
        <f t="shared" si="1"/>
        <v>211</v>
      </c>
      <c r="R28" s="5" t="s">
        <v>17</v>
      </c>
      <c r="S28" s="16">
        <f t="shared" ref="S28:AF28" si="20">SUM(S10:S21)</f>
        <v>2730</v>
      </c>
      <c r="T28" s="16">
        <f t="shared" si="20"/>
        <v>703</v>
      </c>
      <c r="U28" s="16">
        <f t="shared" si="20"/>
        <v>417</v>
      </c>
      <c r="V28" s="16">
        <f t="shared" si="20"/>
        <v>853</v>
      </c>
      <c r="W28" s="16">
        <f t="shared" si="20"/>
        <v>25</v>
      </c>
      <c r="X28" s="16">
        <f t="shared" si="20"/>
        <v>50</v>
      </c>
      <c r="Y28" s="16">
        <f t="shared" si="20"/>
        <v>191</v>
      </c>
      <c r="Z28" s="16">
        <f t="shared" si="20"/>
        <v>90</v>
      </c>
      <c r="AA28" s="16">
        <f t="shared" si="20"/>
        <v>60</v>
      </c>
      <c r="AB28" s="16">
        <f t="shared" si="20"/>
        <v>345</v>
      </c>
      <c r="AC28" s="16">
        <f t="shared" si="20"/>
        <v>5420</v>
      </c>
      <c r="AD28" s="16">
        <f t="shared" si="20"/>
        <v>0</v>
      </c>
      <c r="AE28" s="32">
        <f t="shared" si="20"/>
        <v>5464</v>
      </c>
      <c r="AF28" s="32">
        <f t="shared" si="20"/>
        <v>10884</v>
      </c>
    </row>
    <row r="29" spans="2:32" ht="23.1" customHeight="1" x14ac:dyDescent="0.25">
      <c r="B29" s="23" t="s">
        <v>56</v>
      </c>
      <c r="C29" s="50">
        <v>47</v>
      </c>
      <c r="D29" s="50">
        <v>9</v>
      </c>
      <c r="E29" s="50">
        <v>11</v>
      </c>
      <c r="F29" s="50">
        <v>21</v>
      </c>
      <c r="G29" s="50">
        <v>0</v>
      </c>
      <c r="H29" s="50">
        <v>2</v>
      </c>
      <c r="I29" s="50">
        <v>6</v>
      </c>
      <c r="J29" s="50">
        <v>1</v>
      </c>
      <c r="K29" s="50">
        <v>1</v>
      </c>
      <c r="L29" s="50">
        <v>0</v>
      </c>
      <c r="M29" s="50">
        <v>115</v>
      </c>
      <c r="N29" s="50">
        <v>0</v>
      </c>
      <c r="O29" s="15">
        <f t="shared" si="0"/>
        <v>98</v>
      </c>
      <c r="P29" s="15">
        <f t="shared" si="1"/>
        <v>213</v>
      </c>
      <c r="R29"/>
      <c r="S29" s="20"/>
      <c r="T29" s="19"/>
    </row>
    <row r="30" spans="2:32" ht="23.1" customHeight="1" x14ac:dyDescent="0.25">
      <c r="B30" s="23" t="s">
        <v>57</v>
      </c>
      <c r="C30" s="50">
        <v>50</v>
      </c>
      <c r="D30" s="50">
        <v>11</v>
      </c>
      <c r="E30" s="50">
        <v>7</v>
      </c>
      <c r="F30" s="50">
        <v>14</v>
      </c>
      <c r="G30" s="50">
        <v>0</v>
      </c>
      <c r="H30" s="50">
        <v>4</v>
      </c>
      <c r="I30" s="50">
        <v>5</v>
      </c>
      <c r="J30" s="50">
        <v>1</v>
      </c>
      <c r="K30" s="50">
        <v>1</v>
      </c>
      <c r="L30" s="50">
        <v>0</v>
      </c>
      <c r="M30" s="50">
        <v>112</v>
      </c>
      <c r="N30" s="50">
        <v>0</v>
      </c>
      <c r="O30" s="15">
        <f t="shared" si="0"/>
        <v>93</v>
      </c>
      <c r="P30" s="15">
        <f t="shared" si="1"/>
        <v>205</v>
      </c>
    </row>
    <row r="31" spans="2:32" ht="23.1" customHeight="1" x14ac:dyDescent="0.25">
      <c r="B31" s="24" t="s">
        <v>58</v>
      </c>
      <c r="C31" s="50">
        <v>37</v>
      </c>
      <c r="D31" s="50">
        <v>6</v>
      </c>
      <c r="E31" s="50">
        <v>1</v>
      </c>
      <c r="F31" s="50">
        <v>15</v>
      </c>
      <c r="G31" s="50">
        <v>0</v>
      </c>
      <c r="H31" s="50">
        <v>0</v>
      </c>
      <c r="I31" s="50">
        <v>3</v>
      </c>
      <c r="J31" s="50">
        <v>2</v>
      </c>
      <c r="K31" s="50">
        <v>2</v>
      </c>
      <c r="L31" s="50">
        <v>0</v>
      </c>
      <c r="M31" s="50">
        <v>96</v>
      </c>
      <c r="N31" s="50">
        <v>0</v>
      </c>
      <c r="O31" s="15">
        <f t="shared" si="0"/>
        <v>66</v>
      </c>
      <c r="P31" s="15">
        <f t="shared" si="1"/>
        <v>162</v>
      </c>
    </row>
    <row r="32" spans="2:32" ht="23.1" customHeight="1" x14ac:dyDescent="0.25">
      <c r="B32" s="24" t="s">
        <v>59</v>
      </c>
      <c r="C32" s="50">
        <v>55</v>
      </c>
      <c r="D32" s="50">
        <v>15</v>
      </c>
      <c r="E32" s="50">
        <v>13</v>
      </c>
      <c r="F32" s="50">
        <v>11</v>
      </c>
      <c r="G32" s="50">
        <v>0</v>
      </c>
      <c r="H32" s="50">
        <v>0</v>
      </c>
      <c r="I32" s="50">
        <v>11</v>
      </c>
      <c r="J32" s="50">
        <v>0</v>
      </c>
      <c r="K32" s="50">
        <v>0</v>
      </c>
      <c r="L32" s="50">
        <v>0</v>
      </c>
      <c r="M32" s="50">
        <v>100</v>
      </c>
      <c r="N32" s="50">
        <v>0</v>
      </c>
      <c r="O32" s="15">
        <f t="shared" si="0"/>
        <v>105</v>
      </c>
      <c r="P32" s="15">
        <f t="shared" si="1"/>
        <v>205</v>
      </c>
    </row>
    <row r="33" spans="2:20" ht="23.1" customHeight="1" x14ac:dyDescent="0.25">
      <c r="B33" s="23" t="s">
        <v>60</v>
      </c>
      <c r="C33" s="50">
        <v>42</v>
      </c>
      <c r="D33" s="50">
        <v>14</v>
      </c>
      <c r="E33" s="50">
        <v>7</v>
      </c>
      <c r="F33" s="50">
        <v>13</v>
      </c>
      <c r="G33" s="50">
        <v>0</v>
      </c>
      <c r="H33" s="50">
        <v>1</v>
      </c>
      <c r="I33" s="50">
        <v>0</v>
      </c>
      <c r="J33" s="50">
        <v>9</v>
      </c>
      <c r="K33" s="50">
        <v>4</v>
      </c>
      <c r="L33" s="50">
        <v>1</v>
      </c>
      <c r="M33" s="50">
        <v>104</v>
      </c>
      <c r="N33" s="50">
        <v>0</v>
      </c>
      <c r="O33" s="15">
        <f t="shared" si="0"/>
        <v>91</v>
      </c>
      <c r="P33" s="15">
        <f t="shared" si="1"/>
        <v>195</v>
      </c>
    </row>
    <row r="34" spans="2:20" ht="23.1" customHeight="1" x14ac:dyDescent="0.25">
      <c r="B34" s="24" t="s">
        <v>61</v>
      </c>
      <c r="C34" s="50">
        <v>67</v>
      </c>
      <c r="D34" s="50">
        <v>12</v>
      </c>
      <c r="E34" s="50">
        <v>10</v>
      </c>
      <c r="F34" s="50">
        <v>17</v>
      </c>
      <c r="G34" s="50">
        <v>0</v>
      </c>
      <c r="H34" s="50">
        <v>1</v>
      </c>
      <c r="I34" s="50">
        <v>5</v>
      </c>
      <c r="J34" s="50">
        <v>7</v>
      </c>
      <c r="K34" s="50">
        <v>1</v>
      </c>
      <c r="L34" s="50">
        <v>0</v>
      </c>
      <c r="M34" s="50">
        <v>101</v>
      </c>
      <c r="N34" s="50">
        <v>0</v>
      </c>
      <c r="O34" s="15">
        <f t="shared" si="0"/>
        <v>120</v>
      </c>
      <c r="P34" s="15">
        <f t="shared" si="1"/>
        <v>221</v>
      </c>
    </row>
    <row r="35" spans="2:20" ht="23.1" customHeight="1" x14ac:dyDescent="0.25">
      <c r="B35" s="24" t="s">
        <v>62</v>
      </c>
      <c r="C35" s="50">
        <v>49</v>
      </c>
      <c r="D35" s="50">
        <v>9</v>
      </c>
      <c r="E35" s="50">
        <v>10</v>
      </c>
      <c r="F35" s="50">
        <v>11</v>
      </c>
      <c r="G35" s="50">
        <v>0</v>
      </c>
      <c r="H35" s="50">
        <v>0</v>
      </c>
      <c r="I35" s="50">
        <v>7</v>
      </c>
      <c r="J35" s="50">
        <v>4</v>
      </c>
      <c r="K35" s="50">
        <v>1</v>
      </c>
      <c r="L35" s="50">
        <v>1</v>
      </c>
      <c r="M35" s="50">
        <v>110</v>
      </c>
      <c r="N35" s="50">
        <v>0</v>
      </c>
      <c r="O35" s="15">
        <f t="shared" si="0"/>
        <v>92</v>
      </c>
      <c r="P35" s="15">
        <f t="shared" si="1"/>
        <v>202</v>
      </c>
    </row>
    <row r="36" spans="2:20" ht="23.1" customHeight="1" x14ac:dyDescent="0.25">
      <c r="B36" s="24" t="s">
        <v>63</v>
      </c>
      <c r="C36" s="50">
        <v>36</v>
      </c>
      <c r="D36" s="50">
        <v>16</v>
      </c>
      <c r="E36" s="50">
        <v>2</v>
      </c>
      <c r="F36" s="50">
        <v>13</v>
      </c>
      <c r="G36" s="50">
        <v>0</v>
      </c>
      <c r="H36" s="50">
        <v>0</v>
      </c>
      <c r="I36" s="50">
        <v>5</v>
      </c>
      <c r="J36" s="50">
        <v>2</v>
      </c>
      <c r="K36" s="50">
        <v>0</v>
      </c>
      <c r="L36" s="50">
        <v>0</v>
      </c>
      <c r="M36" s="50">
        <v>110</v>
      </c>
      <c r="N36" s="50">
        <v>0</v>
      </c>
      <c r="O36" s="15">
        <f t="shared" si="0"/>
        <v>74</v>
      </c>
      <c r="P36" s="15">
        <f t="shared" si="1"/>
        <v>184</v>
      </c>
    </row>
    <row r="37" spans="2:20" ht="23.1" customHeight="1" x14ac:dyDescent="0.25">
      <c r="B37" s="23" t="s">
        <v>64</v>
      </c>
      <c r="C37" s="50">
        <v>59</v>
      </c>
      <c r="D37" s="50">
        <v>12</v>
      </c>
      <c r="E37" s="50">
        <v>6</v>
      </c>
      <c r="F37" s="50">
        <v>19</v>
      </c>
      <c r="G37" s="50">
        <v>0</v>
      </c>
      <c r="H37" s="50">
        <v>0</v>
      </c>
      <c r="I37" s="50">
        <v>8</v>
      </c>
      <c r="J37" s="50">
        <v>2</v>
      </c>
      <c r="K37" s="50">
        <v>6</v>
      </c>
      <c r="L37" s="50">
        <v>0</v>
      </c>
      <c r="M37" s="50">
        <v>78</v>
      </c>
      <c r="N37" s="50">
        <v>0</v>
      </c>
      <c r="O37" s="15">
        <f t="shared" si="0"/>
        <v>112</v>
      </c>
      <c r="P37" s="15">
        <f t="shared" si="1"/>
        <v>190</v>
      </c>
    </row>
    <row r="38" spans="2:20" ht="23.1" customHeight="1" x14ac:dyDescent="0.25">
      <c r="B38" s="24" t="s">
        <v>65</v>
      </c>
      <c r="C38" s="50">
        <v>39</v>
      </c>
      <c r="D38" s="50">
        <v>10</v>
      </c>
      <c r="E38" s="50">
        <v>10</v>
      </c>
      <c r="F38" s="50">
        <v>12</v>
      </c>
      <c r="G38" s="50">
        <v>0</v>
      </c>
      <c r="H38" s="50">
        <v>0</v>
      </c>
      <c r="I38" s="50">
        <v>2</v>
      </c>
      <c r="J38" s="50">
        <v>10</v>
      </c>
      <c r="K38" s="50">
        <v>1</v>
      </c>
      <c r="L38" s="50">
        <v>0</v>
      </c>
      <c r="M38" s="50">
        <v>95</v>
      </c>
      <c r="N38" s="50">
        <v>0</v>
      </c>
      <c r="O38" s="15">
        <f t="shared" si="0"/>
        <v>84</v>
      </c>
      <c r="P38" s="15">
        <f t="shared" si="1"/>
        <v>179</v>
      </c>
    </row>
    <row r="39" spans="2:20" ht="23.1" customHeight="1" x14ac:dyDescent="0.25">
      <c r="B39" s="24" t="s">
        <v>66</v>
      </c>
      <c r="C39" s="50">
        <v>54</v>
      </c>
      <c r="D39" s="50">
        <v>11</v>
      </c>
      <c r="E39" s="50">
        <v>8</v>
      </c>
      <c r="F39" s="50">
        <v>17</v>
      </c>
      <c r="G39" s="50">
        <v>2</v>
      </c>
      <c r="H39" s="50">
        <v>0</v>
      </c>
      <c r="I39" s="50">
        <v>6</v>
      </c>
      <c r="J39" s="50">
        <v>0</v>
      </c>
      <c r="K39" s="50">
        <v>1</v>
      </c>
      <c r="L39" s="50">
        <v>1</v>
      </c>
      <c r="M39" s="50">
        <v>101</v>
      </c>
      <c r="N39" s="50">
        <v>0</v>
      </c>
      <c r="O39" s="15">
        <f t="shared" si="0"/>
        <v>100</v>
      </c>
      <c r="P39" s="15">
        <f t="shared" si="1"/>
        <v>201</v>
      </c>
    </row>
    <row r="40" spans="2:20" ht="23.1" customHeight="1" x14ac:dyDescent="0.25">
      <c r="B40" s="24" t="s">
        <v>67</v>
      </c>
      <c r="C40" s="50">
        <v>41</v>
      </c>
      <c r="D40" s="50">
        <v>8</v>
      </c>
      <c r="E40" s="50">
        <v>6</v>
      </c>
      <c r="F40" s="50">
        <v>14</v>
      </c>
      <c r="G40" s="50">
        <v>0</v>
      </c>
      <c r="H40" s="50">
        <v>0</v>
      </c>
      <c r="I40" s="50">
        <v>4</v>
      </c>
      <c r="J40" s="50">
        <v>0</v>
      </c>
      <c r="K40" s="50">
        <v>0</v>
      </c>
      <c r="L40" s="50">
        <v>0</v>
      </c>
      <c r="M40" s="50">
        <v>105</v>
      </c>
      <c r="N40" s="50">
        <v>0</v>
      </c>
      <c r="O40" s="15">
        <f t="shared" si="0"/>
        <v>73</v>
      </c>
      <c r="P40" s="15">
        <f t="shared" si="1"/>
        <v>178</v>
      </c>
    </row>
    <row r="41" spans="2:20" ht="23.1" customHeight="1" x14ac:dyDescent="0.25">
      <c r="B41" s="23" t="s">
        <v>68</v>
      </c>
      <c r="C41" s="50">
        <v>46</v>
      </c>
      <c r="D41" s="50">
        <v>2</v>
      </c>
      <c r="E41" s="50">
        <v>6</v>
      </c>
      <c r="F41" s="50">
        <v>14</v>
      </c>
      <c r="G41" s="50">
        <v>1</v>
      </c>
      <c r="H41" s="50">
        <v>0</v>
      </c>
      <c r="I41" s="50">
        <v>5</v>
      </c>
      <c r="J41" s="50">
        <v>2</v>
      </c>
      <c r="K41" s="50">
        <v>1</v>
      </c>
      <c r="L41" s="50">
        <v>0</v>
      </c>
      <c r="M41" s="50">
        <v>92</v>
      </c>
      <c r="N41" s="50">
        <v>0</v>
      </c>
      <c r="O41" s="15">
        <f t="shared" si="0"/>
        <v>77</v>
      </c>
      <c r="P41" s="15">
        <f t="shared" si="1"/>
        <v>169</v>
      </c>
    </row>
    <row r="42" spans="2:20" ht="23.1" customHeight="1" x14ac:dyDescent="0.25">
      <c r="B42" s="24" t="s">
        <v>69</v>
      </c>
      <c r="C42" s="50">
        <v>60</v>
      </c>
      <c r="D42" s="50">
        <v>10</v>
      </c>
      <c r="E42" s="50">
        <v>8</v>
      </c>
      <c r="F42" s="50">
        <v>13</v>
      </c>
      <c r="G42" s="50">
        <v>0</v>
      </c>
      <c r="H42" s="50">
        <v>4</v>
      </c>
      <c r="I42" s="50">
        <v>1</v>
      </c>
      <c r="J42" s="50">
        <v>0</v>
      </c>
      <c r="K42" s="50">
        <v>0</v>
      </c>
      <c r="L42" s="50">
        <v>0</v>
      </c>
      <c r="M42" s="50">
        <v>105</v>
      </c>
      <c r="N42" s="50">
        <v>0</v>
      </c>
      <c r="O42" s="15">
        <f t="shared" si="0"/>
        <v>96</v>
      </c>
      <c r="P42" s="15">
        <f t="shared" si="1"/>
        <v>201</v>
      </c>
    </row>
    <row r="43" spans="2:20" ht="23.1" customHeight="1" x14ac:dyDescent="0.25">
      <c r="B43" s="23" t="s">
        <v>70</v>
      </c>
      <c r="C43" s="50">
        <v>50</v>
      </c>
      <c r="D43" s="50">
        <v>19</v>
      </c>
      <c r="E43" s="50">
        <v>5</v>
      </c>
      <c r="F43" s="50">
        <v>21</v>
      </c>
      <c r="G43" s="50">
        <v>0</v>
      </c>
      <c r="H43" s="50">
        <v>0</v>
      </c>
      <c r="I43" s="50">
        <v>2</v>
      </c>
      <c r="J43" s="50">
        <v>1</v>
      </c>
      <c r="K43" s="50">
        <v>1</v>
      </c>
      <c r="L43" s="50">
        <v>0</v>
      </c>
      <c r="M43" s="50">
        <v>84</v>
      </c>
      <c r="N43" s="50">
        <v>0</v>
      </c>
      <c r="O43" s="15">
        <f t="shared" si="0"/>
        <v>99</v>
      </c>
      <c r="P43" s="15">
        <f t="shared" si="1"/>
        <v>183</v>
      </c>
    </row>
    <row r="44" spans="2:20" ht="23.1" customHeight="1" x14ac:dyDescent="0.25">
      <c r="B44" s="25" t="s">
        <v>71</v>
      </c>
      <c r="C44" s="50">
        <v>60</v>
      </c>
      <c r="D44" s="50">
        <v>22</v>
      </c>
      <c r="E44" s="50">
        <v>8</v>
      </c>
      <c r="F44" s="50">
        <v>18</v>
      </c>
      <c r="G44" s="50">
        <v>1</v>
      </c>
      <c r="H44" s="50">
        <v>0</v>
      </c>
      <c r="I44" s="50">
        <v>10</v>
      </c>
      <c r="J44" s="50">
        <v>1</v>
      </c>
      <c r="K44" s="50">
        <v>1</v>
      </c>
      <c r="L44" s="50">
        <v>0</v>
      </c>
      <c r="M44" s="50">
        <v>109</v>
      </c>
      <c r="N44" s="50">
        <v>0</v>
      </c>
      <c r="O44" s="15">
        <f t="shared" si="0"/>
        <v>121</v>
      </c>
      <c r="P44" s="15">
        <f t="shared" si="1"/>
        <v>230</v>
      </c>
    </row>
    <row r="45" spans="2:20" ht="23.1" customHeight="1" x14ac:dyDescent="0.25">
      <c r="B45" s="23" t="s">
        <v>72</v>
      </c>
      <c r="C45" s="50">
        <v>56</v>
      </c>
      <c r="D45" s="50">
        <v>17</v>
      </c>
      <c r="E45" s="50">
        <v>5</v>
      </c>
      <c r="F45" s="50">
        <v>16</v>
      </c>
      <c r="G45" s="50">
        <v>0</v>
      </c>
      <c r="H45" s="50">
        <v>7</v>
      </c>
      <c r="I45" s="50">
        <v>1</v>
      </c>
      <c r="J45" s="50">
        <v>0</v>
      </c>
      <c r="K45" s="50">
        <v>0</v>
      </c>
      <c r="L45" s="50">
        <v>0</v>
      </c>
      <c r="M45" s="50">
        <v>101</v>
      </c>
      <c r="N45" s="50">
        <v>0</v>
      </c>
      <c r="O45" s="15">
        <f t="shared" si="0"/>
        <v>102</v>
      </c>
      <c r="P45" s="15">
        <f t="shared" si="1"/>
        <v>203</v>
      </c>
    </row>
    <row r="46" spans="2:20" ht="23.1" customHeight="1" x14ac:dyDescent="0.25">
      <c r="B46" s="24" t="s">
        <v>73</v>
      </c>
      <c r="C46" s="50">
        <v>63</v>
      </c>
      <c r="D46" s="50">
        <v>23</v>
      </c>
      <c r="E46" s="50">
        <v>8</v>
      </c>
      <c r="F46" s="50">
        <v>16</v>
      </c>
      <c r="G46" s="50">
        <v>1</v>
      </c>
      <c r="H46" s="50">
        <v>0</v>
      </c>
      <c r="I46" s="50">
        <v>4</v>
      </c>
      <c r="J46" s="50">
        <v>0</v>
      </c>
      <c r="K46" s="50">
        <v>0</v>
      </c>
      <c r="L46" s="50">
        <v>1</v>
      </c>
      <c r="M46" s="50">
        <v>120</v>
      </c>
      <c r="N46" s="50">
        <v>0</v>
      </c>
      <c r="O46" s="15">
        <f t="shared" si="0"/>
        <v>116</v>
      </c>
      <c r="P46" s="15">
        <f t="shared" si="1"/>
        <v>236</v>
      </c>
      <c r="R46" s="8"/>
      <c r="T46"/>
    </row>
    <row r="47" spans="2:20" ht="23.1" customHeight="1" x14ac:dyDescent="0.25">
      <c r="B47" s="24" t="s">
        <v>74</v>
      </c>
      <c r="C47" s="50">
        <v>86</v>
      </c>
      <c r="D47" s="50">
        <v>18</v>
      </c>
      <c r="E47" s="50">
        <v>13</v>
      </c>
      <c r="F47" s="50">
        <v>22</v>
      </c>
      <c r="G47" s="50">
        <v>0</v>
      </c>
      <c r="H47" s="50">
        <v>0</v>
      </c>
      <c r="I47" s="50">
        <v>7</v>
      </c>
      <c r="J47" s="50">
        <v>1</v>
      </c>
      <c r="K47" s="50">
        <v>2</v>
      </c>
      <c r="L47" s="50">
        <v>0</v>
      </c>
      <c r="M47" s="50">
        <v>110</v>
      </c>
      <c r="N47" s="50">
        <v>0</v>
      </c>
      <c r="O47" s="15">
        <f t="shared" si="0"/>
        <v>149</v>
      </c>
      <c r="P47" s="15">
        <f t="shared" si="1"/>
        <v>259</v>
      </c>
      <c r="R47" s="8"/>
      <c r="T47"/>
    </row>
    <row r="48" spans="2:20" ht="23.1" customHeight="1" x14ac:dyDescent="0.25">
      <c r="B48" s="24" t="s">
        <v>75</v>
      </c>
      <c r="C48" s="50">
        <v>84</v>
      </c>
      <c r="D48" s="50">
        <v>20</v>
      </c>
      <c r="E48" s="50">
        <v>5</v>
      </c>
      <c r="F48" s="50">
        <v>13</v>
      </c>
      <c r="G48" s="50">
        <v>0</v>
      </c>
      <c r="H48" s="50">
        <v>0</v>
      </c>
      <c r="I48" s="50">
        <v>4</v>
      </c>
      <c r="J48" s="50">
        <v>2</v>
      </c>
      <c r="K48" s="50">
        <v>0</v>
      </c>
      <c r="L48" s="50">
        <v>0</v>
      </c>
      <c r="M48" s="50">
        <v>126</v>
      </c>
      <c r="N48" s="50">
        <v>0</v>
      </c>
      <c r="O48" s="15">
        <f t="shared" si="0"/>
        <v>128</v>
      </c>
      <c r="P48" s="15">
        <f t="shared" si="1"/>
        <v>254</v>
      </c>
      <c r="R48" s="8"/>
      <c r="T48"/>
    </row>
    <row r="49" spans="2:20" ht="23.1" customHeight="1" x14ac:dyDescent="0.25">
      <c r="B49" s="23" t="s">
        <v>76</v>
      </c>
      <c r="C49" s="50">
        <v>87</v>
      </c>
      <c r="D49" s="50">
        <v>24</v>
      </c>
      <c r="E49" s="50">
        <v>13</v>
      </c>
      <c r="F49" s="50">
        <v>22</v>
      </c>
      <c r="G49" s="50">
        <v>0</v>
      </c>
      <c r="H49" s="50">
        <v>0</v>
      </c>
      <c r="I49" s="50">
        <v>7</v>
      </c>
      <c r="J49" s="50">
        <v>1</v>
      </c>
      <c r="K49" s="50">
        <v>0</v>
      </c>
      <c r="L49" s="50">
        <v>0</v>
      </c>
      <c r="M49" s="50">
        <v>120</v>
      </c>
      <c r="N49" s="50">
        <v>0</v>
      </c>
      <c r="O49" s="15">
        <f t="shared" si="0"/>
        <v>154</v>
      </c>
      <c r="P49" s="15">
        <f t="shared" si="1"/>
        <v>274</v>
      </c>
      <c r="R49" s="8"/>
      <c r="T49"/>
    </row>
    <row r="50" spans="2:20" ht="23.1" customHeight="1" x14ac:dyDescent="0.25">
      <c r="B50" s="24" t="s">
        <v>77</v>
      </c>
      <c r="C50" s="50">
        <v>96</v>
      </c>
      <c r="D50" s="50">
        <v>16</v>
      </c>
      <c r="E50" s="50">
        <v>12</v>
      </c>
      <c r="F50" s="50">
        <v>23</v>
      </c>
      <c r="G50" s="50">
        <v>2</v>
      </c>
      <c r="H50" s="50">
        <v>0</v>
      </c>
      <c r="I50" s="50">
        <v>7</v>
      </c>
      <c r="J50" s="50">
        <v>0</v>
      </c>
      <c r="K50" s="50">
        <v>2</v>
      </c>
      <c r="L50" s="50">
        <v>2</v>
      </c>
      <c r="M50" s="50">
        <v>111</v>
      </c>
      <c r="N50" s="50">
        <v>0</v>
      </c>
      <c r="O50" s="15">
        <f t="shared" si="0"/>
        <v>160</v>
      </c>
      <c r="P50" s="15">
        <f t="shared" si="1"/>
        <v>271</v>
      </c>
      <c r="R50" s="8"/>
      <c r="T50"/>
    </row>
    <row r="51" spans="2:20" ht="23.1" customHeight="1" x14ac:dyDescent="0.25">
      <c r="B51" s="24" t="s">
        <v>78</v>
      </c>
      <c r="C51" s="50">
        <v>95</v>
      </c>
      <c r="D51" s="50">
        <v>17</v>
      </c>
      <c r="E51" s="50">
        <v>8</v>
      </c>
      <c r="F51" s="50">
        <v>26</v>
      </c>
      <c r="G51" s="50">
        <v>2</v>
      </c>
      <c r="H51" s="50">
        <v>0</v>
      </c>
      <c r="I51" s="50">
        <v>6</v>
      </c>
      <c r="J51" s="50">
        <v>2</v>
      </c>
      <c r="K51" s="50">
        <v>1</v>
      </c>
      <c r="L51" s="50">
        <v>3</v>
      </c>
      <c r="M51" s="50">
        <v>111</v>
      </c>
      <c r="N51" s="50">
        <v>0</v>
      </c>
      <c r="O51" s="15">
        <f t="shared" si="0"/>
        <v>160</v>
      </c>
      <c r="P51" s="15">
        <f t="shared" si="1"/>
        <v>271</v>
      </c>
      <c r="R51" s="8"/>
      <c r="T51"/>
    </row>
    <row r="52" spans="2:20" ht="23.1" customHeight="1" x14ac:dyDescent="0.25">
      <c r="B52" s="24" t="s">
        <v>79</v>
      </c>
      <c r="C52" s="50">
        <v>114</v>
      </c>
      <c r="D52" s="50">
        <v>21</v>
      </c>
      <c r="E52" s="50">
        <v>15</v>
      </c>
      <c r="F52" s="50">
        <v>17</v>
      </c>
      <c r="G52" s="50">
        <v>3</v>
      </c>
      <c r="H52" s="50">
        <v>0</v>
      </c>
      <c r="I52" s="50">
        <v>4</v>
      </c>
      <c r="J52" s="50">
        <v>1</v>
      </c>
      <c r="K52" s="50">
        <v>1</v>
      </c>
      <c r="L52" s="50">
        <v>0</v>
      </c>
      <c r="M52" s="50">
        <v>139</v>
      </c>
      <c r="N52" s="50">
        <v>0</v>
      </c>
      <c r="O52" s="15">
        <f t="shared" si="0"/>
        <v>176</v>
      </c>
      <c r="P52" s="15">
        <f t="shared" si="1"/>
        <v>315</v>
      </c>
      <c r="R52" s="8"/>
      <c r="T52"/>
    </row>
    <row r="53" spans="2:20" ht="23.1" customHeight="1" x14ac:dyDescent="0.25">
      <c r="B53" s="23" t="s">
        <v>80</v>
      </c>
      <c r="C53" s="50">
        <v>113</v>
      </c>
      <c r="D53" s="50">
        <v>65</v>
      </c>
      <c r="E53" s="50">
        <v>25</v>
      </c>
      <c r="F53" s="50">
        <v>14</v>
      </c>
      <c r="G53" s="50">
        <v>0</v>
      </c>
      <c r="H53" s="50">
        <v>0</v>
      </c>
      <c r="I53" s="50">
        <v>4</v>
      </c>
      <c r="J53" s="50">
        <v>1</v>
      </c>
      <c r="K53" s="50">
        <v>0</v>
      </c>
      <c r="L53" s="50">
        <v>0</v>
      </c>
      <c r="M53" s="50">
        <v>140</v>
      </c>
      <c r="N53" s="50">
        <v>0</v>
      </c>
      <c r="O53" s="15">
        <f t="shared" si="0"/>
        <v>222</v>
      </c>
      <c r="P53" s="15">
        <f t="shared" si="1"/>
        <v>362</v>
      </c>
      <c r="R53" s="8"/>
      <c r="T53"/>
    </row>
    <row r="54" spans="2:20" ht="23.1" customHeight="1" x14ac:dyDescent="0.25">
      <c r="B54" s="23" t="s">
        <v>81</v>
      </c>
      <c r="C54" s="50">
        <v>105</v>
      </c>
      <c r="D54" s="50">
        <v>24</v>
      </c>
      <c r="E54" s="50">
        <v>25</v>
      </c>
      <c r="F54" s="50">
        <v>32</v>
      </c>
      <c r="G54" s="50">
        <v>2</v>
      </c>
      <c r="H54" s="50">
        <v>0</v>
      </c>
      <c r="I54" s="50">
        <v>0</v>
      </c>
      <c r="J54" s="50">
        <v>4</v>
      </c>
      <c r="K54" s="50">
        <v>1</v>
      </c>
      <c r="L54" s="50">
        <v>0</v>
      </c>
      <c r="M54" s="50">
        <v>161</v>
      </c>
      <c r="N54" s="50">
        <v>0</v>
      </c>
      <c r="O54" s="15">
        <f t="shared" si="0"/>
        <v>193</v>
      </c>
      <c r="P54" s="15">
        <f t="shared" si="1"/>
        <v>354</v>
      </c>
      <c r="R54" s="8"/>
      <c r="T54"/>
    </row>
    <row r="55" spans="2:20" ht="23.1" customHeight="1" x14ac:dyDescent="0.25">
      <c r="B55" s="23" t="s">
        <v>82</v>
      </c>
      <c r="C55" s="50">
        <v>112</v>
      </c>
      <c r="D55" s="50">
        <v>32</v>
      </c>
      <c r="E55" s="50">
        <v>16</v>
      </c>
      <c r="F55" s="50">
        <v>25</v>
      </c>
      <c r="G55" s="50">
        <v>1</v>
      </c>
      <c r="H55" s="50">
        <v>1</v>
      </c>
      <c r="I55" s="50">
        <v>0</v>
      </c>
      <c r="J55" s="50">
        <v>3</v>
      </c>
      <c r="K55" s="50">
        <v>1</v>
      </c>
      <c r="L55" s="50">
        <v>0</v>
      </c>
      <c r="M55" s="50">
        <v>164</v>
      </c>
      <c r="N55" s="50">
        <v>0</v>
      </c>
      <c r="O55" s="15">
        <f t="shared" si="0"/>
        <v>191</v>
      </c>
      <c r="P55" s="15">
        <f t="shared" si="1"/>
        <v>355</v>
      </c>
      <c r="R55" s="8"/>
      <c r="T55"/>
    </row>
    <row r="56" spans="2:20" ht="23.1" customHeight="1" x14ac:dyDescent="0.25">
      <c r="B56" s="23" t="s">
        <v>83</v>
      </c>
      <c r="C56" s="50">
        <v>111</v>
      </c>
      <c r="D56" s="50">
        <v>40</v>
      </c>
      <c r="E56" s="50">
        <v>20</v>
      </c>
      <c r="F56" s="50">
        <v>40</v>
      </c>
      <c r="G56" s="50">
        <v>0</v>
      </c>
      <c r="H56" s="50">
        <v>4</v>
      </c>
      <c r="I56" s="50">
        <v>0</v>
      </c>
      <c r="J56" s="50">
        <v>1</v>
      </c>
      <c r="K56" s="50">
        <v>1</v>
      </c>
      <c r="L56" s="50">
        <v>147</v>
      </c>
      <c r="M56" s="50">
        <v>0</v>
      </c>
      <c r="N56" s="50">
        <v>0</v>
      </c>
      <c r="O56" s="15">
        <f t="shared" si="0"/>
        <v>364</v>
      </c>
      <c r="P56" s="15">
        <f t="shared" si="1"/>
        <v>364</v>
      </c>
      <c r="R56" s="8"/>
      <c r="T56"/>
    </row>
    <row r="57" spans="2:20" ht="23.1" customHeight="1" x14ac:dyDescent="0.25">
      <c r="B57" s="23" t="s">
        <v>84</v>
      </c>
      <c r="C57" s="50">
        <v>112</v>
      </c>
      <c r="D57" s="50">
        <v>45</v>
      </c>
      <c r="E57" s="50">
        <v>30</v>
      </c>
      <c r="F57" s="50">
        <v>42</v>
      </c>
      <c r="G57" s="50">
        <v>0</v>
      </c>
      <c r="H57" s="50">
        <v>0</v>
      </c>
      <c r="I57" s="50">
        <v>4</v>
      </c>
      <c r="J57" s="50">
        <v>0</v>
      </c>
      <c r="K57" s="50">
        <v>1</v>
      </c>
      <c r="L57" s="50">
        <v>180</v>
      </c>
      <c r="M57" s="50">
        <v>0</v>
      </c>
      <c r="N57" s="50">
        <v>0</v>
      </c>
      <c r="O57" s="15">
        <f t="shared" si="0"/>
        <v>414</v>
      </c>
      <c r="P57" s="15">
        <f t="shared" si="1"/>
        <v>414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2730</v>
      </c>
      <c r="D58" s="16">
        <f t="shared" si="21"/>
        <v>703</v>
      </c>
      <c r="E58" s="16">
        <f t="shared" si="21"/>
        <v>417</v>
      </c>
      <c r="F58" s="16">
        <f t="shared" si="21"/>
        <v>853</v>
      </c>
      <c r="G58" s="16">
        <f t="shared" si="21"/>
        <v>25</v>
      </c>
      <c r="H58" s="16">
        <f t="shared" si="21"/>
        <v>50</v>
      </c>
      <c r="I58" s="16">
        <f t="shared" si="21"/>
        <v>191</v>
      </c>
      <c r="J58" s="16">
        <f t="shared" si="21"/>
        <v>90</v>
      </c>
      <c r="K58" s="16">
        <f t="shared" si="21"/>
        <v>60</v>
      </c>
      <c r="L58" s="16">
        <f t="shared" si="21"/>
        <v>345</v>
      </c>
      <c r="M58" s="16">
        <f t="shared" si="21"/>
        <v>5420</v>
      </c>
      <c r="N58" s="16">
        <f t="shared" si="21"/>
        <v>0</v>
      </c>
      <c r="O58" s="16">
        <f t="shared" si="21"/>
        <v>5464</v>
      </c>
      <c r="P58" s="16">
        <f t="shared" si="21"/>
        <v>10884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0.25082690187431089</v>
      </c>
      <c r="D59" s="43">
        <f t="shared" si="22"/>
        <v>6.4590224182285924E-2</v>
      </c>
      <c r="E59" s="43">
        <f t="shared" si="22"/>
        <v>3.8313120176405736E-2</v>
      </c>
      <c r="F59" s="43">
        <f t="shared" si="22"/>
        <v>7.8371922087467849E-2</v>
      </c>
      <c r="G59" s="43">
        <f t="shared" si="22"/>
        <v>2.2969496508636529E-3</v>
      </c>
      <c r="H59" s="43">
        <f t="shared" si="22"/>
        <v>4.5938993017273057E-3</v>
      </c>
      <c r="I59" s="43">
        <f t="shared" si="22"/>
        <v>1.754869533259831E-2</v>
      </c>
      <c r="J59" s="43">
        <f t="shared" si="22"/>
        <v>8.2690187431091518E-3</v>
      </c>
      <c r="K59" s="43">
        <f t="shared" si="22"/>
        <v>5.512679162072767E-3</v>
      </c>
      <c r="L59" s="43">
        <f t="shared" si="22"/>
        <v>3.1697905181918409E-2</v>
      </c>
      <c r="M59" s="43">
        <f t="shared" si="22"/>
        <v>0.49797868430723996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0.49963396778916547</v>
      </c>
      <c r="D60" s="44">
        <f t="shared" ref="D60:N60" si="23">D58/$O$58</f>
        <v>0.12866032210834552</v>
      </c>
      <c r="E60" s="44">
        <f t="shared" si="23"/>
        <v>7.6317715959004398E-2</v>
      </c>
      <c r="F60" s="44">
        <f t="shared" si="23"/>
        <v>0.15611273792093705</v>
      </c>
      <c r="G60" s="44">
        <f t="shared" si="23"/>
        <v>4.5754026354319181E-3</v>
      </c>
      <c r="H60" s="44">
        <f t="shared" si="23"/>
        <v>9.1508052708638363E-3</v>
      </c>
      <c r="I60" s="44">
        <f t="shared" si="23"/>
        <v>3.4956076134699851E-2</v>
      </c>
      <c r="J60" s="44">
        <f t="shared" si="23"/>
        <v>1.6471449487554905E-2</v>
      </c>
      <c r="K60" s="44">
        <f t="shared" si="23"/>
        <v>1.0980966325036604E-2</v>
      </c>
      <c r="L60" s="44">
        <f t="shared" si="23"/>
        <v>6.3140556368960474E-2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G6" sqref="G6:H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0" t="str">
        <f>'01.08 NAMUGONGO-KIREKA'!C3:G3</f>
        <v>MCC - C1 - STN039 - NAMUGONGO ROAD</v>
      </c>
      <c r="D3" s="60"/>
      <c r="E3" s="60"/>
      <c r="F3" s="60"/>
      <c r="G3" s="6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171</v>
      </c>
      <c r="E5" s="3"/>
      <c r="F5" s="41" t="s">
        <v>1</v>
      </c>
      <c r="G5" s="56" t="str">
        <f>'01.08 NAMUGONGO-KIREKA'!G5:H5</f>
        <v>AGENDA</v>
      </c>
      <c r="H5" s="57"/>
      <c r="I5" s="14"/>
      <c r="J5" s="2" t="s">
        <v>5</v>
      </c>
      <c r="K5" s="56" t="str">
        <f>'01.08 NAMUGONGO-KIREKA'!K5:L5</f>
        <v>STEVEN</v>
      </c>
      <c r="L5" s="57"/>
      <c r="M5" s="10"/>
      <c r="N5" s="10"/>
      <c r="O5" s="3"/>
      <c r="P5" s="3"/>
    </row>
    <row r="6" spans="2:32" ht="23.25" customHeight="1" x14ac:dyDescent="0.25">
      <c r="C6" s="2" t="s">
        <v>4</v>
      </c>
      <c r="D6" s="56" t="str">
        <f>'01.08 NAMUGONGO-KIREKA'!D6:E6</f>
        <v>NAMUGONGO</v>
      </c>
      <c r="E6" s="57"/>
      <c r="F6" s="2" t="s">
        <v>2</v>
      </c>
      <c r="G6" s="56" t="s">
        <v>172</v>
      </c>
      <c r="H6" s="57"/>
      <c r="J6" s="2" t="s">
        <v>21</v>
      </c>
      <c r="K6" s="56" t="str">
        <f>'01.08 NAMUGONGO-KIREKA'!K6:L6</f>
        <v>NAIDO GRACE BRENDA</v>
      </c>
      <c r="L6" s="5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5" t="s">
        <v>88</v>
      </c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130</v>
      </c>
      <c r="D10" s="50">
        <v>8</v>
      </c>
      <c r="E10" s="50">
        <v>6</v>
      </c>
      <c r="F10" s="50">
        <v>15</v>
      </c>
      <c r="G10" s="50">
        <v>0</v>
      </c>
      <c r="H10" s="50">
        <v>0</v>
      </c>
      <c r="I10" s="50">
        <v>0</v>
      </c>
      <c r="J10" s="50">
        <v>0</v>
      </c>
      <c r="K10" s="50">
        <v>1</v>
      </c>
      <c r="L10" s="50">
        <v>0</v>
      </c>
      <c r="M10" s="50">
        <v>151</v>
      </c>
      <c r="N10" s="50">
        <v>0</v>
      </c>
      <c r="O10" s="15">
        <f t="shared" ref="O10:O57" si="0">SUM(C10:L10,N10)</f>
        <v>160</v>
      </c>
      <c r="P10" s="15">
        <f t="shared" ref="P10:P57" si="1">SUM(C10:N10)</f>
        <v>311</v>
      </c>
      <c r="R10" s="1" t="s">
        <v>6</v>
      </c>
      <c r="S10" s="17">
        <f t="shared" ref="S10:AF10" si="2">SUM(C10:C13)</f>
        <v>400</v>
      </c>
      <c r="T10" s="17">
        <f t="shared" si="2"/>
        <v>43</v>
      </c>
      <c r="U10" s="17">
        <f t="shared" si="2"/>
        <v>35</v>
      </c>
      <c r="V10" s="17">
        <f t="shared" si="2"/>
        <v>105</v>
      </c>
      <c r="W10" s="17">
        <f t="shared" si="2"/>
        <v>2</v>
      </c>
      <c r="X10" s="17">
        <f t="shared" si="2"/>
        <v>0</v>
      </c>
      <c r="Y10" s="17">
        <f t="shared" si="2"/>
        <v>18</v>
      </c>
      <c r="Z10" s="17">
        <f t="shared" si="2"/>
        <v>6</v>
      </c>
      <c r="AA10" s="17">
        <f t="shared" si="2"/>
        <v>5</v>
      </c>
      <c r="AB10" s="17">
        <f t="shared" si="2"/>
        <v>2</v>
      </c>
      <c r="AC10" s="17">
        <f t="shared" si="2"/>
        <v>649</v>
      </c>
      <c r="AD10" s="17">
        <f t="shared" si="2"/>
        <v>0</v>
      </c>
      <c r="AE10" s="31">
        <f t="shared" si="2"/>
        <v>616</v>
      </c>
      <c r="AF10" s="31">
        <f t="shared" si="2"/>
        <v>1265</v>
      </c>
    </row>
    <row r="11" spans="2:32" s="6" customFormat="1" ht="23.1" customHeight="1" x14ac:dyDescent="0.25">
      <c r="B11" s="23" t="s">
        <v>38</v>
      </c>
      <c r="C11" s="50">
        <v>100</v>
      </c>
      <c r="D11" s="50">
        <v>13</v>
      </c>
      <c r="E11" s="50">
        <v>1</v>
      </c>
      <c r="F11" s="50">
        <v>30</v>
      </c>
      <c r="G11" s="50">
        <v>2</v>
      </c>
      <c r="H11" s="50">
        <v>0</v>
      </c>
      <c r="I11" s="50">
        <v>2</v>
      </c>
      <c r="J11" s="50">
        <v>0</v>
      </c>
      <c r="K11" s="50">
        <v>0</v>
      </c>
      <c r="L11" s="50">
        <v>0</v>
      </c>
      <c r="M11" s="50">
        <v>138</v>
      </c>
      <c r="N11" s="50">
        <v>0</v>
      </c>
      <c r="O11" s="15">
        <f t="shared" si="0"/>
        <v>148</v>
      </c>
      <c r="P11" s="15">
        <f t="shared" si="1"/>
        <v>286</v>
      </c>
      <c r="R11" s="1" t="s">
        <v>7</v>
      </c>
      <c r="S11" s="17">
        <f t="shared" ref="S11:AF11" si="3">SUM(C14:C17)</f>
        <v>407</v>
      </c>
      <c r="T11" s="17">
        <f t="shared" si="3"/>
        <v>60</v>
      </c>
      <c r="U11" s="17">
        <f t="shared" si="3"/>
        <v>36</v>
      </c>
      <c r="V11" s="17">
        <f t="shared" si="3"/>
        <v>136</v>
      </c>
      <c r="W11" s="17">
        <f t="shared" si="3"/>
        <v>1</v>
      </c>
      <c r="X11" s="17">
        <f t="shared" si="3"/>
        <v>0</v>
      </c>
      <c r="Y11" s="17">
        <f t="shared" si="3"/>
        <v>9</v>
      </c>
      <c r="Z11" s="17">
        <f t="shared" si="3"/>
        <v>13</v>
      </c>
      <c r="AA11" s="17">
        <f t="shared" si="3"/>
        <v>9</v>
      </c>
      <c r="AB11" s="17">
        <f t="shared" si="3"/>
        <v>2</v>
      </c>
      <c r="AC11" s="17">
        <f t="shared" si="3"/>
        <v>676</v>
      </c>
      <c r="AD11" s="17">
        <f t="shared" si="3"/>
        <v>0</v>
      </c>
      <c r="AE11" s="31">
        <f t="shared" si="3"/>
        <v>673</v>
      </c>
      <c r="AF11" s="31">
        <f t="shared" si="3"/>
        <v>1349</v>
      </c>
    </row>
    <row r="12" spans="2:32" ht="23.1" customHeight="1" x14ac:dyDescent="0.25">
      <c r="B12" s="23" t="s">
        <v>39</v>
      </c>
      <c r="C12" s="50">
        <v>90</v>
      </c>
      <c r="D12" s="50">
        <v>11</v>
      </c>
      <c r="E12" s="50">
        <v>15</v>
      </c>
      <c r="F12" s="50">
        <v>30</v>
      </c>
      <c r="G12" s="50">
        <v>0</v>
      </c>
      <c r="H12" s="50">
        <v>0</v>
      </c>
      <c r="I12" s="50">
        <v>8</v>
      </c>
      <c r="J12" s="50">
        <v>3</v>
      </c>
      <c r="K12" s="50">
        <v>2</v>
      </c>
      <c r="L12" s="50">
        <v>1</v>
      </c>
      <c r="M12" s="50">
        <v>205</v>
      </c>
      <c r="N12" s="50">
        <v>0</v>
      </c>
      <c r="O12" s="15">
        <f t="shared" si="0"/>
        <v>160</v>
      </c>
      <c r="P12" s="15">
        <f t="shared" si="1"/>
        <v>365</v>
      </c>
      <c r="R12" s="1" t="s">
        <v>8</v>
      </c>
      <c r="S12" s="17">
        <f t="shared" ref="S12:AF12" si="4">SUM(C18:C21)</f>
        <v>237</v>
      </c>
      <c r="T12" s="17">
        <f t="shared" si="4"/>
        <v>55</v>
      </c>
      <c r="U12" s="17">
        <f t="shared" si="4"/>
        <v>50</v>
      </c>
      <c r="V12" s="17">
        <f t="shared" si="4"/>
        <v>105</v>
      </c>
      <c r="W12" s="17">
        <f t="shared" si="4"/>
        <v>4</v>
      </c>
      <c r="X12" s="17">
        <f t="shared" si="4"/>
        <v>0</v>
      </c>
      <c r="Y12" s="17">
        <f t="shared" si="4"/>
        <v>12</v>
      </c>
      <c r="Z12" s="17">
        <f t="shared" si="4"/>
        <v>15</v>
      </c>
      <c r="AA12" s="17">
        <f t="shared" si="4"/>
        <v>16</v>
      </c>
      <c r="AB12" s="17">
        <f t="shared" si="4"/>
        <v>5</v>
      </c>
      <c r="AC12" s="17">
        <f t="shared" si="4"/>
        <v>558</v>
      </c>
      <c r="AD12" s="17">
        <f t="shared" si="4"/>
        <v>0</v>
      </c>
      <c r="AE12" s="31">
        <f t="shared" si="4"/>
        <v>499</v>
      </c>
      <c r="AF12" s="31">
        <f t="shared" si="4"/>
        <v>1057</v>
      </c>
    </row>
    <row r="13" spans="2:32" ht="23.1" customHeight="1" x14ac:dyDescent="0.25">
      <c r="B13" s="23" t="s">
        <v>40</v>
      </c>
      <c r="C13" s="50">
        <v>80</v>
      </c>
      <c r="D13" s="50">
        <v>11</v>
      </c>
      <c r="E13" s="50">
        <v>13</v>
      </c>
      <c r="F13" s="50">
        <v>30</v>
      </c>
      <c r="G13" s="50">
        <v>0</v>
      </c>
      <c r="H13" s="50">
        <v>0</v>
      </c>
      <c r="I13" s="50">
        <v>8</v>
      </c>
      <c r="J13" s="50">
        <v>3</v>
      </c>
      <c r="K13" s="50">
        <v>2</v>
      </c>
      <c r="L13" s="50">
        <v>1</v>
      </c>
      <c r="M13" s="50">
        <v>155</v>
      </c>
      <c r="N13" s="50">
        <v>0</v>
      </c>
      <c r="O13" s="15">
        <f t="shared" si="0"/>
        <v>148</v>
      </c>
      <c r="P13" s="15">
        <f t="shared" si="1"/>
        <v>303</v>
      </c>
      <c r="R13" s="1" t="s">
        <v>9</v>
      </c>
      <c r="S13" s="17">
        <f t="shared" ref="S13:AF13" si="5">SUM(C22:C25)</f>
        <v>207</v>
      </c>
      <c r="T13" s="17">
        <f t="shared" si="5"/>
        <v>15</v>
      </c>
      <c r="U13" s="17">
        <f t="shared" si="5"/>
        <v>27</v>
      </c>
      <c r="V13" s="17">
        <f t="shared" si="5"/>
        <v>65</v>
      </c>
      <c r="W13" s="17">
        <f t="shared" si="5"/>
        <v>13</v>
      </c>
      <c r="X13" s="17">
        <f t="shared" si="5"/>
        <v>2</v>
      </c>
      <c r="Y13" s="17">
        <f t="shared" si="5"/>
        <v>20</v>
      </c>
      <c r="Z13" s="17">
        <f t="shared" si="5"/>
        <v>7</v>
      </c>
      <c r="AA13" s="17">
        <f t="shared" si="5"/>
        <v>14</v>
      </c>
      <c r="AB13" s="17">
        <f t="shared" si="5"/>
        <v>3</v>
      </c>
      <c r="AC13" s="17">
        <f t="shared" si="5"/>
        <v>527</v>
      </c>
      <c r="AD13" s="17">
        <f t="shared" si="5"/>
        <v>0</v>
      </c>
      <c r="AE13" s="31">
        <f t="shared" si="5"/>
        <v>373</v>
      </c>
      <c r="AF13" s="31">
        <f t="shared" si="5"/>
        <v>900</v>
      </c>
    </row>
    <row r="14" spans="2:32" ht="23.1" customHeight="1" x14ac:dyDescent="0.25">
      <c r="B14" s="23" t="s">
        <v>41</v>
      </c>
      <c r="C14" s="50">
        <v>95</v>
      </c>
      <c r="D14" s="50">
        <v>12</v>
      </c>
      <c r="E14" s="50">
        <v>12</v>
      </c>
      <c r="F14" s="50">
        <v>31</v>
      </c>
      <c r="G14" s="50">
        <v>0</v>
      </c>
      <c r="H14" s="50">
        <v>0</v>
      </c>
      <c r="I14" s="50">
        <v>0</v>
      </c>
      <c r="J14" s="50">
        <v>1</v>
      </c>
      <c r="K14" s="50">
        <v>6</v>
      </c>
      <c r="L14" s="50">
        <v>1</v>
      </c>
      <c r="M14" s="50">
        <v>189</v>
      </c>
      <c r="N14" s="50">
        <v>0</v>
      </c>
      <c r="O14" s="15">
        <f t="shared" si="0"/>
        <v>158</v>
      </c>
      <c r="P14" s="15">
        <f t="shared" si="1"/>
        <v>347</v>
      </c>
      <c r="R14" s="1" t="s">
        <v>10</v>
      </c>
      <c r="S14" s="17">
        <f t="shared" ref="S14:AF14" si="6">SUM(C26:C29)</f>
        <v>195</v>
      </c>
      <c r="T14" s="17">
        <f t="shared" si="6"/>
        <v>19</v>
      </c>
      <c r="U14" s="17">
        <f t="shared" si="6"/>
        <v>42</v>
      </c>
      <c r="V14" s="17">
        <f t="shared" si="6"/>
        <v>68</v>
      </c>
      <c r="W14" s="17">
        <f t="shared" si="6"/>
        <v>5</v>
      </c>
      <c r="X14" s="17">
        <f t="shared" si="6"/>
        <v>7</v>
      </c>
      <c r="Y14" s="17">
        <f t="shared" si="6"/>
        <v>17</v>
      </c>
      <c r="Z14" s="17">
        <f t="shared" si="6"/>
        <v>15</v>
      </c>
      <c r="AA14" s="17">
        <f t="shared" si="6"/>
        <v>4</v>
      </c>
      <c r="AB14" s="17">
        <f t="shared" si="6"/>
        <v>3</v>
      </c>
      <c r="AC14" s="17">
        <f t="shared" si="6"/>
        <v>533</v>
      </c>
      <c r="AD14" s="17">
        <f t="shared" si="6"/>
        <v>0</v>
      </c>
      <c r="AE14" s="31">
        <f t="shared" si="6"/>
        <v>375</v>
      </c>
      <c r="AF14" s="31">
        <f t="shared" si="6"/>
        <v>908</v>
      </c>
    </row>
    <row r="15" spans="2:32" ht="23.1" customHeight="1" x14ac:dyDescent="0.25">
      <c r="B15" s="23" t="s">
        <v>42</v>
      </c>
      <c r="C15" s="50">
        <v>99</v>
      </c>
      <c r="D15" s="50">
        <v>18</v>
      </c>
      <c r="E15" s="50">
        <v>4</v>
      </c>
      <c r="F15" s="50">
        <v>48</v>
      </c>
      <c r="G15" s="50">
        <v>0</v>
      </c>
      <c r="H15" s="50">
        <v>0</v>
      </c>
      <c r="I15" s="50">
        <v>7</v>
      </c>
      <c r="J15" s="50">
        <v>2</v>
      </c>
      <c r="K15" s="50">
        <v>1</v>
      </c>
      <c r="L15" s="50">
        <v>0</v>
      </c>
      <c r="M15" s="50">
        <v>185</v>
      </c>
      <c r="N15" s="50">
        <v>0</v>
      </c>
      <c r="O15" s="15">
        <f t="shared" si="0"/>
        <v>179</v>
      </c>
      <c r="P15" s="15">
        <f t="shared" si="1"/>
        <v>364</v>
      </c>
      <c r="R15" s="1" t="s">
        <v>11</v>
      </c>
      <c r="S15" s="17">
        <f t="shared" ref="S15:AF15" si="7">SUM(C30:C33)</f>
        <v>185</v>
      </c>
      <c r="T15" s="17">
        <f t="shared" si="7"/>
        <v>30</v>
      </c>
      <c r="U15" s="17">
        <f t="shared" si="7"/>
        <v>32</v>
      </c>
      <c r="V15" s="17">
        <f t="shared" si="7"/>
        <v>82</v>
      </c>
      <c r="W15" s="17">
        <f t="shared" si="7"/>
        <v>3</v>
      </c>
      <c r="X15" s="17">
        <f t="shared" si="7"/>
        <v>2</v>
      </c>
      <c r="Y15" s="17">
        <f t="shared" si="7"/>
        <v>27</v>
      </c>
      <c r="Z15" s="17">
        <f t="shared" si="7"/>
        <v>11</v>
      </c>
      <c r="AA15" s="17">
        <f t="shared" si="7"/>
        <v>2</v>
      </c>
      <c r="AB15" s="17">
        <f t="shared" si="7"/>
        <v>0</v>
      </c>
      <c r="AC15" s="17">
        <f t="shared" si="7"/>
        <v>458</v>
      </c>
      <c r="AD15" s="17">
        <f t="shared" si="7"/>
        <v>0</v>
      </c>
      <c r="AE15" s="31">
        <f t="shared" si="7"/>
        <v>374</v>
      </c>
      <c r="AF15" s="31">
        <f t="shared" si="7"/>
        <v>832</v>
      </c>
    </row>
    <row r="16" spans="2:32" ht="23.1" customHeight="1" x14ac:dyDescent="0.25">
      <c r="B16" s="23" t="s">
        <v>43</v>
      </c>
      <c r="C16" s="50">
        <v>102</v>
      </c>
      <c r="D16" s="50">
        <v>8</v>
      </c>
      <c r="E16" s="50">
        <v>11</v>
      </c>
      <c r="F16" s="50">
        <v>24</v>
      </c>
      <c r="G16" s="50">
        <v>0</v>
      </c>
      <c r="H16" s="50">
        <v>0</v>
      </c>
      <c r="I16" s="50">
        <v>0</v>
      </c>
      <c r="J16" s="50">
        <v>7</v>
      </c>
      <c r="K16" s="50">
        <v>2</v>
      </c>
      <c r="L16" s="50">
        <v>1</v>
      </c>
      <c r="M16" s="50">
        <v>143</v>
      </c>
      <c r="N16" s="50">
        <v>0</v>
      </c>
      <c r="O16" s="15">
        <f t="shared" si="0"/>
        <v>155</v>
      </c>
      <c r="P16" s="15">
        <f t="shared" si="1"/>
        <v>298</v>
      </c>
      <c r="R16" s="1" t="s">
        <v>12</v>
      </c>
      <c r="S16" s="17">
        <f t="shared" ref="S16:AF16" si="8">SUM(C34:C37)</f>
        <v>154</v>
      </c>
      <c r="T16" s="17">
        <f t="shared" si="8"/>
        <v>23</v>
      </c>
      <c r="U16" s="17">
        <f t="shared" si="8"/>
        <v>16</v>
      </c>
      <c r="V16" s="17">
        <f t="shared" si="8"/>
        <v>83</v>
      </c>
      <c r="W16" s="17">
        <f t="shared" si="8"/>
        <v>2</v>
      </c>
      <c r="X16" s="17">
        <f t="shared" si="8"/>
        <v>0</v>
      </c>
      <c r="Y16" s="17">
        <f t="shared" si="8"/>
        <v>32</v>
      </c>
      <c r="Z16" s="17">
        <f t="shared" si="8"/>
        <v>6</v>
      </c>
      <c r="AA16" s="17">
        <f t="shared" si="8"/>
        <v>3</v>
      </c>
      <c r="AB16" s="17">
        <f t="shared" si="8"/>
        <v>1</v>
      </c>
      <c r="AC16" s="17">
        <f t="shared" si="8"/>
        <v>394</v>
      </c>
      <c r="AD16" s="17">
        <f t="shared" si="8"/>
        <v>0</v>
      </c>
      <c r="AE16" s="31">
        <f t="shared" si="8"/>
        <v>320</v>
      </c>
      <c r="AF16" s="31">
        <f t="shared" si="8"/>
        <v>714</v>
      </c>
    </row>
    <row r="17" spans="2:32" ht="23.1" customHeight="1" x14ac:dyDescent="0.25">
      <c r="B17" s="23" t="s">
        <v>44</v>
      </c>
      <c r="C17" s="50">
        <v>111</v>
      </c>
      <c r="D17" s="50">
        <v>22</v>
      </c>
      <c r="E17" s="50">
        <v>9</v>
      </c>
      <c r="F17" s="50">
        <v>33</v>
      </c>
      <c r="G17" s="50">
        <v>1</v>
      </c>
      <c r="H17" s="50">
        <v>0</v>
      </c>
      <c r="I17" s="50">
        <v>2</v>
      </c>
      <c r="J17" s="50">
        <v>3</v>
      </c>
      <c r="K17" s="50">
        <v>0</v>
      </c>
      <c r="L17" s="50">
        <v>0</v>
      </c>
      <c r="M17" s="50">
        <v>159</v>
      </c>
      <c r="N17" s="50">
        <v>0</v>
      </c>
      <c r="O17" s="15">
        <f t="shared" si="0"/>
        <v>181</v>
      </c>
      <c r="P17" s="15">
        <f t="shared" si="1"/>
        <v>340</v>
      </c>
      <c r="R17" s="1" t="s">
        <v>13</v>
      </c>
      <c r="S17" s="17">
        <f t="shared" ref="S17:AF17" si="9">SUM(C38:C41)</f>
        <v>174</v>
      </c>
      <c r="T17" s="17">
        <f t="shared" si="9"/>
        <v>16</v>
      </c>
      <c r="U17" s="17">
        <f t="shared" si="9"/>
        <v>31</v>
      </c>
      <c r="V17" s="17">
        <f t="shared" si="9"/>
        <v>87</v>
      </c>
      <c r="W17" s="17">
        <f t="shared" si="9"/>
        <v>4</v>
      </c>
      <c r="X17" s="17">
        <f t="shared" si="9"/>
        <v>2</v>
      </c>
      <c r="Y17" s="17">
        <f t="shared" si="9"/>
        <v>13</v>
      </c>
      <c r="Z17" s="17">
        <f t="shared" si="9"/>
        <v>18</v>
      </c>
      <c r="AA17" s="17">
        <f t="shared" si="9"/>
        <v>6</v>
      </c>
      <c r="AB17" s="17">
        <f t="shared" si="9"/>
        <v>1</v>
      </c>
      <c r="AC17" s="17">
        <f t="shared" si="9"/>
        <v>473</v>
      </c>
      <c r="AD17" s="17">
        <f t="shared" si="9"/>
        <v>1</v>
      </c>
      <c r="AE17" s="31">
        <f t="shared" si="9"/>
        <v>353</v>
      </c>
      <c r="AF17" s="31">
        <f t="shared" si="9"/>
        <v>826</v>
      </c>
    </row>
    <row r="18" spans="2:32" ht="23.1" customHeight="1" x14ac:dyDescent="0.25">
      <c r="B18" s="23" t="s">
        <v>45</v>
      </c>
      <c r="C18" s="50">
        <v>83</v>
      </c>
      <c r="D18" s="50">
        <v>23</v>
      </c>
      <c r="E18" s="50">
        <v>24</v>
      </c>
      <c r="F18" s="50">
        <v>28</v>
      </c>
      <c r="G18" s="50">
        <v>0</v>
      </c>
      <c r="H18" s="50">
        <v>0</v>
      </c>
      <c r="I18" s="50">
        <v>11</v>
      </c>
      <c r="J18" s="50">
        <v>1</v>
      </c>
      <c r="K18" s="50">
        <v>0</v>
      </c>
      <c r="L18" s="50">
        <v>0</v>
      </c>
      <c r="M18" s="50">
        <v>144</v>
      </c>
      <c r="N18" s="50">
        <v>0</v>
      </c>
      <c r="O18" s="15">
        <f t="shared" si="0"/>
        <v>170</v>
      </c>
      <c r="P18" s="15">
        <f t="shared" si="1"/>
        <v>314</v>
      </c>
      <c r="R18" s="1" t="s">
        <v>14</v>
      </c>
      <c r="S18" s="17">
        <f t="shared" ref="S18:AF18" si="10">SUM(C42:C45)</f>
        <v>214</v>
      </c>
      <c r="T18" s="17">
        <f t="shared" si="10"/>
        <v>25</v>
      </c>
      <c r="U18" s="17">
        <f t="shared" si="10"/>
        <v>52</v>
      </c>
      <c r="V18" s="17">
        <f t="shared" si="10"/>
        <v>73</v>
      </c>
      <c r="W18" s="17">
        <f t="shared" si="10"/>
        <v>1</v>
      </c>
      <c r="X18" s="17">
        <f t="shared" si="10"/>
        <v>1</v>
      </c>
      <c r="Y18" s="17">
        <f t="shared" si="10"/>
        <v>20</v>
      </c>
      <c r="Z18" s="17">
        <f t="shared" si="10"/>
        <v>14</v>
      </c>
      <c r="AA18" s="17">
        <f t="shared" si="10"/>
        <v>9</v>
      </c>
      <c r="AB18" s="17">
        <f t="shared" si="10"/>
        <v>5</v>
      </c>
      <c r="AC18" s="17">
        <f t="shared" si="10"/>
        <v>459</v>
      </c>
      <c r="AD18" s="17">
        <f t="shared" si="10"/>
        <v>0</v>
      </c>
      <c r="AE18" s="31">
        <f t="shared" si="10"/>
        <v>414</v>
      </c>
      <c r="AF18" s="31">
        <f t="shared" si="10"/>
        <v>873</v>
      </c>
    </row>
    <row r="19" spans="2:32" ht="23.1" customHeight="1" x14ac:dyDescent="0.25">
      <c r="B19" s="23" t="s">
        <v>46</v>
      </c>
      <c r="C19" s="50">
        <v>52</v>
      </c>
      <c r="D19" s="50">
        <v>8</v>
      </c>
      <c r="E19" s="50">
        <v>12</v>
      </c>
      <c r="F19" s="50">
        <v>34</v>
      </c>
      <c r="G19" s="50">
        <v>0</v>
      </c>
      <c r="H19" s="50">
        <v>0</v>
      </c>
      <c r="I19" s="50">
        <v>0</v>
      </c>
      <c r="J19" s="50">
        <v>7</v>
      </c>
      <c r="K19" s="50">
        <v>4</v>
      </c>
      <c r="L19" s="50">
        <v>0</v>
      </c>
      <c r="M19" s="50">
        <v>134</v>
      </c>
      <c r="N19" s="50">
        <v>0</v>
      </c>
      <c r="O19" s="15">
        <f t="shared" si="0"/>
        <v>117</v>
      </c>
      <c r="P19" s="15">
        <f t="shared" si="1"/>
        <v>251</v>
      </c>
      <c r="R19" s="1" t="s">
        <v>15</v>
      </c>
      <c r="S19" s="17">
        <f t="shared" ref="S19:AF19" si="11">SUM(C46:C49)</f>
        <v>217</v>
      </c>
      <c r="T19" s="17">
        <f t="shared" si="11"/>
        <v>21</v>
      </c>
      <c r="U19" s="17">
        <f t="shared" si="11"/>
        <v>32</v>
      </c>
      <c r="V19" s="17">
        <f t="shared" si="11"/>
        <v>73</v>
      </c>
      <c r="W19" s="17">
        <f t="shared" si="11"/>
        <v>2</v>
      </c>
      <c r="X19" s="17">
        <f t="shared" si="11"/>
        <v>0</v>
      </c>
      <c r="Y19" s="17">
        <f t="shared" si="11"/>
        <v>31</v>
      </c>
      <c r="Z19" s="17">
        <f t="shared" si="11"/>
        <v>7</v>
      </c>
      <c r="AA19" s="17">
        <f t="shared" si="11"/>
        <v>4</v>
      </c>
      <c r="AB19" s="17">
        <f t="shared" si="11"/>
        <v>0</v>
      </c>
      <c r="AC19" s="17">
        <f t="shared" si="11"/>
        <v>478</v>
      </c>
      <c r="AD19" s="17">
        <f t="shared" si="11"/>
        <v>0</v>
      </c>
      <c r="AE19" s="31">
        <f t="shared" si="11"/>
        <v>387</v>
      </c>
      <c r="AF19" s="31">
        <f t="shared" si="11"/>
        <v>865</v>
      </c>
    </row>
    <row r="20" spans="2:32" ht="23.1" customHeight="1" x14ac:dyDescent="0.25">
      <c r="B20" s="23" t="s">
        <v>47</v>
      </c>
      <c r="C20" s="50">
        <v>50</v>
      </c>
      <c r="D20" s="50">
        <v>9</v>
      </c>
      <c r="E20" s="50">
        <v>6</v>
      </c>
      <c r="F20" s="50">
        <v>22</v>
      </c>
      <c r="G20" s="50">
        <v>2</v>
      </c>
      <c r="H20" s="50">
        <v>0</v>
      </c>
      <c r="I20" s="50">
        <v>0</v>
      </c>
      <c r="J20" s="50">
        <v>7</v>
      </c>
      <c r="K20" s="50">
        <v>4</v>
      </c>
      <c r="L20" s="50">
        <v>0</v>
      </c>
      <c r="M20" s="50">
        <v>148</v>
      </c>
      <c r="N20" s="50">
        <v>0</v>
      </c>
      <c r="O20" s="15">
        <f t="shared" si="0"/>
        <v>100</v>
      </c>
      <c r="P20" s="15">
        <f t="shared" si="1"/>
        <v>248</v>
      </c>
      <c r="R20" s="1" t="s">
        <v>16</v>
      </c>
      <c r="S20" s="17">
        <f t="shared" ref="S20:AF20" si="12">SUM(C50:C53)</f>
        <v>222</v>
      </c>
      <c r="T20" s="17">
        <f t="shared" si="12"/>
        <v>32</v>
      </c>
      <c r="U20" s="17">
        <f t="shared" si="12"/>
        <v>42</v>
      </c>
      <c r="V20" s="17">
        <f t="shared" si="12"/>
        <v>84</v>
      </c>
      <c r="W20" s="17">
        <f t="shared" si="12"/>
        <v>9</v>
      </c>
      <c r="X20" s="17">
        <f t="shared" si="12"/>
        <v>0</v>
      </c>
      <c r="Y20" s="17">
        <f t="shared" si="12"/>
        <v>11</v>
      </c>
      <c r="Z20" s="17">
        <f t="shared" si="12"/>
        <v>19</v>
      </c>
      <c r="AA20" s="17">
        <f t="shared" si="12"/>
        <v>2</v>
      </c>
      <c r="AB20" s="17">
        <f t="shared" si="12"/>
        <v>1</v>
      </c>
      <c r="AC20" s="17">
        <f t="shared" si="12"/>
        <v>508</v>
      </c>
      <c r="AD20" s="17">
        <f t="shared" si="12"/>
        <v>0</v>
      </c>
      <c r="AE20" s="31">
        <f t="shared" si="12"/>
        <v>422</v>
      </c>
      <c r="AF20" s="31">
        <f t="shared" si="12"/>
        <v>930</v>
      </c>
    </row>
    <row r="21" spans="2:32" ht="23.1" customHeight="1" x14ac:dyDescent="0.25">
      <c r="B21" s="23" t="s">
        <v>48</v>
      </c>
      <c r="C21" s="50">
        <v>52</v>
      </c>
      <c r="D21" s="50">
        <v>15</v>
      </c>
      <c r="E21" s="50">
        <v>8</v>
      </c>
      <c r="F21" s="50">
        <v>21</v>
      </c>
      <c r="G21" s="50">
        <v>2</v>
      </c>
      <c r="H21" s="50">
        <v>0</v>
      </c>
      <c r="I21" s="50">
        <v>1</v>
      </c>
      <c r="J21" s="50">
        <v>0</v>
      </c>
      <c r="K21" s="50">
        <v>8</v>
      </c>
      <c r="L21" s="50">
        <v>5</v>
      </c>
      <c r="M21" s="50">
        <v>132</v>
      </c>
      <c r="N21" s="50">
        <v>0</v>
      </c>
      <c r="O21" s="15">
        <f t="shared" si="0"/>
        <v>112</v>
      </c>
      <c r="P21" s="15">
        <f t="shared" si="1"/>
        <v>244</v>
      </c>
      <c r="R21" s="36" t="s">
        <v>20</v>
      </c>
      <c r="S21" s="34">
        <f t="shared" ref="S21:AF21" si="13">SUM(C54:C57)</f>
        <v>197</v>
      </c>
      <c r="T21" s="17">
        <f t="shared" si="13"/>
        <v>31</v>
      </c>
      <c r="U21" s="17">
        <f t="shared" si="13"/>
        <v>39</v>
      </c>
      <c r="V21" s="17">
        <f t="shared" si="13"/>
        <v>113</v>
      </c>
      <c r="W21" s="17">
        <f t="shared" si="13"/>
        <v>4</v>
      </c>
      <c r="X21" s="17">
        <f t="shared" si="13"/>
        <v>5</v>
      </c>
      <c r="Y21" s="17">
        <f t="shared" si="13"/>
        <v>6</v>
      </c>
      <c r="Z21" s="17">
        <f t="shared" si="13"/>
        <v>12</v>
      </c>
      <c r="AA21" s="17">
        <f t="shared" si="13"/>
        <v>3</v>
      </c>
      <c r="AB21" s="17">
        <f t="shared" si="13"/>
        <v>0</v>
      </c>
      <c r="AC21" s="17">
        <f t="shared" si="13"/>
        <v>601</v>
      </c>
      <c r="AD21" s="17">
        <f t="shared" si="13"/>
        <v>0</v>
      </c>
      <c r="AE21" s="31">
        <f t="shared" si="13"/>
        <v>410</v>
      </c>
      <c r="AF21" s="31">
        <f t="shared" si="13"/>
        <v>1011</v>
      </c>
    </row>
    <row r="22" spans="2:32" ht="23.1" customHeight="1" x14ac:dyDescent="0.25">
      <c r="B22" s="23" t="s">
        <v>49</v>
      </c>
      <c r="C22" s="50">
        <v>45</v>
      </c>
      <c r="D22" s="50">
        <v>0</v>
      </c>
      <c r="E22" s="50">
        <v>4</v>
      </c>
      <c r="F22" s="50">
        <v>19</v>
      </c>
      <c r="G22" s="50">
        <v>3</v>
      </c>
      <c r="H22" s="50">
        <v>2</v>
      </c>
      <c r="I22" s="50">
        <v>0</v>
      </c>
      <c r="J22" s="50">
        <v>2</v>
      </c>
      <c r="K22" s="50">
        <v>10</v>
      </c>
      <c r="L22" s="50">
        <v>2</v>
      </c>
      <c r="M22" s="50">
        <v>146</v>
      </c>
      <c r="N22" s="50">
        <v>0</v>
      </c>
      <c r="O22" s="15">
        <f t="shared" si="0"/>
        <v>87</v>
      </c>
      <c r="P22" s="15">
        <f t="shared" si="1"/>
        <v>233</v>
      </c>
      <c r="R22" s="38" t="s">
        <v>90</v>
      </c>
      <c r="S22" s="39">
        <f>MAX(S10:S12)</f>
        <v>407</v>
      </c>
      <c r="T22" s="39">
        <f t="shared" ref="T22:AF22" si="14">MAX(T10:T12)</f>
        <v>60</v>
      </c>
      <c r="U22" s="39">
        <f t="shared" si="14"/>
        <v>50</v>
      </c>
      <c r="V22" s="39">
        <f t="shared" si="14"/>
        <v>136</v>
      </c>
      <c r="W22" s="39">
        <f t="shared" si="14"/>
        <v>4</v>
      </c>
      <c r="X22" s="39">
        <f t="shared" si="14"/>
        <v>0</v>
      </c>
      <c r="Y22" s="39">
        <f t="shared" si="14"/>
        <v>18</v>
      </c>
      <c r="Z22" s="39">
        <f t="shared" si="14"/>
        <v>15</v>
      </c>
      <c r="AA22" s="39">
        <f t="shared" si="14"/>
        <v>16</v>
      </c>
      <c r="AB22" s="39">
        <f t="shared" si="14"/>
        <v>5</v>
      </c>
      <c r="AC22" s="39">
        <f t="shared" si="14"/>
        <v>676</v>
      </c>
      <c r="AD22" s="39">
        <f t="shared" si="14"/>
        <v>0</v>
      </c>
      <c r="AE22" s="40">
        <f t="shared" si="14"/>
        <v>673</v>
      </c>
      <c r="AF22" s="40">
        <f t="shared" si="14"/>
        <v>1349</v>
      </c>
    </row>
    <row r="23" spans="2:32" ht="23.1" customHeight="1" x14ac:dyDescent="0.25">
      <c r="B23" s="23" t="s">
        <v>50</v>
      </c>
      <c r="C23" s="50">
        <v>65</v>
      </c>
      <c r="D23" s="50">
        <v>4</v>
      </c>
      <c r="E23" s="50">
        <v>10</v>
      </c>
      <c r="F23" s="50">
        <v>17</v>
      </c>
      <c r="G23" s="50">
        <v>0</v>
      </c>
      <c r="H23" s="50">
        <v>0</v>
      </c>
      <c r="I23" s="50">
        <v>10</v>
      </c>
      <c r="J23" s="50">
        <v>1</v>
      </c>
      <c r="K23" s="50">
        <v>2</v>
      </c>
      <c r="L23" s="50">
        <v>0</v>
      </c>
      <c r="M23" s="50">
        <v>130</v>
      </c>
      <c r="N23" s="50">
        <v>0</v>
      </c>
      <c r="O23" s="15">
        <f t="shared" si="0"/>
        <v>109</v>
      </c>
      <c r="P23" s="15">
        <f t="shared" si="1"/>
        <v>239</v>
      </c>
      <c r="R23" s="38" t="s">
        <v>91</v>
      </c>
      <c r="S23" s="39">
        <f>MAX(S13:S18)</f>
        <v>214</v>
      </c>
      <c r="T23" s="39">
        <f t="shared" ref="T23:AF23" si="15">MAX(T13:T18)</f>
        <v>30</v>
      </c>
      <c r="U23" s="39">
        <f t="shared" si="15"/>
        <v>52</v>
      </c>
      <c r="V23" s="39">
        <f t="shared" si="15"/>
        <v>87</v>
      </c>
      <c r="W23" s="39">
        <f t="shared" si="15"/>
        <v>13</v>
      </c>
      <c r="X23" s="39">
        <f t="shared" si="15"/>
        <v>7</v>
      </c>
      <c r="Y23" s="39">
        <f t="shared" si="15"/>
        <v>32</v>
      </c>
      <c r="Z23" s="39">
        <f t="shared" si="15"/>
        <v>18</v>
      </c>
      <c r="AA23" s="39">
        <f t="shared" si="15"/>
        <v>14</v>
      </c>
      <c r="AB23" s="39">
        <f t="shared" si="15"/>
        <v>5</v>
      </c>
      <c r="AC23" s="39">
        <f t="shared" si="15"/>
        <v>533</v>
      </c>
      <c r="AD23" s="39">
        <f t="shared" si="15"/>
        <v>1</v>
      </c>
      <c r="AE23" s="40">
        <f t="shared" si="15"/>
        <v>414</v>
      </c>
      <c r="AF23" s="40">
        <f t="shared" si="15"/>
        <v>908</v>
      </c>
    </row>
    <row r="24" spans="2:32" ht="23.1" customHeight="1" x14ac:dyDescent="0.25">
      <c r="B24" s="23" t="s">
        <v>51</v>
      </c>
      <c r="C24" s="50">
        <v>49</v>
      </c>
      <c r="D24" s="50">
        <v>1</v>
      </c>
      <c r="E24" s="50">
        <v>6</v>
      </c>
      <c r="F24" s="50">
        <v>5</v>
      </c>
      <c r="G24" s="50">
        <v>1</v>
      </c>
      <c r="H24" s="50">
        <v>0</v>
      </c>
      <c r="I24" s="50">
        <v>7</v>
      </c>
      <c r="J24" s="50">
        <v>2</v>
      </c>
      <c r="K24" s="50">
        <v>0</v>
      </c>
      <c r="L24" s="50">
        <v>1</v>
      </c>
      <c r="M24" s="50">
        <v>126</v>
      </c>
      <c r="N24" s="50">
        <v>0</v>
      </c>
      <c r="O24" s="15">
        <f t="shared" si="0"/>
        <v>72</v>
      </c>
      <c r="P24" s="15">
        <f t="shared" si="1"/>
        <v>198</v>
      </c>
      <c r="R24" s="38" t="s">
        <v>92</v>
      </c>
      <c r="S24" s="39">
        <f>MAX(S19:S21)</f>
        <v>222</v>
      </c>
      <c r="T24" s="39">
        <f t="shared" ref="T24:AF24" si="16">MAX(T19:T21)</f>
        <v>32</v>
      </c>
      <c r="U24" s="39">
        <f t="shared" si="16"/>
        <v>42</v>
      </c>
      <c r="V24" s="39">
        <f t="shared" si="16"/>
        <v>113</v>
      </c>
      <c r="W24" s="39">
        <f t="shared" si="16"/>
        <v>9</v>
      </c>
      <c r="X24" s="39">
        <f t="shared" si="16"/>
        <v>5</v>
      </c>
      <c r="Y24" s="39">
        <f t="shared" si="16"/>
        <v>31</v>
      </c>
      <c r="Z24" s="39">
        <f t="shared" si="16"/>
        <v>19</v>
      </c>
      <c r="AA24" s="39">
        <f t="shared" si="16"/>
        <v>4</v>
      </c>
      <c r="AB24" s="39">
        <f t="shared" si="16"/>
        <v>1</v>
      </c>
      <c r="AC24" s="39">
        <f t="shared" si="16"/>
        <v>601</v>
      </c>
      <c r="AD24" s="39">
        <f t="shared" si="16"/>
        <v>0</v>
      </c>
      <c r="AE24" s="40">
        <f t="shared" si="16"/>
        <v>422</v>
      </c>
      <c r="AF24" s="40">
        <f t="shared" si="16"/>
        <v>1011</v>
      </c>
    </row>
    <row r="25" spans="2:32" ht="23.1" customHeight="1" x14ac:dyDescent="0.25">
      <c r="B25" s="23" t="s">
        <v>52</v>
      </c>
      <c r="C25" s="50">
        <v>48</v>
      </c>
      <c r="D25" s="50">
        <v>10</v>
      </c>
      <c r="E25" s="50">
        <v>7</v>
      </c>
      <c r="F25" s="50">
        <v>24</v>
      </c>
      <c r="G25" s="50">
        <v>9</v>
      </c>
      <c r="H25" s="50">
        <v>0</v>
      </c>
      <c r="I25" s="50">
        <v>3</v>
      </c>
      <c r="J25" s="50">
        <v>2</v>
      </c>
      <c r="K25" s="50">
        <v>2</v>
      </c>
      <c r="L25" s="50">
        <v>0</v>
      </c>
      <c r="M25" s="50">
        <v>125</v>
      </c>
      <c r="N25" s="50">
        <v>0</v>
      </c>
      <c r="O25" s="15">
        <f t="shared" si="0"/>
        <v>105</v>
      </c>
      <c r="P25" s="15">
        <f t="shared" si="1"/>
        <v>230</v>
      </c>
      <c r="R25" s="37" t="s">
        <v>85</v>
      </c>
      <c r="S25" s="35">
        <f t="shared" ref="S25:AF25" si="17">SUM(S10:S12)</f>
        <v>1044</v>
      </c>
      <c r="T25" s="16">
        <f t="shared" si="17"/>
        <v>158</v>
      </c>
      <c r="U25" s="16">
        <f t="shared" si="17"/>
        <v>121</v>
      </c>
      <c r="V25" s="16">
        <f t="shared" si="17"/>
        <v>346</v>
      </c>
      <c r="W25" s="16">
        <f t="shared" si="17"/>
        <v>7</v>
      </c>
      <c r="X25" s="16">
        <f t="shared" si="17"/>
        <v>0</v>
      </c>
      <c r="Y25" s="16">
        <f t="shared" si="17"/>
        <v>39</v>
      </c>
      <c r="Z25" s="16">
        <f t="shared" si="17"/>
        <v>34</v>
      </c>
      <c r="AA25" s="16">
        <f t="shared" si="17"/>
        <v>30</v>
      </c>
      <c r="AB25" s="16">
        <f t="shared" si="17"/>
        <v>9</v>
      </c>
      <c r="AC25" s="16">
        <f t="shared" si="17"/>
        <v>1883</v>
      </c>
      <c r="AD25" s="16">
        <f t="shared" si="17"/>
        <v>0</v>
      </c>
      <c r="AE25" s="32">
        <f t="shared" si="17"/>
        <v>1788</v>
      </c>
      <c r="AF25" s="32">
        <f t="shared" si="17"/>
        <v>3671</v>
      </c>
    </row>
    <row r="26" spans="2:32" ht="23.1" customHeight="1" x14ac:dyDescent="0.25">
      <c r="B26" s="23" t="s">
        <v>53</v>
      </c>
      <c r="C26" s="50">
        <v>45</v>
      </c>
      <c r="D26" s="50">
        <v>6</v>
      </c>
      <c r="E26" s="50">
        <v>20</v>
      </c>
      <c r="F26" s="50">
        <v>0</v>
      </c>
      <c r="G26" s="50">
        <v>0</v>
      </c>
      <c r="H26" s="50">
        <v>7</v>
      </c>
      <c r="I26" s="50">
        <v>1</v>
      </c>
      <c r="J26" s="50">
        <v>2</v>
      </c>
      <c r="K26" s="50">
        <v>0</v>
      </c>
      <c r="L26" s="50">
        <v>0</v>
      </c>
      <c r="M26" s="50">
        <v>145</v>
      </c>
      <c r="N26" s="50">
        <v>0</v>
      </c>
      <c r="O26" s="15">
        <f t="shared" si="0"/>
        <v>81</v>
      </c>
      <c r="P26" s="15">
        <f t="shared" si="1"/>
        <v>226</v>
      </c>
      <c r="R26" s="28" t="s">
        <v>86</v>
      </c>
      <c r="S26" s="16">
        <f t="shared" ref="S26:AF26" si="18">SUM(S13:S18)</f>
        <v>1129</v>
      </c>
      <c r="T26" s="16">
        <f t="shared" si="18"/>
        <v>128</v>
      </c>
      <c r="U26" s="16">
        <f t="shared" si="18"/>
        <v>200</v>
      </c>
      <c r="V26" s="16">
        <f t="shared" si="18"/>
        <v>458</v>
      </c>
      <c r="W26" s="16">
        <f t="shared" si="18"/>
        <v>28</v>
      </c>
      <c r="X26" s="16">
        <f t="shared" si="18"/>
        <v>14</v>
      </c>
      <c r="Y26" s="16">
        <f t="shared" si="18"/>
        <v>129</v>
      </c>
      <c r="Z26" s="16">
        <f t="shared" si="18"/>
        <v>71</v>
      </c>
      <c r="AA26" s="16">
        <f t="shared" si="18"/>
        <v>38</v>
      </c>
      <c r="AB26" s="16">
        <f t="shared" si="18"/>
        <v>13</v>
      </c>
      <c r="AC26" s="16">
        <f t="shared" si="18"/>
        <v>2844</v>
      </c>
      <c r="AD26" s="16">
        <f t="shared" si="18"/>
        <v>1</v>
      </c>
      <c r="AE26" s="32">
        <f t="shared" si="18"/>
        <v>2209</v>
      </c>
      <c r="AF26" s="32">
        <f t="shared" si="18"/>
        <v>5053</v>
      </c>
    </row>
    <row r="27" spans="2:32" ht="23.1" customHeight="1" x14ac:dyDescent="0.25">
      <c r="B27" s="23" t="s">
        <v>54</v>
      </c>
      <c r="C27" s="50">
        <v>60</v>
      </c>
      <c r="D27" s="50">
        <v>8</v>
      </c>
      <c r="E27" s="50">
        <v>8</v>
      </c>
      <c r="F27" s="50">
        <v>26</v>
      </c>
      <c r="G27" s="50">
        <v>1</v>
      </c>
      <c r="H27" s="50">
        <v>0</v>
      </c>
      <c r="I27" s="50">
        <v>0</v>
      </c>
      <c r="J27" s="50">
        <v>8</v>
      </c>
      <c r="K27" s="50"/>
      <c r="L27" s="50">
        <v>3</v>
      </c>
      <c r="M27" s="50">
        <v>135</v>
      </c>
      <c r="N27" s="50">
        <v>0</v>
      </c>
      <c r="O27" s="15">
        <f t="shared" si="0"/>
        <v>114</v>
      </c>
      <c r="P27" s="15">
        <f t="shared" si="1"/>
        <v>249</v>
      </c>
      <c r="R27" s="29" t="s">
        <v>87</v>
      </c>
      <c r="S27" s="16">
        <f t="shared" ref="S27:AF27" si="19">SUM(S19:S21)</f>
        <v>636</v>
      </c>
      <c r="T27" s="16">
        <f t="shared" si="19"/>
        <v>84</v>
      </c>
      <c r="U27" s="16">
        <f t="shared" si="19"/>
        <v>113</v>
      </c>
      <c r="V27" s="16">
        <f t="shared" si="19"/>
        <v>270</v>
      </c>
      <c r="W27" s="16">
        <f t="shared" si="19"/>
        <v>15</v>
      </c>
      <c r="X27" s="16">
        <f t="shared" si="19"/>
        <v>5</v>
      </c>
      <c r="Y27" s="16">
        <f t="shared" si="19"/>
        <v>48</v>
      </c>
      <c r="Z27" s="16">
        <f t="shared" si="19"/>
        <v>38</v>
      </c>
      <c r="AA27" s="16">
        <f t="shared" si="19"/>
        <v>9</v>
      </c>
      <c r="AB27" s="16">
        <f t="shared" si="19"/>
        <v>1</v>
      </c>
      <c r="AC27" s="16">
        <f t="shared" si="19"/>
        <v>1587</v>
      </c>
      <c r="AD27" s="16">
        <f t="shared" si="19"/>
        <v>0</v>
      </c>
      <c r="AE27" s="32">
        <f t="shared" si="19"/>
        <v>1219</v>
      </c>
      <c r="AF27" s="32">
        <f t="shared" si="19"/>
        <v>2806</v>
      </c>
    </row>
    <row r="28" spans="2:32" ht="23.1" customHeight="1" x14ac:dyDescent="0.25">
      <c r="B28" s="23" t="s">
        <v>55</v>
      </c>
      <c r="C28" s="50">
        <v>40</v>
      </c>
      <c r="D28" s="50">
        <v>2</v>
      </c>
      <c r="E28" s="50">
        <v>11</v>
      </c>
      <c r="F28" s="50">
        <v>18</v>
      </c>
      <c r="G28" s="50">
        <v>2</v>
      </c>
      <c r="H28" s="50">
        <v>0</v>
      </c>
      <c r="I28" s="50">
        <v>6</v>
      </c>
      <c r="J28" s="50">
        <v>4</v>
      </c>
      <c r="K28" s="50">
        <v>2</v>
      </c>
      <c r="L28" s="50">
        <v>0</v>
      </c>
      <c r="M28" s="50">
        <v>126</v>
      </c>
      <c r="N28" s="50">
        <v>0</v>
      </c>
      <c r="O28" s="15">
        <f t="shared" si="0"/>
        <v>85</v>
      </c>
      <c r="P28" s="15">
        <f t="shared" si="1"/>
        <v>211</v>
      </c>
      <c r="R28" s="5" t="s">
        <v>17</v>
      </c>
      <c r="S28" s="16">
        <f t="shared" ref="S28:AF28" si="20">SUM(S10:S21)</f>
        <v>2809</v>
      </c>
      <c r="T28" s="16">
        <f t="shared" si="20"/>
        <v>370</v>
      </c>
      <c r="U28" s="16">
        <f t="shared" si="20"/>
        <v>434</v>
      </c>
      <c r="V28" s="16">
        <f t="shared" si="20"/>
        <v>1074</v>
      </c>
      <c r="W28" s="16">
        <f t="shared" si="20"/>
        <v>50</v>
      </c>
      <c r="X28" s="16">
        <f t="shared" si="20"/>
        <v>19</v>
      </c>
      <c r="Y28" s="16">
        <f t="shared" si="20"/>
        <v>216</v>
      </c>
      <c r="Z28" s="16">
        <f t="shared" si="20"/>
        <v>143</v>
      </c>
      <c r="AA28" s="16">
        <f t="shared" si="20"/>
        <v>77</v>
      </c>
      <c r="AB28" s="16">
        <f t="shared" si="20"/>
        <v>23</v>
      </c>
      <c r="AC28" s="16">
        <f t="shared" si="20"/>
        <v>6314</v>
      </c>
      <c r="AD28" s="16">
        <f t="shared" si="20"/>
        <v>1</v>
      </c>
      <c r="AE28" s="32">
        <f t="shared" si="20"/>
        <v>5216</v>
      </c>
      <c r="AF28" s="32">
        <f t="shared" si="20"/>
        <v>11530</v>
      </c>
    </row>
    <row r="29" spans="2:32" ht="23.1" customHeight="1" x14ac:dyDescent="0.25">
      <c r="B29" s="23" t="s">
        <v>56</v>
      </c>
      <c r="C29" s="50">
        <v>50</v>
      </c>
      <c r="D29" s="50">
        <v>3</v>
      </c>
      <c r="E29" s="50">
        <v>3</v>
      </c>
      <c r="F29" s="50">
        <v>24</v>
      </c>
      <c r="G29" s="50">
        <v>2</v>
      </c>
      <c r="H29" s="50">
        <v>0</v>
      </c>
      <c r="I29" s="50">
        <v>10</v>
      </c>
      <c r="J29" s="50">
        <v>1</v>
      </c>
      <c r="K29" s="50">
        <v>2</v>
      </c>
      <c r="L29" s="50">
        <v>0</v>
      </c>
      <c r="M29" s="50">
        <v>127</v>
      </c>
      <c r="N29" s="50">
        <v>0</v>
      </c>
      <c r="O29" s="15">
        <f t="shared" si="0"/>
        <v>95</v>
      </c>
      <c r="P29" s="15">
        <f t="shared" si="1"/>
        <v>222</v>
      </c>
      <c r="R29"/>
      <c r="S29" s="20"/>
      <c r="T29" s="19"/>
    </row>
    <row r="30" spans="2:32" ht="23.1" customHeight="1" x14ac:dyDescent="0.25">
      <c r="B30" s="23" t="s">
        <v>57</v>
      </c>
      <c r="C30" s="50">
        <v>57</v>
      </c>
      <c r="D30" s="50">
        <v>14</v>
      </c>
      <c r="E30" s="50">
        <v>11</v>
      </c>
      <c r="F30" s="50">
        <v>24</v>
      </c>
      <c r="G30" s="50">
        <v>0</v>
      </c>
      <c r="H30" s="50">
        <v>2</v>
      </c>
      <c r="I30" s="50">
        <v>2</v>
      </c>
      <c r="J30" s="50">
        <v>4</v>
      </c>
      <c r="K30" s="50">
        <v>0</v>
      </c>
      <c r="L30" s="50">
        <v>0</v>
      </c>
      <c r="M30" s="50">
        <v>114</v>
      </c>
      <c r="N30" s="50">
        <v>0</v>
      </c>
      <c r="O30" s="15">
        <f t="shared" si="0"/>
        <v>114</v>
      </c>
      <c r="P30" s="15">
        <f t="shared" si="1"/>
        <v>228</v>
      </c>
    </row>
    <row r="31" spans="2:32" ht="23.1" customHeight="1" x14ac:dyDescent="0.25">
      <c r="B31" s="24" t="s">
        <v>58</v>
      </c>
      <c r="C31" s="50">
        <v>39</v>
      </c>
      <c r="D31" s="50">
        <v>6</v>
      </c>
      <c r="E31" s="50">
        <v>12</v>
      </c>
      <c r="F31" s="50">
        <v>21</v>
      </c>
      <c r="G31" s="50">
        <v>0</v>
      </c>
      <c r="H31" s="50">
        <v>0</v>
      </c>
      <c r="I31" s="50">
        <v>9</v>
      </c>
      <c r="J31" s="50">
        <v>1</v>
      </c>
      <c r="K31" s="50">
        <v>1</v>
      </c>
      <c r="L31" s="50">
        <v>0</v>
      </c>
      <c r="M31" s="50">
        <v>128</v>
      </c>
      <c r="N31" s="50">
        <v>0</v>
      </c>
      <c r="O31" s="15">
        <f t="shared" si="0"/>
        <v>89</v>
      </c>
      <c r="P31" s="15">
        <f t="shared" si="1"/>
        <v>217</v>
      </c>
    </row>
    <row r="32" spans="2:32" ht="23.1" customHeight="1" x14ac:dyDescent="0.25">
      <c r="B32" s="24" t="s">
        <v>59</v>
      </c>
      <c r="C32" s="50">
        <v>35</v>
      </c>
      <c r="D32" s="50">
        <v>6</v>
      </c>
      <c r="E32" s="50">
        <v>5</v>
      </c>
      <c r="F32" s="50">
        <v>19</v>
      </c>
      <c r="G32" s="50">
        <v>1</v>
      </c>
      <c r="H32" s="50">
        <v>0</v>
      </c>
      <c r="I32" s="50">
        <v>7</v>
      </c>
      <c r="J32" s="50">
        <v>3</v>
      </c>
      <c r="K32" s="50">
        <v>1</v>
      </c>
      <c r="L32" s="50">
        <v>0</v>
      </c>
      <c r="M32" s="50">
        <v>106</v>
      </c>
      <c r="N32" s="50">
        <v>0</v>
      </c>
      <c r="O32" s="15">
        <f t="shared" si="0"/>
        <v>77</v>
      </c>
      <c r="P32" s="15">
        <f t="shared" si="1"/>
        <v>183</v>
      </c>
    </row>
    <row r="33" spans="2:20" ht="23.1" customHeight="1" x14ac:dyDescent="0.25">
      <c r="B33" s="23" t="s">
        <v>60</v>
      </c>
      <c r="C33" s="50">
        <v>54</v>
      </c>
      <c r="D33" s="50">
        <v>4</v>
      </c>
      <c r="E33" s="50">
        <v>4</v>
      </c>
      <c r="F33" s="50">
        <v>18</v>
      </c>
      <c r="G33" s="50">
        <v>2</v>
      </c>
      <c r="H33" s="50">
        <v>0</v>
      </c>
      <c r="I33" s="50">
        <v>9</v>
      </c>
      <c r="J33" s="50">
        <v>3</v>
      </c>
      <c r="K33" s="50">
        <v>0</v>
      </c>
      <c r="L33" s="50">
        <v>0</v>
      </c>
      <c r="M33" s="50">
        <v>110</v>
      </c>
      <c r="N33" s="50">
        <v>0</v>
      </c>
      <c r="O33" s="15">
        <f t="shared" si="0"/>
        <v>94</v>
      </c>
      <c r="P33" s="15">
        <f t="shared" si="1"/>
        <v>204</v>
      </c>
    </row>
    <row r="34" spans="2:20" ht="23.1" customHeight="1" x14ac:dyDescent="0.25">
      <c r="B34" s="24" t="s">
        <v>61</v>
      </c>
      <c r="C34" s="50">
        <v>40</v>
      </c>
      <c r="D34" s="50">
        <v>8</v>
      </c>
      <c r="E34" s="50">
        <v>4</v>
      </c>
      <c r="F34" s="50">
        <v>23</v>
      </c>
      <c r="G34" s="50">
        <v>2</v>
      </c>
      <c r="H34" s="50">
        <v>0</v>
      </c>
      <c r="I34" s="50">
        <v>9</v>
      </c>
      <c r="J34" s="50">
        <v>1</v>
      </c>
      <c r="K34" s="50">
        <v>0</v>
      </c>
      <c r="L34" s="50">
        <v>0</v>
      </c>
      <c r="M34" s="50">
        <v>116</v>
      </c>
      <c r="N34" s="50">
        <v>0</v>
      </c>
      <c r="O34" s="15">
        <f t="shared" si="0"/>
        <v>87</v>
      </c>
      <c r="P34" s="15">
        <f t="shared" si="1"/>
        <v>203</v>
      </c>
    </row>
    <row r="35" spans="2:20" ht="23.1" customHeight="1" x14ac:dyDescent="0.25">
      <c r="B35" s="24" t="s">
        <v>62</v>
      </c>
      <c r="C35" s="50">
        <v>47</v>
      </c>
      <c r="D35" s="50">
        <v>3</v>
      </c>
      <c r="E35" s="50">
        <v>5</v>
      </c>
      <c r="F35" s="50">
        <v>18</v>
      </c>
      <c r="G35" s="50">
        <v>0</v>
      </c>
      <c r="H35" s="50">
        <v>0</v>
      </c>
      <c r="I35" s="50">
        <v>7</v>
      </c>
      <c r="J35" s="50">
        <v>1</v>
      </c>
      <c r="K35" s="50">
        <v>1</v>
      </c>
      <c r="L35" s="50">
        <v>0</v>
      </c>
      <c r="M35" s="50">
        <v>116</v>
      </c>
      <c r="N35" s="50">
        <v>0</v>
      </c>
      <c r="O35" s="15">
        <f t="shared" si="0"/>
        <v>82</v>
      </c>
      <c r="P35" s="15">
        <f t="shared" si="1"/>
        <v>198</v>
      </c>
    </row>
    <row r="36" spans="2:20" ht="23.1" customHeight="1" x14ac:dyDescent="0.25">
      <c r="B36" s="24" t="s">
        <v>63</v>
      </c>
      <c r="C36" s="50">
        <v>25</v>
      </c>
      <c r="D36" s="50">
        <v>3</v>
      </c>
      <c r="E36" s="50">
        <v>4</v>
      </c>
      <c r="F36" s="50">
        <v>26</v>
      </c>
      <c r="G36" s="50">
        <v>0</v>
      </c>
      <c r="H36" s="50">
        <v>0</v>
      </c>
      <c r="I36" s="50">
        <v>8</v>
      </c>
      <c r="J36" s="50">
        <v>2</v>
      </c>
      <c r="K36" s="50">
        <v>1</v>
      </c>
      <c r="L36" s="50">
        <v>0</v>
      </c>
      <c r="M36" s="50">
        <v>79</v>
      </c>
      <c r="N36" s="50">
        <v>0</v>
      </c>
      <c r="O36" s="15">
        <f t="shared" si="0"/>
        <v>69</v>
      </c>
      <c r="P36" s="15">
        <f t="shared" si="1"/>
        <v>148</v>
      </c>
    </row>
    <row r="37" spans="2:20" ht="23.1" customHeight="1" x14ac:dyDescent="0.25">
      <c r="B37" s="23" t="s">
        <v>64</v>
      </c>
      <c r="C37" s="50">
        <v>42</v>
      </c>
      <c r="D37" s="50">
        <v>9</v>
      </c>
      <c r="E37" s="50">
        <v>3</v>
      </c>
      <c r="F37" s="50">
        <v>16</v>
      </c>
      <c r="G37" s="50">
        <v>0</v>
      </c>
      <c r="H37" s="50">
        <v>0</v>
      </c>
      <c r="I37" s="50">
        <v>8</v>
      </c>
      <c r="J37" s="50">
        <v>2</v>
      </c>
      <c r="K37" s="50">
        <v>1</v>
      </c>
      <c r="L37" s="50">
        <v>1</v>
      </c>
      <c r="M37" s="50">
        <v>83</v>
      </c>
      <c r="N37" s="50">
        <v>0</v>
      </c>
      <c r="O37" s="15">
        <f t="shared" si="0"/>
        <v>82</v>
      </c>
      <c r="P37" s="15">
        <f t="shared" si="1"/>
        <v>165</v>
      </c>
    </row>
    <row r="38" spans="2:20" ht="23.1" customHeight="1" x14ac:dyDescent="0.25">
      <c r="B38" s="24" t="s">
        <v>65</v>
      </c>
      <c r="C38" s="50">
        <v>43</v>
      </c>
      <c r="D38" s="50">
        <v>4</v>
      </c>
      <c r="E38" s="50">
        <v>4</v>
      </c>
      <c r="F38" s="50">
        <v>20</v>
      </c>
      <c r="G38" s="50">
        <v>0</v>
      </c>
      <c r="H38" s="50">
        <v>2</v>
      </c>
      <c r="I38" s="50">
        <v>0</v>
      </c>
      <c r="J38" s="50">
        <v>0</v>
      </c>
      <c r="K38" s="50">
        <v>1</v>
      </c>
      <c r="L38" s="50">
        <v>0</v>
      </c>
      <c r="M38" s="50">
        <v>117</v>
      </c>
      <c r="N38" s="50">
        <v>0</v>
      </c>
      <c r="O38" s="15">
        <f t="shared" si="0"/>
        <v>74</v>
      </c>
      <c r="P38" s="15">
        <f t="shared" si="1"/>
        <v>191</v>
      </c>
    </row>
    <row r="39" spans="2:20" ht="23.1" customHeight="1" x14ac:dyDescent="0.25">
      <c r="B39" s="24" t="s">
        <v>66</v>
      </c>
      <c r="C39" s="50">
        <v>50</v>
      </c>
      <c r="D39" s="50">
        <v>6</v>
      </c>
      <c r="E39" s="50">
        <v>10</v>
      </c>
      <c r="F39" s="50">
        <v>26</v>
      </c>
      <c r="G39" s="50">
        <v>0</v>
      </c>
      <c r="H39" s="50">
        <v>0</v>
      </c>
      <c r="I39" s="50">
        <v>5</v>
      </c>
      <c r="J39" s="50">
        <v>4</v>
      </c>
      <c r="K39" s="50">
        <v>2</v>
      </c>
      <c r="L39" s="50">
        <v>0</v>
      </c>
      <c r="M39" s="50">
        <v>124</v>
      </c>
      <c r="N39" s="50">
        <v>0</v>
      </c>
      <c r="O39" s="15">
        <f t="shared" si="0"/>
        <v>103</v>
      </c>
      <c r="P39" s="15">
        <f t="shared" si="1"/>
        <v>227</v>
      </c>
    </row>
    <row r="40" spans="2:20" ht="23.1" customHeight="1" x14ac:dyDescent="0.25">
      <c r="B40" s="24" t="s">
        <v>67</v>
      </c>
      <c r="C40" s="50">
        <v>40</v>
      </c>
      <c r="D40" s="50">
        <v>5</v>
      </c>
      <c r="E40" s="50">
        <v>8</v>
      </c>
      <c r="F40" s="50">
        <v>21</v>
      </c>
      <c r="G40" s="50">
        <v>1</v>
      </c>
      <c r="H40" s="50">
        <v>0</v>
      </c>
      <c r="I40" s="50">
        <v>0</v>
      </c>
      <c r="J40" s="50">
        <v>11</v>
      </c>
      <c r="K40" s="50">
        <v>3</v>
      </c>
      <c r="L40" s="50">
        <v>1</v>
      </c>
      <c r="M40" s="50">
        <v>110</v>
      </c>
      <c r="N40" s="50">
        <v>1</v>
      </c>
      <c r="O40" s="15">
        <f t="shared" si="0"/>
        <v>91</v>
      </c>
      <c r="P40" s="15">
        <f t="shared" si="1"/>
        <v>201</v>
      </c>
    </row>
    <row r="41" spans="2:20" ht="23.1" customHeight="1" x14ac:dyDescent="0.25">
      <c r="B41" s="23" t="s">
        <v>68</v>
      </c>
      <c r="C41" s="50">
        <v>41</v>
      </c>
      <c r="D41" s="50">
        <v>1</v>
      </c>
      <c r="E41" s="50">
        <v>9</v>
      </c>
      <c r="F41" s="50">
        <v>20</v>
      </c>
      <c r="G41" s="50">
        <v>3</v>
      </c>
      <c r="H41" s="50">
        <v>0</v>
      </c>
      <c r="I41" s="50">
        <v>8</v>
      </c>
      <c r="J41" s="50">
        <v>3</v>
      </c>
      <c r="K41" s="50">
        <v>0</v>
      </c>
      <c r="L41" s="50">
        <v>0</v>
      </c>
      <c r="M41" s="50">
        <v>122</v>
      </c>
      <c r="N41" s="50">
        <v>0</v>
      </c>
      <c r="O41" s="15">
        <f t="shared" si="0"/>
        <v>85</v>
      </c>
      <c r="P41" s="15">
        <f t="shared" si="1"/>
        <v>207</v>
      </c>
    </row>
    <row r="42" spans="2:20" ht="23.1" customHeight="1" x14ac:dyDescent="0.25">
      <c r="B42" s="24" t="s">
        <v>69</v>
      </c>
      <c r="C42" s="50">
        <v>62</v>
      </c>
      <c r="D42" s="50">
        <v>5</v>
      </c>
      <c r="E42" s="50">
        <v>25</v>
      </c>
      <c r="F42" s="50">
        <v>1</v>
      </c>
      <c r="G42" s="50">
        <v>0</v>
      </c>
      <c r="H42" s="50">
        <v>0</v>
      </c>
      <c r="I42" s="50">
        <v>0</v>
      </c>
      <c r="J42" s="50">
        <v>7</v>
      </c>
      <c r="K42" s="50">
        <v>0</v>
      </c>
      <c r="L42" s="50">
        <v>0</v>
      </c>
      <c r="M42" s="50">
        <v>108</v>
      </c>
      <c r="N42" s="50">
        <v>0</v>
      </c>
      <c r="O42" s="15">
        <f t="shared" si="0"/>
        <v>100</v>
      </c>
      <c r="P42" s="15">
        <f t="shared" si="1"/>
        <v>208</v>
      </c>
    </row>
    <row r="43" spans="2:20" ht="23.1" customHeight="1" x14ac:dyDescent="0.25">
      <c r="B43" s="23" t="s">
        <v>70</v>
      </c>
      <c r="C43" s="50">
        <v>65</v>
      </c>
      <c r="D43" s="50">
        <v>9</v>
      </c>
      <c r="E43" s="50">
        <v>8</v>
      </c>
      <c r="F43" s="50">
        <v>39</v>
      </c>
      <c r="G43" s="50">
        <v>0</v>
      </c>
      <c r="H43" s="50">
        <v>1</v>
      </c>
      <c r="I43" s="50">
        <v>0</v>
      </c>
      <c r="J43" s="50">
        <v>5</v>
      </c>
      <c r="K43" s="50">
        <v>7</v>
      </c>
      <c r="L43" s="50">
        <v>2</v>
      </c>
      <c r="M43" s="50">
        <v>130</v>
      </c>
      <c r="N43" s="50">
        <v>0</v>
      </c>
      <c r="O43" s="15">
        <f t="shared" si="0"/>
        <v>136</v>
      </c>
      <c r="P43" s="15">
        <f t="shared" si="1"/>
        <v>266</v>
      </c>
    </row>
    <row r="44" spans="2:20" ht="23.1" customHeight="1" x14ac:dyDescent="0.25">
      <c r="B44" s="25" t="s">
        <v>71</v>
      </c>
      <c r="C44" s="50">
        <v>43</v>
      </c>
      <c r="D44" s="50">
        <v>3</v>
      </c>
      <c r="E44" s="50">
        <v>6</v>
      </c>
      <c r="F44" s="50">
        <v>15</v>
      </c>
      <c r="G44" s="50">
        <v>1</v>
      </c>
      <c r="H44" s="50">
        <v>0</v>
      </c>
      <c r="I44" s="50">
        <v>9</v>
      </c>
      <c r="J44" s="50">
        <v>2</v>
      </c>
      <c r="K44" s="50">
        <v>2</v>
      </c>
      <c r="L44" s="50">
        <v>0</v>
      </c>
      <c r="M44" s="50">
        <v>114</v>
      </c>
      <c r="N44" s="50">
        <v>0</v>
      </c>
      <c r="O44" s="15">
        <f t="shared" si="0"/>
        <v>81</v>
      </c>
      <c r="P44" s="15">
        <f t="shared" si="1"/>
        <v>195</v>
      </c>
    </row>
    <row r="45" spans="2:20" ht="23.1" customHeight="1" x14ac:dyDescent="0.25">
      <c r="B45" s="23" t="s">
        <v>72</v>
      </c>
      <c r="C45" s="50">
        <v>44</v>
      </c>
      <c r="D45" s="50">
        <v>8</v>
      </c>
      <c r="E45" s="50">
        <v>13</v>
      </c>
      <c r="F45" s="50">
        <v>18</v>
      </c>
      <c r="G45" s="50">
        <v>0</v>
      </c>
      <c r="H45" s="50">
        <v>0</v>
      </c>
      <c r="I45" s="50">
        <v>11</v>
      </c>
      <c r="J45" s="50">
        <v>0</v>
      </c>
      <c r="K45" s="50">
        <v>0</v>
      </c>
      <c r="L45" s="50">
        <v>3</v>
      </c>
      <c r="M45" s="50">
        <v>107</v>
      </c>
      <c r="N45" s="50">
        <v>0</v>
      </c>
      <c r="O45" s="15">
        <f t="shared" si="0"/>
        <v>97</v>
      </c>
      <c r="P45" s="15">
        <f t="shared" si="1"/>
        <v>204</v>
      </c>
    </row>
    <row r="46" spans="2:20" ht="23.1" customHeight="1" x14ac:dyDescent="0.25">
      <c r="B46" s="24" t="s">
        <v>73</v>
      </c>
      <c r="C46" s="50">
        <v>53</v>
      </c>
      <c r="D46" s="50">
        <v>1</v>
      </c>
      <c r="E46" s="50">
        <v>8</v>
      </c>
      <c r="F46" s="50">
        <v>24</v>
      </c>
      <c r="G46" s="50">
        <v>0</v>
      </c>
      <c r="H46" s="50">
        <v>0</v>
      </c>
      <c r="I46" s="50">
        <v>11</v>
      </c>
      <c r="J46" s="50">
        <v>2</v>
      </c>
      <c r="K46" s="50">
        <v>0</v>
      </c>
      <c r="L46" s="50">
        <v>0</v>
      </c>
      <c r="M46" s="50">
        <v>120</v>
      </c>
      <c r="N46" s="50">
        <v>0</v>
      </c>
      <c r="O46" s="15">
        <f t="shared" si="0"/>
        <v>99</v>
      </c>
      <c r="P46" s="15">
        <f t="shared" si="1"/>
        <v>219</v>
      </c>
      <c r="R46" s="8"/>
      <c r="T46"/>
    </row>
    <row r="47" spans="2:20" ht="23.1" customHeight="1" x14ac:dyDescent="0.25">
      <c r="B47" s="24" t="s">
        <v>74</v>
      </c>
      <c r="C47" s="50">
        <v>52</v>
      </c>
      <c r="D47" s="50">
        <v>5</v>
      </c>
      <c r="E47" s="50">
        <v>6</v>
      </c>
      <c r="F47" s="50">
        <v>15</v>
      </c>
      <c r="G47" s="50">
        <v>2</v>
      </c>
      <c r="H47" s="50">
        <v>0</v>
      </c>
      <c r="I47" s="50">
        <v>6</v>
      </c>
      <c r="J47" s="50">
        <v>2</v>
      </c>
      <c r="K47" s="50">
        <v>0</v>
      </c>
      <c r="L47" s="50">
        <v>0</v>
      </c>
      <c r="M47" s="50">
        <v>97</v>
      </c>
      <c r="N47" s="50">
        <v>0</v>
      </c>
      <c r="O47" s="15">
        <f t="shared" si="0"/>
        <v>88</v>
      </c>
      <c r="P47" s="15">
        <f t="shared" si="1"/>
        <v>185</v>
      </c>
      <c r="R47" s="8"/>
      <c r="T47"/>
    </row>
    <row r="48" spans="2:20" ht="23.1" customHeight="1" x14ac:dyDescent="0.25">
      <c r="B48" s="24" t="s">
        <v>75</v>
      </c>
      <c r="C48" s="50">
        <v>59</v>
      </c>
      <c r="D48" s="50">
        <v>5</v>
      </c>
      <c r="E48" s="50">
        <v>9</v>
      </c>
      <c r="F48" s="50">
        <v>11</v>
      </c>
      <c r="G48" s="50">
        <v>0</v>
      </c>
      <c r="H48" s="50">
        <v>0</v>
      </c>
      <c r="I48" s="50">
        <v>0</v>
      </c>
      <c r="J48" s="50">
        <v>1</v>
      </c>
      <c r="K48" s="50">
        <v>2</v>
      </c>
      <c r="L48" s="50">
        <v>0</v>
      </c>
      <c r="M48" s="50">
        <v>132</v>
      </c>
      <c r="N48" s="50">
        <v>0</v>
      </c>
      <c r="O48" s="15">
        <f t="shared" si="0"/>
        <v>87</v>
      </c>
      <c r="P48" s="15">
        <f t="shared" si="1"/>
        <v>219</v>
      </c>
      <c r="R48" s="8"/>
      <c r="T48"/>
    </row>
    <row r="49" spans="2:20" ht="23.1" customHeight="1" x14ac:dyDescent="0.25">
      <c r="B49" s="23" t="s">
        <v>76</v>
      </c>
      <c r="C49" s="50">
        <v>53</v>
      </c>
      <c r="D49" s="50">
        <v>10</v>
      </c>
      <c r="E49" s="50">
        <v>9</v>
      </c>
      <c r="F49" s="50">
        <v>23</v>
      </c>
      <c r="G49" s="50">
        <v>0</v>
      </c>
      <c r="H49" s="50">
        <v>0</v>
      </c>
      <c r="I49" s="50">
        <v>14</v>
      </c>
      <c r="J49" s="50">
        <v>2</v>
      </c>
      <c r="K49" s="50">
        <v>2</v>
      </c>
      <c r="L49" s="50">
        <v>0</v>
      </c>
      <c r="M49" s="50">
        <v>129</v>
      </c>
      <c r="N49" s="50">
        <v>0</v>
      </c>
      <c r="O49" s="15">
        <f t="shared" si="0"/>
        <v>113</v>
      </c>
      <c r="P49" s="15">
        <f t="shared" si="1"/>
        <v>242</v>
      </c>
      <c r="R49" s="8"/>
      <c r="T49"/>
    </row>
    <row r="50" spans="2:20" ht="23.1" customHeight="1" x14ac:dyDescent="0.25">
      <c r="B50" s="24" t="s">
        <v>77</v>
      </c>
      <c r="C50" s="50">
        <v>62</v>
      </c>
      <c r="D50" s="50">
        <v>16</v>
      </c>
      <c r="E50" s="50">
        <v>17</v>
      </c>
      <c r="F50" s="50">
        <v>21</v>
      </c>
      <c r="G50" s="50">
        <v>3</v>
      </c>
      <c r="H50" s="50">
        <v>0</v>
      </c>
      <c r="I50" s="50">
        <v>0</v>
      </c>
      <c r="J50" s="50">
        <v>6</v>
      </c>
      <c r="K50" s="50">
        <v>0</v>
      </c>
      <c r="L50" s="50">
        <v>0</v>
      </c>
      <c r="M50" s="50">
        <v>127</v>
      </c>
      <c r="N50" s="50">
        <v>0</v>
      </c>
      <c r="O50" s="15">
        <f t="shared" si="0"/>
        <v>125</v>
      </c>
      <c r="P50" s="15">
        <f t="shared" si="1"/>
        <v>252</v>
      </c>
      <c r="R50" s="8"/>
      <c r="T50"/>
    </row>
    <row r="51" spans="2:20" ht="23.1" customHeight="1" x14ac:dyDescent="0.25">
      <c r="B51" s="24" t="s">
        <v>78</v>
      </c>
      <c r="C51" s="50">
        <v>43</v>
      </c>
      <c r="D51" s="50">
        <v>1</v>
      </c>
      <c r="E51" s="50">
        <v>7</v>
      </c>
      <c r="F51" s="50">
        <v>25</v>
      </c>
      <c r="G51" s="50">
        <v>2</v>
      </c>
      <c r="H51" s="50">
        <v>0</v>
      </c>
      <c r="I51" s="50">
        <v>7</v>
      </c>
      <c r="J51" s="50">
        <v>3</v>
      </c>
      <c r="K51" s="50">
        <v>1</v>
      </c>
      <c r="L51" s="50">
        <v>0</v>
      </c>
      <c r="M51" s="50">
        <v>135</v>
      </c>
      <c r="N51" s="50">
        <v>0</v>
      </c>
      <c r="O51" s="15">
        <f t="shared" si="0"/>
        <v>89</v>
      </c>
      <c r="P51" s="15">
        <f t="shared" si="1"/>
        <v>224</v>
      </c>
      <c r="R51" s="8"/>
      <c r="T51"/>
    </row>
    <row r="52" spans="2:20" ht="23.1" customHeight="1" x14ac:dyDescent="0.25">
      <c r="B52" s="24" t="s">
        <v>79</v>
      </c>
      <c r="C52" s="50">
        <v>45</v>
      </c>
      <c r="D52" s="50">
        <v>5</v>
      </c>
      <c r="E52" s="50">
        <v>10</v>
      </c>
      <c r="F52" s="50">
        <v>17</v>
      </c>
      <c r="G52" s="50">
        <v>2</v>
      </c>
      <c r="H52" s="50">
        <v>0</v>
      </c>
      <c r="I52" s="50">
        <v>4</v>
      </c>
      <c r="J52" s="50">
        <v>3</v>
      </c>
      <c r="K52" s="50">
        <v>0</v>
      </c>
      <c r="L52" s="50">
        <v>0</v>
      </c>
      <c r="M52" s="50">
        <v>117</v>
      </c>
      <c r="N52" s="50">
        <v>0</v>
      </c>
      <c r="O52" s="15">
        <f t="shared" si="0"/>
        <v>86</v>
      </c>
      <c r="P52" s="15">
        <f t="shared" si="1"/>
        <v>203</v>
      </c>
      <c r="R52" s="8"/>
      <c r="T52"/>
    </row>
    <row r="53" spans="2:20" ht="23.1" customHeight="1" x14ac:dyDescent="0.25">
      <c r="B53" s="23" t="s">
        <v>80</v>
      </c>
      <c r="C53" s="50">
        <v>72</v>
      </c>
      <c r="D53" s="50">
        <v>10</v>
      </c>
      <c r="E53" s="50">
        <v>8</v>
      </c>
      <c r="F53" s="50">
        <v>21</v>
      </c>
      <c r="G53" s="50">
        <v>2</v>
      </c>
      <c r="H53" s="50">
        <v>0</v>
      </c>
      <c r="I53" s="50">
        <v>0</v>
      </c>
      <c r="J53" s="50">
        <v>7</v>
      </c>
      <c r="K53" s="50">
        <v>1</v>
      </c>
      <c r="L53" s="50">
        <v>1</v>
      </c>
      <c r="M53" s="50">
        <v>129</v>
      </c>
      <c r="N53" s="50">
        <v>0</v>
      </c>
      <c r="O53" s="15">
        <f t="shared" si="0"/>
        <v>122</v>
      </c>
      <c r="P53" s="15">
        <f t="shared" si="1"/>
        <v>251</v>
      </c>
      <c r="R53" s="8"/>
      <c r="T53"/>
    </row>
    <row r="54" spans="2:20" ht="23.1" customHeight="1" x14ac:dyDescent="0.25">
      <c r="B54" s="23" t="s">
        <v>81</v>
      </c>
      <c r="C54" s="50">
        <v>55</v>
      </c>
      <c r="D54" s="50">
        <v>3</v>
      </c>
      <c r="E54" s="50">
        <v>12</v>
      </c>
      <c r="F54" s="50">
        <v>42</v>
      </c>
      <c r="G54" s="50">
        <v>2</v>
      </c>
      <c r="H54" s="50">
        <v>0</v>
      </c>
      <c r="I54" s="50">
        <v>5</v>
      </c>
      <c r="J54" s="50">
        <v>0</v>
      </c>
      <c r="K54" s="50">
        <v>2</v>
      </c>
      <c r="L54" s="50">
        <v>0</v>
      </c>
      <c r="M54" s="50">
        <v>148</v>
      </c>
      <c r="N54" s="50">
        <v>0</v>
      </c>
      <c r="O54" s="15">
        <f t="shared" si="0"/>
        <v>121</v>
      </c>
      <c r="P54" s="15">
        <f t="shared" si="1"/>
        <v>269</v>
      </c>
      <c r="R54" s="8"/>
      <c r="T54"/>
    </row>
    <row r="55" spans="2:20" ht="23.1" customHeight="1" x14ac:dyDescent="0.25">
      <c r="B55" s="23" t="s">
        <v>82</v>
      </c>
      <c r="C55" s="50">
        <v>42</v>
      </c>
      <c r="D55" s="50">
        <v>9</v>
      </c>
      <c r="E55" s="50">
        <v>15</v>
      </c>
      <c r="F55" s="50">
        <v>32</v>
      </c>
      <c r="G55" s="50">
        <v>0</v>
      </c>
      <c r="H55" s="50">
        <v>3</v>
      </c>
      <c r="I55" s="50">
        <v>1</v>
      </c>
      <c r="J55" s="50">
        <v>2</v>
      </c>
      <c r="K55" s="50">
        <v>0</v>
      </c>
      <c r="L55" s="50">
        <v>0</v>
      </c>
      <c r="M55" s="50">
        <v>165</v>
      </c>
      <c r="N55" s="50">
        <v>0</v>
      </c>
      <c r="O55" s="15">
        <f t="shared" si="0"/>
        <v>104</v>
      </c>
      <c r="P55" s="15">
        <f t="shared" si="1"/>
        <v>269</v>
      </c>
      <c r="R55" s="8"/>
      <c r="T55"/>
    </row>
    <row r="56" spans="2:20" ht="23.1" customHeight="1" x14ac:dyDescent="0.25">
      <c r="B56" s="23" t="s">
        <v>83</v>
      </c>
      <c r="C56" s="50">
        <v>51</v>
      </c>
      <c r="D56" s="50">
        <v>15</v>
      </c>
      <c r="E56" s="50">
        <v>6</v>
      </c>
      <c r="F56" s="50">
        <v>17</v>
      </c>
      <c r="G56" s="50">
        <v>0</v>
      </c>
      <c r="H56" s="50">
        <v>2</v>
      </c>
      <c r="I56" s="50">
        <v>0</v>
      </c>
      <c r="J56" s="50">
        <v>2</v>
      </c>
      <c r="K56" s="50">
        <v>0</v>
      </c>
      <c r="L56" s="50">
        <v>0</v>
      </c>
      <c r="M56" s="50">
        <v>138</v>
      </c>
      <c r="N56" s="50">
        <v>0</v>
      </c>
      <c r="O56" s="15">
        <f t="shared" si="0"/>
        <v>93</v>
      </c>
      <c r="P56" s="15">
        <f t="shared" si="1"/>
        <v>231</v>
      </c>
      <c r="R56" s="8"/>
      <c r="T56"/>
    </row>
    <row r="57" spans="2:20" ht="23.1" customHeight="1" x14ac:dyDescent="0.25">
      <c r="B57" s="23" t="s">
        <v>84</v>
      </c>
      <c r="C57" s="50">
        <v>49</v>
      </c>
      <c r="D57" s="50">
        <v>4</v>
      </c>
      <c r="E57" s="50">
        <v>6</v>
      </c>
      <c r="F57" s="50">
        <v>22</v>
      </c>
      <c r="G57" s="50">
        <v>2</v>
      </c>
      <c r="H57" s="50">
        <v>0</v>
      </c>
      <c r="I57" s="50">
        <v>0</v>
      </c>
      <c r="J57" s="50">
        <v>8</v>
      </c>
      <c r="K57" s="50">
        <v>1</v>
      </c>
      <c r="L57" s="50">
        <v>0</v>
      </c>
      <c r="M57" s="50">
        <v>150</v>
      </c>
      <c r="N57" s="50">
        <v>0</v>
      </c>
      <c r="O57" s="15">
        <f t="shared" si="0"/>
        <v>92</v>
      </c>
      <c r="P57" s="15">
        <f t="shared" si="1"/>
        <v>242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2809</v>
      </c>
      <c r="D58" s="16">
        <f t="shared" si="21"/>
        <v>370</v>
      </c>
      <c r="E58" s="16">
        <f t="shared" si="21"/>
        <v>434</v>
      </c>
      <c r="F58" s="16">
        <f t="shared" si="21"/>
        <v>1074</v>
      </c>
      <c r="G58" s="16">
        <f t="shared" si="21"/>
        <v>50</v>
      </c>
      <c r="H58" s="16">
        <f t="shared" si="21"/>
        <v>19</v>
      </c>
      <c r="I58" s="16">
        <f t="shared" si="21"/>
        <v>216</v>
      </c>
      <c r="J58" s="16">
        <f t="shared" si="21"/>
        <v>143</v>
      </c>
      <c r="K58" s="16">
        <f t="shared" si="21"/>
        <v>77</v>
      </c>
      <c r="L58" s="16">
        <f t="shared" si="21"/>
        <v>23</v>
      </c>
      <c r="M58" s="16">
        <f t="shared" si="21"/>
        <v>6314</v>
      </c>
      <c r="N58" s="16">
        <f t="shared" si="21"/>
        <v>1</v>
      </c>
      <c r="O58" s="16">
        <f t="shared" si="21"/>
        <v>5216</v>
      </c>
      <c r="P58" s="16">
        <f t="shared" si="21"/>
        <v>11530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0.24362532523850824</v>
      </c>
      <c r="D59" s="43">
        <f t="shared" si="22"/>
        <v>3.2090199479618386E-2</v>
      </c>
      <c r="E59" s="43">
        <f t="shared" si="22"/>
        <v>3.7640936686903728E-2</v>
      </c>
      <c r="F59" s="43">
        <f t="shared" si="22"/>
        <v>9.3148308759757159E-2</v>
      </c>
      <c r="G59" s="43">
        <f t="shared" si="22"/>
        <v>4.3365134431916736E-3</v>
      </c>
      <c r="H59" s="43">
        <f t="shared" si="22"/>
        <v>1.647875108412836E-3</v>
      </c>
      <c r="I59" s="43">
        <f t="shared" si="22"/>
        <v>1.873373807458803E-2</v>
      </c>
      <c r="J59" s="43">
        <f t="shared" si="22"/>
        <v>1.2402428447528188E-2</v>
      </c>
      <c r="K59" s="43">
        <f t="shared" si="22"/>
        <v>6.6782307025151774E-3</v>
      </c>
      <c r="L59" s="43">
        <f t="shared" si="22"/>
        <v>1.9947961838681699E-3</v>
      </c>
      <c r="M59" s="43">
        <f t="shared" si="22"/>
        <v>0.54761491760624459</v>
      </c>
      <c r="N59" s="43">
        <f t="shared" si="22"/>
        <v>8.6730268863833478E-5</v>
      </c>
      <c r="R59" s="8"/>
      <c r="T59"/>
    </row>
    <row r="60" spans="2:20" ht="23.1" customHeight="1" x14ac:dyDescent="0.25">
      <c r="B60" s="42" t="s">
        <v>94</v>
      </c>
      <c r="C60" s="44">
        <f>C58/$O$58</f>
        <v>0.53853527607361962</v>
      </c>
      <c r="D60" s="44">
        <f t="shared" ref="D60:N60" si="23">D58/$O$58</f>
        <v>7.0935582822085896E-2</v>
      </c>
      <c r="E60" s="44">
        <f t="shared" si="23"/>
        <v>8.3205521472392643E-2</v>
      </c>
      <c r="F60" s="44">
        <f t="shared" si="23"/>
        <v>0.20590490797546013</v>
      </c>
      <c r="G60" s="44">
        <f t="shared" si="23"/>
        <v>9.5858895705521474E-3</v>
      </c>
      <c r="H60" s="44">
        <f t="shared" si="23"/>
        <v>3.6426380368098157E-3</v>
      </c>
      <c r="I60" s="44">
        <f t="shared" si="23"/>
        <v>4.1411042944785273E-2</v>
      </c>
      <c r="J60" s="44">
        <f t="shared" si="23"/>
        <v>2.7415644171779142E-2</v>
      </c>
      <c r="K60" s="44">
        <f t="shared" si="23"/>
        <v>1.4762269938650307E-2</v>
      </c>
      <c r="L60" s="44">
        <f t="shared" si="23"/>
        <v>4.4095092024539874E-3</v>
      </c>
      <c r="M60" s="44"/>
      <c r="N60" s="44">
        <f t="shared" si="23"/>
        <v>1.9171779141104295E-4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0" t="str">
        <f>'01.08 KIREKA-NAMUGONGO'!C3:G3</f>
        <v>MCC - C1 - STN039 - NAMUGONGO ROAD</v>
      </c>
      <c r="D3" s="60"/>
      <c r="E3" s="60"/>
      <c r="F3" s="60"/>
      <c r="G3" s="6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'02.08 NAMUGONGO-KIREKA'!D5</f>
        <v>02.08.19</v>
      </c>
      <c r="E5" s="3"/>
      <c r="F5" s="41" t="s">
        <v>1</v>
      </c>
      <c r="G5" s="56" t="str">
        <f>'01.08 NAMUGONGO-KIREKA'!G5:H5</f>
        <v>AGENDA</v>
      </c>
      <c r="H5" s="57"/>
      <c r="I5" s="14"/>
      <c r="J5" s="2" t="s">
        <v>5</v>
      </c>
      <c r="K5" s="56" t="str">
        <f>'01.08 NAMUGONGO-KIREKA'!K5:L5</f>
        <v>STEVEN</v>
      </c>
      <c r="L5" s="57"/>
      <c r="M5" s="10"/>
      <c r="N5" s="10"/>
      <c r="O5" s="3"/>
      <c r="P5" s="3"/>
    </row>
    <row r="6" spans="2:32" ht="23.25" customHeight="1" x14ac:dyDescent="0.25">
      <c r="C6" s="2" t="s">
        <v>4</v>
      </c>
      <c r="D6" s="56" t="str">
        <f>'01.08 KIREKA-NAMUGONGO'!D6:E6</f>
        <v>KIREKA</v>
      </c>
      <c r="E6" s="57"/>
      <c r="F6" s="2" t="s">
        <v>2</v>
      </c>
      <c r="G6" s="56" t="str">
        <f>'01.08 KIREKA-NAMUGONGO'!G6:H6</f>
        <v>NAMUGONGO</v>
      </c>
      <c r="H6" s="57"/>
      <c r="J6" s="2" t="s">
        <v>21</v>
      </c>
      <c r="K6" s="56" t="str">
        <f>'01.08 NAMUGONGO-KIREKA'!K6:L6</f>
        <v>NAIDO GRACE BRENDA</v>
      </c>
      <c r="L6" s="5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5" t="s">
        <v>88</v>
      </c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12</v>
      </c>
      <c r="D10" s="50">
        <v>3</v>
      </c>
      <c r="E10" s="50">
        <v>4</v>
      </c>
      <c r="F10" s="50">
        <v>8</v>
      </c>
      <c r="G10" s="50">
        <v>0</v>
      </c>
      <c r="H10" s="50">
        <v>1</v>
      </c>
      <c r="I10" s="50">
        <v>0</v>
      </c>
      <c r="J10" s="50">
        <v>4</v>
      </c>
      <c r="K10" s="50">
        <v>2</v>
      </c>
      <c r="L10" s="50">
        <v>4</v>
      </c>
      <c r="M10" s="50">
        <v>115</v>
      </c>
      <c r="N10" s="50">
        <v>0</v>
      </c>
      <c r="O10" s="15">
        <f t="shared" ref="O10:O57" si="0">SUM(C10:L10,N10)</f>
        <v>38</v>
      </c>
      <c r="P10" s="15">
        <f t="shared" ref="P10:P57" si="1">SUM(C10:N10)</f>
        <v>153</v>
      </c>
      <c r="R10" s="1" t="s">
        <v>6</v>
      </c>
      <c r="S10" s="17">
        <f t="shared" ref="S10:AF10" si="2">SUM(C10:C13)</f>
        <v>140</v>
      </c>
      <c r="T10" s="17">
        <f t="shared" si="2"/>
        <v>34</v>
      </c>
      <c r="U10" s="17">
        <f t="shared" si="2"/>
        <v>32</v>
      </c>
      <c r="V10" s="17">
        <f t="shared" si="2"/>
        <v>56</v>
      </c>
      <c r="W10" s="17">
        <f t="shared" si="2"/>
        <v>1</v>
      </c>
      <c r="X10" s="17">
        <f t="shared" si="2"/>
        <v>1</v>
      </c>
      <c r="Y10" s="17">
        <f t="shared" si="2"/>
        <v>14</v>
      </c>
      <c r="Z10" s="17">
        <f t="shared" si="2"/>
        <v>10</v>
      </c>
      <c r="AA10" s="17">
        <f t="shared" si="2"/>
        <v>4</v>
      </c>
      <c r="AB10" s="17">
        <f t="shared" si="2"/>
        <v>8</v>
      </c>
      <c r="AC10" s="17">
        <f t="shared" si="2"/>
        <v>508</v>
      </c>
      <c r="AD10" s="17">
        <f t="shared" si="2"/>
        <v>0</v>
      </c>
      <c r="AE10" s="31">
        <f t="shared" si="2"/>
        <v>300</v>
      </c>
      <c r="AF10" s="31">
        <f t="shared" si="2"/>
        <v>808</v>
      </c>
    </row>
    <row r="11" spans="2:32" s="6" customFormat="1" ht="23.1" customHeight="1" x14ac:dyDescent="0.25">
      <c r="B11" s="23" t="s">
        <v>38</v>
      </c>
      <c r="C11" s="50">
        <v>45</v>
      </c>
      <c r="D11" s="50">
        <v>12</v>
      </c>
      <c r="E11" s="50">
        <v>7</v>
      </c>
      <c r="F11" s="50">
        <v>16</v>
      </c>
      <c r="G11" s="50">
        <v>0</v>
      </c>
      <c r="H11" s="50">
        <v>0</v>
      </c>
      <c r="I11" s="50">
        <v>5</v>
      </c>
      <c r="J11" s="50">
        <v>1</v>
      </c>
      <c r="K11" s="50">
        <v>0</v>
      </c>
      <c r="L11" s="50">
        <v>2</v>
      </c>
      <c r="M11" s="50">
        <v>120</v>
      </c>
      <c r="N11" s="50">
        <v>0</v>
      </c>
      <c r="O11" s="15">
        <f t="shared" si="0"/>
        <v>88</v>
      </c>
      <c r="P11" s="15">
        <f t="shared" si="1"/>
        <v>208</v>
      </c>
      <c r="R11" s="1" t="s">
        <v>7</v>
      </c>
      <c r="S11" s="17">
        <f t="shared" ref="S11:AF11" si="3">SUM(C14:C17)</f>
        <v>163</v>
      </c>
      <c r="T11" s="17">
        <f t="shared" si="3"/>
        <v>36</v>
      </c>
      <c r="U11" s="17">
        <f t="shared" si="3"/>
        <v>26</v>
      </c>
      <c r="V11" s="17">
        <f t="shared" si="3"/>
        <v>65</v>
      </c>
      <c r="W11" s="17">
        <f t="shared" si="3"/>
        <v>0</v>
      </c>
      <c r="X11" s="17">
        <f t="shared" si="3"/>
        <v>16</v>
      </c>
      <c r="Y11" s="17">
        <f t="shared" si="3"/>
        <v>8</v>
      </c>
      <c r="Z11" s="17">
        <f t="shared" si="3"/>
        <v>10</v>
      </c>
      <c r="AA11" s="17">
        <f t="shared" si="3"/>
        <v>0</v>
      </c>
      <c r="AB11" s="17">
        <f t="shared" si="3"/>
        <v>0</v>
      </c>
      <c r="AC11" s="17">
        <f t="shared" si="3"/>
        <v>691</v>
      </c>
      <c r="AD11" s="17">
        <f t="shared" si="3"/>
        <v>0</v>
      </c>
      <c r="AE11" s="31">
        <f t="shared" si="3"/>
        <v>324</v>
      </c>
      <c r="AF11" s="31">
        <f t="shared" si="3"/>
        <v>1015</v>
      </c>
    </row>
    <row r="12" spans="2:32" ht="23.1" customHeight="1" x14ac:dyDescent="0.25">
      <c r="B12" s="23" t="s">
        <v>39</v>
      </c>
      <c r="C12" s="50">
        <v>43</v>
      </c>
      <c r="D12" s="50">
        <v>10</v>
      </c>
      <c r="E12" s="50">
        <v>9</v>
      </c>
      <c r="F12" s="50">
        <v>14</v>
      </c>
      <c r="G12" s="50">
        <v>1</v>
      </c>
      <c r="H12" s="50">
        <v>0</v>
      </c>
      <c r="I12" s="50">
        <v>2</v>
      </c>
      <c r="J12" s="50">
        <v>3</v>
      </c>
      <c r="K12" s="50">
        <v>1</v>
      </c>
      <c r="L12" s="50">
        <v>1</v>
      </c>
      <c r="M12" s="50">
        <v>106</v>
      </c>
      <c r="N12" s="50">
        <v>0</v>
      </c>
      <c r="O12" s="15">
        <f t="shared" si="0"/>
        <v>84</v>
      </c>
      <c r="P12" s="15">
        <f t="shared" si="1"/>
        <v>190</v>
      </c>
      <c r="R12" s="1" t="s">
        <v>8</v>
      </c>
      <c r="S12" s="17">
        <f t="shared" ref="S12:AF12" si="4">SUM(C18:C21)</f>
        <v>143</v>
      </c>
      <c r="T12" s="17">
        <f t="shared" si="4"/>
        <v>25</v>
      </c>
      <c r="U12" s="17">
        <f t="shared" si="4"/>
        <v>26</v>
      </c>
      <c r="V12" s="17">
        <f t="shared" si="4"/>
        <v>61</v>
      </c>
      <c r="W12" s="17">
        <f t="shared" si="4"/>
        <v>0</v>
      </c>
      <c r="X12" s="17">
        <f t="shared" si="4"/>
        <v>0</v>
      </c>
      <c r="Y12" s="17">
        <f t="shared" si="4"/>
        <v>20</v>
      </c>
      <c r="Z12" s="17">
        <f t="shared" si="4"/>
        <v>6</v>
      </c>
      <c r="AA12" s="17">
        <f t="shared" si="4"/>
        <v>4</v>
      </c>
      <c r="AB12" s="17">
        <f t="shared" si="4"/>
        <v>0</v>
      </c>
      <c r="AC12" s="17">
        <f t="shared" si="4"/>
        <v>541</v>
      </c>
      <c r="AD12" s="17">
        <f t="shared" si="4"/>
        <v>0</v>
      </c>
      <c r="AE12" s="31">
        <f t="shared" si="4"/>
        <v>285</v>
      </c>
      <c r="AF12" s="31">
        <f t="shared" si="4"/>
        <v>826</v>
      </c>
    </row>
    <row r="13" spans="2:32" ht="23.1" customHeight="1" x14ac:dyDescent="0.25">
      <c r="B13" s="23" t="s">
        <v>40</v>
      </c>
      <c r="C13" s="50">
        <v>40</v>
      </c>
      <c r="D13" s="50">
        <v>9</v>
      </c>
      <c r="E13" s="50">
        <v>12</v>
      </c>
      <c r="F13" s="50">
        <v>18</v>
      </c>
      <c r="G13" s="50">
        <v>0</v>
      </c>
      <c r="H13" s="50">
        <v>0</v>
      </c>
      <c r="I13" s="50">
        <v>7</v>
      </c>
      <c r="J13" s="50">
        <v>2</v>
      </c>
      <c r="K13" s="50">
        <v>1</v>
      </c>
      <c r="L13" s="50">
        <v>1</v>
      </c>
      <c r="M13" s="50">
        <v>167</v>
      </c>
      <c r="N13" s="50">
        <v>0</v>
      </c>
      <c r="O13" s="15">
        <f t="shared" si="0"/>
        <v>90</v>
      </c>
      <c r="P13" s="15">
        <f t="shared" si="1"/>
        <v>257</v>
      </c>
      <c r="R13" s="1" t="s">
        <v>9</v>
      </c>
      <c r="S13" s="17">
        <f t="shared" ref="S13:AF13" si="5">SUM(C22:C25)</f>
        <v>160</v>
      </c>
      <c r="T13" s="17">
        <f t="shared" si="5"/>
        <v>80</v>
      </c>
      <c r="U13" s="17">
        <f t="shared" si="5"/>
        <v>34</v>
      </c>
      <c r="V13" s="17">
        <f t="shared" si="5"/>
        <v>59</v>
      </c>
      <c r="W13" s="17">
        <f t="shared" si="5"/>
        <v>0</v>
      </c>
      <c r="X13" s="17">
        <f t="shared" si="5"/>
        <v>0</v>
      </c>
      <c r="Y13" s="17">
        <f t="shared" si="5"/>
        <v>31</v>
      </c>
      <c r="Z13" s="17">
        <f t="shared" si="5"/>
        <v>13</v>
      </c>
      <c r="AA13" s="17">
        <f t="shared" si="5"/>
        <v>2</v>
      </c>
      <c r="AB13" s="17">
        <f t="shared" si="5"/>
        <v>0</v>
      </c>
      <c r="AC13" s="17">
        <f t="shared" si="5"/>
        <v>592</v>
      </c>
      <c r="AD13" s="17">
        <f t="shared" si="5"/>
        <v>0</v>
      </c>
      <c r="AE13" s="31">
        <f t="shared" si="5"/>
        <v>379</v>
      </c>
      <c r="AF13" s="31">
        <f t="shared" si="5"/>
        <v>971</v>
      </c>
    </row>
    <row r="14" spans="2:32" ht="23.1" customHeight="1" x14ac:dyDescent="0.25">
      <c r="B14" s="23" t="s">
        <v>41</v>
      </c>
      <c r="C14" s="50">
        <v>42</v>
      </c>
      <c r="D14" s="50">
        <v>6</v>
      </c>
      <c r="E14" s="50">
        <v>5</v>
      </c>
      <c r="F14" s="50">
        <v>17</v>
      </c>
      <c r="G14" s="50">
        <v>0</v>
      </c>
      <c r="H14" s="50">
        <v>8</v>
      </c>
      <c r="I14" s="50">
        <v>1</v>
      </c>
      <c r="J14" s="50">
        <v>1</v>
      </c>
      <c r="K14" s="50">
        <v>0</v>
      </c>
      <c r="L14" s="50">
        <v>0</v>
      </c>
      <c r="M14" s="50">
        <v>160</v>
      </c>
      <c r="N14" s="50">
        <v>0</v>
      </c>
      <c r="O14" s="15">
        <f t="shared" si="0"/>
        <v>80</v>
      </c>
      <c r="P14" s="15">
        <f t="shared" si="1"/>
        <v>240</v>
      </c>
      <c r="R14" s="1" t="s">
        <v>10</v>
      </c>
      <c r="S14" s="17">
        <f t="shared" ref="S14:AF14" si="6">SUM(C26:C29)</f>
        <v>177</v>
      </c>
      <c r="T14" s="17">
        <f t="shared" si="6"/>
        <v>24</v>
      </c>
      <c r="U14" s="17">
        <f t="shared" si="6"/>
        <v>35</v>
      </c>
      <c r="V14" s="17">
        <f t="shared" si="6"/>
        <v>58</v>
      </c>
      <c r="W14" s="17">
        <f t="shared" si="6"/>
        <v>0</v>
      </c>
      <c r="X14" s="17">
        <f t="shared" si="6"/>
        <v>0</v>
      </c>
      <c r="Y14" s="17">
        <f t="shared" si="6"/>
        <v>36</v>
      </c>
      <c r="Z14" s="17">
        <f t="shared" si="6"/>
        <v>4</v>
      </c>
      <c r="AA14" s="17">
        <f t="shared" si="6"/>
        <v>1</v>
      </c>
      <c r="AB14" s="17">
        <f t="shared" si="6"/>
        <v>1</v>
      </c>
      <c r="AC14" s="17">
        <f t="shared" si="6"/>
        <v>557</v>
      </c>
      <c r="AD14" s="17">
        <f t="shared" si="6"/>
        <v>0</v>
      </c>
      <c r="AE14" s="31">
        <f t="shared" si="6"/>
        <v>336</v>
      </c>
      <c r="AF14" s="31">
        <f t="shared" si="6"/>
        <v>893</v>
      </c>
    </row>
    <row r="15" spans="2:32" ht="23.1" customHeight="1" x14ac:dyDescent="0.25">
      <c r="B15" s="23" t="s">
        <v>42</v>
      </c>
      <c r="C15" s="50">
        <v>38</v>
      </c>
      <c r="D15" s="50">
        <v>12</v>
      </c>
      <c r="E15" s="50">
        <v>7</v>
      </c>
      <c r="F15" s="50">
        <v>17</v>
      </c>
      <c r="G15" s="50">
        <v>0</v>
      </c>
      <c r="H15" s="50">
        <v>4</v>
      </c>
      <c r="I15" s="50">
        <v>2</v>
      </c>
      <c r="J15" s="50">
        <v>6</v>
      </c>
      <c r="K15" s="50">
        <v>0</v>
      </c>
      <c r="L15" s="50">
        <v>0</v>
      </c>
      <c r="M15" s="50">
        <v>185</v>
      </c>
      <c r="N15" s="50">
        <v>0</v>
      </c>
      <c r="O15" s="15">
        <f t="shared" si="0"/>
        <v>86</v>
      </c>
      <c r="P15" s="15">
        <f t="shared" si="1"/>
        <v>271</v>
      </c>
      <c r="R15" s="1" t="s">
        <v>11</v>
      </c>
      <c r="S15" s="17">
        <f t="shared" ref="S15:AF15" si="7">SUM(C30:C33)</f>
        <v>184</v>
      </c>
      <c r="T15" s="17">
        <f t="shared" si="7"/>
        <v>43</v>
      </c>
      <c r="U15" s="17">
        <f t="shared" si="7"/>
        <v>36</v>
      </c>
      <c r="V15" s="17">
        <f t="shared" si="7"/>
        <v>69</v>
      </c>
      <c r="W15" s="17">
        <f t="shared" si="7"/>
        <v>0</v>
      </c>
      <c r="X15" s="17">
        <f t="shared" si="7"/>
        <v>0</v>
      </c>
      <c r="Y15" s="17">
        <f t="shared" si="7"/>
        <v>31</v>
      </c>
      <c r="Z15" s="17">
        <f t="shared" si="7"/>
        <v>10</v>
      </c>
      <c r="AA15" s="17">
        <f t="shared" si="7"/>
        <v>6</v>
      </c>
      <c r="AB15" s="17">
        <f t="shared" si="7"/>
        <v>3</v>
      </c>
      <c r="AC15" s="17">
        <f t="shared" si="7"/>
        <v>480</v>
      </c>
      <c r="AD15" s="17">
        <f t="shared" si="7"/>
        <v>1</v>
      </c>
      <c r="AE15" s="31">
        <f t="shared" si="7"/>
        <v>383</v>
      </c>
      <c r="AF15" s="31">
        <f t="shared" si="7"/>
        <v>863</v>
      </c>
    </row>
    <row r="16" spans="2:32" ht="23.1" customHeight="1" x14ac:dyDescent="0.25">
      <c r="B16" s="23" t="s">
        <v>43</v>
      </c>
      <c r="C16" s="50">
        <v>47</v>
      </c>
      <c r="D16" s="50">
        <v>10</v>
      </c>
      <c r="E16" s="50">
        <v>4</v>
      </c>
      <c r="F16" s="50">
        <v>17</v>
      </c>
      <c r="G16" s="50">
        <v>0</v>
      </c>
      <c r="H16" s="50">
        <v>0</v>
      </c>
      <c r="I16" s="50">
        <v>4</v>
      </c>
      <c r="J16" s="50">
        <v>2</v>
      </c>
      <c r="K16" s="50">
        <v>0</v>
      </c>
      <c r="L16" s="50">
        <v>0</v>
      </c>
      <c r="M16" s="50">
        <v>179</v>
      </c>
      <c r="N16" s="50">
        <v>0</v>
      </c>
      <c r="O16" s="15">
        <f t="shared" si="0"/>
        <v>84</v>
      </c>
      <c r="P16" s="15">
        <f t="shared" si="1"/>
        <v>263</v>
      </c>
      <c r="R16" s="1" t="s">
        <v>12</v>
      </c>
      <c r="S16" s="17">
        <f t="shared" ref="S16:AF16" si="8">SUM(C34:C37)</f>
        <v>166</v>
      </c>
      <c r="T16" s="17">
        <f t="shared" si="8"/>
        <v>34</v>
      </c>
      <c r="U16" s="17">
        <f t="shared" si="8"/>
        <v>41</v>
      </c>
      <c r="V16" s="17">
        <f t="shared" si="8"/>
        <v>70</v>
      </c>
      <c r="W16" s="17">
        <f t="shared" si="8"/>
        <v>5</v>
      </c>
      <c r="X16" s="17">
        <f t="shared" si="8"/>
        <v>1</v>
      </c>
      <c r="Y16" s="17">
        <f t="shared" si="8"/>
        <v>15</v>
      </c>
      <c r="Z16" s="17">
        <f t="shared" si="8"/>
        <v>18</v>
      </c>
      <c r="AA16" s="17">
        <f t="shared" si="8"/>
        <v>9</v>
      </c>
      <c r="AB16" s="17">
        <f t="shared" si="8"/>
        <v>3</v>
      </c>
      <c r="AC16" s="17">
        <f t="shared" si="8"/>
        <v>441</v>
      </c>
      <c r="AD16" s="17">
        <f t="shared" si="8"/>
        <v>0</v>
      </c>
      <c r="AE16" s="31">
        <f t="shared" si="8"/>
        <v>362</v>
      </c>
      <c r="AF16" s="31">
        <f t="shared" si="8"/>
        <v>803</v>
      </c>
    </row>
    <row r="17" spans="2:32" ht="23.1" customHeight="1" x14ac:dyDescent="0.25">
      <c r="B17" s="23" t="s">
        <v>44</v>
      </c>
      <c r="C17" s="50">
        <v>36</v>
      </c>
      <c r="D17" s="50">
        <v>8</v>
      </c>
      <c r="E17" s="50">
        <v>10</v>
      </c>
      <c r="F17" s="50">
        <v>14</v>
      </c>
      <c r="G17" s="50">
        <v>0</v>
      </c>
      <c r="H17" s="50">
        <v>4</v>
      </c>
      <c r="I17" s="50">
        <v>1</v>
      </c>
      <c r="J17" s="50">
        <v>1</v>
      </c>
      <c r="K17" s="50">
        <v>0</v>
      </c>
      <c r="L17" s="50">
        <v>0</v>
      </c>
      <c r="M17" s="50">
        <v>167</v>
      </c>
      <c r="N17" s="50">
        <v>0</v>
      </c>
      <c r="O17" s="15">
        <f t="shared" si="0"/>
        <v>74</v>
      </c>
      <c r="P17" s="15">
        <f t="shared" si="1"/>
        <v>241</v>
      </c>
      <c r="R17" s="1" t="s">
        <v>13</v>
      </c>
      <c r="S17" s="17">
        <f t="shared" ref="S17:AF17" si="9">SUM(C38:C41)</f>
        <v>198</v>
      </c>
      <c r="T17" s="17">
        <f t="shared" si="9"/>
        <v>38</v>
      </c>
      <c r="U17" s="17">
        <f t="shared" si="9"/>
        <v>39</v>
      </c>
      <c r="V17" s="17">
        <f t="shared" si="9"/>
        <v>62</v>
      </c>
      <c r="W17" s="17">
        <f t="shared" si="9"/>
        <v>4</v>
      </c>
      <c r="X17" s="17">
        <f t="shared" si="9"/>
        <v>0</v>
      </c>
      <c r="Y17" s="17">
        <f t="shared" si="9"/>
        <v>27</v>
      </c>
      <c r="Z17" s="17">
        <f t="shared" si="9"/>
        <v>10</v>
      </c>
      <c r="AA17" s="17">
        <f t="shared" si="9"/>
        <v>2</v>
      </c>
      <c r="AB17" s="17">
        <f t="shared" si="9"/>
        <v>1</v>
      </c>
      <c r="AC17" s="17">
        <f t="shared" si="9"/>
        <v>477</v>
      </c>
      <c r="AD17" s="17">
        <f t="shared" si="9"/>
        <v>0</v>
      </c>
      <c r="AE17" s="31">
        <f t="shared" si="9"/>
        <v>381</v>
      </c>
      <c r="AF17" s="31">
        <f t="shared" si="9"/>
        <v>858</v>
      </c>
    </row>
    <row r="18" spans="2:32" ht="23.1" customHeight="1" x14ac:dyDescent="0.25">
      <c r="B18" s="23" t="s">
        <v>45</v>
      </c>
      <c r="C18" s="50">
        <v>28</v>
      </c>
      <c r="D18" s="50">
        <v>7</v>
      </c>
      <c r="E18" s="50">
        <v>4</v>
      </c>
      <c r="F18" s="50">
        <v>15</v>
      </c>
      <c r="G18" s="50">
        <v>0</v>
      </c>
      <c r="H18" s="50">
        <v>0</v>
      </c>
      <c r="I18" s="50">
        <v>6</v>
      </c>
      <c r="J18" s="50">
        <v>2</v>
      </c>
      <c r="K18" s="50">
        <v>1</v>
      </c>
      <c r="L18" s="50">
        <v>0</v>
      </c>
      <c r="M18" s="50">
        <v>131</v>
      </c>
      <c r="N18" s="50">
        <v>0</v>
      </c>
      <c r="O18" s="15">
        <f t="shared" si="0"/>
        <v>63</v>
      </c>
      <c r="P18" s="15">
        <f t="shared" si="1"/>
        <v>194</v>
      </c>
      <c r="R18" s="1" t="s">
        <v>14</v>
      </c>
      <c r="S18" s="17">
        <f t="shared" ref="S18:AF18" si="10">SUM(C42:C45)</f>
        <v>218</v>
      </c>
      <c r="T18" s="17">
        <f t="shared" si="10"/>
        <v>52</v>
      </c>
      <c r="U18" s="17">
        <f t="shared" si="10"/>
        <v>48</v>
      </c>
      <c r="V18" s="17">
        <f t="shared" si="10"/>
        <v>69</v>
      </c>
      <c r="W18" s="17">
        <f t="shared" si="10"/>
        <v>0</v>
      </c>
      <c r="X18" s="17">
        <f t="shared" si="10"/>
        <v>1</v>
      </c>
      <c r="Y18" s="17">
        <f t="shared" si="10"/>
        <v>30</v>
      </c>
      <c r="Z18" s="17">
        <f t="shared" si="10"/>
        <v>15</v>
      </c>
      <c r="AA18" s="17">
        <f t="shared" si="10"/>
        <v>4</v>
      </c>
      <c r="AB18" s="17">
        <f t="shared" si="10"/>
        <v>1</v>
      </c>
      <c r="AC18" s="17">
        <f t="shared" si="10"/>
        <v>494</v>
      </c>
      <c r="AD18" s="17">
        <f t="shared" si="10"/>
        <v>0</v>
      </c>
      <c r="AE18" s="31">
        <f t="shared" si="10"/>
        <v>438</v>
      </c>
      <c r="AF18" s="31">
        <f t="shared" si="10"/>
        <v>932</v>
      </c>
    </row>
    <row r="19" spans="2:32" ht="23.1" customHeight="1" x14ac:dyDescent="0.25">
      <c r="B19" s="23" t="s">
        <v>46</v>
      </c>
      <c r="C19" s="50">
        <v>34</v>
      </c>
      <c r="D19" s="50">
        <v>6</v>
      </c>
      <c r="E19" s="50">
        <v>7</v>
      </c>
      <c r="F19" s="50">
        <v>13</v>
      </c>
      <c r="G19" s="50">
        <v>0</v>
      </c>
      <c r="H19" s="50">
        <v>0</v>
      </c>
      <c r="I19" s="50">
        <v>3</v>
      </c>
      <c r="J19" s="50">
        <v>0</v>
      </c>
      <c r="K19" s="50">
        <v>1</v>
      </c>
      <c r="L19" s="50">
        <v>0</v>
      </c>
      <c r="M19" s="50">
        <v>114</v>
      </c>
      <c r="N19" s="50">
        <v>0</v>
      </c>
      <c r="O19" s="15">
        <f t="shared" si="0"/>
        <v>64</v>
      </c>
      <c r="P19" s="15">
        <f t="shared" si="1"/>
        <v>178</v>
      </c>
      <c r="R19" s="1" t="s">
        <v>15</v>
      </c>
      <c r="S19" s="17">
        <f t="shared" ref="S19:AF19" si="11">SUM(C46:C49)</f>
        <v>237</v>
      </c>
      <c r="T19" s="17">
        <f t="shared" si="11"/>
        <v>67</v>
      </c>
      <c r="U19" s="17">
        <f t="shared" si="11"/>
        <v>49</v>
      </c>
      <c r="V19" s="17">
        <f t="shared" si="11"/>
        <v>74</v>
      </c>
      <c r="W19" s="17">
        <f t="shared" si="11"/>
        <v>2</v>
      </c>
      <c r="X19" s="17">
        <f t="shared" si="11"/>
        <v>8</v>
      </c>
      <c r="Y19" s="17">
        <f t="shared" si="11"/>
        <v>23</v>
      </c>
      <c r="Z19" s="17">
        <f t="shared" si="11"/>
        <v>7</v>
      </c>
      <c r="AA19" s="17">
        <f t="shared" si="11"/>
        <v>4</v>
      </c>
      <c r="AB19" s="17">
        <f t="shared" si="11"/>
        <v>1</v>
      </c>
      <c r="AC19" s="17">
        <f t="shared" si="11"/>
        <v>482</v>
      </c>
      <c r="AD19" s="17">
        <f t="shared" si="11"/>
        <v>0</v>
      </c>
      <c r="AE19" s="31">
        <f t="shared" si="11"/>
        <v>472</v>
      </c>
      <c r="AF19" s="31">
        <f t="shared" si="11"/>
        <v>954</v>
      </c>
    </row>
    <row r="20" spans="2:32" ht="23.1" customHeight="1" x14ac:dyDescent="0.25">
      <c r="B20" s="23" t="s">
        <v>47</v>
      </c>
      <c r="C20" s="50">
        <v>40</v>
      </c>
      <c r="D20" s="50">
        <v>8</v>
      </c>
      <c r="E20" s="50">
        <v>6</v>
      </c>
      <c r="F20" s="50">
        <v>17</v>
      </c>
      <c r="G20" s="50">
        <v>0</v>
      </c>
      <c r="H20" s="50">
        <v>0</v>
      </c>
      <c r="I20" s="50">
        <v>7</v>
      </c>
      <c r="J20" s="50">
        <v>3</v>
      </c>
      <c r="K20" s="50">
        <v>2</v>
      </c>
      <c r="L20" s="50">
        <v>0</v>
      </c>
      <c r="M20" s="50">
        <v>141</v>
      </c>
      <c r="N20" s="50">
        <v>0</v>
      </c>
      <c r="O20" s="15">
        <f t="shared" si="0"/>
        <v>83</v>
      </c>
      <c r="P20" s="15">
        <f t="shared" si="1"/>
        <v>224</v>
      </c>
      <c r="R20" s="1" t="s">
        <v>16</v>
      </c>
      <c r="S20" s="17">
        <f t="shared" ref="S20:AF20" si="12">SUM(C50:C53)</f>
        <v>317</v>
      </c>
      <c r="T20" s="17">
        <f t="shared" si="12"/>
        <v>126</v>
      </c>
      <c r="U20" s="17">
        <f t="shared" si="12"/>
        <v>69</v>
      </c>
      <c r="V20" s="17">
        <f t="shared" si="12"/>
        <v>87</v>
      </c>
      <c r="W20" s="17">
        <f t="shared" si="12"/>
        <v>14</v>
      </c>
      <c r="X20" s="17">
        <f t="shared" si="12"/>
        <v>0</v>
      </c>
      <c r="Y20" s="17">
        <f t="shared" si="12"/>
        <v>19</v>
      </c>
      <c r="Z20" s="17">
        <f t="shared" si="12"/>
        <v>20</v>
      </c>
      <c r="AA20" s="17">
        <f t="shared" si="12"/>
        <v>3</v>
      </c>
      <c r="AB20" s="17">
        <f t="shared" si="12"/>
        <v>2</v>
      </c>
      <c r="AC20" s="17">
        <f t="shared" si="12"/>
        <v>590</v>
      </c>
      <c r="AD20" s="17">
        <f t="shared" si="12"/>
        <v>0</v>
      </c>
      <c r="AE20" s="31">
        <f t="shared" si="12"/>
        <v>657</v>
      </c>
      <c r="AF20" s="31">
        <f t="shared" si="12"/>
        <v>1247</v>
      </c>
    </row>
    <row r="21" spans="2:32" ht="23.1" customHeight="1" x14ac:dyDescent="0.25">
      <c r="B21" s="23" t="s">
        <v>48</v>
      </c>
      <c r="C21" s="50">
        <v>41</v>
      </c>
      <c r="D21" s="50">
        <v>4</v>
      </c>
      <c r="E21" s="50">
        <v>9</v>
      </c>
      <c r="F21" s="50">
        <v>16</v>
      </c>
      <c r="G21" s="50">
        <v>0</v>
      </c>
      <c r="H21" s="50">
        <v>0</v>
      </c>
      <c r="I21" s="50">
        <v>4</v>
      </c>
      <c r="J21" s="50">
        <v>1</v>
      </c>
      <c r="K21" s="50">
        <v>0</v>
      </c>
      <c r="L21" s="50">
        <v>0</v>
      </c>
      <c r="M21" s="50">
        <v>155</v>
      </c>
      <c r="N21" s="50">
        <v>0</v>
      </c>
      <c r="O21" s="15">
        <f t="shared" si="0"/>
        <v>75</v>
      </c>
      <c r="P21" s="15">
        <f t="shared" si="1"/>
        <v>230</v>
      </c>
      <c r="R21" s="36" t="s">
        <v>20</v>
      </c>
      <c r="S21" s="34">
        <f t="shared" ref="S21:AF21" si="13">SUM(C54:C57)</f>
        <v>340</v>
      </c>
      <c r="T21" s="17">
        <f t="shared" si="13"/>
        <v>113</v>
      </c>
      <c r="U21" s="17">
        <f t="shared" si="13"/>
        <v>64</v>
      </c>
      <c r="V21" s="17">
        <f t="shared" si="13"/>
        <v>68</v>
      </c>
      <c r="W21" s="17">
        <f t="shared" si="13"/>
        <v>3</v>
      </c>
      <c r="X21" s="17">
        <f t="shared" si="13"/>
        <v>5</v>
      </c>
      <c r="Y21" s="17">
        <f t="shared" si="13"/>
        <v>15</v>
      </c>
      <c r="Z21" s="17">
        <f t="shared" si="13"/>
        <v>6</v>
      </c>
      <c r="AA21" s="17">
        <f t="shared" si="13"/>
        <v>3</v>
      </c>
      <c r="AB21" s="17">
        <f t="shared" si="13"/>
        <v>1</v>
      </c>
      <c r="AC21" s="17">
        <f t="shared" si="13"/>
        <v>617</v>
      </c>
      <c r="AD21" s="17">
        <f t="shared" si="13"/>
        <v>0</v>
      </c>
      <c r="AE21" s="31">
        <f t="shared" si="13"/>
        <v>618</v>
      </c>
      <c r="AF21" s="31">
        <f t="shared" si="13"/>
        <v>1235</v>
      </c>
    </row>
    <row r="22" spans="2:32" ht="23.1" customHeight="1" x14ac:dyDescent="0.25">
      <c r="B22" s="23" t="s">
        <v>49</v>
      </c>
      <c r="C22" s="50">
        <v>50</v>
      </c>
      <c r="D22" s="50">
        <v>8</v>
      </c>
      <c r="E22" s="50">
        <v>9</v>
      </c>
      <c r="F22" s="50">
        <v>18</v>
      </c>
      <c r="G22" s="50">
        <v>0</v>
      </c>
      <c r="H22" s="50">
        <v>0</v>
      </c>
      <c r="I22" s="50">
        <v>9</v>
      </c>
      <c r="J22" s="50">
        <v>5</v>
      </c>
      <c r="K22" s="50">
        <v>0</v>
      </c>
      <c r="L22" s="50">
        <v>0</v>
      </c>
      <c r="M22" s="50">
        <v>155</v>
      </c>
      <c r="N22" s="50">
        <v>0</v>
      </c>
      <c r="O22" s="15">
        <f t="shared" si="0"/>
        <v>99</v>
      </c>
      <c r="P22" s="15">
        <f t="shared" si="1"/>
        <v>254</v>
      </c>
      <c r="R22" s="38" t="s">
        <v>90</v>
      </c>
      <c r="S22" s="39">
        <f>MAX(S10:S12)</f>
        <v>163</v>
      </c>
      <c r="T22" s="39">
        <f t="shared" ref="T22:AF22" si="14">MAX(T10:T12)</f>
        <v>36</v>
      </c>
      <c r="U22" s="39">
        <f t="shared" si="14"/>
        <v>32</v>
      </c>
      <c r="V22" s="39">
        <f t="shared" si="14"/>
        <v>65</v>
      </c>
      <c r="W22" s="39">
        <f t="shared" si="14"/>
        <v>1</v>
      </c>
      <c r="X22" s="39">
        <f t="shared" si="14"/>
        <v>16</v>
      </c>
      <c r="Y22" s="39">
        <f t="shared" si="14"/>
        <v>20</v>
      </c>
      <c r="Z22" s="39">
        <f t="shared" si="14"/>
        <v>10</v>
      </c>
      <c r="AA22" s="39">
        <f t="shared" si="14"/>
        <v>4</v>
      </c>
      <c r="AB22" s="39">
        <f t="shared" si="14"/>
        <v>8</v>
      </c>
      <c r="AC22" s="39">
        <f t="shared" si="14"/>
        <v>691</v>
      </c>
      <c r="AD22" s="39">
        <f t="shared" si="14"/>
        <v>0</v>
      </c>
      <c r="AE22" s="40">
        <f t="shared" si="14"/>
        <v>324</v>
      </c>
      <c r="AF22" s="40">
        <f t="shared" si="14"/>
        <v>1015</v>
      </c>
    </row>
    <row r="23" spans="2:32" ht="23.1" customHeight="1" x14ac:dyDescent="0.25">
      <c r="B23" s="23" t="s">
        <v>50</v>
      </c>
      <c r="C23" s="50">
        <v>40</v>
      </c>
      <c r="D23" s="50">
        <v>20</v>
      </c>
      <c r="E23" s="50">
        <v>9</v>
      </c>
      <c r="F23" s="50">
        <v>19</v>
      </c>
      <c r="G23" s="50">
        <v>0</v>
      </c>
      <c r="H23" s="50">
        <v>0</v>
      </c>
      <c r="I23" s="50">
        <v>10</v>
      </c>
      <c r="J23" s="50">
        <v>5</v>
      </c>
      <c r="K23" s="50">
        <v>2</v>
      </c>
      <c r="L23" s="50">
        <v>0</v>
      </c>
      <c r="M23" s="50">
        <v>156</v>
      </c>
      <c r="N23" s="50">
        <v>0</v>
      </c>
      <c r="O23" s="15">
        <f t="shared" si="0"/>
        <v>105</v>
      </c>
      <c r="P23" s="15">
        <f t="shared" si="1"/>
        <v>261</v>
      </c>
      <c r="R23" s="38" t="s">
        <v>91</v>
      </c>
      <c r="S23" s="39">
        <f>MAX(S13:S18)</f>
        <v>218</v>
      </c>
      <c r="T23" s="39">
        <f t="shared" ref="T23:AF23" si="15">MAX(T13:T18)</f>
        <v>80</v>
      </c>
      <c r="U23" s="39">
        <f t="shared" si="15"/>
        <v>48</v>
      </c>
      <c r="V23" s="39">
        <f t="shared" si="15"/>
        <v>70</v>
      </c>
      <c r="W23" s="39">
        <f t="shared" si="15"/>
        <v>5</v>
      </c>
      <c r="X23" s="39">
        <f t="shared" si="15"/>
        <v>1</v>
      </c>
      <c r="Y23" s="39">
        <f t="shared" si="15"/>
        <v>36</v>
      </c>
      <c r="Z23" s="39">
        <f t="shared" si="15"/>
        <v>18</v>
      </c>
      <c r="AA23" s="39">
        <f t="shared" si="15"/>
        <v>9</v>
      </c>
      <c r="AB23" s="39">
        <f t="shared" si="15"/>
        <v>3</v>
      </c>
      <c r="AC23" s="39">
        <f t="shared" si="15"/>
        <v>592</v>
      </c>
      <c r="AD23" s="39">
        <f t="shared" si="15"/>
        <v>1</v>
      </c>
      <c r="AE23" s="40">
        <f t="shared" si="15"/>
        <v>438</v>
      </c>
      <c r="AF23" s="40">
        <f t="shared" si="15"/>
        <v>971</v>
      </c>
    </row>
    <row r="24" spans="2:32" ht="23.1" customHeight="1" x14ac:dyDescent="0.25">
      <c r="B24" s="23" t="s">
        <v>51</v>
      </c>
      <c r="C24" s="50">
        <v>37</v>
      </c>
      <c r="D24" s="50">
        <v>32</v>
      </c>
      <c r="E24" s="50">
        <v>10</v>
      </c>
      <c r="F24" s="50">
        <v>10</v>
      </c>
      <c r="G24" s="50">
        <v>0</v>
      </c>
      <c r="H24" s="50">
        <v>0</v>
      </c>
      <c r="I24" s="50">
        <v>9</v>
      </c>
      <c r="J24" s="50">
        <v>2</v>
      </c>
      <c r="K24" s="50">
        <v>0</v>
      </c>
      <c r="L24" s="50">
        <v>0</v>
      </c>
      <c r="M24" s="50">
        <v>142</v>
      </c>
      <c r="N24" s="50">
        <v>0</v>
      </c>
      <c r="O24" s="15">
        <f t="shared" si="0"/>
        <v>100</v>
      </c>
      <c r="P24" s="15">
        <f t="shared" si="1"/>
        <v>242</v>
      </c>
      <c r="R24" s="38" t="s">
        <v>92</v>
      </c>
      <c r="S24" s="39">
        <f>MAX(S19:S21)</f>
        <v>340</v>
      </c>
      <c r="T24" s="39">
        <f t="shared" ref="T24:AF24" si="16">MAX(T19:T21)</f>
        <v>126</v>
      </c>
      <c r="U24" s="39">
        <f t="shared" si="16"/>
        <v>69</v>
      </c>
      <c r="V24" s="39">
        <f t="shared" si="16"/>
        <v>87</v>
      </c>
      <c r="W24" s="39">
        <f t="shared" si="16"/>
        <v>14</v>
      </c>
      <c r="X24" s="39">
        <f t="shared" si="16"/>
        <v>8</v>
      </c>
      <c r="Y24" s="39">
        <f t="shared" si="16"/>
        <v>23</v>
      </c>
      <c r="Z24" s="39">
        <f t="shared" si="16"/>
        <v>20</v>
      </c>
      <c r="AA24" s="39">
        <f t="shared" si="16"/>
        <v>4</v>
      </c>
      <c r="AB24" s="39">
        <f t="shared" si="16"/>
        <v>2</v>
      </c>
      <c r="AC24" s="39">
        <f t="shared" si="16"/>
        <v>617</v>
      </c>
      <c r="AD24" s="39">
        <f t="shared" si="16"/>
        <v>0</v>
      </c>
      <c r="AE24" s="40">
        <f t="shared" si="16"/>
        <v>657</v>
      </c>
      <c r="AF24" s="40">
        <f t="shared" si="16"/>
        <v>1247</v>
      </c>
    </row>
    <row r="25" spans="2:32" ht="23.1" customHeight="1" x14ac:dyDescent="0.25">
      <c r="B25" s="23" t="s">
        <v>52</v>
      </c>
      <c r="C25" s="50">
        <v>33</v>
      </c>
      <c r="D25" s="50">
        <v>20</v>
      </c>
      <c r="E25" s="50">
        <v>6</v>
      </c>
      <c r="F25" s="50">
        <v>12</v>
      </c>
      <c r="G25" s="50">
        <v>0</v>
      </c>
      <c r="H25" s="50">
        <v>0</v>
      </c>
      <c r="I25" s="50">
        <v>3</v>
      </c>
      <c r="J25" s="50">
        <v>1</v>
      </c>
      <c r="K25" s="50">
        <v>0</v>
      </c>
      <c r="L25" s="50">
        <v>0</v>
      </c>
      <c r="M25" s="50">
        <v>139</v>
      </c>
      <c r="N25" s="50">
        <v>0</v>
      </c>
      <c r="O25" s="15">
        <f t="shared" si="0"/>
        <v>75</v>
      </c>
      <c r="P25" s="15">
        <f t="shared" si="1"/>
        <v>214</v>
      </c>
      <c r="R25" s="37" t="s">
        <v>85</v>
      </c>
      <c r="S25" s="35">
        <f t="shared" ref="S25:AF25" si="17">SUM(S10:S12)</f>
        <v>446</v>
      </c>
      <c r="T25" s="16">
        <f t="shared" si="17"/>
        <v>95</v>
      </c>
      <c r="U25" s="16">
        <f t="shared" si="17"/>
        <v>84</v>
      </c>
      <c r="V25" s="16">
        <f t="shared" si="17"/>
        <v>182</v>
      </c>
      <c r="W25" s="16">
        <f t="shared" si="17"/>
        <v>1</v>
      </c>
      <c r="X25" s="16">
        <f t="shared" si="17"/>
        <v>17</v>
      </c>
      <c r="Y25" s="16">
        <f t="shared" si="17"/>
        <v>42</v>
      </c>
      <c r="Z25" s="16">
        <f t="shared" si="17"/>
        <v>26</v>
      </c>
      <c r="AA25" s="16">
        <f t="shared" si="17"/>
        <v>8</v>
      </c>
      <c r="AB25" s="16">
        <f t="shared" si="17"/>
        <v>8</v>
      </c>
      <c r="AC25" s="16">
        <f t="shared" si="17"/>
        <v>1740</v>
      </c>
      <c r="AD25" s="16">
        <f t="shared" si="17"/>
        <v>0</v>
      </c>
      <c r="AE25" s="32">
        <f t="shared" si="17"/>
        <v>909</v>
      </c>
      <c r="AF25" s="32">
        <f t="shared" si="17"/>
        <v>2649</v>
      </c>
    </row>
    <row r="26" spans="2:32" ht="23.1" customHeight="1" x14ac:dyDescent="0.25">
      <c r="B26" s="23" t="s">
        <v>53</v>
      </c>
      <c r="C26" s="50">
        <v>47</v>
      </c>
      <c r="D26" s="50">
        <v>10</v>
      </c>
      <c r="E26" s="50">
        <v>15</v>
      </c>
      <c r="F26" s="50">
        <v>18</v>
      </c>
      <c r="G26" s="50">
        <v>0</v>
      </c>
      <c r="H26" s="50">
        <v>0</v>
      </c>
      <c r="I26" s="50">
        <v>12</v>
      </c>
      <c r="J26" s="50">
        <v>3</v>
      </c>
      <c r="K26" s="50">
        <v>0</v>
      </c>
      <c r="L26" s="50">
        <v>1</v>
      </c>
      <c r="M26" s="50">
        <v>136</v>
      </c>
      <c r="N26" s="50">
        <v>0</v>
      </c>
      <c r="O26" s="15">
        <f t="shared" si="0"/>
        <v>106</v>
      </c>
      <c r="P26" s="15">
        <f t="shared" si="1"/>
        <v>242</v>
      </c>
      <c r="R26" s="28" t="s">
        <v>86</v>
      </c>
      <c r="S26" s="16">
        <f t="shared" ref="S26:AF26" si="18">SUM(S13:S18)</f>
        <v>1103</v>
      </c>
      <c r="T26" s="16">
        <f t="shared" si="18"/>
        <v>271</v>
      </c>
      <c r="U26" s="16">
        <f t="shared" si="18"/>
        <v>233</v>
      </c>
      <c r="V26" s="16">
        <f t="shared" si="18"/>
        <v>387</v>
      </c>
      <c r="W26" s="16">
        <f t="shared" si="18"/>
        <v>9</v>
      </c>
      <c r="X26" s="16">
        <f t="shared" si="18"/>
        <v>2</v>
      </c>
      <c r="Y26" s="16">
        <f t="shared" si="18"/>
        <v>170</v>
      </c>
      <c r="Z26" s="16">
        <f t="shared" si="18"/>
        <v>70</v>
      </c>
      <c r="AA26" s="16">
        <f t="shared" si="18"/>
        <v>24</v>
      </c>
      <c r="AB26" s="16">
        <f t="shared" si="18"/>
        <v>9</v>
      </c>
      <c r="AC26" s="16">
        <f t="shared" si="18"/>
        <v>3041</v>
      </c>
      <c r="AD26" s="16">
        <f t="shared" si="18"/>
        <v>1</v>
      </c>
      <c r="AE26" s="32">
        <f t="shared" si="18"/>
        <v>2279</v>
      </c>
      <c r="AF26" s="32">
        <f t="shared" si="18"/>
        <v>5320</v>
      </c>
    </row>
    <row r="27" spans="2:32" ht="23.1" customHeight="1" x14ac:dyDescent="0.25">
      <c r="B27" s="23" t="s">
        <v>54</v>
      </c>
      <c r="C27" s="50">
        <v>45</v>
      </c>
      <c r="D27" s="50">
        <v>2</v>
      </c>
      <c r="E27" s="50">
        <v>9</v>
      </c>
      <c r="F27" s="50">
        <v>21</v>
      </c>
      <c r="G27" s="50">
        <v>0</v>
      </c>
      <c r="H27" s="50">
        <v>0</v>
      </c>
      <c r="I27" s="50">
        <v>3</v>
      </c>
      <c r="J27" s="50">
        <v>0</v>
      </c>
      <c r="K27" s="50">
        <v>0</v>
      </c>
      <c r="L27" s="50">
        <v>0</v>
      </c>
      <c r="M27" s="50">
        <v>149</v>
      </c>
      <c r="N27" s="50">
        <v>0</v>
      </c>
      <c r="O27" s="15">
        <f t="shared" si="0"/>
        <v>80</v>
      </c>
      <c r="P27" s="15">
        <f t="shared" si="1"/>
        <v>229</v>
      </c>
      <c r="R27" s="29" t="s">
        <v>87</v>
      </c>
      <c r="S27" s="16">
        <f t="shared" ref="S27:AF27" si="19">SUM(S19:S21)</f>
        <v>894</v>
      </c>
      <c r="T27" s="16">
        <f t="shared" si="19"/>
        <v>306</v>
      </c>
      <c r="U27" s="16">
        <f t="shared" si="19"/>
        <v>182</v>
      </c>
      <c r="V27" s="16">
        <f t="shared" si="19"/>
        <v>229</v>
      </c>
      <c r="W27" s="16">
        <f t="shared" si="19"/>
        <v>19</v>
      </c>
      <c r="X27" s="16">
        <f t="shared" si="19"/>
        <v>13</v>
      </c>
      <c r="Y27" s="16">
        <f t="shared" si="19"/>
        <v>57</v>
      </c>
      <c r="Z27" s="16">
        <f t="shared" si="19"/>
        <v>33</v>
      </c>
      <c r="AA27" s="16">
        <f t="shared" si="19"/>
        <v>10</v>
      </c>
      <c r="AB27" s="16">
        <f t="shared" si="19"/>
        <v>4</v>
      </c>
      <c r="AC27" s="16">
        <f t="shared" si="19"/>
        <v>1689</v>
      </c>
      <c r="AD27" s="16">
        <f t="shared" si="19"/>
        <v>0</v>
      </c>
      <c r="AE27" s="32">
        <f t="shared" si="19"/>
        <v>1747</v>
      </c>
      <c r="AF27" s="32">
        <f t="shared" si="19"/>
        <v>3436</v>
      </c>
    </row>
    <row r="28" spans="2:32" ht="23.1" customHeight="1" x14ac:dyDescent="0.25">
      <c r="B28" s="23" t="s">
        <v>55</v>
      </c>
      <c r="C28" s="50">
        <v>38</v>
      </c>
      <c r="D28" s="50">
        <v>7</v>
      </c>
      <c r="E28" s="50">
        <v>7</v>
      </c>
      <c r="F28" s="50">
        <v>2</v>
      </c>
      <c r="G28" s="50">
        <v>0</v>
      </c>
      <c r="H28" s="50">
        <v>0</v>
      </c>
      <c r="I28" s="50">
        <v>11</v>
      </c>
      <c r="J28" s="50">
        <v>1</v>
      </c>
      <c r="K28" s="50">
        <v>0</v>
      </c>
      <c r="L28" s="50">
        <v>0</v>
      </c>
      <c r="M28" s="50">
        <v>127</v>
      </c>
      <c r="N28" s="50">
        <v>0</v>
      </c>
      <c r="O28" s="15">
        <f t="shared" si="0"/>
        <v>66</v>
      </c>
      <c r="P28" s="15">
        <f t="shared" si="1"/>
        <v>193</v>
      </c>
      <c r="R28" s="5" t="s">
        <v>17</v>
      </c>
      <c r="S28" s="16">
        <f t="shared" ref="S28:AF28" si="20">SUM(S10:S21)</f>
        <v>2443</v>
      </c>
      <c r="T28" s="16">
        <f t="shared" si="20"/>
        <v>672</v>
      </c>
      <c r="U28" s="16">
        <f t="shared" si="20"/>
        <v>499</v>
      </c>
      <c r="V28" s="16">
        <f t="shared" si="20"/>
        <v>798</v>
      </c>
      <c r="W28" s="16">
        <f t="shared" si="20"/>
        <v>29</v>
      </c>
      <c r="X28" s="16">
        <f t="shared" si="20"/>
        <v>32</v>
      </c>
      <c r="Y28" s="16">
        <f t="shared" si="20"/>
        <v>269</v>
      </c>
      <c r="Z28" s="16">
        <f t="shared" si="20"/>
        <v>129</v>
      </c>
      <c r="AA28" s="16">
        <f t="shared" si="20"/>
        <v>42</v>
      </c>
      <c r="AB28" s="16">
        <f t="shared" si="20"/>
        <v>21</v>
      </c>
      <c r="AC28" s="16">
        <f t="shared" si="20"/>
        <v>6470</v>
      </c>
      <c r="AD28" s="16">
        <f t="shared" si="20"/>
        <v>1</v>
      </c>
      <c r="AE28" s="32">
        <f t="shared" si="20"/>
        <v>4935</v>
      </c>
      <c r="AF28" s="32">
        <f t="shared" si="20"/>
        <v>11405</v>
      </c>
    </row>
    <row r="29" spans="2:32" ht="23.1" customHeight="1" x14ac:dyDescent="0.25">
      <c r="B29" s="23" t="s">
        <v>56</v>
      </c>
      <c r="C29" s="50">
        <v>47</v>
      </c>
      <c r="D29" s="50">
        <v>5</v>
      </c>
      <c r="E29" s="50">
        <v>4</v>
      </c>
      <c r="F29" s="50">
        <v>17</v>
      </c>
      <c r="G29" s="50">
        <v>0</v>
      </c>
      <c r="H29" s="50">
        <v>0</v>
      </c>
      <c r="I29" s="50">
        <v>10</v>
      </c>
      <c r="J29" s="50">
        <v>0</v>
      </c>
      <c r="K29" s="50">
        <v>1</v>
      </c>
      <c r="L29" s="50">
        <v>0</v>
      </c>
      <c r="M29" s="50">
        <v>145</v>
      </c>
      <c r="N29" s="50">
        <v>0</v>
      </c>
      <c r="O29" s="15">
        <f t="shared" si="0"/>
        <v>84</v>
      </c>
      <c r="P29" s="15">
        <f t="shared" si="1"/>
        <v>229</v>
      </c>
      <c r="R29"/>
      <c r="S29" s="20"/>
      <c r="T29" s="19"/>
    </row>
    <row r="30" spans="2:32" ht="23.1" customHeight="1" x14ac:dyDescent="0.25">
      <c r="B30" s="23" t="s">
        <v>57</v>
      </c>
      <c r="C30" s="50">
        <v>43</v>
      </c>
      <c r="D30" s="50">
        <v>7</v>
      </c>
      <c r="E30" s="50">
        <v>14</v>
      </c>
      <c r="F30" s="50">
        <v>15</v>
      </c>
      <c r="G30" s="50">
        <v>0</v>
      </c>
      <c r="H30" s="50">
        <v>0</v>
      </c>
      <c r="I30" s="50">
        <v>7</v>
      </c>
      <c r="J30" s="50">
        <v>2</v>
      </c>
      <c r="K30" s="50">
        <v>0</v>
      </c>
      <c r="L30" s="50">
        <v>0</v>
      </c>
      <c r="M30" s="50">
        <v>125</v>
      </c>
      <c r="N30" s="50">
        <v>1</v>
      </c>
      <c r="O30" s="15">
        <f t="shared" si="0"/>
        <v>89</v>
      </c>
      <c r="P30" s="15">
        <f t="shared" si="1"/>
        <v>214</v>
      </c>
    </row>
    <row r="31" spans="2:32" ht="23.1" customHeight="1" x14ac:dyDescent="0.25">
      <c r="B31" s="24" t="s">
        <v>58</v>
      </c>
      <c r="C31" s="50">
        <v>47</v>
      </c>
      <c r="D31" s="50">
        <v>17</v>
      </c>
      <c r="E31" s="50">
        <v>11</v>
      </c>
      <c r="F31" s="50">
        <v>22</v>
      </c>
      <c r="G31" s="50">
        <v>0</v>
      </c>
      <c r="H31" s="50">
        <v>0</v>
      </c>
      <c r="I31" s="50">
        <v>9</v>
      </c>
      <c r="J31" s="50">
        <v>5</v>
      </c>
      <c r="K31" s="50">
        <v>1</v>
      </c>
      <c r="L31" s="50">
        <v>3</v>
      </c>
      <c r="M31" s="50">
        <v>138</v>
      </c>
      <c r="N31" s="50">
        <v>0</v>
      </c>
      <c r="O31" s="15">
        <f t="shared" si="0"/>
        <v>115</v>
      </c>
      <c r="P31" s="15">
        <f t="shared" si="1"/>
        <v>253</v>
      </c>
    </row>
    <row r="32" spans="2:32" ht="23.1" customHeight="1" x14ac:dyDescent="0.25">
      <c r="B32" s="24" t="s">
        <v>59</v>
      </c>
      <c r="C32" s="50">
        <v>38</v>
      </c>
      <c r="D32" s="50">
        <v>10</v>
      </c>
      <c r="E32" s="50">
        <v>3</v>
      </c>
      <c r="F32" s="50">
        <v>19</v>
      </c>
      <c r="G32" s="50">
        <v>0</v>
      </c>
      <c r="H32" s="50">
        <v>0</v>
      </c>
      <c r="I32" s="50">
        <v>4</v>
      </c>
      <c r="J32" s="50">
        <v>2</v>
      </c>
      <c r="K32" s="50">
        <v>1</v>
      </c>
      <c r="L32" s="50">
        <v>0</v>
      </c>
      <c r="M32" s="50">
        <v>102</v>
      </c>
      <c r="N32" s="50">
        <v>0</v>
      </c>
      <c r="O32" s="15">
        <f t="shared" si="0"/>
        <v>77</v>
      </c>
      <c r="P32" s="15">
        <f t="shared" si="1"/>
        <v>179</v>
      </c>
    </row>
    <row r="33" spans="2:20" ht="23.1" customHeight="1" x14ac:dyDescent="0.25">
      <c r="B33" s="23" t="s">
        <v>60</v>
      </c>
      <c r="C33" s="50">
        <v>56</v>
      </c>
      <c r="D33" s="50">
        <v>9</v>
      </c>
      <c r="E33" s="50">
        <v>8</v>
      </c>
      <c r="F33" s="50">
        <v>13</v>
      </c>
      <c r="G33" s="50">
        <v>0</v>
      </c>
      <c r="H33" s="50">
        <v>0</v>
      </c>
      <c r="I33" s="50">
        <v>11</v>
      </c>
      <c r="J33" s="50">
        <v>1</v>
      </c>
      <c r="K33" s="50">
        <v>4</v>
      </c>
      <c r="L33" s="50">
        <v>0</v>
      </c>
      <c r="M33" s="50">
        <v>115</v>
      </c>
      <c r="N33" s="50">
        <v>0</v>
      </c>
      <c r="O33" s="15">
        <f t="shared" si="0"/>
        <v>102</v>
      </c>
      <c r="P33" s="15">
        <f t="shared" si="1"/>
        <v>217</v>
      </c>
    </row>
    <row r="34" spans="2:20" ht="23.1" customHeight="1" x14ac:dyDescent="0.25">
      <c r="B34" s="24" t="s">
        <v>61</v>
      </c>
      <c r="C34" s="50">
        <v>43</v>
      </c>
      <c r="D34" s="50">
        <v>6</v>
      </c>
      <c r="E34" s="50">
        <v>13</v>
      </c>
      <c r="F34" s="50">
        <v>19</v>
      </c>
      <c r="G34" s="50">
        <v>0</v>
      </c>
      <c r="H34" s="50">
        <v>0</v>
      </c>
      <c r="I34" s="50">
        <v>9</v>
      </c>
      <c r="J34" s="50">
        <v>1</v>
      </c>
      <c r="K34" s="50">
        <v>5</v>
      </c>
      <c r="L34" s="50">
        <v>0</v>
      </c>
      <c r="M34" s="50">
        <v>110</v>
      </c>
      <c r="N34" s="50">
        <v>0</v>
      </c>
      <c r="O34" s="15">
        <f t="shared" si="0"/>
        <v>96</v>
      </c>
      <c r="P34" s="15">
        <f t="shared" si="1"/>
        <v>206</v>
      </c>
    </row>
    <row r="35" spans="2:20" ht="23.1" customHeight="1" x14ac:dyDescent="0.25">
      <c r="B35" s="24" t="s">
        <v>62</v>
      </c>
      <c r="C35" s="50">
        <v>44</v>
      </c>
      <c r="D35" s="50">
        <v>11</v>
      </c>
      <c r="E35" s="50">
        <v>10</v>
      </c>
      <c r="F35" s="50">
        <v>18</v>
      </c>
      <c r="G35" s="50">
        <v>2</v>
      </c>
      <c r="H35" s="50">
        <v>0</v>
      </c>
      <c r="I35" s="50">
        <v>0</v>
      </c>
      <c r="J35" s="50">
        <v>10</v>
      </c>
      <c r="K35" s="50">
        <v>2</v>
      </c>
      <c r="L35" s="50">
        <v>0</v>
      </c>
      <c r="M35" s="50">
        <v>123</v>
      </c>
      <c r="N35" s="50">
        <v>0</v>
      </c>
      <c r="O35" s="15">
        <f t="shared" si="0"/>
        <v>97</v>
      </c>
      <c r="P35" s="15">
        <f t="shared" si="1"/>
        <v>220</v>
      </c>
    </row>
    <row r="36" spans="2:20" ht="23.1" customHeight="1" x14ac:dyDescent="0.25">
      <c r="B36" s="24" t="s">
        <v>63</v>
      </c>
      <c r="C36" s="50">
        <v>42</v>
      </c>
      <c r="D36" s="50">
        <v>7</v>
      </c>
      <c r="E36" s="50">
        <v>6</v>
      </c>
      <c r="F36" s="50">
        <v>9</v>
      </c>
      <c r="G36" s="50">
        <v>0</v>
      </c>
      <c r="H36" s="50">
        <v>0</v>
      </c>
      <c r="I36" s="50">
        <v>6</v>
      </c>
      <c r="J36" s="50">
        <v>2</v>
      </c>
      <c r="K36" s="50">
        <v>0</v>
      </c>
      <c r="L36" s="50">
        <v>1</v>
      </c>
      <c r="M36" s="50">
        <v>108</v>
      </c>
      <c r="N36" s="50">
        <v>0</v>
      </c>
      <c r="O36" s="15">
        <f t="shared" si="0"/>
        <v>73</v>
      </c>
      <c r="P36" s="15">
        <f t="shared" si="1"/>
        <v>181</v>
      </c>
    </row>
    <row r="37" spans="2:20" ht="23.1" customHeight="1" x14ac:dyDescent="0.25">
      <c r="B37" s="23" t="s">
        <v>64</v>
      </c>
      <c r="C37" s="50">
        <v>37</v>
      </c>
      <c r="D37" s="50">
        <v>10</v>
      </c>
      <c r="E37" s="50">
        <v>12</v>
      </c>
      <c r="F37" s="50">
        <v>24</v>
      </c>
      <c r="G37" s="50">
        <v>3</v>
      </c>
      <c r="H37" s="50">
        <v>1</v>
      </c>
      <c r="I37" s="50">
        <v>0</v>
      </c>
      <c r="J37" s="50">
        <v>5</v>
      </c>
      <c r="K37" s="50">
        <v>2</v>
      </c>
      <c r="L37" s="50">
        <v>2</v>
      </c>
      <c r="M37" s="50">
        <v>100</v>
      </c>
      <c r="N37" s="50">
        <v>0</v>
      </c>
      <c r="O37" s="15">
        <f t="shared" si="0"/>
        <v>96</v>
      </c>
      <c r="P37" s="15">
        <f t="shared" si="1"/>
        <v>196</v>
      </c>
    </row>
    <row r="38" spans="2:20" ht="23.1" customHeight="1" x14ac:dyDescent="0.25">
      <c r="B38" s="24" t="s">
        <v>65</v>
      </c>
      <c r="C38" s="50">
        <v>48</v>
      </c>
      <c r="D38" s="50">
        <v>12</v>
      </c>
      <c r="E38" s="50">
        <v>9</v>
      </c>
      <c r="F38" s="50">
        <v>14</v>
      </c>
      <c r="G38" s="50">
        <v>1</v>
      </c>
      <c r="H38" s="50">
        <v>0</v>
      </c>
      <c r="I38" s="50">
        <v>6</v>
      </c>
      <c r="J38" s="50">
        <v>0</v>
      </c>
      <c r="K38" s="50">
        <v>0</v>
      </c>
      <c r="L38" s="50">
        <v>0</v>
      </c>
      <c r="M38" s="50">
        <v>127</v>
      </c>
      <c r="N38" s="50">
        <v>0</v>
      </c>
      <c r="O38" s="15">
        <f t="shared" si="0"/>
        <v>90</v>
      </c>
      <c r="P38" s="15">
        <f t="shared" si="1"/>
        <v>217</v>
      </c>
    </row>
    <row r="39" spans="2:20" ht="23.1" customHeight="1" x14ac:dyDescent="0.25">
      <c r="B39" s="24" t="s">
        <v>66</v>
      </c>
      <c r="C39" s="50">
        <v>51</v>
      </c>
      <c r="D39" s="50">
        <v>6</v>
      </c>
      <c r="E39" s="50">
        <v>9</v>
      </c>
      <c r="F39" s="50">
        <v>15</v>
      </c>
      <c r="G39" s="50">
        <v>0</v>
      </c>
      <c r="H39" s="50">
        <v>0</v>
      </c>
      <c r="I39" s="50">
        <v>4</v>
      </c>
      <c r="J39" s="50">
        <v>5</v>
      </c>
      <c r="K39" s="50">
        <v>1</v>
      </c>
      <c r="L39" s="50">
        <v>0</v>
      </c>
      <c r="M39" s="50">
        <v>131</v>
      </c>
      <c r="N39" s="50">
        <v>0</v>
      </c>
      <c r="O39" s="15">
        <f t="shared" si="0"/>
        <v>91</v>
      </c>
      <c r="P39" s="15">
        <f t="shared" si="1"/>
        <v>222</v>
      </c>
    </row>
    <row r="40" spans="2:20" ht="23.1" customHeight="1" x14ac:dyDescent="0.25">
      <c r="B40" s="24" t="s">
        <v>67</v>
      </c>
      <c r="C40" s="50">
        <v>45</v>
      </c>
      <c r="D40" s="50">
        <v>12</v>
      </c>
      <c r="E40" s="50">
        <v>12</v>
      </c>
      <c r="F40" s="50">
        <v>14</v>
      </c>
      <c r="G40" s="50">
        <v>1</v>
      </c>
      <c r="H40" s="50">
        <v>0</v>
      </c>
      <c r="I40" s="50">
        <v>6</v>
      </c>
      <c r="J40" s="50">
        <v>2</v>
      </c>
      <c r="K40" s="50">
        <v>0</v>
      </c>
      <c r="L40" s="50">
        <v>0</v>
      </c>
      <c r="M40" s="50">
        <v>124</v>
      </c>
      <c r="N40" s="50">
        <v>0</v>
      </c>
      <c r="O40" s="15">
        <f t="shared" si="0"/>
        <v>92</v>
      </c>
      <c r="P40" s="15">
        <f t="shared" si="1"/>
        <v>216</v>
      </c>
    </row>
    <row r="41" spans="2:20" ht="23.1" customHeight="1" x14ac:dyDescent="0.25">
      <c r="B41" s="23" t="s">
        <v>68</v>
      </c>
      <c r="C41" s="50">
        <v>54</v>
      </c>
      <c r="D41" s="50">
        <v>8</v>
      </c>
      <c r="E41" s="50">
        <v>9</v>
      </c>
      <c r="F41" s="50">
        <v>19</v>
      </c>
      <c r="G41" s="50">
        <v>2</v>
      </c>
      <c r="H41" s="50">
        <v>0</v>
      </c>
      <c r="I41" s="50">
        <v>11</v>
      </c>
      <c r="J41" s="50">
        <v>3</v>
      </c>
      <c r="K41" s="50">
        <v>1</v>
      </c>
      <c r="L41" s="50">
        <v>1</v>
      </c>
      <c r="M41" s="50">
        <v>95</v>
      </c>
      <c r="N41" s="50">
        <v>0</v>
      </c>
      <c r="O41" s="15">
        <f t="shared" si="0"/>
        <v>108</v>
      </c>
      <c r="P41" s="15">
        <f t="shared" si="1"/>
        <v>203</v>
      </c>
    </row>
    <row r="42" spans="2:20" ht="23.1" customHeight="1" x14ac:dyDescent="0.25">
      <c r="B42" s="24" t="s">
        <v>69</v>
      </c>
      <c r="C42" s="50">
        <v>42</v>
      </c>
      <c r="D42" s="50">
        <v>13</v>
      </c>
      <c r="E42" s="50">
        <v>15</v>
      </c>
      <c r="F42" s="50">
        <v>17</v>
      </c>
      <c r="G42" s="50">
        <v>0</v>
      </c>
      <c r="H42" s="50">
        <v>0</v>
      </c>
      <c r="I42" s="50">
        <v>17</v>
      </c>
      <c r="J42" s="50">
        <v>3</v>
      </c>
      <c r="K42" s="50">
        <v>0</v>
      </c>
      <c r="L42" s="50">
        <v>0</v>
      </c>
      <c r="M42" s="50">
        <v>130</v>
      </c>
      <c r="N42" s="50">
        <v>0</v>
      </c>
      <c r="O42" s="15">
        <f t="shared" si="0"/>
        <v>107</v>
      </c>
      <c r="P42" s="15">
        <f t="shared" si="1"/>
        <v>237</v>
      </c>
    </row>
    <row r="43" spans="2:20" ht="23.1" customHeight="1" x14ac:dyDescent="0.25">
      <c r="B43" s="23" t="s">
        <v>70</v>
      </c>
      <c r="C43" s="50">
        <v>57</v>
      </c>
      <c r="D43" s="50">
        <v>14</v>
      </c>
      <c r="E43" s="50">
        <v>14</v>
      </c>
      <c r="F43" s="50">
        <v>16</v>
      </c>
      <c r="G43" s="50">
        <v>0</v>
      </c>
      <c r="H43" s="50">
        <v>1</v>
      </c>
      <c r="I43" s="50">
        <v>0</v>
      </c>
      <c r="J43" s="50">
        <v>5</v>
      </c>
      <c r="K43" s="50">
        <v>2</v>
      </c>
      <c r="L43" s="50">
        <v>0</v>
      </c>
      <c r="M43" s="50">
        <v>122</v>
      </c>
      <c r="N43" s="50">
        <v>0</v>
      </c>
      <c r="O43" s="15">
        <f t="shared" si="0"/>
        <v>109</v>
      </c>
      <c r="P43" s="15">
        <f t="shared" si="1"/>
        <v>231</v>
      </c>
    </row>
    <row r="44" spans="2:20" ht="23.1" customHeight="1" x14ac:dyDescent="0.25">
      <c r="B44" s="25" t="s">
        <v>71</v>
      </c>
      <c r="C44" s="50">
        <v>62</v>
      </c>
      <c r="D44" s="50">
        <v>10</v>
      </c>
      <c r="E44" s="50">
        <v>10</v>
      </c>
      <c r="F44" s="50">
        <v>20</v>
      </c>
      <c r="G44" s="50">
        <v>0</v>
      </c>
      <c r="H44" s="50">
        <v>0</v>
      </c>
      <c r="I44" s="50">
        <v>5</v>
      </c>
      <c r="J44" s="50">
        <v>3</v>
      </c>
      <c r="K44" s="50">
        <v>1</v>
      </c>
      <c r="L44" s="50">
        <v>0</v>
      </c>
      <c r="M44" s="50">
        <v>124</v>
      </c>
      <c r="N44" s="50">
        <v>0</v>
      </c>
      <c r="O44" s="15">
        <f t="shared" si="0"/>
        <v>111</v>
      </c>
      <c r="P44" s="15">
        <f t="shared" si="1"/>
        <v>235</v>
      </c>
    </row>
    <row r="45" spans="2:20" ht="23.1" customHeight="1" x14ac:dyDescent="0.25">
      <c r="B45" s="23" t="s">
        <v>72</v>
      </c>
      <c r="C45" s="50">
        <v>57</v>
      </c>
      <c r="D45" s="50">
        <v>15</v>
      </c>
      <c r="E45" s="50">
        <v>9</v>
      </c>
      <c r="F45" s="50">
        <v>16</v>
      </c>
      <c r="G45" s="50">
        <v>0</v>
      </c>
      <c r="H45" s="50">
        <v>0</v>
      </c>
      <c r="I45" s="50">
        <v>8</v>
      </c>
      <c r="J45" s="50">
        <v>4</v>
      </c>
      <c r="K45" s="50">
        <v>1</v>
      </c>
      <c r="L45" s="50">
        <v>1</v>
      </c>
      <c r="M45" s="50">
        <v>118</v>
      </c>
      <c r="N45" s="50">
        <v>0</v>
      </c>
      <c r="O45" s="15">
        <f t="shared" si="0"/>
        <v>111</v>
      </c>
      <c r="P45" s="15">
        <f t="shared" si="1"/>
        <v>229</v>
      </c>
    </row>
    <row r="46" spans="2:20" ht="23.1" customHeight="1" x14ac:dyDescent="0.25">
      <c r="B46" s="24" t="s">
        <v>73</v>
      </c>
      <c r="C46" s="50">
        <v>52</v>
      </c>
      <c r="D46" s="50">
        <v>13</v>
      </c>
      <c r="E46" s="50">
        <v>16</v>
      </c>
      <c r="F46" s="50">
        <v>16</v>
      </c>
      <c r="G46" s="50">
        <v>0</v>
      </c>
      <c r="H46" s="50">
        <v>8</v>
      </c>
      <c r="I46" s="50">
        <v>0</v>
      </c>
      <c r="J46" s="50">
        <v>1</v>
      </c>
      <c r="K46" s="50">
        <v>0</v>
      </c>
      <c r="L46" s="50">
        <v>0</v>
      </c>
      <c r="M46" s="50">
        <v>102</v>
      </c>
      <c r="N46" s="50">
        <v>0</v>
      </c>
      <c r="O46" s="15">
        <f t="shared" si="0"/>
        <v>106</v>
      </c>
      <c r="P46" s="15">
        <f t="shared" si="1"/>
        <v>208</v>
      </c>
      <c r="R46" s="8"/>
      <c r="T46"/>
    </row>
    <row r="47" spans="2:20" ht="23.1" customHeight="1" x14ac:dyDescent="0.25">
      <c r="B47" s="24" t="s">
        <v>74</v>
      </c>
      <c r="C47" s="50">
        <v>60</v>
      </c>
      <c r="D47" s="50">
        <v>16</v>
      </c>
      <c r="E47" s="50">
        <v>18</v>
      </c>
      <c r="F47" s="50">
        <v>20</v>
      </c>
      <c r="G47" s="50">
        <v>0</v>
      </c>
      <c r="H47" s="50">
        <v>0</v>
      </c>
      <c r="I47" s="50">
        <v>9</v>
      </c>
      <c r="J47" s="50">
        <v>1</v>
      </c>
      <c r="K47" s="50">
        <v>1</v>
      </c>
      <c r="L47" s="50">
        <v>1</v>
      </c>
      <c r="M47" s="50">
        <v>128</v>
      </c>
      <c r="N47" s="50">
        <v>0</v>
      </c>
      <c r="O47" s="15">
        <f t="shared" si="0"/>
        <v>126</v>
      </c>
      <c r="P47" s="15">
        <f t="shared" si="1"/>
        <v>254</v>
      </c>
      <c r="R47" s="8"/>
      <c r="T47"/>
    </row>
    <row r="48" spans="2:20" ht="23.1" customHeight="1" x14ac:dyDescent="0.25">
      <c r="B48" s="24" t="s">
        <v>75</v>
      </c>
      <c r="C48" s="50">
        <v>61</v>
      </c>
      <c r="D48" s="50">
        <v>23</v>
      </c>
      <c r="E48" s="50">
        <v>9</v>
      </c>
      <c r="F48" s="50">
        <v>22</v>
      </c>
      <c r="G48" s="50">
        <v>1</v>
      </c>
      <c r="H48" s="50">
        <v>0</v>
      </c>
      <c r="I48" s="50">
        <v>7</v>
      </c>
      <c r="J48" s="50">
        <v>1</v>
      </c>
      <c r="K48" s="50">
        <v>2</v>
      </c>
      <c r="L48" s="50">
        <v>0</v>
      </c>
      <c r="M48" s="50">
        <v>130</v>
      </c>
      <c r="N48" s="50">
        <v>0</v>
      </c>
      <c r="O48" s="15">
        <f t="shared" si="0"/>
        <v>126</v>
      </c>
      <c r="P48" s="15">
        <f t="shared" si="1"/>
        <v>256</v>
      </c>
      <c r="R48" s="8"/>
      <c r="T48"/>
    </row>
    <row r="49" spans="2:20" ht="23.1" customHeight="1" x14ac:dyDescent="0.25">
      <c r="B49" s="23" t="s">
        <v>76</v>
      </c>
      <c r="C49" s="50">
        <v>64</v>
      </c>
      <c r="D49" s="50">
        <v>15</v>
      </c>
      <c r="E49" s="50">
        <v>6</v>
      </c>
      <c r="F49" s="50">
        <v>16</v>
      </c>
      <c r="G49" s="50">
        <v>1</v>
      </c>
      <c r="H49" s="50">
        <v>0</v>
      </c>
      <c r="I49" s="50">
        <v>7</v>
      </c>
      <c r="J49" s="50">
        <v>4</v>
      </c>
      <c r="K49" s="50">
        <v>1</v>
      </c>
      <c r="L49" s="50">
        <v>0</v>
      </c>
      <c r="M49" s="50">
        <v>122</v>
      </c>
      <c r="N49" s="50">
        <v>0</v>
      </c>
      <c r="O49" s="15">
        <f t="shared" si="0"/>
        <v>114</v>
      </c>
      <c r="P49" s="15">
        <f t="shared" si="1"/>
        <v>236</v>
      </c>
      <c r="R49" s="8"/>
      <c r="T49"/>
    </row>
    <row r="50" spans="2:20" ht="23.1" customHeight="1" x14ac:dyDescent="0.25">
      <c r="B50" s="24" t="s">
        <v>77</v>
      </c>
      <c r="C50" s="50">
        <v>76</v>
      </c>
      <c r="D50" s="50">
        <v>25</v>
      </c>
      <c r="E50" s="50">
        <v>20</v>
      </c>
      <c r="F50" s="50">
        <v>19</v>
      </c>
      <c r="G50" s="50">
        <v>3</v>
      </c>
      <c r="H50" s="50">
        <v>0</v>
      </c>
      <c r="I50" s="50">
        <v>0</v>
      </c>
      <c r="J50" s="50">
        <v>10</v>
      </c>
      <c r="K50" s="50">
        <v>0</v>
      </c>
      <c r="L50" s="50">
        <v>0</v>
      </c>
      <c r="M50" s="50">
        <v>131</v>
      </c>
      <c r="N50" s="50">
        <v>0</v>
      </c>
      <c r="O50" s="15">
        <f t="shared" si="0"/>
        <v>153</v>
      </c>
      <c r="P50" s="15">
        <f t="shared" si="1"/>
        <v>284</v>
      </c>
      <c r="R50" s="8"/>
      <c r="T50"/>
    </row>
    <row r="51" spans="2:20" ht="23.1" customHeight="1" x14ac:dyDescent="0.25">
      <c r="B51" s="24" t="s">
        <v>78</v>
      </c>
      <c r="C51" s="50">
        <v>71</v>
      </c>
      <c r="D51" s="50">
        <v>35</v>
      </c>
      <c r="E51" s="50">
        <v>18</v>
      </c>
      <c r="F51" s="50">
        <v>24</v>
      </c>
      <c r="G51" s="50">
        <v>6</v>
      </c>
      <c r="H51" s="50">
        <v>0</v>
      </c>
      <c r="I51" s="50">
        <v>9</v>
      </c>
      <c r="J51" s="50">
        <v>4</v>
      </c>
      <c r="K51" s="50">
        <v>2</v>
      </c>
      <c r="L51" s="50">
        <v>0</v>
      </c>
      <c r="M51" s="50">
        <v>150</v>
      </c>
      <c r="N51" s="50">
        <v>0</v>
      </c>
      <c r="O51" s="15">
        <f t="shared" si="0"/>
        <v>169</v>
      </c>
      <c r="P51" s="15">
        <f t="shared" si="1"/>
        <v>319</v>
      </c>
      <c r="R51" s="8"/>
      <c r="T51"/>
    </row>
    <row r="52" spans="2:20" ht="23.1" customHeight="1" x14ac:dyDescent="0.25">
      <c r="B52" s="24" t="s">
        <v>79</v>
      </c>
      <c r="C52" s="50">
        <v>88</v>
      </c>
      <c r="D52" s="50">
        <v>36</v>
      </c>
      <c r="E52" s="50">
        <v>14</v>
      </c>
      <c r="F52" s="50">
        <v>23</v>
      </c>
      <c r="G52" s="50">
        <v>1</v>
      </c>
      <c r="H52" s="50">
        <v>0</v>
      </c>
      <c r="I52" s="50">
        <v>6</v>
      </c>
      <c r="J52" s="50">
        <v>2</v>
      </c>
      <c r="K52" s="50">
        <v>1</v>
      </c>
      <c r="L52" s="50">
        <v>1</v>
      </c>
      <c r="M52" s="50">
        <v>144</v>
      </c>
      <c r="N52" s="50">
        <v>0</v>
      </c>
      <c r="O52" s="15">
        <f t="shared" si="0"/>
        <v>172</v>
      </c>
      <c r="P52" s="15">
        <f t="shared" si="1"/>
        <v>316</v>
      </c>
      <c r="R52" s="8"/>
      <c r="T52"/>
    </row>
    <row r="53" spans="2:20" ht="23.1" customHeight="1" x14ac:dyDescent="0.25">
      <c r="B53" s="23" t="s">
        <v>80</v>
      </c>
      <c r="C53" s="50">
        <v>82</v>
      </c>
      <c r="D53" s="50">
        <v>30</v>
      </c>
      <c r="E53" s="50">
        <v>17</v>
      </c>
      <c r="F53" s="50">
        <v>21</v>
      </c>
      <c r="G53" s="50">
        <v>4</v>
      </c>
      <c r="H53" s="50">
        <v>0</v>
      </c>
      <c r="I53" s="50">
        <v>4</v>
      </c>
      <c r="J53" s="50">
        <v>4</v>
      </c>
      <c r="K53" s="50">
        <v>0</v>
      </c>
      <c r="L53" s="50">
        <v>1</v>
      </c>
      <c r="M53" s="50">
        <v>165</v>
      </c>
      <c r="N53" s="50">
        <v>0</v>
      </c>
      <c r="O53" s="15">
        <f t="shared" si="0"/>
        <v>163</v>
      </c>
      <c r="P53" s="15">
        <f t="shared" si="1"/>
        <v>328</v>
      </c>
      <c r="R53" s="8"/>
      <c r="T53"/>
    </row>
    <row r="54" spans="2:20" ht="23.1" customHeight="1" x14ac:dyDescent="0.25">
      <c r="B54" s="23" t="s">
        <v>81</v>
      </c>
      <c r="C54" s="50">
        <v>91</v>
      </c>
      <c r="D54" s="50">
        <v>31</v>
      </c>
      <c r="E54" s="50">
        <v>19</v>
      </c>
      <c r="F54" s="50">
        <v>15</v>
      </c>
      <c r="G54" s="50">
        <v>0</v>
      </c>
      <c r="H54" s="50">
        <v>5</v>
      </c>
      <c r="I54" s="50">
        <v>1</v>
      </c>
      <c r="J54" s="50">
        <v>1</v>
      </c>
      <c r="K54" s="50">
        <v>1</v>
      </c>
      <c r="L54" s="50">
        <v>0</v>
      </c>
      <c r="M54" s="50">
        <v>170</v>
      </c>
      <c r="N54" s="50">
        <v>0</v>
      </c>
      <c r="O54" s="15">
        <f t="shared" si="0"/>
        <v>164</v>
      </c>
      <c r="P54" s="15">
        <f t="shared" si="1"/>
        <v>334</v>
      </c>
      <c r="R54" s="8"/>
      <c r="T54"/>
    </row>
    <row r="55" spans="2:20" ht="23.1" customHeight="1" x14ac:dyDescent="0.25">
      <c r="B55" s="23" t="s">
        <v>82</v>
      </c>
      <c r="C55" s="50">
        <v>85</v>
      </c>
      <c r="D55" s="50">
        <v>39</v>
      </c>
      <c r="E55" s="50">
        <v>19</v>
      </c>
      <c r="F55" s="50">
        <v>20</v>
      </c>
      <c r="G55" s="50">
        <v>1</v>
      </c>
      <c r="H55" s="50">
        <v>0</v>
      </c>
      <c r="I55" s="50">
        <v>1</v>
      </c>
      <c r="J55" s="50">
        <v>1</v>
      </c>
      <c r="K55" s="50">
        <v>2</v>
      </c>
      <c r="L55" s="50">
        <v>1</v>
      </c>
      <c r="M55" s="50">
        <v>166</v>
      </c>
      <c r="N55" s="50">
        <v>0</v>
      </c>
      <c r="O55" s="15">
        <f t="shared" si="0"/>
        <v>169</v>
      </c>
      <c r="P55" s="15">
        <f t="shared" si="1"/>
        <v>335</v>
      </c>
      <c r="R55" s="8"/>
      <c r="T55"/>
    </row>
    <row r="56" spans="2:20" ht="23.1" customHeight="1" x14ac:dyDescent="0.25">
      <c r="B56" s="23" t="s">
        <v>83</v>
      </c>
      <c r="C56" s="50">
        <v>93</v>
      </c>
      <c r="D56" s="50">
        <v>23</v>
      </c>
      <c r="E56" s="50">
        <v>11</v>
      </c>
      <c r="F56" s="50">
        <v>19</v>
      </c>
      <c r="G56" s="50">
        <v>2</v>
      </c>
      <c r="H56" s="50">
        <v>0</v>
      </c>
      <c r="I56" s="50">
        <v>6</v>
      </c>
      <c r="J56" s="50">
        <v>2</v>
      </c>
      <c r="K56" s="50">
        <v>0</v>
      </c>
      <c r="L56" s="50">
        <v>0</v>
      </c>
      <c r="M56" s="50">
        <v>155</v>
      </c>
      <c r="N56" s="50">
        <v>0</v>
      </c>
      <c r="O56" s="15">
        <f t="shared" si="0"/>
        <v>156</v>
      </c>
      <c r="P56" s="15">
        <f t="shared" si="1"/>
        <v>311</v>
      </c>
      <c r="R56" s="8"/>
      <c r="T56"/>
    </row>
    <row r="57" spans="2:20" ht="23.1" customHeight="1" x14ac:dyDescent="0.25">
      <c r="B57" s="23" t="s">
        <v>84</v>
      </c>
      <c r="C57" s="50">
        <v>71</v>
      </c>
      <c r="D57" s="50">
        <v>20</v>
      </c>
      <c r="E57" s="50">
        <v>15</v>
      </c>
      <c r="F57" s="50">
        <v>14</v>
      </c>
      <c r="G57" s="50">
        <v>0</v>
      </c>
      <c r="H57" s="50">
        <v>0</v>
      </c>
      <c r="I57" s="50">
        <v>7</v>
      </c>
      <c r="J57" s="50">
        <v>2</v>
      </c>
      <c r="K57" s="50">
        <v>0</v>
      </c>
      <c r="L57" s="50">
        <v>0</v>
      </c>
      <c r="M57" s="50">
        <v>126</v>
      </c>
      <c r="N57" s="50">
        <v>0</v>
      </c>
      <c r="O57" s="15">
        <f t="shared" si="0"/>
        <v>129</v>
      </c>
      <c r="P57" s="15">
        <f t="shared" si="1"/>
        <v>255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2443</v>
      </c>
      <c r="D58" s="16">
        <f t="shared" si="21"/>
        <v>672</v>
      </c>
      <c r="E58" s="16">
        <f t="shared" si="21"/>
        <v>499</v>
      </c>
      <c r="F58" s="16">
        <f t="shared" si="21"/>
        <v>798</v>
      </c>
      <c r="G58" s="16">
        <f t="shared" si="21"/>
        <v>29</v>
      </c>
      <c r="H58" s="16">
        <f t="shared" si="21"/>
        <v>32</v>
      </c>
      <c r="I58" s="16">
        <f t="shared" si="21"/>
        <v>269</v>
      </c>
      <c r="J58" s="16">
        <f t="shared" si="21"/>
        <v>129</v>
      </c>
      <c r="K58" s="16">
        <f t="shared" si="21"/>
        <v>42</v>
      </c>
      <c r="L58" s="16">
        <f t="shared" si="21"/>
        <v>21</v>
      </c>
      <c r="M58" s="16">
        <f t="shared" si="21"/>
        <v>6470</v>
      </c>
      <c r="N58" s="16">
        <f t="shared" si="21"/>
        <v>1</v>
      </c>
      <c r="O58" s="16">
        <f t="shared" si="21"/>
        <v>4935</v>
      </c>
      <c r="P58" s="16">
        <f t="shared" si="21"/>
        <v>11405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0.21420429636124508</v>
      </c>
      <c r="D59" s="43">
        <f t="shared" si="22"/>
        <v>5.8921525646646211E-2</v>
      </c>
      <c r="E59" s="43">
        <f t="shared" si="22"/>
        <v>4.3752740026304256E-2</v>
      </c>
      <c r="F59" s="43">
        <f t="shared" si="22"/>
        <v>6.9969311705392376E-2</v>
      </c>
      <c r="G59" s="43">
        <f t="shared" si="22"/>
        <v>2.5427444103463394E-3</v>
      </c>
      <c r="H59" s="43">
        <f t="shared" si="22"/>
        <v>2.8057869355545815E-3</v>
      </c>
      <c r="I59" s="43">
        <f t="shared" si="22"/>
        <v>2.35861464270057E-2</v>
      </c>
      <c r="J59" s="43">
        <f t="shared" si="22"/>
        <v>1.1310828583954406E-2</v>
      </c>
      <c r="K59" s="43">
        <f t="shared" si="22"/>
        <v>3.6825953529153882E-3</v>
      </c>
      <c r="L59" s="43">
        <f t="shared" si="22"/>
        <v>1.8412976764576941E-3</v>
      </c>
      <c r="M59" s="43">
        <f t="shared" si="22"/>
        <v>0.56729504603244196</v>
      </c>
      <c r="N59" s="43">
        <f t="shared" si="22"/>
        <v>8.7680841736080672E-5</v>
      </c>
      <c r="R59" s="8"/>
      <c r="T59"/>
    </row>
    <row r="60" spans="2:20" ht="23.1" customHeight="1" x14ac:dyDescent="0.25">
      <c r="B60" s="42" t="s">
        <v>94</v>
      </c>
      <c r="C60" s="44">
        <f>C58/$O$58</f>
        <v>0.49503546099290779</v>
      </c>
      <c r="D60" s="44">
        <f t="shared" ref="D60:N60" si="23">D58/$O$58</f>
        <v>0.13617021276595745</v>
      </c>
      <c r="E60" s="44">
        <f t="shared" si="23"/>
        <v>0.1011144883485309</v>
      </c>
      <c r="F60" s="44">
        <f t="shared" si="23"/>
        <v>0.16170212765957448</v>
      </c>
      <c r="G60" s="44">
        <f t="shared" si="23"/>
        <v>5.8763931104356638E-3</v>
      </c>
      <c r="H60" s="44">
        <f t="shared" si="23"/>
        <v>6.4842958459979732E-3</v>
      </c>
      <c r="I60" s="44">
        <f t="shared" si="23"/>
        <v>5.4508611955420463E-2</v>
      </c>
      <c r="J60" s="44">
        <f t="shared" si="23"/>
        <v>2.6139817629179333E-2</v>
      </c>
      <c r="K60" s="44">
        <f t="shared" si="23"/>
        <v>8.5106382978723406E-3</v>
      </c>
      <c r="L60" s="44">
        <f t="shared" si="23"/>
        <v>4.2553191489361703E-3</v>
      </c>
      <c r="M60" s="44"/>
      <c r="N60" s="44">
        <f t="shared" si="23"/>
        <v>2.0263424518743666E-4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zoomScale="60" workbookViewId="0">
      <selection activeCell="M105" sqref="M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0" t="str">
        <f>'01.08 NAMUGONGO-KIREKA'!C3:G3</f>
        <v>MCC - C1 - STN039 - NAMUGONGO ROAD</v>
      </c>
      <c r="D3" s="60"/>
      <c r="E3" s="60"/>
      <c r="F3" s="60"/>
      <c r="G3" s="6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173</v>
      </c>
      <c r="E5" s="3"/>
      <c r="F5" s="41" t="s">
        <v>1</v>
      </c>
      <c r="G5" s="56" t="str">
        <f>'29.07 KIREKA-NAMUGONGO'!G5:H5</f>
        <v>AGENDA</v>
      </c>
      <c r="H5" s="57"/>
      <c r="I5" s="14"/>
      <c r="J5" s="2" t="s">
        <v>5</v>
      </c>
      <c r="K5" s="56" t="str">
        <f>'29.07 KIREKA-NAMUGONGO'!K5:L5</f>
        <v>STEVEN</v>
      </c>
      <c r="L5" s="57"/>
      <c r="M5" s="10"/>
      <c r="N5" s="10"/>
      <c r="O5" s="3"/>
      <c r="P5" s="3"/>
    </row>
    <row r="6" spans="2:32" ht="23.25" customHeight="1" x14ac:dyDescent="0.25">
      <c r="C6" s="2" t="s">
        <v>4</v>
      </c>
      <c r="D6" s="56" t="str">
        <f>'01.08 NAMUGONGO-KIREKA'!D6:E6</f>
        <v>NAMUGONGO</v>
      </c>
      <c r="E6" s="57"/>
      <c r="F6" s="2" t="s">
        <v>2</v>
      </c>
      <c r="G6" s="56" t="str">
        <f>'01.08 NAMUGONGO-KIREKA'!G6:H6</f>
        <v>KIREKA</v>
      </c>
      <c r="H6" s="57"/>
      <c r="J6" s="2" t="s">
        <v>21</v>
      </c>
      <c r="K6" s="56" t="str">
        <f>'29.07 KIREKA-NAMUGONGO'!K6:L6</f>
        <v>NAIDO GRACE BRENDA</v>
      </c>
      <c r="L6" s="5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5" t="s">
        <v>88</v>
      </c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10</v>
      </c>
      <c r="D10" s="50">
        <v>0</v>
      </c>
      <c r="E10" s="50">
        <v>1</v>
      </c>
      <c r="F10" s="50">
        <v>19</v>
      </c>
      <c r="G10" s="50">
        <v>1</v>
      </c>
      <c r="H10" s="50">
        <v>0</v>
      </c>
      <c r="I10" s="50">
        <v>1</v>
      </c>
      <c r="J10" s="50">
        <v>3</v>
      </c>
      <c r="K10" s="50">
        <v>1</v>
      </c>
      <c r="L10" s="50">
        <v>1</v>
      </c>
      <c r="M10" s="50">
        <v>39</v>
      </c>
      <c r="N10" s="50">
        <v>0</v>
      </c>
      <c r="O10" s="15">
        <f t="shared" ref="O10:O57" si="0">SUM(C10:L10,N10)</f>
        <v>37</v>
      </c>
      <c r="P10" s="15">
        <f t="shared" ref="P10:P57" si="1">SUM(C10:N10)</f>
        <v>76</v>
      </c>
      <c r="R10" s="1" t="s">
        <v>6</v>
      </c>
      <c r="S10" s="17">
        <f t="shared" ref="S10:AF10" si="2">SUM(C10:C13)</f>
        <v>172</v>
      </c>
      <c r="T10" s="17">
        <f t="shared" si="2"/>
        <v>18</v>
      </c>
      <c r="U10" s="17">
        <f t="shared" si="2"/>
        <v>17</v>
      </c>
      <c r="V10" s="17">
        <f t="shared" si="2"/>
        <v>87</v>
      </c>
      <c r="W10" s="17">
        <f t="shared" si="2"/>
        <v>4</v>
      </c>
      <c r="X10" s="17">
        <f t="shared" si="2"/>
        <v>0</v>
      </c>
      <c r="Y10" s="17">
        <f t="shared" si="2"/>
        <v>10</v>
      </c>
      <c r="Z10" s="17">
        <f t="shared" si="2"/>
        <v>5</v>
      </c>
      <c r="AA10" s="17">
        <f t="shared" si="2"/>
        <v>2</v>
      </c>
      <c r="AB10" s="17">
        <f t="shared" si="2"/>
        <v>2</v>
      </c>
      <c r="AC10" s="17">
        <f t="shared" si="2"/>
        <v>339</v>
      </c>
      <c r="AD10" s="17">
        <f t="shared" si="2"/>
        <v>0</v>
      </c>
      <c r="AE10" s="31">
        <f t="shared" si="2"/>
        <v>317</v>
      </c>
      <c r="AF10" s="31">
        <f t="shared" si="2"/>
        <v>656</v>
      </c>
    </row>
    <row r="11" spans="2:32" s="6" customFormat="1" ht="23.1" customHeight="1" x14ac:dyDescent="0.25">
      <c r="B11" s="45" t="s">
        <v>38</v>
      </c>
      <c r="C11" s="50">
        <v>35</v>
      </c>
      <c r="D11" s="50">
        <v>8</v>
      </c>
      <c r="E11" s="50">
        <v>8</v>
      </c>
      <c r="F11" s="50">
        <v>21</v>
      </c>
      <c r="G11" s="50">
        <v>2</v>
      </c>
      <c r="H11" s="50">
        <v>0</v>
      </c>
      <c r="I11" s="50">
        <v>4</v>
      </c>
      <c r="J11" s="50">
        <v>1</v>
      </c>
      <c r="K11" s="50">
        <v>1</v>
      </c>
      <c r="L11" s="50">
        <v>1</v>
      </c>
      <c r="M11" s="50">
        <v>79</v>
      </c>
      <c r="N11" s="50">
        <v>0</v>
      </c>
      <c r="O11" s="15">
        <f t="shared" si="0"/>
        <v>81</v>
      </c>
      <c r="P11" s="15">
        <f t="shared" si="1"/>
        <v>160</v>
      </c>
      <c r="R11" s="1" t="s">
        <v>7</v>
      </c>
      <c r="S11" s="17">
        <f t="shared" ref="S11:AF11" si="3">SUM(C14:C17)</f>
        <v>375</v>
      </c>
      <c r="T11" s="17">
        <f t="shared" si="3"/>
        <v>33</v>
      </c>
      <c r="U11" s="17">
        <f t="shared" si="3"/>
        <v>41</v>
      </c>
      <c r="V11" s="17">
        <f t="shared" si="3"/>
        <v>114</v>
      </c>
      <c r="W11" s="17">
        <f t="shared" si="3"/>
        <v>0</v>
      </c>
      <c r="X11" s="17">
        <f t="shared" si="3"/>
        <v>7</v>
      </c>
      <c r="Y11" s="17">
        <f t="shared" si="3"/>
        <v>11</v>
      </c>
      <c r="Z11" s="17">
        <f t="shared" si="3"/>
        <v>1</v>
      </c>
      <c r="AA11" s="17">
        <f t="shared" si="3"/>
        <v>2</v>
      </c>
      <c r="AB11" s="17">
        <f t="shared" si="3"/>
        <v>0</v>
      </c>
      <c r="AC11" s="17">
        <f t="shared" si="3"/>
        <v>623</v>
      </c>
      <c r="AD11" s="17">
        <f t="shared" si="3"/>
        <v>0</v>
      </c>
      <c r="AE11" s="31">
        <f t="shared" si="3"/>
        <v>584</v>
      </c>
      <c r="AF11" s="31">
        <f t="shared" si="3"/>
        <v>1207</v>
      </c>
    </row>
    <row r="12" spans="2:32" ht="23.1" customHeight="1" x14ac:dyDescent="0.25">
      <c r="B12" s="45" t="s">
        <v>39</v>
      </c>
      <c r="C12" s="50">
        <v>65</v>
      </c>
      <c r="D12" s="50">
        <v>6</v>
      </c>
      <c r="E12" s="50">
        <v>3</v>
      </c>
      <c r="F12" s="50">
        <v>21</v>
      </c>
      <c r="G12" s="50"/>
      <c r="H12" s="50">
        <v>0</v>
      </c>
      <c r="I12" s="50">
        <v>2</v>
      </c>
      <c r="J12" s="50">
        <v>0</v>
      </c>
      <c r="K12" s="50">
        <v>0</v>
      </c>
      <c r="L12" s="50">
        <v>0</v>
      </c>
      <c r="M12" s="50">
        <v>100</v>
      </c>
      <c r="N12" s="50">
        <v>0</v>
      </c>
      <c r="O12" s="15">
        <f t="shared" si="0"/>
        <v>97</v>
      </c>
      <c r="P12" s="15">
        <f t="shared" si="1"/>
        <v>197</v>
      </c>
      <c r="R12" s="1" t="s">
        <v>8</v>
      </c>
      <c r="S12" s="17">
        <f t="shared" ref="S12:AF12" si="4">SUM(C18:C21)</f>
        <v>383</v>
      </c>
      <c r="T12" s="17">
        <f t="shared" si="4"/>
        <v>32</v>
      </c>
      <c r="U12" s="17">
        <f t="shared" si="4"/>
        <v>31</v>
      </c>
      <c r="V12" s="17">
        <f t="shared" si="4"/>
        <v>101</v>
      </c>
      <c r="W12" s="17">
        <f t="shared" si="4"/>
        <v>1</v>
      </c>
      <c r="X12" s="17">
        <f t="shared" si="4"/>
        <v>8</v>
      </c>
      <c r="Y12" s="17">
        <f t="shared" si="4"/>
        <v>16</v>
      </c>
      <c r="Z12" s="17">
        <f t="shared" si="4"/>
        <v>3</v>
      </c>
      <c r="AA12" s="17">
        <f t="shared" si="4"/>
        <v>0</v>
      </c>
      <c r="AB12" s="17">
        <f t="shared" si="4"/>
        <v>1</v>
      </c>
      <c r="AC12" s="17">
        <f t="shared" si="4"/>
        <v>576</v>
      </c>
      <c r="AD12" s="17">
        <f t="shared" si="4"/>
        <v>0</v>
      </c>
      <c r="AE12" s="31">
        <f t="shared" si="4"/>
        <v>576</v>
      </c>
      <c r="AF12" s="31">
        <f t="shared" si="4"/>
        <v>1152</v>
      </c>
    </row>
    <row r="13" spans="2:32" ht="23.1" customHeight="1" x14ac:dyDescent="0.25">
      <c r="B13" s="45" t="s">
        <v>40</v>
      </c>
      <c r="C13" s="50">
        <v>62</v>
      </c>
      <c r="D13" s="50">
        <v>4</v>
      </c>
      <c r="E13" s="50">
        <v>5</v>
      </c>
      <c r="F13" s="50">
        <v>26</v>
      </c>
      <c r="G13" s="50">
        <v>1</v>
      </c>
      <c r="H13" s="50">
        <v>0</v>
      </c>
      <c r="I13" s="50">
        <v>3</v>
      </c>
      <c r="J13" s="50">
        <v>1</v>
      </c>
      <c r="K13" s="50">
        <v>0</v>
      </c>
      <c r="L13" s="50">
        <v>0</v>
      </c>
      <c r="M13" s="50">
        <v>121</v>
      </c>
      <c r="N13" s="50">
        <v>0</v>
      </c>
      <c r="O13" s="15">
        <f t="shared" si="0"/>
        <v>102</v>
      </c>
      <c r="P13" s="15">
        <f t="shared" si="1"/>
        <v>223</v>
      </c>
      <c r="R13" s="1" t="s">
        <v>9</v>
      </c>
      <c r="S13" s="17">
        <f t="shared" ref="S13:AF13" si="5">SUM(C22:C25)</f>
        <v>360</v>
      </c>
      <c r="T13" s="17">
        <f t="shared" si="5"/>
        <v>38</v>
      </c>
      <c r="U13" s="17">
        <f t="shared" si="5"/>
        <v>44</v>
      </c>
      <c r="V13" s="17">
        <f t="shared" si="5"/>
        <v>82</v>
      </c>
      <c r="W13" s="17">
        <f t="shared" si="5"/>
        <v>0</v>
      </c>
      <c r="X13" s="17">
        <f t="shared" si="5"/>
        <v>17</v>
      </c>
      <c r="Y13" s="17">
        <f t="shared" si="5"/>
        <v>11</v>
      </c>
      <c r="Z13" s="17">
        <f t="shared" si="5"/>
        <v>3</v>
      </c>
      <c r="AA13" s="17">
        <f t="shared" si="5"/>
        <v>2</v>
      </c>
      <c r="AB13" s="17">
        <f t="shared" si="5"/>
        <v>0</v>
      </c>
      <c r="AC13" s="17">
        <f t="shared" si="5"/>
        <v>514</v>
      </c>
      <c r="AD13" s="17">
        <f t="shared" si="5"/>
        <v>0</v>
      </c>
      <c r="AE13" s="31">
        <f t="shared" si="5"/>
        <v>557</v>
      </c>
      <c r="AF13" s="31">
        <f t="shared" si="5"/>
        <v>1071</v>
      </c>
    </row>
    <row r="14" spans="2:32" ht="23.1" customHeight="1" x14ac:dyDescent="0.25">
      <c r="B14" s="45" t="s">
        <v>41</v>
      </c>
      <c r="C14" s="50">
        <v>75</v>
      </c>
      <c r="D14" s="50">
        <v>9</v>
      </c>
      <c r="E14" s="50">
        <v>5</v>
      </c>
      <c r="F14" s="50">
        <v>32</v>
      </c>
      <c r="G14" s="50">
        <v>0</v>
      </c>
      <c r="H14" s="50">
        <v>0</v>
      </c>
      <c r="I14" s="50">
        <v>4</v>
      </c>
      <c r="J14" s="50">
        <v>0</v>
      </c>
      <c r="K14" s="50">
        <v>0</v>
      </c>
      <c r="L14" s="50">
        <v>0</v>
      </c>
      <c r="M14" s="50">
        <v>143</v>
      </c>
      <c r="N14" s="50">
        <v>0</v>
      </c>
      <c r="O14" s="15">
        <f t="shared" si="0"/>
        <v>125</v>
      </c>
      <c r="P14" s="15">
        <f t="shared" si="1"/>
        <v>268</v>
      </c>
      <c r="R14" s="1" t="s">
        <v>10</v>
      </c>
      <c r="S14" s="17">
        <f t="shared" ref="S14:AF14" si="6">SUM(C26:C29)</f>
        <v>362</v>
      </c>
      <c r="T14" s="17">
        <f t="shared" si="6"/>
        <v>43</v>
      </c>
      <c r="U14" s="17">
        <f t="shared" si="6"/>
        <v>41</v>
      </c>
      <c r="V14" s="17">
        <f t="shared" si="6"/>
        <v>107</v>
      </c>
      <c r="W14" s="17">
        <f t="shared" si="6"/>
        <v>1</v>
      </c>
      <c r="X14" s="17">
        <f t="shared" si="6"/>
        <v>0</v>
      </c>
      <c r="Y14" s="17">
        <f t="shared" si="6"/>
        <v>21</v>
      </c>
      <c r="Z14" s="17">
        <f t="shared" si="6"/>
        <v>0</v>
      </c>
      <c r="AA14" s="17">
        <f t="shared" si="6"/>
        <v>3</v>
      </c>
      <c r="AB14" s="17">
        <f t="shared" si="6"/>
        <v>2</v>
      </c>
      <c r="AC14" s="17">
        <f t="shared" si="6"/>
        <v>537</v>
      </c>
      <c r="AD14" s="17">
        <f t="shared" si="6"/>
        <v>0</v>
      </c>
      <c r="AE14" s="31">
        <f t="shared" si="6"/>
        <v>580</v>
      </c>
      <c r="AF14" s="31">
        <f t="shared" si="6"/>
        <v>1117</v>
      </c>
    </row>
    <row r="15" spans="2:32" ht="23.1" customHeight="1" x14ac:dyDescent="0.25">
      <c r="B15" s="45" t="s">
        <v>42</v>
      </c>
      <c r="C15" s="50">
        <v>92</v>
      </c>
      <c r="D15" s="50">
        <v>9</v>
      </c>
      <c r="E15" s="50">
        <v>12</v>
      </c>
      <c r="F15" s="50">
        <v>30</v>
      </c>
      <c r="G15" s="50">
        <v>0</v>
      </c>
      <c r="H15" s="50">
        <v>3</v>
      </c>
      <c r="I15" s="50">
        <v>2</v>
      </c>
      <c r="J15" s="50">
        <v>0</v>
      </c>
      <c r="K15" s="50">
        <v>0</v>
      </c>
      <c r="L15" s="50">
        <v>0</v>
      </c>
      <c r="M15" s="50">
        <v>150</v>
      </c>
      <c r="N15" s="50">
        <v>0</v>
      </c>
      <c r="O15" s="15">
        <f t="shared" si="0"/>
        <v>148</v>
      </c>
      <c r="P15" s="15">
        <f t="shared" si="1"/>
        <v>298</v>
      </c>
      <c r="R15" s="1" t="s">
        <v>11</v>
      </c>
      <c r="S15" s="17">
        <f t="shared" ref="S15:AF15" si="7">SUM(C30:C33)</f>
        <v>316</v>
      </c>
      <c r="T15" s="17">
        <f t="shared" si="7"/>
        <v>26</v>
      </c>
      <c r="U15" s="17">
        <f t="shared" si="7"/>
        <v>35</v>
      </c>
      <c r="V15" s="17">
        <f t="shared" si="7"/>
        <v>80</v>
      </c>
      <c r="W15" s="17">
        <f t="shared" si="7"/>
        <v>0</v>
      </c>
      <c r="X15" s="17">
        <f t="shared" si="7"/>
        <v>18</v>
      </c>
      <c r="Y15" s="17">
        <f t="shared" si="7"/>
        <v>12</v>
      </c>
      <c r="Z15" s="17">
        <f t="shared" si="7"/>
        <v>3</v>
      </c>
      <c r="AA15" s="17">
        <f t="shared" si="7"/>
        <v>2</v>
      </c>
      <c r="AB15" s="17">
        <f t="shared" si="7"/>
        <v>0</v>
      </c>
      <c r="AC15" s="17">
        <f t="shared" si="7"/>
        <v>556</v>
      </c>
      <c r="AD15" s="17">
        <f t="shared" si="7"/>
        <v>0</v>
      </c>
      <c r="AE15" s="31">
        <f t="shared" si="7"/>
        <v>492</v>
      </c>
      <c r="AF15" s="31">
        <f t="shared" si="7"/>
        <v>1048</v>
      </c>
    </row>
    <row r="16" spans="2:32" ht="23.1" customHeight="1" x14ac:dyDescent="0.25">
      <c r="B16" s="45" t="s">
        <v>43</v>
      </c>
      <c r="C16" s="50">
        <v>89</v>
      </c>
      <c r="D16" s="50">
        <v>8</v>
      </c>
      <c r="E16" s="50">
        <v>12</v>
      </c>
      <c r="F16" s="50">
        <v>30</v>
      </c>
      <c r="G16" s="50">
        <v>0</v>
      </c>
      <c r="H16" s="50">
        <v>4</v>
      </c>
      <c r="I16" s="50">
        <v>0</v>
      </c>
      <c r="J16" s="50">
        <v>0</v>
      </c>
      <c r="K16" s="50">
        <v>0</v>
      </c>
      <c r="L16" s="50">
        <v>0</v>
      </c>
      <c r="M16" s="50">
        <v>160</v>
      </c>
      <c r="N16" s="50">
        <v>0</v>
      </c>
      <c r="O16" s="15">
        <f t="shared" si="0"/>
        <v>143</v>
      </c>
      <c r="P16" s="15">
        <f t="shared" si="1"/>
        <v>303</v>
      </c>
      <c r="R16" s="1" t="s">
        <v>12</v>
      </c>
      <c r="S16" s="17">
        <f t="shared" ref="S16:AF16" si="8">SUM(C34:C37)</f>
        <v>285</v>
      </c>
      <c r="T16" s="17">
        <f t="shared" si="8"/>
        <v>22</v>
      </c>
      <c r="U16" s="17">
        <f t="shared" si="8"/>
        <v>86</v>
      </c>
      <c r="V16" s="17">
        <f t="shared" si="8"/>
        <v>78</v>
      </c>
      <c r="W16" s="17">
        <f t="shared" si="8"/>
        <v>0</v>
      </c>
      <c r="X16" s="17">
        <f t="shared" si="8"/>
        <v>8</v>
      </c>
      <c r="Y16" s="17">
        <f t="shared" si="8"/>
        <v>28</v>
      </c>
      <c r="Z16" s="17">
        <f t="shared" si="8"/>
        <v>6</v>
      </c>
      <c r="AA16" s="17">
        <f t="shared" si="8"/>
        <v>4</v>
      </c>
      <c r="AB16" s="17">
        <f t="shared" si="8"/>
        <v>1</v>
      </c>
      <c r="AC16" s="17">
        <f t="shared" si="8"/>
        <v>463</v>
      </c>
      <c r="AD16" s="17">
        <f t="shared" si="8"/>
        <v>0</v>
      </c>
      <c r="AE16" s="31">
        <f t="shared" si="8"/>
        <v>518</v>
      </c>
      <c r="AF16" s="31">
        <f t="shared" si="8"/>
        <v>981</v>
      </c>
    </row>
    <row r="17" spans="2:32" ht="23.1" customHeight="1" x14ac:dyDescent="0.25">
      <c r="B17" s="45" t="s">
        <v>44</v>
      </c>
      <c r="C17" s="50">
        <v>119</v>
      </c>
      <c r="D17" s="50">
        <v>7</v>
      </c>
      <c r="E17" s="50">
        <v>12</v>
      </c>
      <c r="F17" s="50">
        <v>22</v>
      </c>
      <c r="G17" s="50">
        <v>0</v>
      </c>
      <c r="H17" s="50">
        <v>0</v>
      </c>
      <c r="I17" s="50">
        <v>5</v>
      </c>
      <c r="J17" s="50">
        <v>1</v>
      </c>
      <c r="K17" s="50">
        <v>2</v>
      </c>
      <c r="L17" s="50">
        <v>0</v>
      </c>
      <c r="M17" s="50">
        <v>170</v>
      </c>
      <c r="N17" s="50">
        <v>0</v>
      </c>
      <c r="O17" s="15">
        <f t="shared" si="0"/>
        <v>168</v>
      </c>
      <c r="P17" s="15">
        <f t="shared" si="1"/>
        <v>338</v>
      </c>
      <c r="R17" s="1" t="s">
        <v>13</v>
      </c>
      <c r="S17" s="17">
        <f t="shared" ref="S17:AF17" si="9">SUM(C38:C41)</f>
        <v>238</v>
      </c>
      <c r="T17" s="17">
        <f t="shared" si="9"/>
        <v>25</v>
      </c>
      <c r="U17" s="17">
        <f t="shared" si="9"/>
        <v>31</v>
      </c>
      <c r="V17" s="17">
        <f t="shared" si="9"/>
        <v>75</v>
      </c>
      <c r="W17" s="17">
        <f t="shared" si="9"/>
        <v>0</v>
      </c>
      <c r="X17" s="17">
        <f t="shared" si="9"/>
        <v>3</v>
      </c>
      <c r="Y17" s="17">
        <f t="shared" si="9"/>
        <v>26</v>
      </c>
      <c r="Z17" s="17">
        <f t="shared" si="9"/>
        <v>7</v>
      </c>
      <c r="AA17" s="17">
        <f t="shared" si="9"/>
        <v>2</v>
      </c>
      <c r="AB17" s="17">
        <f t="shared" si="9"/>
        <v>1</v>
      </c>
      <c r="AC17" s="17">
        <f t="shared" si="9"/>
        <v>499</v>
      </c>
      <c r="AD17" s="17">
        <f t="shared" si="9"/>
        <v>0</v>
      </c>
      <c r="AE17" s="31">
        <f t="shared" si="9"/>
        <v>408</v>
      </c>
      <c r="AF17" s="31">
        <f t="shared" si="9"/>
        <v>907</v>
      </c>
    </row>
    <row r="18" spans="2:32" ht="23.1" customHeight="1" x14ac:dyDescent="0.25">
      <c r="B18" s="45" t="s">
        <v>45</v>
      </c>
      <c r="C18" s="50">
        <v>91</v>
      </c>
      <c r="D18" s="50">
        <v>8</v>
      </c>
      <c r="E18" s="50">
        <v>8</v>
      </c>
      <c r="F18" s="50">
        <v>26</v>
      </c>
      <c r="G18" s="50">
        <v>1</v>
      </c>
      <c r="H18" s="50">
        <v>0</v>
      </c>
      <c r="I18" s="50">
        <v>5</v>
      </c>
      <c r="J18" s="50">
        <v>1</v>
      </c>
      <c r="K18" s="50">
        <v>0</v>
      </c>
      <c r="L18" s="50">
        <v>0</v>
      </c>
      <c r="M18" s="50">
        <v>166</v>
      </c>
      <c r="N18" s="50">
        <v>0</v>
      </c>
      <c r="O18" s="15">
        <f t="shared" si="0"/>
        <v>140</v>
      </c>
      <c r="P18" s="15">
        <f t="shared" si="1"/>
        <v>306</v>
      </c>
      <c r="R18" s="1" t="s">
        <v>14</v>
      </c>
      <c r="S18" s="17">
        <f t="shared" ref="S18:AF18" si="10">SUM(C42:C45)</f>
        <v>230</v>
      </c>
      <c r="T18" s="17">
        <f t="shared" si="10"/>
        <v>38</v>
      </c>
      <c r="U18" s="17">
        <f t="shared" si="10"/>
        <v>31</v>
      </c>
      <c r="V18" s="17">
        <f t="shared" si="10"/>
        <v>51</v>
      </c>
      <c r="W18" s="17">
        <f t="shared" si="10"/>
        <v>1</v>
      </c>
      <c r="X18" s="17">
        <f t="shared" si="10"/>
        <v>3</v>
      </c>
      <c r="Y18" s="17">
        <f t="shared" si="10"/>
        <v>10</v>
      </c>
      <c r="Z18" s="17">
        <f t="shared" si="10"/>
        <v>10</v>
      </c>
      <c r="AA18" s="17">
        <f t="shared" si="10"/>
        <v>8</v>
      </c>
      <c r="AB18" s="17">
        <f t="shared" si="10"/>
        <v>1</v>
      </c>
      <c r="AC18" s="17">
        <f t="shared" si="10"/>
        <v>478</v>
      </c>
      <c r="AD18" s="17">
        <f t="shared" si="10"/>
        <v>0</v>
      </c>
      <c r="AE18" s="31">
        <f t="shared" si="10"/>
        <v>383</v>
      </c>
      <c r="AF18" s="31">
        <f t="shared" si="10"/>
        <v>861</v>
      </c>
    </row>
    <row r="19" spans="2:32" ht="23.1" customHeight="1" x14ac:dyDescent="0.25">
      <c r="B19" s="45" t="s">
        <v>46</v>
      </c>
      <c r="C19" s="50">
        <v>106</v>
      </c>
      <c r="D19" s="50">
        <v>10</v>
      </c>
      <c r="E19" s="50">
        <v>8</v>
      </c>
      <c r="F19" s="50">
        <v>19</v>
      </c>
      <c r="G19" s="50">
        <v>0</v>
      </c>
      <c r="H19" s="50">
        <v>3</v>
      </c>
      <c r="I19" s="50">
        <v>4</v>
      </c>
      <c r="J19" s="50">
        <v>1</v>
      </c>
      <c r="K19" s="50">
        <v>0</v>
      </c>
      <c r="L19" s="50">
        <v>0</v>
      </c>
      <c r="M19" s="50">
        <v>154</v>
      </c>
      <c r="N19" s="50">
        <v>0</v>
      </c>
      <c r="O19" s="15">
        <f t="shared" si="0"/>
        <v>151</v>
      </c>
      <c r="P19" s="15">
        <f t="shared" si="1"/>
        <v>305</v>
      </c>
      <c r="R19" s="1" t="s">
        <v>15</v>
      </c>
      <c r="S19" s="17">
        <f t="shared" ref="S19:AF19" si="11">SUM(C46:C49)</f>
        <v>212</v>
      </c>
      <c r="T19" s="17">
        <f t="shared" si="11"/>
        <v>42</v>
      </c>
      <c r="U19" s="17">
        <f t="shared" si="11"/>
        <v>32</v>
      </c>
      <c r="V19" s="17">
        <f t="shared" si="11"/>
        <v>71</v>
      </c>
      <c r="W19" s="17">
        <f t="shared" si="11"/>
        <v>0</v>
      </c>
      <c r="X19" s="17">
        <f t="shared" si="11"/>
        <v>4</v>
      </c>
      <c r="Y19" s="17">
        <f t="shared" si="11"/>
        <v>17</v>
      </c>
      <c r="Z19" s="17">
        <f t="shared" si="11"/>
        <v>6</v>
      </c>
      <c r="AA19" s="17">
        <f t="shared" si="11"/>
        <v>0</v>
      </c>
      <c r="AB19" s="17">
        <f t="shared" si="11"/>
        <v>0</v>
      </c>
      <c r="AC19" s="17">
        <f t="shared" si="11"/>
        <v>486</v>
      </c>
      <c r="AD19" s="17">
        <f t="shared" si="11"/>
        <v>0</v>
      </c>
      <c r="AE19" s="31">
        <f t="shared" si="11"/>
        <v>384</v>
      </c>
      <c r="AF19" s="31">
        <f t="shared" si="11"/>
        <v>870</v>
      </c>
    </row>
    <row r="20" spans="2:32" ht="23.1" customHeight="1" x14ac:dyDescent="0.25">
      <c r="B20" s="45" t="s">
        <v>47</v>
      </c>
      <c r="C20" s="50">
        <v>95</v>
      </c>
      <c r="D20" s="50">
        <v>8</v>
      </c>
      <c r="E20" s="50">
        <v>8</v>
      </c>
      <c r="F20" s="50">
        <v>30</v>
      </c>
      <c r="G20" s="50">
        <v>0</v>
      </c>
      <c r="H20" s="50">
        <v>5</v>
      </c>
      <c r="I20" s="50">
        <v>0</v>
      </c>
      <c r="J20" s="50">
        <v>0</v>
      </c>
      <c r="K20" s="50">
        <v>0</v>
      </c>
      <c r="L20" s="50">
        <v>0</v>
      </c>
      <c r="M20" s="50">
        <v>151</v>
      </c>
      <c r="N20" s="50">
        <v>0</v>
      </c>
      <c r="O20" s="15">
        <f t="shared" si="0"/>
        <v>146</v>
      </c>
      <c r="P20" s="15">
        <f t="shared" si="1"/>
        <v>297</v>
      </c>
      <c r="R20" s="1" t="s">
        <v>16</v>
      </c>
      <c r="S20" s="17">
        <f t="shared" ref="S20:AF20" si="12">SUM(C50:C53)</f>
        <v>277</v>
      </c>
      <c r="T20" s="17">
        <f t="shared" si="12"/>
        <v>34</v>
      </c>
      <c r="U20" s="17">
        <f t="shared" si="12"/>
        <v>23</v>
      </c>
      <c r="V20" s="17">
        <f t="shared" si="12"/>
        <v>101</v>
      </c>
      <c r="W20" s="17">
        <f t="shared" si="12"/>
        <v>1</v>
      </c>
      <c r="X20" s="17">
        <f t="shared" si="12"/>
        <v>0</v>
      </c>
      <c r="Y20" s="17">
        <f t="shared" si="12"/>
        <v>13</v>
      </c>
      <c r="Z20" s="17">
        <f t="shared" si="12"/>
        <v>12</v>
      </c>
      <c r="AA20" s="17">
        <f t="shared" si="12"/>
        <v>6</v>
      </c>
      <c r="AB20" s="17">
        <f t="shared" si="12"/>
        <v>0</v>
      </c>
      <c r="AC20" s="17">
        <f t="shared" si="12"/>
        <v>511</v>
      </c>
      <c r="AD20" s="17">
        <f t="shared" si="12"/>
        <v>0</v>
      </c>
      <c r="AE20" s="31">
        <f t="shared" si="12"/>
        <v>467</v>
      </c>
      <c r="AF20" s="31">
        <f t="shared" si="12"/>
        <v>978</v>
      </c>
    </row>
    <row r="21" spans="2:32" ht="23.1" customHeight="1" x14ac:dyDescent="0.25">
      <c r="B21" s="45" t="s">
        <v>48</v>
      </c>
      <c r="C21" s="50">
        <v>91</v>
      </c>
      <c r="D21" s="50">
        <v>6</v>
      </c>
      <c r="E21" s="50">
        <v>7</v>
      </c>
      <c r="F21" s="50">
        <v>26</v>
      </c>
      <c r="G21" s="50">
        <v>0</v>
      </c>
      <c r="H21" s="50">
        <v>0</v>
      </c>
      <c r="I21" s="50">
        <v>7</v>
      </c>
      <c r="J21" s="50">
        <v>1</v>
      </c>
      <c r="K21" s="50">
        <v>0</v>
      </c>
      <c r="L21" s="50">
        <v>1</v>
      </c>
      <c r="M21" s="50">
        <v>105</v>
      </c>
      <c r="N21" s="50">
        <v>0</v>
      </c>
      <c r="O21" s="15">
        <f t="shared" si="0"/>
        <v>139</v>
      </c>
      <c r="P21" s="15">
        <f t="shared" si="1"/>
        <v>244</v>
      </c>
      <c r="R21" s="36" t="s">
        <v>20</v>
      </c>
      <c r="S21" s="34">
        <f t="shared" ref="S21:AF21" si="13">SUM(C54:C57)</f>
        <v>234</v>
      </c>
      <c r="T21" s="17">
        <f t="shared" si="13"/>
        <v>26</v>
      </c>
      <c r="U21" s="17">
        <f t="shared" si="13"/>
        <v>34</v>
      </c>
      <c r="V21" s="17">
        <f t="shared" si="13"/>
        <v>91</v>
      </c>
      <c r="W21" s="17">
        <f t="shared" si="13"/>
        <v>4</v>
      </c>
      <c r="X21" s="17">
        <f t="shared" si="13"/>
        <v>0</v>
      </c>
      <c r="Y21" s="17">
        <f t="shared" si="13"/>
        <v>15</v>
      </c>
      <c r="Z21" s="17">
        <f t="shared" si="13"/>
        <v>10</v>
      </c>
      <c r="AA21" s="17">
        <f t="shared" si="13"/>
        <v>0</v>
      </c>
      <c r="AB21" s="17">
        <f t="shared" si="13"/>
        <v>1</v>
      </c>
      <c r="AC21" s="17">
        <f t="shared" si="13"/>
        <v>596</v>
      </c>
      <c r="AD21" s="17">
        <f t="shared" si="13"/>
        <v>0</v>
      </c>
      <c r="AE21" s="31">
        <f t="shared" si="13"/>
        <v>415</v>
      </c>
      <c r="AF21" s="31">
        <f t="shared" si="13"/>
        <v>1011</v>
      </c>
    </row>
    <row r="22" spans="2:32" ht="23.1" customHeight="1" x14ac:dyDescent="0.25">
      <c r="B22" s="45" t="s">
        <v>49</v>
      </c>
      <c r="C22" s="50">
        <v>86</v>
      </c>
      <c r="D22" s="50">
        <v>13</v>
      </c>
      <c r="E22" s="50">
        <v>13</v>
      </c>
      <c r="F22" s="50">
        <v>17</v>
      </c>
      <c r="G22" s="50">
        <v>0</v>
      </c>
      <c r="H22" s="50">
        <v>4</v>
      </c>
      <c r="I22" s="50">
        <v>0</v>
      </c>
      <c r="J22" s="50">
        <v>0</v>
      </c>
      <c r="K22" s="50">
        <v>0</v>
      </c>
      <c r="L22" s="50">
        <v>0</v>
      </c>
      <c r="M22" s="50">
        <v>119</v>
      </c>
      <c r="N22" s="50">
        <v>0</v>
      </c>
      <c r="O22" s="15">
        <f t="shared" si="0"/>
        <v>133</v>
      </c>
      <c r="P22" s="15">
        <f t="shared" si="1"/>
        <v>252</v>
      </c>
      <c r="R22" s="36" t="s">
        <v>146</v>
      </c>
      <c r="S22" s="34">
        <f>SUM(C58:C61)</f>
        <v>259</v>
      </c>
      <c r="T22" s="34">
        <f t="shared" ref="T22:AF22" si="14">SUM(D58:D61)</f>
        <v>23</v>
      </c>
      <c r="U22" s="34">
        <f t="shared" si="14"/>
        <v>24</v>
      </c>
      <c r="V22" s="34">
        <f t="shared" si="14"/>
        <v>95</v>
      </c>
      <c r="W22" s="34">
        <f t="shared" si="14"/>
        <v>3</v>
      </c>
      <c r="X22" s="34">
        <f t="shared" si="14"/>
        <v>0</v>
      </c>
      <c r="Y22" s="34">
        <f t="shared" si="14"/>
        <v>8</v>
      </c>
      <c r="Z22" s="34">
        <f t="shared" si="14"/>
        <v>7</v>
      </c>
      <c r="AA22" s="34">
        <f t="shared" si="14"/>
        <v>7</v>
      </c>
      <c r="AB22" s="34">
        <f t="shared" si="14"/>
        <v>0</v>
      </c>
      <c r="AC22" s="34">
        <f t="shared" si="14"/>
        <v>783</v>
      </c>
      <c r="AD22" s="34">
        <f t="shared" si="14"/>
        <v>0</v>
      </c>
      <c r="AE22" s="31">
        <f t="shared" si="14"/>
        <v>426</v>
      </c>
      <c r="AF22" s="31">
        <f t="shared" si="14"/>
        <v>1209</v>
      </c>
    </row>
    <row r="23" spans="2:32" ht="23.1" customHeight="1" x14ac:dyDescent="0.25">
      <c r="B23" s="45" t="s">
        <v>50</v>
      </c>
      <c r="C23" s="50">
        <v>84</v>
      </c>
      <c r="D23" s="50">
        <v>8</v>
      </c>
      <c r="E23" s="50">
        <v>14</v>
      </c>
      <c r="F23" s="50">
        <v>19</v>
      </c>
      <c r="G23" s="50">
        <v>0</v>
      </c>
      <c r="H23" s="50">
        <v>5</v>
      </c>
      <c r="I23" s="50">
        <v>0</v>
      </c>
      <c r="J23" s="50">
        <v>2</v>
      </c>
      <c r="K23" s="50">
        <v>0</v>
      </c>
      <c r="L23" s="50">
        <v>0</v>
      </c>
      <c r="M23" s="50">
        <v>122</v>
      </c>
      <c r="N23" s="50">
        <v>0</v>
      </c>
      <c r="O23" s="15">
        <f t="shared" si="0"/>
        <v>132</v>
      </c>
      <c r="P23" s="15">
        <f t="shared" si="1"/>
        <v>254</v>
      </c>
      <c r="R23" s="36" t="s">
        <v>147</v>
      </c>
      <c r="S23" s="34">
        <f>SUM(C62:C65)</f>
        <v>217</v>
      </c>
      <c r="T23" s="34">
        <f t="shared" ref="T23:AF23" si="15">SUM(D62:D65)</f>
        <v>9</v>
      </c>
      <c r="U23" s="34">
        <f t="shared" si="15"/>
        <v>18</v>
      </c>
      <c r="V23" s="34">
        <f t="shared" si="15"/>
        <v>95</v>
      </c>
      <c r="W23" s="34">
        <f t="shared" si="15"/>
        <v>0</v>
      </c>
      <c r="X23" s="34">
        <f t="shared" si="15"/>
        <v>0</v>
      </c>
      <c r="Y23" s="34">
        <f t="shared" si="15"/>
        <v>18</v>
      </c>
      <c r="Z23" s="34">
        <f t="shared" si="15"/>
        <v>4</v>
      </c>
      <c r="AA23" s="34">
        <f t="shared" si="15"/>
        <v>4</v>
      </c>
      <c r="AB23" s="34">
        <f t="shared" si="15"/>
        <v>0</v>
      </c>
      <c r="AC23" s="34">
        <f t="shared" si="15"/>
        <v>514</v>
      </c>
      <c r="AD23" s="34">
        <f t="shared" si="15"/>
        <v>0</v>
      </c>
      <c r="AE23" s="31">
        <f t="shared" si="15"/>
        <v>365</v>
      </c>
      <c r="AF23" s="31">
        <f t="shared" si="15"/>
        <v>879</v>
      </c>
    </row>
    <row r="24" spans="2:32" ht="23.1" customHeight="1" x14ac:dyDescent="0.25">
      <c r="B24" s="45" t="s">
        <v>51</v>
      </c>
      <c r="C24" s="50">
        <v>105</v>
      </c>
      <c r="D24" s="50">
        <v>11</v>
      </c>
      <c r="E24" s="50">
        <v>10</v>
      </c>
      <c r="F24" s="50">
        <v>27</v>
      </c>
      <c r="G24" s="50">
        <v>0</v>
      </c>
      <c r="H24" s="50">
        <v>0</v>
      </c>
      <c r="I24" s="50">
        <v>8</v>
      </c>
      <c r="J24" s="50">
        <v>1</v>
      </c>
      <c r="K24" s="50">
        <v>2</v>
      </c>
      <c r="L24" s="50">
        <v>0</v>
      </c>
      <c r="M24" s="50">
        <v>155</v>
      </c>
      <c r="N24" s="50">
        <v>0</v>
      </c>
      <c r="O24" s="15">
        <f t="shared" si="0"/>
        <v>164</v>
      </c>
      <c r="P24" s="15">
        <f t="shared" si="1"/>
        <v>319</v>
      </c>
      <c r="R24" s="36" t="s">
        <v>148</v>
      </c>
      <c r="S24" s="34">
        <f>SUM(C66:C69)</f>
        <v>150</v>
      </c>
      <c r="T24" s="34">
        <f t="shared" ref="T24:AF24" si="16">SUM(D66:D69)</f>
        <v>14</v>
      </c>
      <c r="U24" s="34">
        <f t="shared" si="16"/>
        <v>17</v>
      </c>
      <c r="V24" s="34">
        <f t="shared" si="16"/>
        <v>65</v>
      </c>
      <c r="W24" s="34">
        <f t="shared" si="16"/>
        <v>2</v>
      </c>
      <c r="X24" s="34">
        <f t="shared" si="16"/>
        <v>0</v>
      </c>
      <c r="Y24" s="34">
        <f t="shared" si="16"/>
        <v>12</v>
      </c>
      <c r="Z24" s="34">
        <f t="shared" si="16"/>
        <v>5</v>
      </c>
      <c r="AA24" s="34">
        <f t="shared" si="16"/>
        <v>2</v>
      </c>
      <c r="AB24" s="34">
        <f t="shared" si="16"/>
        <v>0</v>
      </c>
      <c r="AC24" s="34">
        <f t="shared" si="16"/>
        <v>295</v>
      </c>
      <c r="AD24" s="34">
        <f t="shared" si="16"/>
        <v>0</v>
      </c>
      <c r="AE24" s="31">
        <f t="shared" si="16"/>
        <v>267</v>
      </c>
      <c r="AF24" s="31">
        <f t="shared" si="16"/>
        <v>562</v>
      </c>
    </row>
    <row r="25" spans="2:32" ht="23.1" customHeight="1" x14ac:dyDescent="0.25">
      <c r="B25" s="45" t="s">
        <v>52</v>
      </c>
      <c r="C25" s="50">
        <v>85</v>
      </c>
      <c r="D25" s="50">
        <v>6</v>
      </c>
      <c r="E25" s="50">
        <v>7</v>
      </c>
      <c r="F25" s="50">
        <v>19</v>
      </c>
      <c r="G25" s="50">
        <v>0</v>
      </c>
      <c r="H25" s="50">
        <v>8</v>
      </c>
      <c r="I25" s="50">
        <v>3</v>
      </c>
      <c r="J25" s="50">
        <v>0</v>
      </c>
      <c r="K25" s="50">
        <v>0</v>
      </c>
      <c r="L25" s="50">
        <v>0</v>
      </c>
      <c r="M25" s="50">
        <v>118</v>
      </c>
      <c r="N25" s="50">
        <v>0</v>
      </c>
      <c r="O25" s="15">
        <f t="shared" si="0"/>
        <v>128</v>
      </c>
      <c r="P25" s="15">
        <f t="shared" si="1"/>
        <v>246</v>
      </c>
      <c r="R25" s="36" t="s">
        <v>149</v>
      </c>
      <c r="S25" s="34">
        <f>SUM(C70:C73)</f>
        <v>201</v>
      </c>
      <c r="T25" s="34">
        <f t="shared" ref="T25:AF25" si="17">SUM(D70:D73)</f>
        <v>8</v>
      </c>
      <c r="U25" s="34">
        <f t="shared" si="17"/>
        <v>14</v>
      </c>
      <c r="V25" s="34">
        <f t="shared" si="17"/>
        <v>50</v>
      </c>
      <c r="W25" s="34">
        <f t="shared" si="17"/>
        <v>2</v>
      </c>
      <c r="X25" s="34">
        <f t="shared" si="17"/>
        <v>0</v>
      </c>
      <c r="Y25" s="34">
        <f t="shared" si="17"/>
        <v>7</v>
      </c>
      <c r="Z25" s="34">
        <f t="shared" si="17"/>
        <v>4</v>
      </c>
      <c r="AA25" s="34">
        <f t="shared" si="17"/>
        <v>2</v>
      </c>
      <c r="AB25" s="34">
        <f t="shared" si="17"/>
        <v>0</v>
      </c>
      <c r="AC25" s="34">
        <f t="shared" si="17"/>
        <v>201</v>
      </c>
      <c r="AD25" s="34">
        <f t="shared" si="17"/>
        <v>0</v>
      </c>
      <c r="AE25" s="31">
        <f t="shared" si="17"/>
        <v>288</v>
      </c>
      <c r="AF25" s="31">
        <f t="shared" si="17"/>
        <v>489</v>
      </c>
    </row>
    <row r="26" spans="2:32" ht="23.1" customHeight="1" x14ac:dyDescent="0.25">
      <c r="B26" s="45" t="s">
        <v>53</v>
      </c>
      <c r="C26" s="50">
        <v>110</v>
      </c>
      <c r="D26" s="50">
        <v>7</v>
      </c>
      <c r="E26" s="50">
        <v>4</v>
      </c>
      <c r="F26" s="50">
        <v>37</v>
      </c>
      <c r="G26" s="50">
        <v>0</v>
      </c>
      <c r="H26" s="50">
        <v>0</v>
      </c>
      <c r="I26" s="50">
        <v>4</v>
      </c>
      <c r="J26" s="50">
        <v>0</v>
      </c>
      <c r="K26" s="50">
        <v>1</v>
      </c>
      <c r="L26" s="50">
        <v>0</v>
      </c>
      <c r="M26" s="50">
        <v>126</v>
      </c>
      <c r="N26" s="50">
        <v>0</v>
      </c>
      <c r="O26" s="15">
        <f t="shared" si="0"/>
        <v>163</v>
      </c>
      <c r="P26" s="15">
        <f t="shared" si="1"/>
        <v>289</v>
      </c>
      <c r="R26" s="36" t="s">
        <v>150</v>
      </c>
      <c r="S26" s="34">
        <f>SUM(C74:C77)</f>
        <v>195</v>
      </c>
      <c r="T26" s="34">
        <f t="shared" ref="T26:AF26" si="18">SUM(D74:D77)</f>
        <v>4</v>
      </c>
      <c r="U26" s="34">
        <f t="shared" si="18"/>
        <v>9</v>
      </c>
      <c r="V26" s="34">
        <f t="shared" si="18"/>
        <v>48</v>
      </c>
      <c r="W26" s="34">
        <f t="shared" si="18"/>
        <v>1</v>
      </c>
      <c r="X26" s="34">
        <f t="shared" si="18"/>
        <v>3</v>
      </c>
      <c r="Y26" s="34">
        <f t="shared" si="18"/>
        <v>8</v>
      </c>
      <c r="Z26" s="34">
        <f t="shared" si="18"/>
        <v>2</v>
      </c>
      <c r="AA26" s="34">
        <f t="shared" si="18"/>
        <v>1</v>
      </c>
      <c r="AB26" s="34">
        <f t="shared" si="18"/>
        <v>0</v>
      </c>
      <c r="AC26" s="34">
        <f t="shared" si="18"/>
        <v>241</v>
      </c>
      <c r="AD26" s="34">
        <f t="shared" si="18"/>
        <v>0</v>
      </c>
      <c r="AE26" s="31">
        <f t="shared" si="18"/>
        <v>271</v>
      </c>
      <c r="AF26" s="31">
        <f t="shared" si="18"/>
        <v>512</v>
      </c>
    </row>
    <row r="27" spans="2:32" ht="23.1" customHeight="1" x14ac:dyDescent="0.25">
      <c r="B27" s="45" t="s">
        <v>54</v>
      </c>
      <c r="C27" s="50">
        <v>92</v>
      </c>
      <c r="D27" s="50">
        <v>14</v>
      </c>
      <c r="E27" s="50">
        <v>16</v>
      </c>
      <c r="F27" s="50">
        <v>18</v>
      </c>
      <c r="G27" s="50">
        <v>1</v>
      </c>
      <c r="H27" s="50">
        <v>0</v>
      </c>
      <c r="I27" s="50">
        <v>6</v>
      </c>
      <c r="J27" s="50">
        <v>0</v>
      </c>
      <c r="K27" s="50">
        <v>1</v>
      </c>
      <c r="L27" s="50">
        <v>1</v>
      </c>
      <c r="M27" s="50">
        <v>145</v>
      </c>
      <c r="N27" s="50">
        <v>0</v>
      </c>
      <c r="O27" s="15">
        <f t="shared" si="0"/>
        <v>149</v>
      </c>
      <c r="P27" s="15">
        <f t="shared" si="1"/>
        <v>294</v>
      </c>
      <c r="R27" s="36" t="s">
        <v>151</v>
      </c>
      <c r="S27" s="34">
        <f>SUM(C78:C81)</f>
        <v>119</v>
      </c>
      <c r="T27" s="34">
        <f t="shared" ref="T27:AF27" si="19">SUM(D78:D81)</f>
        <v>6</v>
      </c>
      <c r="U27" s="34">
        <f t="shared" si="19"/>
        <v>8</v>
      </c>
      <c r="V27" s="34">
        <f t="shared" si="19"/>
        <v>72</v>
      </c>
      <c r="W27" s="34">
        <f t="shared" si="19"/>
        <v>0</v>
      </c>
      <c r="X27" s="34">
        <f t="shared" si="19"/>
        <v>0</v>
      </c>
      <c r="Y27" s="34">
        <f t="shared" si="19"/>
        <v>3</v>
      </c>
      <c r="Z27" s="34">
        <f t="shared" si="19"/>
        <v>2</v>
      </c>
      <c r="AA27" s="34">
        <f t="shared" si="19"/>
        <v>0</v>
      </c>
      <c r="AB27" s="34">
        <f t="shared" si="19"/>
        <v>0</v>
      </c>
      <c r="AC27" s="34">
        <f t="shared" si="19"/>
        <v>157</v>
      </c>
      <c r="AD27" s="34">
        <f t="shared" si="19"/>
        <v>0</v>
      </c>
      <c r="AE27" s="31">
        <f t="shared" si="19"/>
        <v>210</v>
      </c>
      <c r="AF27" s="31">
        <f t="shared" si="19"/>
        <v>367</v>
      </c>
    </row>
    <row r="28" spans="2:32" ht="23.1" customHeight="1" x14ac:dyDescent="0.25">
      <c r="B28" s="45" t="s">
        <v>55</v>
      </c>
      <c r="C28" s="50">
        <v>90</v>
      </c>
      <c r="D28" s="50">
        <v>15</v>
      </c>
      <c r="E28" s="50">
        <v>11</v>
      </c>
      <c r="F28" s="50">
        <v>25</v>
      </c>
      <c r="G28" s="50">
        <v>0</v>
      </c>
      <c r="H28" s="50">
        <v>0</v>
      </c>
      <c r="I28" s="50">
        <v>4</v>
      </c>
      <c r="J28" s="50">
        <v>0</v>
      </c>
      <c r="K28" s="50">
        <v>1</v>
      </c>
      <c r="L28" s="50">
        <v>1</v>
      </c>
      <c r="M28" s="50">
        <v>140</v>
      </c>
      <c r="N28" s="50">
        <v>0</v>
      </c>
      <c r="O28" s="15">
        <f t="shared" si="0"/>
        <v>147</v>
      </c>
      <c r="P28" s="15">
        <f t="shared" si="1"/>
        <v>287</v>
      </c>
      <c r="R28" s="36" t="s">
        <v>152</v>
      </c>
      <c r="S28" s="34">
        <f>SUM(C82:C85)</f>
        <v>73</v>
      </c>
      <c r="T28" s="34">
        <f t="shared" ref="T28:AF28" si="20">SUM(D82:D85)</f>
        <v>2</v>
      </c>
      <c r="U28" s="34">
        <f t="shared" si="20"/>
        <v>6</v>
      </c>
      <c r="V28" s="34">
        <f t="shared" si="20"/>
        <v>7</v>
      </c>
      <c r="W28" s="34">
        <f t="shared" si="20"/>
        <v>0</v>
      </c>
      <c r="X28" s="34">
        <f t="shared" si="20"/>
        <v>0</v>
      </c>
      <c r="Y28" s="34">
        <f t="shared" si="20"/>
        <v>2</v>
      </c>
      <c r="Z28" s="34">
        <f t="shared" si="20"/>
        <v>4</v>
      </c>
      <c r="AA28" s="34">
        <f t="shared" si="20"/>
        <v>0</v>
      </c>
      <c r="AB28" s="34">
        <f t="shared" si="20"/>
        <v>0</v>
      </c>
      <c r="AC28" s="34">
        <f t="shared" si="20"/>
        <v>117</v>
      </c>
      <c r="AD28" s="34">
        <f t="shared" si="20"/>
        <v>0</v>
      </c>
      <c r="AE28" s="31">
        <f t="shared" si="20"/>
        <v>94</v>
      </c>
      <c r="AF28" s="31">
        <f t="shared" si="20"/>
        <v>211</v>
      </c>
    </row>
    <row r="29" spans="2:32" ht="23.1" customHeight="1" x14ac:dyDescent="0.25">
      <c r="B29" s="45" t="s">
        <v>56</v>
      </c>
      <c r="C29" s="50">
        <v>70</v>
      </c>
      <c r="D29" s="50">
        <v>7</v>
      </c>
      <c r="E29" s="50">
        <v>10</v>
      </c>
      <c r="F29" s="50">
        <v>27</v>
      </c>
      <c r="G29" s="50">
        <v>0</v>
      </c>
      <c r="H29" s="50">
        <v>0</v>
      </c>
      <c r="I29" s="50">
        <v>7</v>
      </c>
      <c r="J29" s="50">
        <v>0</v>
      </c>
      <c r="K29" s="50">
        <v>0</v>
      </c>
      <c r="L29" s="50">
        <v>0</v>
      </c>
      <c r="M29" s="50">
        <v>126</v>
      </c>
      <c r="N29" s="50">
        <v>0</v>
      </c>
      <c r="O29" s="15">
        <f t="shared" si="0"/>
        <v>121</v>
      </c>
      <c r="P29" s="15">
        <f t="shared" si="1"/>
        <v>247</v>
      </c>
      <c r="R29" s="36" t="s">
        <v>153</v>
      </c>
      <c r="S29" s="34">
        <f>SUM(C86:C89)</f>
        <v>43</v>
      </c>
      <c r="T29" s="34">
        <f t="shared" ref="T29:AF29" si="21">SUM(D86:D89)</f>
        <v>2</v>
      </c>
      <c r="U29" s="34">
        <f t="shared" si="21"/>
        <v>4</v>
      </c>
      <c r="V29" s="34">
        <f t="shared" si="21"/>
        <v>10</v>
      </c>
      <c r="W29" s="34">
        <f t="shared" si="21"/>
        <v>0</v>
      </c>
      <c r="X29" s="34">
        <f t="shared" si="21"/>
        <v>0</v>
      </c>
      <c r="Y29" s="34">
        <f t="shared" si="21"/>
        <v>2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86</v>
      </c>
      <c r="AD29" s="34">
        <f t="shared" si="21"/>
        <v>0</v>
      </c>
      <c r="AE29" s="31">
        <f t="shared" si="21"/>
        <v>61</v>
      </c>
      <c r="AF29" s="31">
        <f t="shared" si="21"/>
        <v>147</v>
      </c>
    </row>
    <row r="30" spans="2:32" ht="23.1" customHeight="1" x14ac:dyDescent="0.25">
      <c r="B30" s="45" t="s">
        <v>57</v>
      </c>
      <c r="C30" s="50">
        <v>82</v>
      </c>
      <c r="D30" s="50">
        <v>5</v>
      </c>
      <c r="E30" s="50">
        <v>8</v>
      </c>
      <c r="F30" s="50">
        <v>18</v>
      </c>
      <c r="G30" s="50">
        <v>0</v>
      </c>
      <c r="H30" s="50">
        <v>10</v>
      </c>
      <c r="I30" s="50">
        <v>1</v>
      </c>
      <c r="J30" s="50">
        <v>1</v>
      </c>
      <c r="K30" s="50">
        <v>1</v>
      </c>
      <c r="L30" s="50">
        <v>0</v>
      </c>
      <c r="M30" s="50">
        <v>130</v>
      </c>
      <c r="N30" s="50">
        <v>0</v>
      </c>
      <c r="O30" s="15">
        <f t="shared" si="0"/>
        <v>126</v>
      </c>
      <c r="P30" s="15">
        <f t="shared" si="1"/>
        <v>256</v>
      </c>
      <c r="R30" s="36" t="s">
        <v>154</v>
      </c>
      <c r="S30" s="34">
        <f>SUM(C90:C93)</f>
        <v>29</v>
      </c>
      <c r="T30" s="34">
        <f t="shared" ref="T30:AF30" si="22">SUM(D90:D93)</f>
        <v>2</v>
      </c>
      <c r="U30" s="34">
        <f t="shared" si="22"/>
        <v>2</v>
      </c>
      <c r="V30" s="34">
        <f t="shared" si="22"/>
        <v>1</v>
      </c>
      <c r="W30" s="34">
        <f t="shared" si="22"/>
        <v>0</v>
      </c>
      <c r="X30" s="34">
        <f t="shared" si="22"/>
        <v>0</v>
      </c>
      <c r="Y30" s="34">
        <f t="shared" si="22"/>
        <v>3</v>
      </c>
      <c r="Z30" s="34">
        <f t="shared" si="22"/>
        <v>3</v>
      </c>
      <c r="AA30" s="34">
        <f t="shared" si="22"/>
        <v>1</v>
      </c>
      <c r="AB30" s="34">
        <f t="shared" si="22"/>
        <v>0</v>
      </c>
      <c r="AC30" s="34">
        <f t="shared" si="22"/>
        <v>66</v>
      </c>
      <c r="AD30" s="34">
        <f t="shared" si="22"/>
        <v>0</v>
      </c>
      <c r="AE30" s="31">
        <f t="shared" si="22"/>
        <v>41</v>
      </c>
      <c r="AF30" s="31">
        <f t="shared" si="22"/>
        <v>107</v>
      </c>
    </row>
    <row r="31" spans="2:32" ht="23.1" customHeight="1" x14ac:dyDescent="0.25">
      <c r="B31" s="46" t="s">
        <v>58</v>
      </c>
      <c r="C31" s="50">
        <v>67</v>
      </c>
      <c r="D31" s="50">
        <v>9</v>
      </c>
      <c r="E31" s="50">
        <v>10</v>
      </c>
      <c r="F31" s="50">
        <v>14</v>
      </c>
      <c r="G31" s="50">
        <v>0</v>
      </c>
      <c r="H31" s="50">
        <v>0</v>
      </c>
      <c r="I31" s="50">
        <v>8</v>
      </c>
      <c r="J31" s="50">
        <v>1</v>
      </c>
      <c r="K31" s="50">
        <v>1</v>
      </c>
      <c r="L31" s="50">
        <v>0</v>
      </c>
      <c r="M31" s="50">
        <v>155</v>
      </c>
      <c r="N31" s="50">
        <v>0</v>
      </c>
      <c r="O31" s="15">
        <f t="shared" si="0"/>
        <v>110</v>
      </c>
      <c r="P31" s="15">
        <f t="shared" si="1"/>
        <v>265</v>
      </c>
      <c r="R31" s="36" t="s">
        <v>155</v>
      </c>
      <c r="S31" s="34">
        <f>SUM(C94:C97)</f>
        <v>31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1</v>
      </c>
      <c r="W31" s="34">
        <f t="shared" si="23"/>
        <v>0</v>
      </c>
      <c r="X31" s="34">
        <f t="shared" si="23"/>
        <v>0</v>
      </c>
      <c r="Y31" s="34">
        <f t="shared" si="23"/>
        <v>1</v>
      </c>
      <c r="Z31" s="34">
        <f t="shared" si="23"/>
        <v>4</v>
      </c>
      <c r="AA31" s="34">
        <f t="shared" si="23"/>
        <v>0</v>
      </c>
      <c r="AB31" s="34">
        <f t="shared" si="23"/>
        <v>1</v>
      </c>
      <c r="AC31" s="34">
        <f t="shared" si="23"/>
        <v>61</v>
      </c>
      <c r="AD31" s="34">
        <f t="shared" si="23"/>
        <v>0</v>
      </c>
      <c r="AE31" s="31">
        <f t="shared" si="23"/>
        <v>38</v>
      </c>
      <c r="AF31" s="31">
        <f t="shared" si="23"/>
        <v>99</v>
      </c>
    </row>
    <row r="32" spans="2:32" ht="23.1" customHeight="1" x14ac:dyDescent="0.25">
      <c r="B32" s="46" t="s">
        <v>59</v>
      </c>
      <c r="C32" s="50">
        <v>72</v>
      </c>
      <c r="D32" s="50">
        <v>4</v>
      </c>
      <c r="E32" s="50">
        <v>6</v>
      </c>
      <c r="F32" s="50">
        <v>25</v>
      </c>
      <c r="G32" s="50">
        <v>0</v>
      </c>
      <c r="H32" s="50">
        <v>5</v>
      </c>
      <c r="I32" s="50">
        <v>2</v>
      </c>
      <c r="J32" s="50">
        <v>0</v>
      </c>
      <c r="K32" s="50">
        <v>0</v>
      </c>
      <c r="L32" s="50">
        <v>0</v>
      </c>
      <c r="M32" s="50">
        <v>100</v>
      </c>
      <c r="N32" s="50">
        <v>0</v>
      </c>
      <c r="O32" s="15">
        <f t="shared" si="0"/>
        <v>114</v>
      </c>
      <c r="P32" s="15">
        <f t="shared" si="1"/>
        <v>214</v>
      </c>
      <c r="R32" s="33" t="s">
        <v>156</v>
      </c>
      <c r="S32" s="34">
        <f>SUM(C98:C101)</f>
        <v>30</v>
      </c>
      <c r="T32" s="34">
        <f t="shared" ref="T32:AF32" si="24">SUM(D98:D101)</f>
        <v>2</v>
      </c>
      <c r="U32" s="34">
        <f t="shared" si="24"/>
        <v>5</v>
      </c>
      <c r="V32" s="34">
        <f t="shared" si="24"/>
        <v>10</v>
      </c>
      <c r="W32" s="34">
        <f t="shared" si="24"/>
        <v>0</v>
      </c>
      <c r="X32" s="34">
        <f t="shared" si="24"/>
        <v>0</v>
      </c>
      <c r="Y32" s="34">
        <f t="shared" si="24"/>
        <v>1</v>
      </c>
      <c r="Z32" s="34">
        <f t="shared" si="24"/>
        <v>1</v>
      </c>
      <c r="AA32" s="34">
        <f t="shared" si="24"/>
        <v>0</v>
      </c>
      <c r="AB32" s="34">
        <f t="shared" si="24"/>
        <v>0</v>
      </c>
      <c r="AC32" s="34">
        <f t="shared" si="24"/>
        <v>79</v>
      </c>
      <c r="AD32" s="34">
        <f t="shared" si="24"/>
        <v>0</v>
      </c>
      <c r="AE32" s="31">
        <f t="shared" si="24"/>
        <v>49</v>
      </c>
      <c r="AF32" s="31">
        <f t="shared" si="24"/>
        <v>128</v>
      </c>
    </row>
    <row r="33" spans="2:32" ht="23.1" customHeight="1" x14ac:dyDescent="0.25">
      <c r="B33" s="45" t="s">
        <v>60</v>
      </c>
      <c r="C33" s="50">
        <v>95</v>
      </c>
      <c r="D33" s="50">
        <v>8</v>
      </c>
      <c r="E33" s="50">
        <v>11</v>
      </c>
      <c r="F33" s="50">
        <v>23</v>
      </c>
      <c r="G33" s="50" t="s">
        <v>174</v>
      </c>
      <c r="H33" s="50">
        <v>3</v>
      </c>
      <c r="I33" s="50">
        <v>1</v>
      </c>
      <c r="J33" s="50">
        <v>1</v>
      </c>
      <c r="K33" s="50">
        <v>0</v>
      </c>
      <c r="L33" s="50">
        <v>0</v>
      </c>
      <c r="M33" s="50">
        <v>171</v>
      </c>
      <c r="N33" s="50">
        <v>0</v>
      </c>
      <c r="O33" s="15">
        <f t="shared" si="0"/>
        <v>142</v>
      </c>
      <c r="P33" s="15">
        <f t="shared" si="1"/>
        <v>313</v>
      </c>
      <c r="R33" s="33" t="s">
        <v>157</v>
      </c>
      <c r="S33" s="34">
        <f>SUM(C102:C105)</f>
        <v>37</v>
      </c>
      <c r="T33" s="34">
        <f t="shared" ref="T33:AF33" si="25">SUM(D102:D105)</f>
        <v>4</v>
      </c>
      <c r="U33" s="34">
        <f t="shared" si="25"/>
        <v>12</v>
      </c>
      <c r="V33" s="34">
        <f t="shared" si="25"/>
        <v>48</v>
      </c>
      <c r="W33" s="34">
        <f t="shared" si="25"/>
        <v>0</v>
      </c>
      <c r="X33" s="34">
        <f t="shared" si="25"/>
        <v>0</v>
      </c>
      <c r="Y33" s="34">
        <f t="shared" si="25"/>
        <v>3</v>
      </c>
      <c r="Z33" s="34">
        <f t="shared" si="25"/>
        <v>5</v>
      </c>
      <c r="AA33" s="34">
        <f t="shared" si="25"/>
        <v>3</v>
      </c>
      <c r="AB33" s="34">
        <f t="shared" si="25"/>
        <v>0</v>
      </c>
      <c r="AC33" s="34">
        <f t="shared" si="25"/>
        <v>127</v>
      </c>
      <c r="AD33" s="34">
        <f t="shared" si="25"/>
        <v>0</v>
      </c>
      <c r="AE33" s="31">
        <f t="shared" si="25"/>
        <v>112</v>
      </c>
      <c r="AF33" s="31">
        <f t="shared" si="25"/>
        <v>239</v>
      </c>
    </row>
    <row r="34" spans="2:32" ht="23.1" customHeight="1" x14ac:dyDescent="0.25">
      <c r="B34" s="46" t="s">
        <v>61</v>
      </c>
      <c r="C34" s="50">
        <v>65</v>
      </c>
      <c r="D34" s="50">
        <v>6</v>
      </c>
      <c r="E34" s="50">
        <v>10</v>
      </c>
      <c r="F34" s="50">
        <v>15</v>
      </c>
      <c r="G34" s="50">
        <v>0</v>
      </c>
      <c r="H34" s="50">
        <v>8</v>
      </c>
      <c r="I34" s="50">
        <v>5</v>
      </c>
      <c r="J34" s="50">
        <v>2</v>
      </c>
      <c r="K34" s="50">
        <v>0</v>
      </c>
      <c r="L34" s="50">
        <v>0</v>
      </c>
      <c r="M34" s="50">
        <v>127</v>
      </c>
      <c r="N34" s="50">
        <v>0</v>
      </c>
      <c r="O34" s="15">
        <f t="shared" si="0"/>
        <v>111</v>
      </c>
      <c r="P34" s="15">
        <f t="shared" si="1"/>
        <v>238</v>
      </c>
      <c r="R34" s="38" t="s">
        <v>90</v>
      </c>
      <c r="S34" s="39">
        <f t="shared" ref="S34:AF34" si="26">MAX(S10:S12)</f>
        <v>383</v>
      </c>
      <c r="T34" s="39">
        <f t="shared" si="26"/>
        <v>33</v>
      </c>
      <c r="U34" s="39">
        <f t="shared" si="26"/>
        <v>41</v>
      </c>
      <c r="V34" s="39">
        <f t="shared" si="26"/>
        <v>114</v>
      </c>
      <c r="W34" s="39">
        <f t="shared" si="26"/>
        <v>4</v>
      </c>
      <c r="X34" s="39">
        <f t="shared" si="26"/>
        <v>8</v>
      </c>
      <c r="Y34" s="39">
        <f t="shared" si="26"/>
        <v>16</v>
      </c>
      <c r="Z34" s="39">
        <f t="shared" si="26"/>
        <v>5</v>
      </c>
      <c r="AA34" s="39">
        <f t="shared" si="26"/>
        <v>2</v>
      </c>
      <c r="AB34" s="39">
        <f t="shared" si="26"/>
        <v>2</v>
      </c>
      <c r="AC34" s="39">
        <f t="shared" si="26"/>
        <v>623</v>
      </c>
      <c r="AD34" s="39">
        <f t="shared" si="26"/>
        <v>0</v>
      </c>
      <c r="AE34" s="40">
        <f t="shared" si="26"/>
        <v>584</v>
      </c>
      <c r="AF34" s="40">
        <f t="shared" si="26"/>
        <v>1207</v>
      </c>
    </row>
    <row r="35" spans="2:32" ht="23.1" customHeight="1" x14ac:dyDescent="0.25">
      <c r="B35" s="46" t="s">
        <v>62</v>
      </c>
      <c r="C35" s="50">
        <v>64</v>
      </c>
      <c r="D35" s="50">
        <v>10</v>
      </c>
      <c r="E35" s="50">
        <v>6</v>
      </c>
      <c r="F35" s="50">
        <v>19</v>
      </c>
      <c r="G35" s="50">
        <v>0</v>
      </c>
      <c r="H35" s="50">
        <v>0</v>
      </c>
      <c r="I35" s="50">
        <v>5</v>
      </c>
      <c r="J35" s="50">
        <v>0</v>
      </c>
      <c r="K35" s="50">
        <v>1</v>
      </c>
      <c r="L35" s="50">
        <v>0</v>
      </c>
      <c r="M35" s="50">
        <v>117</v>
      </c>
      <c r="N35" s="50">
        <v>0</v>
      </c>
      <c r="O35" s="15">
        <f t="shared" si="0"/>
        <v>105</v>
      </c>
      <c r="P35" s="15">
        <f t="shared" si="1"/>
        <v>222</v>
      </c>
      <c r="R35" s="38" t="s">
        <v>91</v>
      </c>
      <c r="S35" s="39">
        <f t="shared" ref="S35:AF35" si="27">MAX(S13:S18)</f>
        <v>362</v>
      </c>
      <c r="T35" s="39">
        <f t="shared" si="27"/>
        <v>43</v>
      </c>
      <c r="U35" s="39">
        <f t="shared" si="27"/>
        <v>86</v>
      </c>
      <c r="V35" s="39">
        <f t="shared" si="27"/>
        <v>107</v>
      </c>
      <c r="W35" s="39">
        <f t="shared" si="27"/>
        <v>1</v>
      </c>
      <c r="X35" s="39">
        <f t="shared" si="27"/>
        <v>18</v>
      </c>
      <c r="Y35" s="39">
        <f t="shared" si="27"/>
        <v>28</v>
      </c>
      <c r="Z35" s="39">
        <f t="shared" si="27"/>
        <v>10</v>
      </c>
      <c r="AA35" s="39">
        <f t="shared" si="27"/>
        <v>8</v>
      </c>
      <c r="AB35" s="39">
        <f t="shared" si="27"/>
        <v>2</v>
      </c>
      <c r="AC35" s="39">
        <f t="shared" si="27"/>
        <v>556</v>
      </c>
      <c r="AD35" s="39">
        <f t="shared" si="27"/>
        <v>0</v>
      </c>
      <c r="AE35" s="40">
        <f t="shared" si="27"/>
        <v>580</v>
      </c>
      <c r="AF35" s="40">
        <f t="shared" si="27"/>
        <v>1117</v>
      </c>
    </row>
    <row r="36" spans="2:32" ht="23.1" customHeight="1" x14ac:dyDescent="0.25">
      <c r="B36" s="46" t="s">
        <v>63</v>
      </c>
      <c r="C36" s="50">
        <v>91</v>
      </c>
      <c r="D36" s="50">
        <v>3</v>
      </c>
      <c r="E36" s="50">
        <v>11</v>
      </c>
      <c r="F36" s="50">
        <v>21</v>
      </c>
      <c r="G36" s="50">
        <v>0</v>
      </c>
      <c r="H36" s="50">
        <v>0</v>
      </c>
      <c r="I36" s="50">
        <v>11</v>
      </c>
      <c r="J36" s="50">
        <v>2</v>
      </c>
      <c r="K36" s="50">
        <v>1</v>
      </c>
      <c r="L36" s="50">
        <v>0</v>
      </c>
      <c r="M36" s="50">
        <v>105</v>
      </c>
      <c r="N36" s="50">
        <v>0</v>
      </c>
      <c r="O36" s="15">
        <f t="shared" si="0"/>
        <v>140</v>
      </c>
      <c r="P36" s="15">
        <f t="shared" si="1"/>
        <v>245</v>
      </c>
      <c r="R36" s="38" t="s">
        <v>92</v>
      </c>
      <c r="S36" s="39">
        <f t="shared" ref="S36:AF36" si="28">MAX(S19:S21)</f>
        <v>277</v>
      </c>
      <c r="T36" s="39">
        <f t="shared" si="28"/>
        <v>42</v>
      </c>
      <c r="U36" s="39">
        <f t="shared" si="28"/>
        <v>34</v>
      </c>
      <c r="V36" s="39">
        <f t="shared" si="28"/>
        <v>101</v>
      </c>
      <c r="W36" s="39">
        <f t="shared" si="28"/>
        <v>4</v>
      </c>
      <c r="X36" s="39">
        <f t="shared" si="28"/>
        <v>4</v>
      </c>
      <c r="Y36" s="39">
        <f t="shared" si="28"/>
        <v>17</v>
      </c>
      <c r="Z36" s="39">
        <f t="shared" si="28"/>
        <v>12</v>
      </c>
      <c r="AA36" s="39">
        <f t="shared" si="28"/>
        <v>6</v>
      </c>
      <c r="AB36" s="39">
        <f t="shared" si="28"/>
        <v>1</v>
      </c>
      <c r="AC36" s="39">
        <f t="shared" si="28"/>
        <v>596</v>
      </c>
      <c r="AD36" s="39">
        <f t="shared" si="28"/>
        <v>0</v>
      </c>
      <c r="AE36" s="40">
        <f t="shared" si="28"/>
        <v>467</v>
      </c>
      <c r="AF36" s="40">
        <f t="shared" si="28"/>
        <v>1011</v>
      </c>
    </row>
    <row r="37" spans="2:32" ht="23.1" customHeight="1" x14ac:dyDescent="0.25">
      <c r="B37" s="45" t="s">
        <v>64</v>
      </c>
      <c r="C37" s="50">
        <v>65</v>
      </c>
      <c r="D37" s="50">
        <v>3</v>
      </c>
      <c r="E37" s="50">
        <v>59</v>
      </c>
      <c r="F37" s="50">
        <v>23</v>
      </c>
      <c r="G37" s="50">
        <v>0</v>
      </c>
      <c r="H37" s="50">
        <v>0</v>
      </c>
      <c r="I37" s="50">
        <v>7</v>
      </c>
      <c r="J37" s="50">
        <v>2</v>
      </c>
      <c r="K37" s="50">
        <v>2</v>
      </c>
      <c r="L37" s="50">
        <v>1</v>
      </c>
      <c r="M37" s="50">
        <v>114</v>
      </c>
      <c r="N37" s="50">
        <v>0</v>
      </c>
      <c r="O37" s="15">
        <f t="shared" si="0"/>
        <v>162</v>
      </c>
      <c r="P37" s="15">
        <f t="shared" si="1"/>
        <v>276</v>
      </c>
      <c r="R37" s="37" t="s">
        <v>85</v>
      </c>
      <c r="S37" s="35">
        <f t="shared" ref="S37:AF37" si="29">SUM(S10:S12)</f>
        <v>930</v>
      </c>
      <c r="T37" s="16">
        <f t="shared" si="29"/>
        <v>83</v>
      </c>
      <c r="U37" s="16">
        <f t="shared" si="29"/>
        <v>89</v>
      </c>
      <c r="V37" s="16">
        <f t="shared" si="29"/>
        <v>302</v>
      </c>
      <c r="W37" s="16">
        <f t="shared" si="29"/>
        <v>5</v>
      </c>
      <c r="X37" s="16">
        <f t="shared" si="29"/>
        <v>15</v>
      </c>
      <c r="Y37" s="16">
        <f t="shared" si="29"/>
        <v>37</v>
      </c>
      <c r="Z37" s="16">
        <f t="shared" si="29"/>
        <v>9</v>
      </c>
      <c r="AA37" s="16">
        <f t="shared" si="29"/>
        <v>4</v>
      </c>
      <c r="AB37" s="16">
        <f t="shared" si="29"/>
        <v>3</v>
      </c>
      <c r="AC37" s="16">
        <f t="shared" si="29"/>
        <v>1538</v>
      </c>
      <c r="AD37" s="16">
        <f t="shared" si="29"/>
        <v>0</v>
      </c>
      <c r="AE37" s="32">
        <f t="shared" si="29"/>
        <v>1477</v>
      </c>
      <c r="AF37" s="32">
        <f t="shared" si="29"/>
        <v>3015</v>
      </c>
    </row>
    <row r="38" spans="2:32" ht="23.1" customHeight="1" x14ac:dyDescent="0.25">
      <c r="B38" s="46" t="s">
        <v>65</v>
      </c>
      <c r="C38" s="50">
        <v>55</v>
      </c>
      <c r="D38" s="50">
        <v>10</v>
      </c>
      <c r="E38" s="50">
        <v>3</v>
      </c>
      <c r="F38" s="50">
        <v>15</v>
      </c>
      <c r="G38" s="50">
        <v>0</v>
      </c>
      <c r="H38" s="50">
        <v>0</v>
      </c>
      <c r="I38" s="50">
        <v>10</v>
      </c>
      <c r="J38" s="50">
        <v>2</v>
      </c>
      <c r="K38" s="50">
        <v>0</v>
      </c>
      <c r="L38" s="50">
        <v>0</v>
      </c>
      <c r="M38" s="50">
        <v>107</v>
      </c>
      <c r="N38" s="50">
        <v>0</v>
      </c>
      <c r="O38" s="15">
        <f t="shared" si="0"/>
        <v>95</v>
      </c>
      <c r="P38" s="15">
        <f t="shared" si="1"/>
        <v>202</v>
      </c>
      <c r="R38" s="28" t="s">
        <v>86</v>
      </c>
      <c r="S38" s="16">
        <f t="shared" ref="S38:AF38" si="30">SUM(S13:S18)</f>
        <v>1791</v>
      </c>
      <c r="T38" s="16">
        <f t="shared" si="30"/>
        <v>192</v>
      </c>
      <c r="U38" s="16">
        <f t="shared" si="30"/>
        <v>268</v>
      </c>
      <c r="V38" s="16">
        <f t="shared" si="30"/>
        <v>473</v>
      </c>
      <c r="W38" s="16">
        <f t="shared" si="30"/>
        <v>2</v>
      </c>
      <c r="X38" s="16">
        <f t="shared" si="30"/>
        <v>49</v>
      </c>
      <c r="Y38" s="16">
        <f t="shared" si="30"/>
        <v>108</v>
      </c>
      <c r="Z38" s="16">
        <f t="shared" si="30"/>
        <v>29</v>
      </c>
      <c r="AA38" s="16">
        <f t="shared" si="30"/>
        <v>21</v>
      </c>
      <c r="AB38" s="16">
        <f t="shared" si="30"/>
        <v>5</v>
      </c>
      <c r="AC38" s="16">
        <f t="shared" si="30"/>
        <v>3047</v>
      </c>
      <c r="AD38" s="16">
        <f t="shared" si="30"/>
        <v>0</v>
      </c>
      <c r="AE38" s="32">
        <f t="shared" si="30"/>
        <v>2938</v>
      </c>
      <c r="AF38" s="32">
        <f t="shared" si="30"/>
        <v>5985</v>
      </c>
    </row>
    <row r="39" spans="2:32" ht="23.1" customHeight="1" x14ac:dyDescent="0.25">
      <c r="B39" s="46" t="s">
        <v>66</v>
      </c>
      <c r="C39" s="50">
        <v>66</v>
      </c>
      <c r="D39" s="50">
        <v>8</v>
      </c>
      <c r="E39" s="50">
        <v>8</v>
      </c>
      <c r="F39" s="50">
        <v>17</v>
      </c>
      <c r="G39" s="50">
        <v>0</v>
      </c>
      <c r="H39" s="50">
        <v>3</v>
      </c>
      <c r="I39" s="50">
        <v>3</v>
      </c>
      <c r="J39" s="50">
        <v>1</v>
      </c>
      <c r="K39" s="50">
        <v>0</v>
      </c>
      <c r="L39" s="50">
        <v>0</v>
      </c>
      <c r="M39" s="50">
        <v>131</v>
      </c>
      <c r="N39" s="50">
        <v>0</v>
      </c>
      <c r="O39" s="15">
        <f t="shared" si="0"/>
        <v>106</v>
      </c>
      <c r="P39" s="15">
        <f t="shared" si="1"/>
        <v>237</v>
      </c>
      <c r="R39" s="29" t="s">
        <v>87</v>
      </c>
      <c r="S39" s="16">
        <f t="shared" ref="S39:AF39" si="31">SUM(S19:S21)</f>
        <v>723</v>
      </c>
      <c r="T39" s="16">
        <f t="shared" si="31"/>
        <v>102</v>
      </c>
      <c r="U39" s="16">
        <f t="shared" si="31"/>
        <v>89</v>
      </c>
      <c r="V39" s="16">
        <f t="shared" si="31"/>
        <v>263</v>
      </c>
      <c r="W39" s="16">
        <f t="shared" si="31"/>
        <v>5</v>
      </c>
      <c r="X39" s="16">
        <f t="shared" si="31"/>
        <v>4</v>
      </c>
      <c r="Y39" s="16">
        <f t="shared" si="31"/>
        <v>45</v>
      </c>
      <c r="Z39" s="16">
        <f t="shared" si="31"/>
        <v>28</v>
      </c>
      <c r="AA39" s="16">
        <f t="shared" si="31"/>
        <v>6</v>
      </c>
      <c r="AB39" s="16">
        <f t="shared" si="31"/>
        <v>1</v>
      </c>
      <c r="AC39" s="16">
        <f t="shared" si="31"/>
        <v>1593</v>
      </c>
      <c r="AD39" s="16">
        <f t="shared" si="31"/>
        <v>0</v>
      </c>
      <c r="AE39" s="32">
        <f t="shared" si="31"/>
        <v>1266</v>
      </c>
      <c r="AF39" s="32">
        <f t="shared" si="31"/>
        <v>2859</v>
      </c>
    </row>
    <row r="40" spans="2:32" ht="23.1" customHeight="1" x14ac:dyDescent="0.25">
      <c r="B40" s="46" t="s">
        <v>67</v>
      </c>
      <c r="C40" s="50">
        <v>61</v>
      </c>
      <c r="D40" s="50">
        <v>3</v>
      </c>
      <c r="E40" s="50">
        <v>13</v>
      </c>
      <c r="F40" s="50">
        <v>22</v>
      </c>
      <c r="G40" s="50">
        <v>0</v>
      </c>
      <c r="H40" s="50">
        <v>0</v>
      </c>
      <c r="I40" s="50">
        <v>5</v>
      </c>
      <c r="J40" s="50">
        <v>4</v>
      </c>
      <c r="K40" s="50">
        <v>1</v>
      </c>
      <c r="L40" s="50">
        <v>1</v>
      </c>
      <c r="M40" s="50">
        <v>128</v>
      </c>
      <c r="N40" s="50">
        <v>0</v>
      </c>
      <c r="O40" s="15">
        <f t="shared" si="0"/>
        <v>110</v>
      </c>
      <c r="P40" s="15">
        <f t="shared" si="1"/>
        <v>238</v>
      </c>
      <c r="R40" s="5" t="s">
        <v>17</v>
      </c>
      <c r="S40" s="16">
        <f t="shared" ref="S40:AF40" si="32">SUM(S10:S21)</f>
        <v>3444</v>
      </c>
      <c r="T40" s="16">
        <f t="shared" si="32"/>
        <v>377</v>
      </c>
      <c r="U40" s="16">
        <f t="shared" si="32"/>
        <v>446</v>
      </c>
      <c r="V40" s="16">
        <f t="shared" si="32"/>
        <v>1038</v>
      </c>
      <c r="W40" s="16">
        <f t="shared" si="32"/>
        <v>12</v>
      </c>
      <c r="X40" s="16">
        <f t="shared" si="32"/>
        <v>68</v>
      </c>
      <c r="Y40" s="16">
        <f t="shared" si="32"/>
        <v>190</v>
      </c>
      <c r="Z40" s="16">
        <f t="shared" si="32"/>
        <v>66</v>
      </c>
      <c r="AA40" s="16">
        <f t="shared" si="32"/>
        <v>31</v>
      </c>
      <c r="AB40" s="16">
        <f t="shared" si="32"/>
        <v>9</v>
      </c>
      <c r="AC40" s="16">
        <f t="shared" si="32"/>
        <v>6178</v>
      </c>
      <c r="AD40" s="16">
        <f t="shared" si="32"/>
        <v>0</v>
      </c>
      <c r="AE40" s="32">
        <f t="shared" si="32"/>
        <v>5681</v>
      </c>
      <c r="AF40" s="32">
        <f t="shared" si="32"/>
        <v>11859</v>
      </c>
    </row>
    <row r="41" spans="2:32" ht="23.1" customHeight="1" x14ac:dyDescent="0.25">
      <c r="B41" s="45" t="s">
        <v>68</v>
      </c>
      <c r="C41" s="50">
        <v>56</v>
      </c>
      <c r="D41" s="50">
        <v>4</v>
      </c>
      <c r="E41" s="50">
        <v>7</v>
      </c>
      <c r="F41" s="50">
        <v>21</v>
      </c>
      <c r="G41" s="50">
        <v>0</v>
      </c>
      <c r="H41" s="50">
        <v>0</v>
      </c>
      <c r="I41" s="50">
        <v>8</v>
      </c>
      <c r="J41" s="50">
        <v>0</v>
      </c>
      <c r="K41" s="50">
        <v>1</v>
      </c>
      <c r="L41" s="50">
        <v>0</v>
      </c>
      <c r="M41" s="50">
        <v>133</v>
      </c>
      <c r="N41" s="50">
        <v>0</v>
      </c>
      <c r="O41" s="15">
        <f t="shared" si="0"/>
        <v>97</v>
      </c>
      <c r="P41" s="15">
        <f t="shared" si="1"/>
        <v>230</v>
      </c>
      <c r="R41" s="5" t="s">
        <v>159</v>
      </c>
      <c r="S41" s="16">
        <f>SUM(S10:S33)</f>
        <v>4828</v>
      </c>
      <c r="T41" s="16">
        <f t="shared" ref="T41:AF41" si="33">SUM(T10:T33)</f>
        <v>453</v>
      </c>
      <c r="U41" s="16">
        <f t="shared" si="33"/>
        <v>565</v>
      </c>
      <c r="V41" s="16">
        <f t="shared" si="33"/>
        <v>1540</v>
      </c>
      <c r="W41" s="16">
        <f t="shared" si="33"/>
        <v>20</v>
      </c>
      <c r="X41" s="16">
        <f t="shared" si="33"/>
        <v>71</v>
      </c>
      <c r="Y41" s="16">
        <f t="shared" si="33"/>
        <v>258</v>
      </c>
      <c r="Z41" s="16">
        <f t="shared" si="33"/>
        <v>107</v>
      </c>
      <c r="AA41" s="16">
        <f t="shared" si="33"/>
        <v>51</v>
      </c>
      <c r="AB41" s="16">
        <f t="shared" si="33"/>
        <v>10</v>
      </c>
      <c r="AC41" s="16">
        <f t="shared" si="33"/>
        <v>8905</v>
      </c>
      <c r="AD41" s="16">
        <f t="shared" si="33"/>
        <v>0</v>
      </c>
      <c r="AE41" s="32">
        <f t="shared" si="33"/>
        <v>7903</v>
      </c>
      <c r="AF41" s="32">
        <f t="shared" si="33"/>
        <v>16808</v>
      </c>
    </row>
    <row r="42" spans="2:32" ht="23.1" customHeight="1" x14ac:dyDescent="0.25">
      <c r="B42" s="46" t="s">
        <v>69</v>
      </c>
      <c r="C42" s="50">
        <v>51</v>
      </c>
      <c r="D42" s="50">
        <v>10</v>
      </c>
      <c r="E42" s="50">
        <v>11</v>
      </c>
      <c r="F42" s="50">
        <v>0</v>
      </c>
      <c r="G42" s="50">
        <v>0</v>
      </c>
      <c r="H42" s="50">
        <v>3</v>
      </c>
      <c r="I42" s="50">
        <v>1</v>
      </c>
      <c r="J42" s="50">
        <v>2</v>
      </c>
      <c r="K42" s="50">
        <v>1</v>
      </c>
      <c r="L42" s="50">
        <v>0</v>
      </c>
      <c r="M42" s="50">
        <v>137</v>
      </c>
      <c r="N42" s="50">
        <v>0</v>
      </c>
      <c r="O42" s="15">
        <f t="shared" si="0"/>
        <v>79</v>
      </c>
      <c r="P42" s="15">
        <f t="shared" si="1"/>
        <v>216</v>
      </c>
      <c r="R42" s="5" t="s">
        <v>160</v>
      </c>
      <c r="S42" s="48">
        <f>S41/S40</f>
        <v>1.4018583042973287</v>
      </c>
      <c r="T42" s="48">
        <f t="shared" ref="T42:AF42" si="34">T41/T40</f>
        <v>1.2015915119363396</v>
      </c>
      <c r="U42" s="48">
        <f t="shared" si="34"/>
        <v>1.2668161434977578</v>
      </c>
      <c r="V42" s="48">
        <f t="shared" si="34"/>
        <v>1.4836223506743738</v>
      </c>
      <c r="W42" s="48">
        <f t="shared" si="34"/>
        <v>1.6666666666666667</v>
      </c>
      <c r="X42" s="48">
        <f t="shared" si="34"/>
        <v>1.0441176470588236</v>
      </c>
      <c r="Y42" s="48">
        <f t="shared" si="34"/>
        <v>1.3578947368421053</v>
      </c>
      <c r="Z42" s="48">
        <f t="shared" si="34"/>
        <v>1.6212121212121211</v>
      </c>
      <c r="AA42" s="48">
        <f t="shared" si="34"/>
        <v>1.6451612903225807</v>
      </c>
      <c r="AB42" s="48">
        <f t="shared" si="34"/>
        <v>1.1111111111111112</v>
      </c>
      <c r="AC42" s="48">
        <f t="shared" si="34"/>
        <v>1.4414049854321787</v>
      </c>
      <c r="AD42" s="48" t="e">
        <f t="shared" si="34"/>
        <v>#DIV/0!</v>
      </c>
      <c r="AE42" s="48">
        <f t="shared" si="34"/>
        <v>1.391128322478437</v>
      </c>
      <c r="AF42" s="48">
        <f t="shared" si="34"/>
        <v>1.417320178767181</v>
      </c>
    </row>
    <row r="43" spans="2:32" ht="23.1" customHeight="1" x14ac:dyDescent="0.25">
      <c r="B43" s="45" t="s">
        <v>70</v>
      </c>
      <c r="C43" s="50">
        <v>60</v>
      </c>
      <c r="D43" s="50">
        <v>10</v>
      </c>
      <c r="E43" s="50">
        <v>6</v>
      </c>
      <c r="F43" s="50">
        <v>17</v>
      </c>
      <c r="G43" s="50">
        <v>0</v>
      </c>
      <c r="H43" s="50">
        <v>0</v>
      </c>
      <c r="I43" s="50">
        <v>4</v>
      </c>
      <c r="J43" s="50">
        <v>2</v>
      </c>
      <c r="K43" s="50">
        <v>0</v>
      </c>
      <c r="L43" s="50">
        <v>0</v>
      </c>
      <c r="M43" s="50">
        <v>119</v>
      </c>
      <c r="N43" s="50">
        <v>0</v>
      </c>
      <c r="O43" s="15">
        <f t="shared" si="0"/>
        <v>99</v>
      </c>
      <c r="P43" s="15">
        <f t="shared" si="1"/>
        <v>218</v>
      </c>
    </row>
    <row r="44" spans="2:32" ht="23.1" customHeight="1" x14ac:dyDescent="0.25">
      <c r="B44" s="47" t="s">
        <v>71</v>
      </c>
      <c r="C44" s="50">
        <v>59</v>
      </c>
      <c r="D44" s="50">
        <v>11</v>
      </c>
      <c r="E44" s="50">
        <v>9</v>
      </c>
      <c r="F44" s="50">
        <v>19</v>
      </c>
      <c r="G44" s="50">
        <v>0</v>
      </c>
      <c r="H44" s="50">
        <v>0</v>
      </c>
      <c r="I44" s="50">
        <v>0</v>
      </c>
      <c r="J44" s="50">
        <v>5</v>
      </c>
      <c r="K44" s="50">
        <v>6</v>
      </c>
      <c r="L44" s="50">
        <v>1</v>
      </c>
      <c r="M44" s="50">
        <v>132</v>
      </c>
      <c r="N44" s="50">
        <v>0</v>
      </c>
      <c r="O44" s="15">
        <f t="shared" si="0"/>
        <v>110</v>
      </c>
      <c r="P44" s="15">
        <f t="shared" si="1"/>
        <v>242</v>
      </c>
    </row>
    <row r="45" spans="2:32" ht="23.1" customHeight="1" x14ac:dyDescent="0.25">
      <c r="B45" s="45" t="s">
        <v>72</v>
      </c>
      <c r="C45" s="50">
        <v>60</v>
      </c>
      <c r="D45" s="50">
        <v>7</v>
      </c>
      <c r="E45" s="50">
        <v>5</v>
      </c>
      <c r="F45" s="50">
        <v>15</v>
      </c>
      <c r="G45" s="50">
        <v>1</v>
      </c>
      <c r="H45" s="50">
        <v>0</v>
      </c>
      <c r="I45" s="50">
        <v>5</v>
      </c>
      <c r="J45" s="50">
        <v>1</v>
      </c>
      <c r="K45" s="50">
        <v>1</v>
      </c>
      <c r="L45" s="50">
        <v>0</v>
      </c>
      <c r="M45" s="50">
        <v>90</v>
      </c>
      <c r="N45" s="50">
        <v>0</v>
      </c>
      <c r="O45" s="15">
        <f t="shared" si="0"/>
        <v>95</v>
      </c>
      <c r="P45" s="15">
        <f t="shared" si="1"/>
        <v>185</v>
      </c>
    </row>
    <row r="46" spans="2:32" ht="23.1" customHeight="1" x14ac:dyDescent="0.25">
      <c r="B46" s="46" t="s">
        <v>73</v>
      </c>
      <c r="C46" s="50">
        <v>65</v>
      </c>
      <c r="D46" s="50">
        <v>15</v>
      </c>
      <c r="E46" s="50">
        <v>6</v>
      </c>
      <c r="F46" s="50">
        <v>20</v>
      </c>
      <c r="G46" s="50">
        <v>0</v>
      </c>
      <c r="H46" s="50">
        <v>4</v>
      </c>
      <c r="I46" s="50">
        <v>3</v>
      </c>
      <c r="J46" s="50">
        <v>2</v>
      </c>
      <c r="K46" s="50">
        <v>0</v>
      </c>
      <c r="L46" s="50">
        <v>0</v>
      </c>
      <c r="M46" s="50">
        <v>127</v>
      </c>
      <c r="N46" s="50">
        <v>0</v>
      </c>
      <c r="O46" s="15">
        <f t="shared" si="0"/>
        <v>115</v>
      </c>
      <c r="P46" s="15">
        <f t="shared" si="1"/>
        <v>242</v>
      </c>
      <c r="R46" s="8"/>
      <c r="T46"/>
    </row>
    <row r="47" spans="2:32" ht="23.1" customHeight="1" x14ac:dyDescent="0.25">
      <c r="B47" s="46" t="s">
        <v>74</v>
      </c>
      <c r="C47" s="50">
        <v>50</v>
      </c>
      <c r="D47" s="50">
        <v>11</v>
      </c>
      <c r="E47" s="50">
        <v>10</v>
      </c>
      <c r="F47" s="50">
        <v>15</v>
      </c>
      <c r="G47" s="50">
        <v>0</v>
      </c>
      <c r="H47" s="50">
        <v>0</v>
      </c>
      <c r="I47" s="50">
        <v>4</v>
      </c>
      <c r="J47" s="50">
        <v>1</v>
      </c>
      <c r="K47" s="50">
        <v>0</v>
      </c>
      <c r="L47" s="50">
        <v>0</v>
      </c>
      <c r="M47" s="50">
        <v>121</v>
      </c>
      <c r="N47" s="50">
        <v>0</v>
      </c>
      <c r="O47" s="15">
        <f t="shared" si="0"/>
        <v>91</v>
      </c>
      <c r="P47" s="15">
        <f t="shared" si="1"/>
        <v>212</v>
      </c>
      <c r="R47" s="8"/>
      <c r="T47"/>
    </row>
    <row r="48" spans="2:32" ht="23.1" customHeight="1" x14ac:dyDescent="0.25">
      <c r="B48" s="46" t="s">
        <v>75</v>
      </c>
      <c r="C48" s="50">
        <v>42</v>
      </c>
      <c r="D48" s="50">
        <v>6</v>
      </c>
      <c r="E48" s="50">
        <v>10</v>
      </c>
      <c r="F48" s="50">
        <v>21</v>
      </c>
      <c r="G48" s="50">
        <v>0</v>
      </c>
      <c r="H48" s="50">
        <v>0</v>
      </c>
      <c r="I48" s="50">
        <v>4</v>
      </c>
      <c r="J48" s="50">
        <v>1</v>
      </c>
      <c r="K48" s="50">
        <v>0</v>
      </c>
      <c r="L48" s="50">
        <v>0</v>
      </c>
      <c r="M48" s="50">
        <v>124</v>
      </c>
      <c r="N48" s="50">
        <v>0</v>
      </c>
      <c r="O48" s="15">
        <f t="shared" si="0"/>
        <v>84</v>
      </c>
      <c r="P48" s="15">
        <f t="shared" si="1"/>
        <v>208</v>
      </c>
      <c r="R48" s="8"/>
      <c r="T48"/>
    </row>
    <row r="49" spans="2:20" ht="23.1" customHeight="1" x14ac:dyDescent="0.25">
      <c r="B49" s="45" t="s">
        <v>76</v>
      </c>
      <c r="C49" s="50">
        <v>55</v>
      </c>
      <c r="D49" s="50">
        <v>10</v>
      </c>
      <c r="E49" s="50">
        <v>6</v>
      </c>
      <c r="F49" s="50">
        <v>15</v>
      </c>
      <c r="G49" s="50">
        <v>0</v>
      </c>
      <c r="H49" s="50">
        <v>0</v>
      </c>
      <c r="I49" s="50">
        <v>6</v>
      </c>
      <c r="J49" s="50">
        <v>2</v>
      </c>
      <c r="K49" s="50">
        <v>0</v>
      </c>
      <c r="L49" s="50">
        <v>0</v>
      </c>
      <c r="M49" s="50">
        <v>114</v>
      </c>
      <c r="N49" s="50">
        <v>0</v>
      </c>
      <c r="O49" s="15">
        <f t="shared" si="0"/>
        <v>94</v>
      </c>
      <c r="P49" s="15">
        <f t="shared" si="1"/>
        <v>208</v>
      </c>
      <c r="R49" s="8"/>
      <c r="T49"/>
    </row>
    <row r="50" spans="2:20" ht="23.1" customHeight="1" x14ac:dyDescent="0.25">
      <c r="B50" s="46" t="s">
        <v>77</v>
      </c>
      <c r="C50" s="50">
        <v>59</v>
      </c>
      <c r="D50" s="50">
        <v>5</v>
      </c>
      <c r="E50" s="50">
        <v>9</v>
      </c>
      <c r="F50" s="50">
        <v>16</v>
      </c>
      <c r="G50" s="50">
        <v>0</v>
      </c>
      <c r="H50" s="50">
        <v>0</v>
      </c>
      <c r="I50" s="50">
        <v>5</v>
      </c>
      <c r="J50" s="50">
        <v>2</v>
      </c>
      <c r="K50" s="50">
        <v>0</v>
      </c>
      <c r="L50" s="50">
        <v>0</v>
      </c>
      <c r="M50" s="50">
        <v>113</v>
      </c>
      <c r="N50" s="50">
        <v>0</v>
      </c>
      <c r="O50" s="15">
        <f t="shared" si="0"/>
        <v>96</v>
      </c>
      <c r="P50" s="15">
        <f t="shared" si="1"/>
        <v>209</v>
      </c>
      <c r="R50" s="8"/>
      <c r="T50"/>
    </row>
    <row r="51" spans="2:20" ht="23.1" customHeight="1" x14ac:dyDescent="0.25">
      <c r="B51" s="46" t="s">
        <v>78</v>
      </c>
      <c r="C51" s="50">
        <v>60</v>
      </c>
      <c r="D51" s="50">
        <v>11</v>
      </c>
      <c r="E51" s="50">
        <v>6</v>
      </c>
      <c r="F51" s="50">
        <v>25</v>
      </c>
      <c r="G51" s="50">
        <v>0</v>
      </c>
      <c r="H51" s="50">
        <v>0</v>
      </c>
      <c r="I51" s="50">
        <v>5</v>
      </c>
      <c r="J51" s="50">
        <v>1</v>
      </c>
      <c r="K51" s="50">
        <v>2</v>
      </c>
      <c r="L51" s="50">
        <v>0</v>
      </c>
      <c r="M51" s="50">
        <v>126</v>
      </c>
      <c r="N51" s="50">
        <v>0</v>
      </c>
      <c r="O51" s="15">
        <f t="shared" si="0"/>
        <v>110</v>
      </c>
      <c r="P51" s="15">
        <f t="shared" si="1"/>
        <v>236</v>
      </c>
      <c r="R51" s="8"/>
      <c r="T51"/>
    </row>
    <row r="52" spans="2:20" ht="23.1" customHeight="1" x14ac:dyDescent="0.25">
      <c r="B52" s="46" t="s">
        <v>79</v>
      </c>
      <c r="C52" s="50">
        <v>75</v>
      </c>
      <c r="D52" s="50">
        <v>5</v>
      </c>
      <c r="E52" s="50">
        <v>4</v>
      </c>
      <c r="F52" s="50">
        <v>25</v>
      </c>
      <c r="G52" s="50">
        <v>0</v>
      </c>
      <c r="H52" s="50">
        <v>0</v>
      </c>
      <c r="I52" s="50">
        <v>3</v>
      </c>
      <c r="J52" s="50">
        <v>2</v>
      </c>
      <c r="K52" s="50">
        <v>3</v>
      </c>
      <c r="L52" s="50">
        <v>0</v>
      </c>
      <c r="M52" s="50">
        <v>149</v>
      </c>
      <c r="N52" s="50">
        <v>0</v>
      </c>
      <c r="O52" s="15">
        <f t="shared" si="0"/>
        <v>117</v>
      </c>
      <c r="P52" s="15">
        <f t="shared" si="1"/>
        <v>266</v>
      </c>
      <c r="R52" s="8"/>
      <c r="T52"/>
    </row>
    <row r="53" spans="2:20" ht="23.1" customHeight="1" x14ac:dyDescent="0.25">
      <c r="B53" s="45" t="s">
        <v>80</v>
      </c>
      <c r="C53" s="50">
        <v>83</v>
      </c>
      <c r="D53" s="50">
        <v>13</v>
      </c>
      <c r="E53" s="50">
        <v>4</v>
      </c>
      <c r="F53" s="50">
        <v>35</v>
      </c>
      <c r="G53" s="50">
        <v>1</v>
      </c>
      <c r="H53" s="50">
        <v>0</v>
      </c>
      <c r="I53" s="50">
        <v>0</v>
      </c>
      <c r="J53" s="50">
        <v>7</v>
      </c>
      <c r="K53" s="50">
        <v>1</v>
      </c>
      <c r="L53" s="50">
        <v>0</v>
      </c>
      <c r="M53" s="50">
        <v>123</v>
      </c>
      <c r="N53" s="50">
        <v>0</v>
      </c>
      <c r="O53" s="15">
        <f t="shared" si="0"/>
        <v>144</v>
      </c>
      <c r="P53" s="15">
        <f t="shared" si="1"/>
        <v>267</v>
      </c>
      <c r="R53" s="8"/>
      <c r="T53"/>
    </row>
    <row r="54" spans="2:20" ht="23.1" customHeight="1" x14ac:dyDescent="0.25">
      <c r="B54" s="45" t="s">
        <v>81</v>
      </c>
      <c r="C54" s="50">
        <v>90</v>
      </c>
      <c r="D54" s="50">
        <v>8</v>
      </c>
      <c r="E54" s="50">
        <v>6</v>
      </c>
      <c r="F54" s="50">
        <v>27</v>
      </c>
      <c r="G54" s="50">
        <v>2</v>
      </c>
      <c r="H54" s="50">
        <v>0</v>
      </c>
      <c r="I54" s="50">
        <v>5</v>
      </c>
      <c r="J54" s="50">
        <v>5</v>
      </c>
      <c r="K54" s="50">
        <v>0</v>
      </c>
      <c r="L54" s="50">
        <v>0</v>
      </c>
      <c r="M54" s="50">
        <v>133</v>
      </c>
      <c r="N54" s="50">
        <v>0</v>
      </c>
      <c r="O54" s="15">
        <f t="shared" si="0"/>
        <v>143</v>
      </c>
      <c r="P54" s="15">
        <f t="shared" si="1"/>
        <v>276</v>
      </c>
      <c r="R54" s="8"/>
      <c r="T54"/>
    </row>
    <row r="55" spans="2:20" ht="23.1" customHeight="1" x14ac:dyDescent="0.25">
      <c r="B55" s="45" t="s">
        <v>82</v>
      </c>
      <c r="C55" s="50">
        <v>43</v>
      </c>
      <c r="D55" s="50">
        <v>4</v>
      </c>
      <c r="E55" s="50">
        <v>5</v>
      </c>
      <c r="F55" s="50">
        <v>27</v>
      </c>
      <c r="G55" s="50">
        <v>2</v>
      </c>
      <c r="H55" s="50">
        <v>0</v>
      </c>
      <c r="I55" s="50">
        <v>3</v>
      </c>
      <c r="J55" s="50">
        <v>2</v>
      </c>
      <c r="K55" s="50">
        <v>0</v>
      </c>
      <c r="L55" s="50">
        <v>1</v>
      </c>
      <c r="M55" s="50">
        <v>175</v>
      </c>
      <c r="N55" s="50">
        <v>0</v>
      </c>
      <c r="O55" s="15">
        <f t="shared" si="0"/>
        <v>87</v>
      </c>
      <c r="P55" s="15">
        <f t="shared" si="1"/>
        <v>262</v>
      </c>
      <c r="R55" s="8"/>
      <c r="T55"/>
    </row>
    <row r="56" spans="2:20" ht="23.1" customHeight="1" x14ac:dyDescent="0.25">
      <c r="B56" s="45" t="s">
        <v>83</v>
      </c>
      <c r="C56" s="50">
        <v>46</v>
      </c>
      <c r="D56" s="50">
        <v>8</v>
      </c>
      <c r="E56" s="50">
        <v>6</v>
      </c>
      <c r="F56" s="50">
        <v>12</v>
      </c>
      <c r="G56" s="50">
        <v>0</v>
      </c>
      <c r="H56" s="50">
        <v>0</v>
      </c>
      <c r="I56" s="50">
        <v>5</v>
      </c>
      <c r="J56" s="50">
        <v>3</v>
      </c>
      <c r="K56" s="50">
        <v>0</v>
      </c>
      <c r="L56" s="50">
        <v>0</v>
      </c>
      <c r="M56" s="50">
        <v>130</v>
      </c>
      <c r="N56" s="50">
        <v>0</v>
      </c>
      <c r="O56" s="15">
        <f t="shared" si="0"/>
        <v>80</v>
      </c>
      <c r="P56" s="15">
        <f t="shared" si="1"/>
        <v>210</v>
      </c>
      <c r="R56" s="8"/>
      <c r="T56"/>
    </row>
    <row r="57" spans="2:20" ht="23.1" customHeight="1" x14ac:dyDescent="0.25">
      <c r="B57" s="45" t="s">
        <v>84</v>
      </c>
      <c r="C57" s="50">
        <v>55</v>
      </c>
      <c r="D57" s="50">
        <v>6</v>
      </c>
      <c r="E57" s="50">
        <v>17</v>
      </c>
      <c r="F57" s="50">
        <v>25</v>
      </c>
      <c r="G57" s="50">
        <v>0</v>
      </c>
      <c r="H57" s="50">
        <v>0</v>
      </c>
      <c r="I57" s="50">
        <v>2</v>
      </c>
      <c r="J57" s="50"/>
      <c r="K57" s="50">
        <v>0</v>
      </c>
      <c r="L57" s="50">
        <v>0</v>
      </c>
      <c r="M57" s="50">
        <v>158</v>
      </c>
      <c r="N57" s="50">
        <v>0</v>
      </c>
      <c r="O57" s="15">
        <f t="shared" si="0"/>
        <v>105</v>
      </c>
      <c r="P57" s="15">
        <f t="shared" si="1"/>
        <v>263</v>
      </c>
      <c r="R57" s="8"/>
      <c r="T57"/>
    </row>
    <row r="58" spans="2:20" ht="23.1" customHeight="1" x14ac:dyDescent="0.25">
      <c r="B58" s="45" t="s">
        <v>99</v>
      </c>
      <c r="C58" s="50">
        <v>60</v>
      </c>
      <c r="D58" s="50">
        <v>10</v>
      </c>
      <c r="E58" s="50">
        <v>3</v>
      </c>
      <c r="F58" s="50">
        <v>28</v>
      </c>
      <c r="G58" s="50">
        <v>1</v>
      </c>
      <c r="H58" s="50">
        <v>0</v>
      </c>
      <c r="I58" s="50">
        <v>3</v>
      </c>
      <c r="J58" s="50">
        <v>1</v>
      </c>
      <c r="K58" s="50">
        <v>0</v>
      </c>
      <c r="L58" s="50">
        <v>0</v>
      </c>
      <c r="M58" s="50">
        <v>93</v>
      </c>
      <c r="N58" s="50">
        <v>0</v>
      </c>
      <c r="O58" s="15">
        <f t="shared" ref="O58:O105" si="35">SUM(C58:L58,N58)</f>
        <v>106</v>
      </c>
      <c r="P58" s="15">
        <f t="shared" ref="P58:P105" si="36">SUM(C58:N58)</f>
        <v>199</v>
      </c>
      <c r="R58" s="8"/>
      <c r="T58"/>
    </row>
    <row r="59" spans="2:20" ht="23.1" customHeight="1" x14ac:dyDescent="0.25">
      <c r="B59" s="45" t="s">
        <v>100</v>
      </c>
      <c r="C59" s="50">
        <v>64</v>
      </c>
      <c r="D59" s="50">
        <v>4</v>
      </c>
      <c r="E59" s="50">
        <v>8</v>
      </c>
      <c r="F59" s="50">
        <v>23</v>
      </c>
      <c r="G59" s="50">
        <v>2</v>
      </c>
      <c r="H59" s="50">
        <v>0</v>
      </c>
      <c r="I59" s="50">
        <v>0</v>
      </c>
      <c r="J59" s="50">
        <v>3</v>
      </c>
      <c r="K59" s="50">
        <v>7</v>
      </c>
      <c r="L59" s="50">
        <v>0</v>
      </c>
      <c r="M59" s="50">
        <v>103</v>
      </c>
      <c r="N59" s="50">
        <v>0</v>
      </c>
      <c r="O59" s="15">
        <f t="shared" si="35"/>
        <v>111</v>
      </c>
      <c r="P59" s="15">
        <f t="shared" si="36"/>
        <v>214</v>
      </c>
      <c r="R59" s="8"/>
      <c r="T59"/>
    </row>
    <row r="60" spans="2:20" ht="23.1" customHeight="1" x14ac:dyDescent="0.25">
      <c r="B60" s="45" t="s">
        <v>101</v>
      </c>
      <c r="C60" s="50">
        <v>75</v>
      </c>
      <c r="D60" s="50">
        <v>8</v>
      </c>
      <c r="E60" s="50">
        <v>6</v>
      </c>
      <c r="F60" s="50">
        <v>17</v>
      </c>
      <c r="G60" s="50">
        <v>0</v>
      </c>
      <c r="H60" s="50">
        <v>0</v>
      </c>
      <c r="I60" s="50">
        <v>1</v>
      </c>
      <c r="J60" s="50">
        <v>2</v>
      </c>
      <c r="K60" s="50">
        <v>0</v>
      </c>
      <c r="L60" s="50">
        <v>0</v>
      </c>
      <c r="M60" s="50">
        <v>421</v>
      </c>
      <c r="N60" s="50">
        <v>0</v>
      </c>
      <c r="O60" s="15">
        <f t="shared" si="35"/>
        <v>109</v>
      </c>
      <c r="P60" s="15">
        <f t="shared" si="36"/>
        <v>530</v>
      </c>
      <c r="R60" s="8"/>
      <c r="T60"/>
    </row>
    <row r="61" spans="2:20" ht="23.1" customHeight="1" x14ac:dyDescent="0.25">
      <c r="B61" s="45" t="s">
        <v>102</v>
      </c>
      <c r="C61" s="50">
        <v>60</v>
      </c>
      <c r="D61" s="50">
        <v>1</v>
      </c>
      <c r="E61" s="50">
        <v>7</v>
      </c>
      <c r="F61" s="50">
        <v>27</v>
      </c>
      <c r="G61" s="50">
        <v>0</v>
      </c>
      <c r="H61" s="50">
        <v>0</v>
      </c>
      <c r="I61" s="50">
        <v>4</v>
      </c>
      <c r="J61" s="50">
        <v>1</v>
      </c>
      <c r="K61" s="50">
        <v>0</v>
      </c>
      <c r="L61" s="50">
        <v>0</v>
      </c>
      <c r="M61" s="50">
        <v>166</v>
      </c>
      <c r="N61" s="50">
        <v>0</v>
      </c>
      <c r="O61" s="15">
        <f t="shared" si="35"/>
        <v>100</v>
      </c>
      <c r="P61" s="15">
        <f t="shared" si="36"/>
        <v>266</v>
      </c>
      <c r="R61" s="8"/>
      <c r="T61"/>
    </row>
    <row r="62" spans="2:20" ht="23.1" customHeight="1" x14ac:dyDescent="0.25">
      <c r="B62" s="45" t="s">
        <v>107</v>
      </c>
      <c r="C62" s="50">
        <v>35</v>
      </c>
      <c r="D62" s="50">
        <v>3</v>
      </c>
      <c r="E62" s="50">
        <v>4</v>
      </c>
      <c r="F62" s="50">
        <v>14</v>
      </c>
      <c r="G62" s="50">
        <v>0</v>
      </c>
      <c r="H62" s="50">
        <v>0</v>
      </c>
      <c r="I62" s="50">
        <v>4</v>
      </c>
      <c r="J62" s="50">
        <v>0</v>
      </c>
      <c r="K62" s="50">
        <v>1</v>
      </c>
      <c r="L62" s="50">
        <v>0</v>
      </c>
      <c r="M62" s="50">
        <v>136</v>
      </c>
      <c r="N62" s="50">
        <v>0</v>
      </c>
      <c r="O62" s="15">
        <f t="shared" si="35"/>
        <v>61</v>
      </c>
      <c r="P62" s="15">
        <f t="shared" si="36"/>
        <v>197</v>
      </c>
      <c r="R62" s="8"/>
      <c r="T62"/>
    </row>
    <row r="63" spans="2:20" ht="23.1" customHeight="1" x14ac:dyDescent="0.25">
      <c r="B63" s="45" t="s">
        <v>108</v>
      </c>
      <c r="C63" s="50">
        <v>60</v>
      </c>
      <c r="D63" s="50">
        <v>3</v>
      </c>
      <c r="E63" s="50">
        <v>7</v>
      </c>
      <c r="F63" s="50">
        <v>30</v>
      </c>
      <c r="G63" s="50">
        <v>0</v>
      </c>
      <c r="H63" s="50">
        <v>0</v>
      </c>
      <c r="I63" s="50">
        <v>5</v>
      </c>
      <c r="J63" s="50">
        <v>2</v>
      </c>
      <c r="K63" s="50">
        <v>1</v>
      </c>
      <c r="L63" s="50">
        <v>0</v>
      </c>
      <c r="M63" s="50">
        <v>117</v>
      </c>
      <c r="N63" s="50">
        <v>0</v>
      </c>
      <c r="O63" s="15">
        <f t="shared" si="35"/>
        <v>108</v>
      </c>
      <c r="P63" s="15">
        <f t="shared" si="36"/>
        <v>225</v>
      </c>
      <c r="R63" s="8"/>
      <c r="T63"/>
    </row>
    <row r="64" spans="2:20" ht="23.1" customHeight="1" x14ac:dyDescent="0.25">
      <c r="B64" s="45" t="s">
        <v>109</v>
      </c>
      <c r="C64" s="50">
        <v>57</v>
      </c>
      <c r="D64" s="50">
        <v>1</v>
      </c>
      <c r="E64" s="50">
        <v>4</v>
      </c>
      <c r="F64" s="50">
        <v>33</v>
      </c>
      <c r="G64" s="50">
        <v>0</v>
      </c>
      <c r="H64" s="50">
        <v>0</v>
      </c>
      <c r="I64" s="50">
        <v>5</v>
      </c>
      <c r="J64" s="50">
        <v>2</v>
      </c>
      <c r="K64" s="50">
        <v>1</v>
      </c>
      <c r="L64" s="50">
        <v>0</v>
      </c>
      <c r="M64" s="50">
        <v>125</v>
      </c>
      <c r="N64" s="50">
        <v>0</v>
      </c>
      <c r="O64" s="15">
        <f t="shared" si="35"/>
        <v>103</v>
      </c>
      <c r="P64" s="15">
        <f t="shared" si="36"/>
        <v>228</v>
      </c>
      <c r="R64" s="8"/>
      <c r="T64"/>
    </row>
    <row r="65" spans="2:20" ht="23.1" customHeight="1" x14ac:dyDescent="0.25">
      <c r="B65" s="45" t="s">
        <v>158</v>
      </c>
      <c r="C65" s="50">
        <v>65</v>
      </c>
      <c r="D65" s="50">
        <v>2</v>
      </c>
      <c r="E65" s="50">
        <v>3</v>
      </c>
      <c r="F65" s="50">
        <v>18</v>
      </c>
      <c r="G65" s="50">
        <v>0</v>
      </c>
      <c r="H65" s="50">
        <v>0</v>
      </c>
      <c r="I65" s="50">
        <v>4</v>
      </c>
      <c r="J65" s="50">
        <v>0</v>
      </c>
      <c r="K65" s="50">
        <v>1</v>
      </c>
      <c r="L65" s="50">
        <v>0</v>
      </c>
      <c r="M65" s="50">
        <v>136</v>
      </c>
      <c r="N65" s="50">
        <v>0</v>
      </c>
      <c r="O65" s="15">
        <f t="shared" si="35"/>
        <v>93</v>
      </c>
      <c r="P65" s="15">
        <f t="shared" si="36"/>
        <v>229</v>
      </c>
      <c r="R65" s="8"/>
      <c r="T65"/>
    </row>
    <row r="66" spans="2:20" ht="23.1" customHeight="1" x14ac:dyDescent="0.25">
      <c r="B66" s="45" t="s">
        <v>103</v>
      </c>
      <c r="C66" s="50">
        <v>32</v>
      </c>
      <c r="D66" s="50">
        <v>5</v>
      </c>
      <c r="E66" s="50">
        <v>3</v>
      </c>
      <c r="F66" s="50">
        <v>20</v>
      </c>
      <c r="G66" s="50">
        <v>0</v>
      </c>
      <c r="H66" s="50">
        <v>0</v>
      </c>
      <c r="I66" s="50">
        <v>2</v>
      </c>
      <c r="J66" s="50">
        <v>0</v>
      </c>
      <c r="K66" s="50">
        <v>1</v>
      </c>
      <c r="L66" s="50">
        <v>0</v>
      </c>
      <c r="M66" s="50">
        <v>83</v>
      </c>
      <c r="N66" s="50">
        <v>0</v>
      </c>
      <c r="O66" s="15">
        <f t="shared" si="35"/>
        <v>63</v>
      </c>
      <c r="P66" s="15">
        <f t="shared" si="36"/>
        <v>146</v>
      </c>
      <c r="R66" s="8"/>
      <c r="T66"/>
    </row>
    <row r="67" spans="2:20" ht="23.1" customHeight="1" x14ac:dyDescent="0.25">
      <c r="B67" s="45" t="s">
        <v>104</v>
      </c>
      <c r="C67" s="50">
        <v>40</v>
      </c>
      <c r="D67" s="50">
        <v>3</v>
      </c>
      <c r="E67" s="50">
        <v>4</v>
      </c>
      <c r="F67" s="50">
        <v>16</v>
      </c>
      <c r="G67" s="50">
        <v>0</v>
      </c>
      <c r="H67" s="50">
        <v>0</v>
      </c>
      <c r="I67" s="50">
        <v>3</v>
      </c>
      <c r="J67" s="50">
        <v>2</v>
      </c>
      <c r="K67" s="50">
        <v>0</v>
      </c>
      <c r="L67" s="50">
        <v>0</v>
      </c>
      <c r="M67" s="50">
        <v>81</v>
      </c>
      <c r="N67" s="50">
        <v>0</v>
      </c>
      <c r="O67" s="15">
        <f t="shared" si="35"/>
        <v>68</v>
      </c>
      <c r="P67" s="15">
        <f t="shared" si="36"/>
        <v>149</v>
      </c>
      <c r="R67" s="8"/>
      <c r="T67"/>
    </row>
    <row r="68" spans="2:20" ht="23.1" customHeight="1" x14ac:dyDescent="0.25">
      <c r="B68" s="45" t="s">
        <v>105</v>
      </c>
      <c r="C68" s="50">
        <v>32</v>
      </c>
      <c r="D68" s="50">
        <v>4</v>
      </c>
      <c r="E68" s="50">
        <v>4</v>
      </c>
      <c r="F68" s="50">
        <v>15</v>
      </c>
      <c r="G68" s="50">
        <v>2</v>
      </c>
      <c r="H68" s="50">
        <v>0</v>
      </c>
      <c r="I68" s="50">
        <v>3</v>
      </c>
      <c r="J68" s="50">
        <v>2</v>
      </c>
      <c r="K68" s="50">
        <v>0</v>
      </c>
      <c r="L68" s="50">
        <v>0</v>
      </c>
      <c r="M68" s="50">
        <v>81</v>
      </c>
      <c r="N68" s="50">
        <v>0</v>
      </c>
      <c r="O68" s="15">
        <f t="shared" si="35"/>
        <v>62</v>
      </c>
      <c r="P68" s="15">
        <f t="shared" si="36"/>
        <v>143</v>
      </c>
      <c r="R68" s="8"/>
      <c r="T68"/>
    </row>
    <row r="69" spans="2:20" ht="23.1" customHeight="1" x14ac:dyDescent="0.25">
      <c r="B69" s="45" t="s">
        <v>106</v>
      </c>
      <c r="C69" s="50">
        <v>46</v>
      </c>
      <c r="D69" s="50">
        <v>2</v>
      </c>
      <c r="E69" s="50">
        <v>6</v>
      </c>
      <c r="F69" s="50">
        <v>14</v>
      </c>
      <c r="G69" s="50">
        <v>0</v>
      </c>
      <c r="H69" s="50">
        <v>0</v>
      </c>
      <c r="I69" s="50">
        <v>4</v>
      </c>
      <c r="J69" s="50">
        <v>1</v>
      </c>
      <c r="K69" s="50">
        <v>1</v>
      </c>
      <c r="L69" s="50">
        <v>0</v>
      </c>
      <c r="M69" s="50">
        <v>50</v>
      </c>
      <c r="N69" s="50">
        <v>0</v>
      </c>
      <c r="O69" s="15">
        <f t="shared" si="35"/>
        <v>74</v>
      </c>
      <c r="P69" s="15">
        <f t="shared" si="36"/>
        <v>124</v>
      </c>
      <c r="R69" s="8"/>
      <c r="T69"/>
    </row>
    <row r="70" spans="2:20" ht="23.1" customHeight="1" x14ac:dyDescent="0.25">
      <c r="B70" s="45" t="s">
        <v>110</v>
      </c>
      <c r="C70" s="50">
        <v>50</v>
      </c>
      <c r="D70" s="50">
        <v>1</v>
      </c>
      <c r="E70" s="50">
        <v>2</v>
      </c>
      <c r="F70" s="50">
        <v>13</v>
      </c>
      <c r="G70" s="50">
        <v>1</v>
      </c>
      <c r="H70" s="50">
        <v>0</v>
      </c>
      <c r="I70" s="50">
        <v>1</v>
      </c>
      <c r="J70" s="50">
        <v>1</v>
      </c>
      <c r="K70" s="50">
        <v>0</v>
      </c>
      <c r="L70" s="50">
        <v>0</v>
      </c>
      <c r="M70" s="50">
        <v>56</v>
      </c>
      <c r="N70" s="50">
        <v>0</v>
      </c>
      <c r="O70" s="15">
        <f t="shared" si="35"/>
        <v>69</v>
      </c>
      <c r="P70" s="15">
        <f t="shared" si="36"/>
        <v>125</v>
      </c>
      <c r="R70" s="8"/>
      <c r="T70"/>
    </row>
    <row r="71" spans="2:20" ht="23.1" customHeight="1" x14ac:dyDescent="0.25">
      <c r="B71" s="45" t="s">
        <v>111</v>
      </c>
      <c r="C71" s="50">
        <v>42</v>
      </c>
      <c r="D71" s="50">
        <v>0</v>
      </c>
      <c r="E71" s="50">
        <v>4</v>
      </c>
      <c r="F71" s="50">
        <v>17</v>
      </c>
      <c r="G71" s="50">
        <v>1</v>
      </c>
      <c r="H71" s="50">
        <v>0</v>
      </c>
      <c r="I71" s="50">
        <v>2</v>
      </c>
      <c r="J71" s="50">
        <v>2</v>
      </c>
      <c r="K71" s="50">
        <v>2</v>
      </c>
      <c r="L71" s="50">
        <v>0</v>
      </c>
      <c r="M71" s="50">
        <v>78</v>
      </c>
      <c r="N71" s="50">
        <v>0</v>
      </c>
      <c r="O71" s="15">
        <f t="shared" si="35"/>
        <v>70</v>
      </c>
      <c r="P71" s="15">
        <f t="shared" si="36"/>
        <v>148</v>
      </c>
      <c r="R71" s="8"/>
      <c r="T71"/>
    </row>
    <row r="72" spans="2:20" ht="23.1" customHeight="1" x14ac:dyDescent="0.25">
      <c r="B72" s="45" t="s">
        <v>112</v>
      </c>
      <c r="C72" s="50">
        <v>63</v>
      </c>
      <c r="D72" s="50">
        <v>4</v>
      </c>
      <c r="E72" s="50">
        <v>5</v>
      </c>
      <c r="F72" s="50">
        <v>8</v>
      </c>
      <c r="G72" s="50">
        <v>0</v>
      </c>
      <c r="H72" s="50">
        <v>0</v>
      </c>
      <c r="I72" s="50">
        <v>3</v>
      </c>
      <c r="J72" s="50">
        <v>1</v>
      </c>
      <c r="K72" s="50">
        <v>0</v>
      </c>
      <c r="L72" s="50">
        <v>0</v>
      </c>
      <c r="M72" s="50">
        <v>67</v>
      </c>
      <c r="N72" s="50">
        <v>0</v>
      </c>
      <c r="O72" s="15">
        <f t="shared" si="35"/>
        <v>84</v>
      </c>
      <c r="P72" s="15">
        <f t="shared" si="36"/>
        <v>151</v>
      </c>
      <c r="R72" s="8"/>
      <c r="T72"/>
    </row>
    <row r="73" spans="2:20" ht="23.1" customHeight="1" x14ac:dyDescent="0.25">
      <c r="B73" s="45" t="s">
        <v>113</v>
      </c>
      <c r="C73" s="50">
        <v>46</v>
      </c>
      <c r="D73" s="50">
        <v>3</v>
      </c>
      <c r="E73" s="50">
        <v>3</v>
      </c>
      <c r="F73" s="50">
        <v>12</v>
      </c>
      <c r="G73" s="50">
        <v>0</v>
      </c>
      <c r="H73" s="50">
        <v>0</v>
      </c>
      <c r="I73" s="50">
        <v>1</v>
      </c>
      <c r="J73" s="50">
        <v>0</v>
      </c>
      <c r="K73" s="50">
        <v>0</v>
      </c>
      <c r="L73" s="50">
        <v>0</v>
      </c>
      <c r="M73" s="50">
        <v>0</v>
      </c>
      <c r="N73" s="50">
        <v>0</v>
      </c>
      <c r="O73" s="15">
        <f t="shared" si="35"/>
        <v>65</v>
      </c>
      <c r="P73" s="15">
        <f t="shared" si="36"/>
        <v>65</v>
      </c>
      <c r="R73" s="8"/>
      <c r="T73"/>
    </row>
    <row r="74" spans="2:20" ht="23.1" customHeight="1" x14ac:dyDescent="0.25">
      <c r="B74" s="45" t="s">
        <v>114</v>
      </c>
      <c r="C74" s="50">
        <v>35</v>
      </c>
      <c r="D74" s="50">
        <v>0</v>
      </c>
      <c r="E74" s="50">
        <v>3</v>
      </c>
      <c r="F74" s="50">
        <v>11</v>
      </c>
      <c r="G74" s="50">
        <v>1</v>
      </c>
      <c r="H74" s="50">
        <v>0</v>
      </c>
      <c r="I74" s="50">
        <v>5</v>
      </c>
      <c r="J74" s="50">
        <v>1</v>
      </c>
      <c r="K74" s="50">
        <v>0</v>
      </c>
      <c r="L74" s="50">
        <v>0</v>
      </c>
      <c r="M74" s="50">
        <v>68</v>
      </c>
      <c r="N74" s="50">
        <v>0</v>
      </c>
      <c r="O74" s="15">
        <f t="shared" si="35"/>
        <v>56</v>
      </c>
      <c r="P74" s="15">
        <f t="shared" si="36"/>
        <v>124</v>
      </c>
      <c r="R74" s="8"/>
      <c r="T74"/>
    </row>
    <row r="75" spans="2:20" ht="23.1" customHeight="1" x14ac:dyDescent="0.25">
      <c r="B75" s="45" t="s">
        <v>115</v>
      </c>
      <c r="C75" s="50">
        <v>60</v>
      </c>
      <c r="D75" s="50">
        <v>2</v>
      </c>
      <c r="E75" s="50">
        <v>2</v>
      </c>
      <c r="F75" s="50">
        <v>11</v>
      </c>
      <c r="G75" s="50">
        <v>0</v>
      </c>
      <c r="H75" s="50">
        <v>2</v>
      </c>
      <c r="I75" s="50">
        <v>2</v>
      </c>
      <c r="J75" s="50">
        <v>0</v>
      </c>
      <c r="K75" s="50">
        <v>0</v>
      </c>
      <c r="L75" s="50">
        <v>0</v>
      </c>
      <c r="M75" s="50">
        <v>47</v>
      </c>
      <c r="N75" s="50">
        <v>0</v>
      </c>
      <c r="O75" s="15">
        <f t="shared" si="35"/>
        <v>79</v>
      </c>
      <c r="P75" s="15">
        <f t="shared" si="36"/>
        <v>126</v>
      </c>
      <c r="R75" s="8"/>
      <c r="T75"/>
    </row>
    <row r="76" spans="2:20" ht="23.1" customHeight="1" x14ac:dyDescent="0.25">
      <c r="B76" s="45" t="s">
        <v>116</v>
      </c>
      <c r="C76" s="50">
        <v>55</v>
      </c>
      <c r="D76" s="50">
        <v>1</v>
      </c>
      <c r="E76" s="50">
        <v>2</v>
      </c>
      <c r="F76" s="50">
        <v>19</v>
      </c>
      <c r="G76" s="50">
        <v>0</v>
      </c>
      <c r="H76" s="50">
        <v>0</v>
      </c>
      <c r="I76" s="50">
        <v>1</v>
      </c>
      <c r="J76" s="50">
        <v>1</v>
      </c>
      <c r="K76" s="50">
        <v>1</v>
      </c>
      <c r="L76" s="50">
        <v>0</v>
      </c>
      <c r="M76" s="50">
        <v>59</v>
      </c>
      <c r="N76" s="50">
        <v>0</v>
      </c>
      <c r="O76" s="15">
        <f t="shared" si="35"/>
        <v>80</v>
      </c>
      <c r="P76" s="15">
        <f t="shared" si="36"/>
        <v>139</v>
      </c>
      <c r="R76" s="8"/>
      <c r="T76"/>
    </row>
    <row r="77" spans="2:20" ht="23.1" customHeight="1" x14ac:dyDescent="0.25">
      <c r="B77" s="45" t="s">
        <v>117</v>
      </c>
      <c r="C77" s="50">
        <v>45</v>
      </c>
      <c r="D77" s="50">
        <v>1</v>
      </c>
      <c r="E77" s="50">
        <v>2</v>
      </c>
      <c r="F77" s="50">
        <v>7</v>
      </c>
      <c r="G77" s="50">
        <v>0</v>
      </c>
      <c r="H77" s="50">
        <v>1</v>
      </c>
      <c r="I77" s="50">
        <v>0</v>
      </c>
      <c r="J77" s="50">
        <v>0</v>
      </c>
      <c r="K77" s="50">
        <v>0</v>
      </c>
      <c r="L77" s="50">
        <v>0</v>
      </c>
      <c r="M77" s="50">
        <v>67</v>
      </c>
      <c r="N77" s="50">
        <v>0</v>
      </c>
      <c r="O77" s="15">
        <f t="shared" si="35"/>
        <v>56</v>
      </c>
      <c r="P77" s="15">
        <f t="shared" si="36"/>
        <v>123</v>
      </c>
      <c r="R77" s="8"/>
      <c r="T77"/>
    </row>
    <row r="78" spans="2:20" ht="23.1" customHeight="1" x14ac:dyDescent="0.25">
      <c r="B78" s="46" t="s">
        <v>118</v>
      </c>
      <c r="C78" s="50">
        <v>30</v>
      </c>
      <c r="D78" s="50">
        <v>2</v>
      </c>
      <c r="E78" s="50">
        <v>3</v>
      </c>
      <c r="F78" s="50">
        <v>32</v>
      </c>
      <c r="G78" s="50">
        <v>0</v>
      </c>
      <c r="H78" s="50">
        <v>0</v>
      </c>
      <c r="I78" s="50">
        <v>2</v>
      </c>
      <c r="J78" s="50">
        <v>1</v>
      </c>
      <c r="K78" s="50">
        <v>0</v>
      </c>
      <c r="L78" s="50">
        <v>0</v>
      </c>
      <c r="M78" s="50">
        <v>28</v>
      </c>
      <c r="N78" s="50">
        <v>0</v>
      </c>
      <c r="O78" s="15">
        <f t="shared" si="35"/>
        <v>70</v>
      </c>
      <c r="P78" s="15">
        <f t="shared" si="36"/>
        <v>98</v>
      </c>
      <c r="R78" s="8"/>
      <c r="T78"/>
    </row>
    <row r="79" spans="2:20" ht="23.1" customHeight="1" x14ac:dyDescent="0.25">
      <c r="B79" s="45" t="s">
        <v>119</v>
      </c>
      <c r="C79" s="50">
        <v>30</v>
      </c>
      <c r="D79" s="50">
        <v>2</v>
      </c>
      <c r="E79" s="50">
        <v>1</v>
      </c>
      <c r="F79" s="50">
        <v>31</v>
      </c>
      <c r="G79" s="50">
        <v>0</v>
      </c>
      <c r="H79" s="50">
        <v>0</v>
      </c>
      <c r="I79" s="50">
        <v>0</v>
      </c>
      <c r="J79" s="50">
        <v>1</v>
      </c>
      <c r="K79" s="50">
        <v>0</v>
      </c>
      <c r="L79" s="50">
        <v>0</v>
      </c>
      <c r="M79" s="50">
        <v>46</v>
      </c>
      <c r="N79" s="50">
        <v>0</v>
      </c>
      <c r="O79" s="15">
        <f t="shared" si="35"/>
        <v>65</v>
      </c>
      <c r="P79" s="15">
        <f t="shared" si="36"/>
        <v>111</v>
      </c>
      <c r="R79" s="8"/>
      <c r="T79"/>
    </row>
    <row r="80" spans="2:20" ht="23.1" customHeight="1" x14ac:dyDescent="0.25">
      <c r="B80" s="47" t="s">
        <v>120</v>
      </c>
      <c r="C80" s="50">
        <v>32</v>
      </c>
      <c r="D80" s="50">
        <v>0</v>
      </c>
      <c r="E80" s="50">
        <v>2</v>
      </c>
      <c r="F80" s="50">
        <v>3</v>
      </c>
      <c r="G80" s="50">
        <v>0</v>
      </c>
      <c r="H80" s="50">
        <v>0</v>
      </c>
      <c r="I80" s="50">
        <v>1</v>
      </c>
      <c r="J80" s="50">
        <v>0</v>
      </c>
      <c r="K80" s="50">
        <v>0</v>
      </c>
      <c r="L80" s="50">
        <v>0</v>
      </c>
      <c r="M80" s="50">
        <v>45</v>
      </c>
      <c r="N80" s="50">
        <v>0</v>
      </c>
      <c r="O80" s="15">
        <f t="shared" si="35"/>
        <v>38</v>
      </c>
      <c r="P80" s="15">
        <f t="shared" si="36"/>
        <v>83</v>
      </c>
      <c r="R80" s="8"/>
      <c r="T80"/>
    </row>
    <row r="81" spans="2:20" ht="23.1" customHeight="1" x14ac:dyDescent="0.25">
      <c r="B81" s="45" t="s">
        <v>121</v>
      </c>
      <c r="C81" s="50">
        <v>27</v>
      </c>
      <c r="D81" s="50">
        <v>2</v>
      </c>
      <c r="E81" s="50">
        <v>2</v>
      </c>
      <c r="F81" s="50">
        <v>6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38</v>
      </c>
      <c r="N81" s="50">
        <v>0</v>
      </c>
      <c r="O81" s="15">
        <f t="shared" si="35"/>
        <v>37</v>
      </c>
      <c r="P81" s="15">
        <f t="shared" si="36"/>
        <v>75</v>
      </c>
      <c r="R81" s="8"/>
      <c r="T81"/>
    </row>
    <row r="82" spans="2:20" ht="23.1" customHeight="1" x14ac:dyDescent="0.25">
      <c r="B82" s="46" t="s">
        <v>122</v>
      </c>
      <c r="C82" s="50">
        <v>23</v>
      </c>
      <c r="D82" s="50">
        <v>0</v>
      </c>
      <c r="E82" s="50">
        <v>0</v>
      </c>
      <c r="F82" s="50">
        <v>1</v>
      </c>
      <c r="G82" s="50">
        <v>0</v>
      </c>
      <c r="H82" s="50">
        <v>0</v>
      </c>
      <c r="I82" s="50">
        <v>0</v>
      </c>
      <c r="J82" s="50">
        <v>1</v>
      </c>
      <c r="K82" s="50">
        <v>0</v>
      </c>
      <c r="L82" s="50">
        <v>0</v>
      </c>
      <c r="M82" s="50">
        <v>32</v>
      </c>
      <c r="N82" s="50">
        <v>0</v>
      </c>
      <c r="O82" s="15">
        <f t="shared" si="35"/>
        <v>25</v>
      </c>
      <c r="P82" s="15">
        <f t="shared" si="36"/>
        <v>57</v>
      </c>
      <c r="R82" s="8"/>
      <c r="T82"/>
    </row>
    <row r="83" spans="2:20" ht="23.1" customHeight="1" x14ac:dyDescent="0.25">
      <c r="B83" s="45" t="s">
        <v>123</v>
      </c>
      <c r="C83" s="50">
        <v>20</v>
      </c>
      <c r="D83" s="50">
        <v>1</v>
      </c>
      <c r="E83" s="50">
        <v>2</v>
      </c>
      <c r="F83" s="50">
        <v>0</v>
      </c>
      <c r="G83" s="50">
        <v>0</v>
      </c>
      <c r="H83" s="50">
        <v>0</v>
      </c>
      <c r="I83" s="50">
        <v>1</v>
      </c>
      <c r="J83" s="50">
        <v>1</v>
      </c>
      <c r="K83" s="50">
        <v>0</v>
      </c>
      <c r="L83" s="50">
        <v>0</v>
      </c>
      <c r="M83" s="50">
        <v>34</v>
      </c>
      <c r="N83" s="50">
        <v>0</v>
      </c>
      <c r="O83" s="15">
        <f t="shared" si="35"/>
        <v>25</v>
      </c>
      <c r="P83" s="15">
        <f t="shared" si="36"/>
        <v>59</v>
      </c>
      <c r="R83" s="8"/>
      <c r="T83"/>
    </row>
    <row r="84" spans="2:20" ht="23.1" customHeight="1" x14ac:dyDescent="0.25">
      <c r="B84" s="47" t="s">
        <v>124</v>
      </c>
      <c r="C84" s="50">
        <v>16</v>
      </c>
      <c r="D84" s="50">
        <v>0</v>
      </c>
      <c r="E84" s="50">
        <v>4</v>
      </c>
      <c r="F84" s="50">
        <v>6</v>
      </c>
      <c r="G84" s="50">
        <v>0</v>
      </c>
      <c r="H84" s="50">
        <v>0</v>
      </c>
      <c r="I84" s="50">
        <v>1</v>
      </c>
      <c r="J84" s="50">
        <v>1</v>
      </c>
      <c r="K84" s="50">
        <v>0</v>
      </c>
      <c r="L84" s="50">
        <v>0</v>
      </c>
      <c r="M84" s="50">
        <v>28</v>
      </c>
      <c r="N84" s="50">
        <v>0</v>
      </c>
      <c r="O84" s="15">
        <f t="shared" si="35"/>
        <v>28</v>
      </c>
      <c r="P84" s="15">
        <f t="shared" si="36"/>
        <v>56</v>
      </c>
      <c r="R84" s="8"/>
      <c r="T84"/>
    </row>
    <row r="85" spans="2:20" ht="23.1" customHeight="1" x14ac:dyDescent="0.25">
      <c r="B85" s="45" t="s">
        <v>125</v>
      </c>
      <c r="C85" s="50">
        <v>14</v>
      </c>
      <c r="D85" s="50">
        <v>1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1</v>
      </c>
      <c r="K85" s="50">
        <v>0</v>
      </c>
      <c r="L85" s="50">
        <v>0</v>
      </c>
      <c r="M85" s="50">
        <v>23</v>
      </c>
      <c r="N85" s="50">
        <v>0</v>
      </c>
      <c r="O85" s="15">
        <f t="shared" si="35"/>
        <v>16</v>
      </c>
      <c r="P85" s="15">
        <f t="shared" si="36"/>
        <v>39</v>
      </c>
      <c r="R85" s="8"/>
      <c r="T85"/>
    </row>
    <row r="86" spans="2:20" ht="23.1" customHeight="1" x14ac:dyDescent="0.25">
      <c r="B86" s="46" t="s">
        <v>126</v>
      </c>
      <c r="C86" s="50">
        <v>11</v>
      </c>
      <c r="D86" s="50">
        <v>0</v>
      </c>
      <c r="E86" s="50">
        <v>2</v>
      </c>
      <c r="F86" s="50">
        <v>6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18</v>
      </c>
      <c r="N86" s="50">
        <v>0</v>
      </c>
      <c r="O86" s="15">
        <f t="shared" si="35"/>
        <v>19</v>
      </c>
      <c r="P86" s="15">
        <f t="shared" si="36"/>
        <v>37</v>
      </c>
      <c r="R86" s="8"/>
      <c r="T86"/>
    </row>
    <row r="87" spans="2:20" ht="23.1" customHeight="1" x14ac:dyDescent="0.25">
      <c r="B87" s="45" t="s">
        <v>127</v>
      </c>
      <c r="C87" s="50">
        <v>9</v>
      </c>
      <c r="D87" s="50">
        <v>1</v>
      </c>
      <c r="E87" s="50">
        <v>1</v>
      </c>
      <c r="F87" s="50">
        <v>4</v>
      </c>
      <c r="G87" s="50">
        <v>0</v>
      </c>
      <c r="H87" s="50">
        <v>0</v>
      </c>
      <c r="I87" s="50">
        <v>2</v>
      </c>
      <c r="J87" s="50">
        <v>0</v>
      </c>
      <c r="K87" s="50">
        <v>0</v>
      </c>
      <c r="L87" s="50">
        <v>0</v>
      </c>
      <c r="M87" s="50">
        <v>13</v>
      </c>
      <c r="N87" s="50">
        <v>0</v>
      </c>
      <c r="O87" s="15">
        <f t="shared" si="35"/>
        <v>17</v>
      </c>
      <c r="P87" s="15">
        <f t="shared" si="36"/>
        <v>30</v>
      </c>
      <c r="R87" s="8"/>
      <c r="T87"/>
    </row>
    <row r="88" spans="2:20" ht="23.1" customHeight="1" x14ac:dyDescent="0.25">
      <c r="B88" s="47" t="s">
        <v>128</v>
      </c>
      <c r="C88" s="50">
        <v>8</v>
      </c>
      <c r="D88" s="50">
        <v>1</v>
      </c>
      <c r="E88" s="50">
        <v>1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26</v>
      </c>
      <c r="N88" s="50">
        <v>0</v>
      </c>
      <c r="O88" s="15">
        <f t="shared" si="35"/>
        <v>10</v>
      </c>
      <c r="P88" s="15">
        <f t="shared" si="36"/>
        <v>36</v>
      </c>
      <c r="R88" s="8"/>
      <c r="T88"/>
    </row>
    <row r="89" spans="2:20" ht="23.1" customHeight="1" x14ac:dyDescent="0.25">
      <c r="B89" s="45" t="s">
        <v>129</v>
      </c>
      <c r="C89" s="50">
        <v>15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29</v>
      </c>
      <c r="N89" s="50">
        <v>0</v>
      </c>
      <c r="O89" s="15">
        <f t="shared" si="35"/>
        <v>15</v>
      </c>
      <c r="P89" s="15">
        <f t="shared" si="36"/>
        <v>44</v>
      </c>
      <c r="R89" s="8"/>
      <c r="T89"/>
    </row>
    <row r="90" spans="2:20" ht="23.1" customHeight="1" x14ac:dyDescent="0.25">
      <c r="B90" s="46" t="s">
        <v>130</v>
      </c>
      <c r="C90" s="50">
        <v>9</v>
      </c>
      <c r="D90" s="50">
        <v>0</v>
      </c>
      <c r="E90" s="50">
        <v>1</v>
      </c>
      <c r="F90" s="50">
        <v>0</v>
      </c>
      <c r="G90" s="50">
        <v>0</v>
      </c>
      <c r="H90" s="50">
        <v>0</v>
      </c>
      <c r="I90" s="50">
        <v>2</v>
      </c>
      <c r="J90" s="50">
        <v>2</v>
      </c>
      <c r="K90" s="50">
        <v>0</v>
      </c>
      <c r="L90" s="50">
        <v>0</v>
      </c>
      <c r="M90" s="50">
        <v>19</v>
      </c>
      <c r="N90" s="50">
        <v>0</v>
      </c>
      <c r="O90" s="15">
        <f t="shared" si="35"/>
        <v>14</v>
      </c>
      <c r="P90" s="15">
        <f t="shared" si="36"/>
        <v>33</v>
      </c>
      <c r="R90" s="8"/>
      <c r="T90"/>
    </row>
    <row r="91" spans="2:20" ht="23.1" customHeight="1" x14ac:dyDescent="0.25">
      <c r="B91" s="45" t="s">
        <v>131</v>
      </c>
      <c r="C91" s="50">
        <v>7</v>
      </c>
      <c r="D91" s="50">
        <v>1</v>
      </c>
      <c r="E91" s="50">
        <v>1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16</v>
      </c>
      <c r="N91" s="50">
        <v>0</v>
      </c>
      <c r="O91" s="15">
        <f t="shared" si="35"/>
        <v>9</v>
      </c>
      <c r="P91" s="15">
        <f t="shared" si="36"/>
        <v>25</v>
      </c>
      <c r="R91" s="8"/>
      <c r="T91"/>
    </row>
    <row r="92" spans="2:20" ht="23.1" customHeight="1" x14ac:dyDescent="0.25">
      <c r="B92" s="47" t="s">
        <v>132</v>
      </c>
      <c r="C92" s="50">
        <v>6</v>
      </c>
      <c r="D92" s="50">
        <v>1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10</v>
      </c>
      <c r="N92" s="50">
        <v>0</v>
      </c>
      <c r="O92" s="15">
        <f t="shared" si="35"/>
        <v>7</v>
      </c>
      <c r="P92" s="15">
        <f t="shared" si="36"/>
        <v>17</v>
      </c>
      <c r="R92" s="8"/>
      <c r="T92"/>
    </row>
    <row r="93" spans="2:20" ht="23.1" customHeight="1" x14ac:dyDescent="0.25">
      <c r="B93" s="45" t="s">
        <v>133</v>
      </c>
      <c r="C93" s="50">
        <v>7</v>
      </c>
      <c r="D93" s="50">
        <v>0</v>
      </c>
      <c r="E93" s="50">
        <v>0</v>
      </c>
      <c r="F93" s="50">
        <v>1</v>
      </c>
      <c r="G93" s="50">
        <v>0</v>
      </c>
      <c r="H93" s="50">
        <v>0</v>
      </c>
      <c r="I93" s="50">
        <v>1</v>
      </c>
      <c r="J93" s="50">
        <v>1</v>
      </c>
      <c r="K93" s="50">
        <v>1</v>
      </c>
      <c r="L93" s="50">
        <v>0</v>
      </c>
      <c r="M93" s="50">
        <v>21</v>
      </c>
      <c r="N93" s="50">
        <v>0</v>
      </c>
      <c r="O93" s="15">
        <f t="shared" si="35"/>
        <v>11</v>
      </c>
      <c r="P93" s="15">
        <f t="shared" si="36"/>
        <v>32</v>
      </c>
      <c r="R93" s="8"/>
      <c r="T93"/>
    </row>
    <row r="94" spans="2:20" ht="23.1" customHeight="1" x14ac:dyDescent="0.25">
      <c r="B94" s="46" t="s">
        <v>134</v>
      </c>
      <c r="C94" s="50">
        <v>6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1</v>
      </c>
      <c r="K94" s="50">
        <v>0</v>
      </c>
      <c r="L94" s="50">
        <v>0</v>
      </c>
      <c r="M94" s="50">
        <v>17</v>
      </c>
      <c r="N94" s="50">
        <v>0</v>
      </c>
      <c r="O94" s="15">
        <f t="shared" si="35"/>
        <v>7</v>
      </c>
      <c r="P94" s="15">
        <f t="shared" si="36"/>
        <v>24</v>
      </c>
      <c r="R94" s="8"/>
      <c r="T94"/>
    </row>
    <row r="95" spans="2:20" ht="23.1" customHeight="1" x14ac:dyDescent="0.25">
      <c r="B95" s="45" t="s">
        <v>135</v>
      </c>
      <c r="C95" s="50">
        <v>8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2</v>
      </c>
      <c r="K95" s="50">
        <v>0</v>
      </c>
      <c r="L95" s="50">
        <v>0</v>
      </c>
      <c r="M95" s="50">
        <v>14</v>
      </c>
      <c r="N95" s="50">
        <v>0</v>
      </c>
      <c r="O95" s="15">
        <f t="shared" si="35"/>
        <v>10</v>
      </c>
      <c r="P95" s="15">
        <f t="shared" si="36"/>
        <v>24</v>
      </c>
      <c r="R95" s="8"/>
      <c r="T95"/>
    </row>
    <row r="96" spans="2:20" ht="23.1" customHeight="1" x14ac:dyDescent="0.25">
      <c r="B96" s="47" t="s">
        <v>136</v>
      </c>
      <c r="C96" s="50">
        <v>13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13</v>
      </c>
      <c r="N96" s="50">
        <v>0</v>
      </c>
      <c r="O96" s="15">
        <f t="shared" si="35"/>
        <v>13</v>
      </c>
      <c r="P96" s="15">
        <f t="shared" si="36"/>
        <v>26</v>
      </c>
      <c r="R96" s="8"/>
      <c r="T96"/>
    </row>
    <row r="97" spans="2:20" ht="23.1" customHeight="1" x14ac:dyDescent="0.25">
      <c r="B97" s="45" t="s">
        <v>137</v>
      </c>
      <c r="C97" s="50">
        <v>4</v>
      </c>
      <c r="D97" s="50">
        <v>0</v>
      </c>
      <c r="E97" s="50">
        <v>0</v>
      </c>
      <c r="F97" s="50">
        <v>1</v>
      </c>
      <c r="G97" s="50">
        <v>0</v>
      </c>
      <c r="H97" s="50">
        <v>0</v>
      </c>
      <c r="I97" s="50">
        <v>1</v>
      </c>
      <c r="J97" s="50">
        <v>1</v>
      </c>
      <c r="K97" s="50">
        <v>0</v>
      </c>
      <c r="L97" s="50">
        <v>1</v>
      </c>
      <c r="M97" s="50">
        <v>17</v>
      </c>
      <c r="N97" s="50">
        <v>0</v>
      </c>
      <c r="O97" s="15">
        <f t="shared" si="35"/>
        <v>8</v>
      </c>
      <c r="P97" s="15">
        <f t="shared" si="36"/>
        <v>25</v>
      </c>
      <c r="R97" s="8"/>
      <c r="T97"/>
    </row>
    <row r="98" spans="2:20" ht="23.1" customHeight="1" x14ac:dyDescent="0.25">
      <c r="B98" s="46" t="s">
        <v>138</v>
      </c>
      <c r="C98" s="50">
        <v>11</v>
      </c>
      <c r="D98" s="50">
        <v>0</v>
      </c>
      <c r="E98" s="50">
        <v>1</v>
      </c>
      <c r="F98" s="50">
        <v>2</v>
      </c>
      <c r="G98" s="50">
        <v>0</v>
      </c>
      <c r="H98" s="50">
        <v>0</v>
      </c>
      <c r="I98" s="50">
        <v>0</v>
      </c>
      <c r="J98" s="50">
        <v>1</v>
      </c>
      <c r="K98" s="50">
        <v>0</v>
      </c>
      <c r="L98" s="50">
        <v>0</v>
      </c>
      <c r="M98" s="50">
        <v>12</v>
      </c>
      <c r="N98" s="50">
        <v>0</v>
      </c>
      <c r="O98" s="15">
        <f t="shared" si="35"/>
        <v>15</v>
      </c>
      <c r="P98" s="15">
        <f t="shared" si="36"/>
        <v>27</v>
      </c>
      <c r="R98" s="8"/>
      <c r="T98"/>
    </row>
    <row r="99" spans="2:20" ht="23.1" customHeight="1" x14ac:dyDescent="0.25">
      <c r="B99" s="45" t="s">
        <v>139</v>
      </c>
      <c r="C99" s="50">
        <v>9</v>
      </c>
      <c r="D99" s="50">
        <v>2</v>
      </c>
      <c r="E99" s="50">
        <v>1</v>
      </c>
      <c r="F99" s="50">
        <v>3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21</v>
      </c>
      <c r="N99" s="50">
        <v>0</v>
      </c>
      <c r="O99" s="15">
        <f t="shared" si="35"/>
        <v>15</v>
      </c>
      <c r="P99" s="15">
        <f t="shared" si="36"/>
        <v>36</v>
      </c>
      <c r="R99" s="8"/>
      <c r="T99"/>
    </row>
    <row r="100" spans="2:20" ht="23.1" customHeight="1" x14ac:dyDescent="0.25">
      <c r="B100" s="47" t="s">
        <v>140</v>
      </c>
      <c r="C100" s="50">
        <v>6</v>
      </c>
      <c r="D100" s="50">
        <v>0</v>
      </c>
      <c r="E100" s="50">
        <v>3</v>
      </c>
      <c r="F100" s="50">
        <v>4</v>
      </c>
      <c r="G100" s="50">
        <v>0</v>
      </c>
      <c r="H100" s="50">
        <v>0</v>
      </c>
      <c r="I100" s="50">
        <v>1</v>
      </c>
      <c r="J100" s="50">
        <v>0</v>
      </c>
      <c r="K100" s="50">
        <v>0</v>
      </c>
      <c r="L100" s="50">
        <v>0</v>
      </c>
      <c r="M100" s="50">
        <v>24</v>
      </c>
      <c r="N100" s="50">
        <v>0</v>
      </c>
      <c r="O100" s="15">
        <f t="shared" si="35"/>
        <v>14</v>
      </c>
      <c r="P100" s="15">
        <f t="shared" si="36"/>
        <v>38</v>
      </c>
      <c r="R100" s="8"/>
      <c r="T100"/>
    </row>
    <row r="101" spans="2:20" ht="23.1" customHeight="1" x14ac:dyDescent="0.25">
      <c r="B101" s="45" t="s">
        <v>141</v>
      </c>
      <c r="C101" s="50">
        <v>4</v>
      </c>
      <c r="D101" s="50">
        <v>0</v>
      </c>
      <c r="E101" s="50">
        <v>0</v>
      </c>
      <c r="F101" s="50">
        <v>1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22</v>
      </c>
      <c r="N101" s="50">
        <v>0</v>
      </c>
      <c r="O101" s="15">
        <f t="shared" si="35"/>
        <v>5</v>
      </c>
      <c r="P101" s="15">
        <f t="shared" si="36"/>
        <v>27</v>
      </c>
      <c r="R101" s="8"/>
      <c r="T101"/>
    </row>
    <row r="102" spans="2:20" ht="23.1" customHeight="1" x14ac:dyDescent="0.25">
      <c r="B102" s="46" t="s">
        <v>142</v>
      </c>
      <c r="C102" s="50">
        <v>8</v>
      </c>
      <c r="D102" s="50">
        <v>2</v>
      </c>
      <c r="E102" s="50">
        <v>4</v>
      </c>
      <c r="F102" s="50">
        <v>3</v>
      </c>
      <c r="G102" s="50">
        <v>0</v>
      </c>
      <c r="H102" s="50">
        <v>0</v>
      </c>
      <c r="I102" s="50">
        <v>2</v>
      </c>
      <c r="J102" s="50">
        <v>1</v>
      </c>
      <c r="K102" s="50">
        <v>1</v>
      </c>
      <c r="L102" s="50">
        <v>0</v>
      </c>
      <c r="M102" s="50">
        <v>26</v>
      </c>
      <c r="N102" s="50">
        <v>0</v>
      </c>
      <c r="O102" s="15">
        <f t="shared" si="35"/>
        <v>21</v>
      </c>
      <c r="P102" s="15">
        <f t="shared" si="36"/>
        <v>47</v>
      </c>
      <c r="R102" s="8"/>
      <c r="T102"/>
    </row>
    <row r="103" spans="2:20" ht="23.1" customHeight="1" x14ac:dyDescent="0.25">
      <c r="B103" s="45" t="s">
        <v>143</v>
      </c>
      <c r="C103" s="50">
        <v>12</v>
      </c>
      <c r="D103" s="50">
        <v>1</v>
      </c>
      <c r="E103" s="50">
        <v>1</v>
      </c>
      <c r="F103" s="50">
        <v>7</v>
      </c>
      <c r="G103" s="50">
        <v>0</v>
      </c>
      <c r="H103" s="50">
        <v>0</v>
      </c>
      <c r="I103" s="50">
        <v>1</v>
      </c>
      <c r="J103" s="50">
        <v>1</v>
      </c>
      <c r="K103" s="50">
        <v>1</v>
      </c>
      <c r="L103" s="50">
        <v>0</v>
      </c>
      <c r="M103" s="50">
        <v>26</v>
      </c>
      <c r="N103" s="50">
        <v>0</v>
      </c>
      <c r="O103" s="15">
        <f t="shared" si="35"/>
        <v>24</v>
      </c>
      <c r="P103" s="15">
        <f t="shared" si="36"/>
        <v>50</v>
      </c>
      <c r="R103" s="8"/>
      <c r="T103"/>
    </row>
    <row r="104" spans="2:20" ht="23.1" customHeight="1" x14ac:dyDescent="0.25">
      <c r="B104" s="47" t="s">
        <v>144</v>
      </c>
      <c r="C104" s="50">
        <v>10</v>
      </c>
      <c r="D104" s="50">
        <v>0</v>
      </c>
      <c r="E104" s="50">
        <v>3</v>
      </c>
      <c r="F104" s="50">
        <v>17</v>
      </c>
      <c r="G104" s="50">
        <v>0</v>
      </c>
      <c r="H104" s="50">
        <v>0</v>
      </c>
      <c r="I104" s="50">
        <v>0</v>
      </c>
      <c r="J104" s="50">
        <v>1</v>
      </c>
      <c r="K104" s="50">
        <v>0</v>
      </c>
      <c r="L104" s="50">
        <v>0</v>
      </c>
      <c r="M104" s="50">
        <v>35</v>
      </c>
      <c r="N104" s="50">
        <v>0</v>
      </c>
      <c r="O104" s="15">
        <f t="shared" si="35"/>
        <v>31</v>
      </c>
      <c r="P104" s="15">
        <f t="shared" si="36"/>
        <v>66</v>
      </c>
      <c r="R104" s="8"/>
      <c r="T104"/>
    </row>
    <row r="105" spans="2:20" ht="23.1" customHeight="1" x14ac:dyDescent="0.25">
      <c r="B105" s="45" t="s">
        <v>145</v>
      </c>
      <c r="C105" s="50">
        <v>7</v>
      </c>
      <c r="D105" s="50">
        <v>1</v>
      </c>
      <c r="E105" s="50">
        <v>4</v>
      </c>
      <c r="F105" s="50">
        <v>21</v>
      </c>
      <c r="G105" s="50">
        <v>0</v>
      </c>
      <c r="H105" s="50">
        <v>0</v>
      </c>
      <c r="I105" s="50">
        <v>0</v>
      </c>
      <c r="J105" s="50">
        <v>2</v>
      </c>
      <c r="K105" s="50">
        <v>1</v>
      </c>
      <c r="L105" s="50">
        <v>0</v>
      </c>
      <c r="M105" s="50">
        <v>40</v>
      </c>
      <c r="N105" s="50">
        <v>0</v>
      </c>
      <c r="O105" s="15">
        <f t="shared" si="35"/>
        <v>36</v>
      </c>
      <c r="P105" s="15">
        <f t="shared" si="36"/>
        <v>76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4828</v>
      </c>
      <c r="D106" s="16">
        <f t="shared" ref="D106:P106" si="37">SUM(D10:D105)</f>
        <v>453</v>
      </c>
      <c r="E106" s="16">
        <f t="shared" si="37"/>
        <v>565</v>
      </c>
      <c r="F106" s="16">
        <f t="shared" si="37"/>
        <v>1540</v>
      </c>
      <c r="G106" s="16">
        <f t="shared" si="37"/>
        <v>20</v>
      </c>
      <c r="H106" s="16">
        <f t="shared" si="37"/>
        <v>71</v>
      </c>
      <c r="I106" s="16">
        <f t="shared" si="37"/>
        <v>258</v>
      </c>
      <c r="J106" s="16">
        <f t="shared" si="37"/>
        <v>107</v>
      </c>
      <c r="K106" s="16">
        <f t="shared" si="37"/>
        <v>51</v>
      </c>
      <c r="L106" s="16">
        <f t="shared" si="37"/>
        <v>10</v>
      </c>
      <c r="M106" s="16">
        <f t="shared" si="37"/>
        <v>8905</v>
      </c>
      <c r="N106" s="16">
        <f t="shared" si="37"/>
        <v>0</v>
      </c>
      <c r="O106" s="16">
        <f t="shared" si="37"/>
        <v>7903</v>
      </c>
      <c r="P106" s="16">
        <f t="shared" si="37"/>
        <v>16808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0.28724416944312231</v>
      </c>
      <c r="D107" s="43">
        <f t="shared" si="38"/>
        <v>2.6951451689671585E-2</v>
      </c>
      <c r="E107" s="43">
        <f t="shared" si="38"/>
        <v>3.3614945264159923E-2</v>
      </c>
      <c r="F107" s="43">
        <f t="shared" si="38"/>
        <v>9.1623036649214659E-2</v>
      </c>
      <c r="G107" s="43">
        <f t="shared" si="38"/>
        <v>1.1899095668729176E-3</v>
      </c>
      <c r="H107" s="43">
        <f t="shared" si="38"/>
        <v>4.224178962398858E-3</v>
      </c>
      <c r="I107" s="43">
        <f t="shared" si="38"/>
        <v>1.5349833412660639E-2</v>
      </c>
      <c r="J107" s="43">
        <f t="shared" si="38"/>
        <v>6.3660161827701093E-3</v>
      </c>
      <c r="K107" s="43">
        <f t="shared" si="38"/>
        <v>3.0342693955259402E-3</v>
      </c>
      <c r="L107" s="43">
        <f t="shared" si="38"/>
        <v>5.949547834364588E-4</v>
      </c>
      <c r="M107" s="43">
        <f t="shared" si="38"/>
        <v>0.52980723465016655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0.61090725041123628</v>
      </c>
      <c r="D108" s="44">
        <f t="shared" ref="D108:N108" si="39">D106/$O$106</f>
        <v>5.7320005061369098E-2</v>
      </c>
      <c r="E108" s="44">
        <f t="shared" si="39"/>
        <v>7.14918385423257E-2</v>
      </c>
      <c r="F108" s="44">
        <f t="shared" si="39"/>
        <v>0.19486271036315322</v>
      </c>
      <c r="G108" s="44">
        <f t="shared" si="39"/>
        <v>2.5306845501708213E-3</v>
      </c>
      <c r="H108" s="44">
        <f t="shared" si="39"/>
        <v>8.9839301531064158E-3</v>
      </c>
      <c r="I108" s="44">
        <f t="shared" si="39"/>
        <v>3.2645830697203594E-2</v>
      </c>
      <c r="J108" s="44">
        <f t="shared" si="39"/>
        <v>1.3539162343413893E-2</v>
      </c>
      <c r="K108" s="44">
        <f t="shared" si="39"/>
        <v>6.4532456029355945E-3</v>
      </c>
      <c r="L108" s="44">
        <f t="shared" si="39"/>
        <v>1.2653422750854106E-3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zoomScale="60" workbookViewId="0">
      <selection activeCell="M105" sqref="M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0" t="str">
        <f>'01.08 NAMUGONGO-KIREKA'!C3:G3</f>
        <v>MCC - C1 - STN039 - NAMUGONGO ROAD</v>
      </c>
      <c r="D3" s="60"/>
      <c r="E3" s="60"/>
      <c r="F3" s="60"/>
      <c r="G3" s="6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'03.08 NAMUGONGO-KIREKA-24h'!D5</f>
        <v>03.08.19</v>
      </c>
      <c r="E5" s="3"/>
      <c r="F5" s="41" t="s">
        <v>1</v>
      </c>
      <c r="G5" s="56" t="str">
        <f>'03.08 NAMUGONGO-KIREKA-24h'!G5:H5</f>
        <v>AGENDA</v>
      </c>
      <c r="H5" s="57"/>
      <c r="I5" s="14"/>
      <c r="J5" s="2" t="s">
        <v>5</v>
      </c>
      <c r="K5" s="56" t="str">
        <f>'03.08 NAMUGONGO-KIREKA-24h'!K5:L5</f>
        <v>STEVEN</v>
      </c>
      <c r="L5" s="57"/>
      <c r="M5" s="10"/>
      <c r="N5" s="10"/>
      <c r="O5" s="3"/>
      <c r="P5" s="3"/>
    </row>
    <row r="6" spans="2:32" ht="23.25" customHeight="1" x14ac:dyDescent="0.25">
      <c r="C6" s="2" t="s">
        <v>4</v>
      </c>
      <c r="D6" s="56" t="str">
        <f>'01.08 KIREKA-NAMUGONGO'!D6:E6</f>
        <v>KIREKA</v>
      </c>
      <c r="E6" s="57"/>
      <c r="F6" s="2" t="s">
        <v>2</v>
      </c>
      <c r="G6" s="56" t="str">
        <f>'02.08 KIREKA-NAMUGONGO'!G6:H6</f>
        <v>NAMUGONGO</v>
      </c>
      <c r="H6" s="57"/>
      <c r="J6" s="2" t="s">
        <v>21</v>
      </c>
      <c r="K6" s="56" t="str">
        <f>'03.08 NAMUGONGO-KIREKA-24h'!K6:L6</f>
        <v>NAIDO GRACE BRENDA</v>
      </c>
      <c r="L6" s="5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5" t="s">
        <v>88</v>
      </c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11</v>
      </c>
      <c r="D10" s="50">
        <v>2</v>
      </c>
      <c r="E10" s="50">
        <v>3</v>
      </c>
      <c r="F10" s="50">
        <v>6</v>
      </c>
      <c r="G10" s="50">
        <v>1</v>
      </c>
      <c r="H10" s="50">
        <v>0</v>
      </c>
      <c r="I10" s="50">
        <v>11</v>
      </c>
      <c r="J10" s="50">
        <v>0</v>
      </c>
      <c r="K10" s="50">
        <v>0</v>
      </c>
      <c r="L10" s="50">
        <v>0</v>
      </c>
      <c r="M10" s="50">
        <v>75</v>
      </c>
      <c r="N10" s="50">
        <v>0</v>
      </c>
      <c r="O10" s="15">
        <f t="shared" ref="O10:O73" si="0">SUM(C10:L10,N10)</f>
        <v>34</v>
      </c>
      <c r="P10" s="15">
        <f t="shared" ref="P10:P73" si="1">SUM(C10:N10)</f>
        <v>109</v>
      </c>
      <c r="R10" s="1" t="s">
        <v>6</v>
      </c>
      <c r="S10" s="17">
        <f t="shared" ref="S10:AF10" si="2">SUM(C10:C13)</f>
        <v>109</v>
      </c>
      <c r="T10" s="17">
        <f t="shared" si="2"/>
        <v>22</v>
      </c>
      <c r="U10" s="17">
        <f t="shared" si="2"/>
        <v>14</v>
      </c>
      <c r="V10" s="17">
        <f t="shared" si="2"/>
        <v>37</v>
      </c>
      <c r="W10" s="17">
        <f t="shared" si="2"/>
        <v>3</v>
      </c>
      <c r="X10" s="17">
        <f t="shared" si="2"/>
        <v>0</v>
      </c>
      <c r="Y10" s="17">
        <f t="shared" si="2"/>
        <v>26</v>
      </c>
      <c r="Z10" s="17">
        <f t="shared" si="2"/>
        <v>4</v>
      </c>
      <c r="AA10" s="17">
        <f t="shared" si="2"/>
        <v>1</v>
      </c>
      <c r="AB10" s="17">
        <f t="shared" si="2"/>
        <v>0</v>
      </c>
      <c r="AC10" s="17">
        <f t="shared" si="2"/>
        <v>287</v>
      </c>
      <c r="AD10" s="17">
        <f t="shared" si="2"/>
        <v>0</v>
      </c>
      <c r="AE10" s="31">
        <f t="shared" si="2"/>
        <v>216</v>
      </c>
      <c r="AF10" s="31">
        <f t="shared" si="2"/>
        <v>503</v>
      </c>
    </row>
    <row r="11" spans="2:32" s="6" customFormat="1" ht="23.1" customHeight="1" x14ac:dyDescent="0.25">
      <c r="B11" s="45" t="s">
        <v>38</v>
      </c>
      <c r="C11" s="50">
        <v>29</v>
      </c>
      <c r="D11" s="50">
        <v>3</v>
      </c>
      <c r="E11" s="50">
        <v>2</v>
      </c>
      <c r="F11" s="50">
        <v>8</v>
      </c>
      <c r="G11" s="50">
        <v>2</v>
      </c>
      <c r="H11" s="50">
        <v>0</v>
      </c>
      <c r="I11" s="50">
        <v>7</v>
      </c>
      <c r="J11" s="50">
        <v>2</v>
      </c>
      <c r="K11" s="50">
        <v>0</v>
      </c>
      <c r="L11" s="50">
        <v>0</v>
      </c>
      <c r="M11" s="50">
        <v>52</v>
      </c>
      <c r="N11" s="50">
        <v>0</v>
      </c>
      <c r="O11" s="15">
        <f t="shared" si="0"/>
        <v>53</v>
      </c>
      <c r="P11" s="15">
        <f t="shared" si="1"/>
        <v>105</v>
      </c>
      <c r="R11" s="1" t="s">
        <v>7</v>
      </c>
      <c r="S11" s="17">
        <f t="shared" ref="S11:AF11" si="3">SUM(C14:C17)</f>
        <v>157</v>
      </c>
      <c r="T11" s="17">
        <f t="shared" si="3"/>
        <v>44</v>
      </c>
      <c r="U11" s="17">
        <f t="shared" si="3"/>
        <v>14</v>
      </c>
      <c r="V11" s="17">
        <f t="shared" si="3"/>
        <v>58</v>
      </c>
      <c r="W11" s="17">
        <f t="shared" si="3"/>
        <v>0</v>
      </c>
      <c r="X11" s="17">
        <f t="shared" si="3"/>
        <v>1</v>
      </c>
      <c r="Y11" s="17">
        <f t="shared" si="3"/>
        <v>19</v>
      </c>
      <c r="Z11" s="17">
        <f t="shared" si="3"/>
        <v>2</v>
      </c>
      <c r="AA11" s="17">
        <f t="shared" si="3"/>
        <v>6</v>
      </c>
      <c r="AB11" s="17">
        <f t="shared" si="3"/>
        <v>1</v>
      </c>
      <c r="AC11" s="17">
        <f t="shared" si="3"/>
        <v>490</v>
      </c>
      <c r="AD11" s="17">
        <f t="shared" si="3"/>
        <v>0</v>
      </c>
      <c r="AE11" s="31">
        <f t="shared" si="3"/>
        <v>302</v>
      </c>
      <c r="AF11" s="31">
        <f t="shared" si="3"/>
        <v>792</v>
      </c>
    </row>
    <row r="12" spans="2:32" ht="23.1" customHeight="1" x14ac:dyDescent="0.25">
      <c r="B12" s="45" t="s">
        <v>39</v>
      </c>
      <c r="C12" s="50">
        <v>41</v>
      </c>
      <c r="D12" s="50">
        <v>6</v>
      </c>
      <c r="E12" s="50">
        <v>3</v>
      </c>
      <c r="F12" s="50">
        <v>13</v>
      </c>
      <c r="G12" s="50">
        <v>0</v>
      </c>
      <c r="H12" s="50">
        <v>0</v>
      </c>
      <c r="I12" s="50">
        <v>4</v>
      </c>
      <c r="J12" s="50">
        <v>1</v>
      </c>
      <c r="K12" s="50">
        <v>1</v>
      </c>
      <c r="L12" s="50">
        <v>0</v>
      </c>
      <c r="M12" s="50">
        <v>55</v>
      </c>
      <c r="N12" s="50">
        <v>0</v>
      </c>
      <c r="O12" s="15">
        <f t="shared" si="0"/>
        <v>69</v>
      </c>
      <c r="P12" s="15">
        <f t="shared" si="1"/>
        <v>124</v>
      </c>
      <c r="R12" s="1" t="s">
        <v>8</v>
      </c>
      <c r="S12" s="17">
        <f t="shared" ref="S12:AF12" si="4">SUM(C18:C21)</f>
        <v>171</v>
      </c>
      <c r="T12" s="17">
        <f t="shared" si="4"/>
        <v>47</v>
      </c>
      <c r="U12" s="17">
        <f t="shared" si="4"/>
        <v>36</v>
      </c>
      <c r="V12" s="17">
        <f t="shared" si="4"/>
        <v>62</v>
      </c>
      <c r="W12" s="17">
        <f t="shared" si="4"/>
        <v>2</v>
      </c>
      <c r="X12" s="17">
        <f t="shared" si="4"/>
        <v>0</v>
      </c>
      <c r="Y12" s="17">
        <f t="shared" si="4"/>
        <v>28</v>
      </c>
      <c r="Z12" s="17">
        <f t="shared" si="4"/>
        <v>2</v>
      </c>
      <c r="AA12" s="17">
        <f t="shared" si="4"/>
        <v>0</v>
      </c>
      <c r="AB12" s="17">
        <f t="shared" si="4"/>
        <v>1</v>
      </c>
      <c r="AC12" s="17">
        <f t="shared" si="4"/>
        <v>513</v>
      </c>
      <c r="AD12" s="17">
        <f t="shared" si="4"/>
        <v>0</v>
      </c>
      <c r="AE12" s="31">
        <f t="shared" si="4"/>
        <v>349</v>
      </c>
      <c r="AF12" s="31">
        <f t="shared" si="4"/>
        <v>862</v>
      </c>
    </row>
    <row r="13" spans="2:32" ht="23.1" customHeight="1" x14ac:dyDescent="0.25">
      <c r="B13" s="45" t="s">
        <v>40</v>
      </c>
      <c r="C13" s="50">
        <v>28</v>
      </c>
      <c r="D13" s="50">
        <v>11</v>
      </c>
      <c r="E13" s="50">
        <v>6</v>
      </c>
      <c r="F13" s="50">
        <v>10</v>
      </c>
      <c r="G13" s="50">
        <v>0</v>
      </c>
      <c r="H13" s="50">
        <v>0</v>
      </c>
      <c r="I13" s="50">
        <v>4</v>
      </c>
      <c r="J13" s="50">
        <v>1</v>
      </c>
      <c r="K13" s="50">
        <v>0</v>
      </c>
      <c r="L13" s="50">
        <v>0</v>
      </c>
      <c r="M13" s="50">
        <v>105</v>
      </c>
      <c r="N13" s="50">
        <v>0</v>
      </c>
      <c r="O13" s="15">
        <f t="shared" si="0"/>
        <v>60</v>
      </c>
      <c r="P13" s="15">
        <f t="shared" si="1"/>
        <v>165</v>
      </c>
      <c r="R13" s="1" t="s">
        <v>9</v>
      </c>
      <c r="S13" s="17">
        <f t="shared" ref="S13:AF13" si="5">SUM(C22:C25)</f>
        <v>217</v>
      </c>
      <c r="T13" s="17">
        <f t="shared" si="5"/>
        <v>66</v>
      </c>
      <c r="U13" s="17">
        <f t="shared" si="5"/>
        <v>30</v>
      </c>
      <c r="V13" s="17">
        <f t="shared" si="5"/>
        <v>71</v>
      </c>
      <c r="W13" s="17">
        <f t="shared" si="5"/>
        <v>0</v>
      </c>
      <c r="X13" s="17">
        <f t="shared" si="5"/>
        <v>0</v>
      </c>
      <c r="Y13" s="17">
        <f t="shared" si="5"/>
        <v>28</v>
      </c>
      <c r="Z13" s="17">
        <f t="shared" si="5"/>
        <v>7</v>
      </c>
      <c r="AA13" s="17">
        <f t="shared" si="5"/>
        <v>6</v>
      </c>
      <c r="AB13" s="17">
        <f t="shared" si="5"/>
        <v>0</v>
      </c>
      <c r="AC13" s="17">
        <f t="shared" si="5"/>
        <v>521</v>
      </c>
      <c r="AD13" s="17">
        <f t="shared" si="5"/>
        <v>0</v>
      </c>
      <c r="AE13" s="31">
        <f t="shared" si="5"/>
        <v>425</v>
      </c>
      <c r="AF13" s="31">
        <f t="shared" si="5"/>
        <v>946</v>
      </c>
    </row>
    <row r="14" spans="2:32" ht="23.1" customHeight="1" x14ac:dyDescent="0.25">
      <c r="B14" s="45" t="s">
        <v>41</v>
      </c>
      <c r="C14" s="50">
        <v>40</v>
      </c>
      <c r="D14" s="50">
        <v>10</v>
      </c>
      <c r="E14" s="50">
        <v>1</v>
      </c>
      <c r="F14" s="50">
        <v>16</v>
      </c>
      <c r="G14" s="50">
        <v>0</v>
      </c>
      <c r="H14" s="50">
        <v>0</v>
      </c>
      <c r="I14" s="50">
        <v>2</v>
      </c>
      <c r="J14" s="50">
        <v>0</v>
      </c>
      <c r="K14" s="50">
        <v>0</v>
      </c>
      <c r="L14" s="50">
        <v>1</v>
      </c>
      <c r="M14" s="50">
        <v>111</v>
      </c>
      <c r="N14" s="50">
        <v>0</v>
      </c>
      <c r="O14" s="15">
        <f t="shared" si="0"/>
        <v>70</v>
      </c>
      <c r="P14" s="15">
        <f t="shared" si="1"/>
        <v>181</v>
      </c>
      <c r="R14" s="1" t="s">
        <v>10</v>
      </c>
      <c r="S14" s="17">
        <f t="shared" ref="S14:AF14" si="6">SUM(C26:C29)</f>
        <v>235</v>
      </c>
      <c r="T14" s="17">
        <f t="shared" si="6"/>
        <v>74</v>
      </c>
      <c r="U14" s="17">
        <f t="shared" si="6"/>
        <v>36</v>
      </c>
      <c r="V14" s="17">
        <f t="shared" si="6"/>
        <v>65</v>
      </c>
      <c r="W14" s="17">
        <f t="shared" si="6"/>
        <v>1</v>
      </c>
      <c r="X14" s="17">
        <f t="shared" si="6"/>
        <v>5</v>
      </c>
      <c r="Y14" s="17">
        <f t="shared" si="6"/>
        <v>19</v>
      </c>
      <c r="Z14" s="17">
        <f t="shared" si="6"/>
        <v>3</v>
      </c>
      <c r="AA14" s="17">
        <f t="shared" si="6"/>
        <v>3</v>
      </c>
      <c r="AB14" s="17">
        <f t="shared" si="6"/>
        <v>2</v>
      </c>
      <c r="AC14" s="17">
        <f t="shared" si="6"/>
        <v>513</v>
      </c>
      <c r="AD14" s="17">
        <f t="shared" si="6"/>
        <v>0</v>
      </c>
      <c r="AE14" s="31">
        <f t="shared" si="6"/>
        <v>443</v>
      </c>
      <c r="AF14" s="31">
        <f t="shared" si="6"/>
        <v>956</v>
      </c>
    </row>
    <row r="15" spans="2:32" ht="23.1" customHeight="1" x14ac:dyDescent="0.25">
      <c r="B15" s="45" t="s">
        <v>42</v>
      </c>
      <c r="C15" s="50">
        <v>30</v>
      </c>
      <c r="D15" s="50">
        <v>5</v>
      </c>
      <c r="E15" s="50">
        <v>9</v>
      </c>
      <c r="F15" s="50">
        <v>17</v>
      </c>
      <c r="G15" s="50">
        <v>0</v>
      </c>
      <c r="H15" s="50">
        <v>0</v>
      </c>
      <c r="I15" s="50">
        <v>7</v>
      </c>
      <c r="J15" s="50">
        <v>2</v>
      </c>
      <c r="K15" s="50">
        <v>4</v>
      </c>
      <c r="L15" s="50">
        <v>0</v>
      </c>
      <c r="M15" s="50">
        <v>125</v>
      </c>
      <c r="N15" s="50">
        <v>0</v>
      </c>
      <c r="O15" s="15">
        <f t="shared" si="0"/>
        <v>74</v>
      </c>
      <c r="P15" s="15">
        <f t="shared" si="1"/>
        <v>199</v>
      </c>
      <c r="R15" s="1" t="s">
        <v>11</v>
      </c>
      <c r="S15" s="17">
        <f t="shared" ref="S15:AF15" si="7">SUM(C30:C33)</f>
        <v>281</v>
      </c>
      <c r="T15" s="17">
        <f t="shared" si="7"/>
        <v>80</v>
      </c>
      <c r="U15" s="17">
        <f t="shared" si="7"/>
        <v>37</v>
      </c>
      <c r="V15" s="17">
        <f t="shared" si="7"/>
        <v>56</v>
      </c>
      <c r="W15" s="17">
        <f t="shared" si="7"/>
        <v>1</v>
      </c>
      <c r="X15" s="17">
        <f t="shared" si="7"/>
        <v>0</v>
      </c>
      <c r="Y15" s="17">
        <f t="shared" si="7"/>
        <v>43</v>
      </c>
      <c r="Z15" s="17">
        <f t="shared" si="7"/>
        <v>8</v>
      </c>
      <c r="AA15" s="17">
        <f t="shared" si="7"/>
        <v>2</v>
      </c>
      <c r="AB15" s="17">
        <f t="shared" si="7"/>
        <v>2</v>
      </c>
      <c r="AC15" s="17">
        <f t="shared" si="7"/>
        <v>552</v>
      </c>
      <c r="AD15" s="17">
        <f t="shared" si="7"/>
        <v>0</v>
      </c>
      <c r="AE15" s="31">
        <f t="shared" si="7"/>
        <v>510</v>
      </c>
      <c r="AF15" s="31">
        <f t="shared" si="7"/>
        <v>1062</v>
      </c>
    </row>
    <row r="16" spans="2:32" ht="23.1" customHeight="1" x14ac:dyDescent="0.25">
      <c r="B16" s="45" t="s">
        <v>43</v>
      </c>
      <c r="C16" s="50">
        <v>48</v>
      </c>
      <c r="D16" s="50">
        <v>12</v>
      </c>
      <c r="E16" s="50">
        <v>3</v>
      </c>
      <c r="F16" s="50">
        <v>13</v>
      </c>
      <c r="G16" s="50">
        <v>0</v>
      </c>
      <c r="H16" s="50">
        <v>1</v>
      </c>
      <c r="I16" s="50">
        <v>4</v>
      </c>
      <c r="J16" s="50">
        <v>0</v>
      </c>
      <c r="K16" s="50">
        <v>2</v>
      </c>
      <c r="L16" s="50">
        <v>0</v>
      </c>
      <c r="M16" s="50">
        <v>144</v>
      </c>
      <c r="N16" s="50">
        <v>0</v>
      </c>
      <c r="O16" s="15">
        <f t="shared" si="0"/>
        <v>83</v>
      </c>
      <c r="P16" s="15">
        <f t="shared" si="1"/>
        <v>227</v>
      </c>
      <c r="R16" s="1" t="s">
        <v>12</v>
      </c>
      <c r="S16" s="17">
        <f t="shared" ref="S16:AF16" si="8">SUM(C34:C37)</f>
        <v>286</v>
      </c>
      <c r="T16" s="17">
        <f t="shared" si="8"/>
        <v>93</v>
      </c>
      <c r="U16" s="17">
        <f t="shared" si="8"/>
        <v>47</v>
      </c>
      <c r="V16" s="17">
        <f t="shared" si="8"/>
        <v>72</v>
      </c>
      <c r="W16" s="17">
        <f t="shared" si="8"/>
        <v>0</v>
      </c>
      <c r="X16" s="17">
        <f t="shared" si="8"/>
        <v>0</v>
      </c>
      <c r="Y16" s="17">
        <f t="shared" si="8"/>
        <v>31</v>
      </c>
      <c r="Z16" s="17">
        <f t="shared" si="8"/>
        <v>8</v>
      </c>
      <c r="AA16" s="17">
        <f t="shared" si="8"/>
        <v>3</v>
      </c>
      <c r="AB16" s="17">
        <f t="shared" si="8"/>
        <v>0</v>
      </c>
      <c r="AC16" s="17">
        <f t="shared" si="8"/>
        <v>447</v>
      </c>
      <c r="AD16" s="17">
        <f t="shared" si="8"/>
        <v>0</v>
      </c>
      <c r="AE16" s="31">
        <f t="shared" si="8"/>
        <v>540</v>
      </c>
      <c r="AF16" s="31">
        <f t="shared" si="8"/>
        <v>987</v>
      </c>
    </row>
    <row r="17" spans="2:32" ht="23.1" customHeight="1" x14ac:dyDescent="0.25">
      <c r="B17" s="45" t="s">
        <v>44</v>
      </c>
      <c r="C17" s="50">
        <v>39</v>
      </c>
      <c r="D17" s="50">
        <v>17</v>
      </c>
      <c r="E17" s="50">
        <v>1</v>
      </c>
      <c r="F17" s="50">
        <v>12</v>
      </c>
      <c r="G17" s="50">
        <v>0</v>
      </c>
      <c r="H17" s="50">
        <v>0</v>
      </c>
      <c r="I17" s="50">
        <v>6</v>
      </c>
      <c r="J17" s="50">
        <v>0</v>
      </c>
      <c r="K17" s="50">
        <v>0</v>
      </c>
      <c r="L17" s="50">
        <v>0</v>
      </c>
      <c r="M17" s="50">
        <v>110</v>
      </c>
      <c r="N17" s="50">
        <v>0</v>
      </c>
      <c r="O17" s="15">
        <f t="shared" si="0"/>
        <v>75</v>
      </c>
      <c r="P17" s="15">
        <f t="shared" si="1"/>
        <v>185</v>
      </c>
      <c r="R17" s="1" t="s">
        <v>13</v>
      </c>
      <c r="S17" s="17">
        <f t="shared" ref="S17:AF17" si="9">SUM(C38:C41)</f>
        <v>351</v>
      </c>
      <c r="T17" s="17">
        <f t="shared" si="9"/>
        <v>103</v>
      </c>
      <c r="U17" s="17">
        <f t="shared" si="9"/>
        <v>53</v>
      </c>
      <c r="V17" s="17">
        <f t="shared" si="9"/>
        <v>75</v>
      </c>
      <c r="W17" s="17">
        <f t="shared" si="9"/>
        <v>6</v>
      </c>
      <c r="X17" s="17">
        <f t="shared" si="9"/>
        <v>0</v>
      </c>
      <c r="Y17" s="17">
        <f t="shared" si="9"/>
        <v>23</v>
      </c>
      <c r="Z17" s="17">
        <f t="shared" si="9"/>
        <v>4</v>
      </c>
      <c r="AA17" s="17">
        <f t="shared" si="9"/>
        <v>3</v>
      </c>
      <c r="AB17" s="17">
        <f t="shared" si="9"/>
        <v>1</v>
      </c>
      <c r="AC17" s="17">
        <f t="shared" si="9"/>
        <v>389</v>
      </c>
      <c r="AD17" s="17">
        <f t="shared" si="9"/>
        <v>0</v>
      </c>
      <c r="AE17" s="31">
        <f t="shared" si="9"/>
        <v>619</v>
      </c>
      <c r="AF17" s="31">
        <f t="shared" si="9"/>
        <v>1008</v>
      </c>
    </row>
    <row r="18" spans="2:32" ht="23.1" customHeight="1" x14ac:dyDescent="0.25">
      <c r="B18" s="45" t="s">
        <v>45</v>
      </c>
      <c r="C18" s="50">
        <v>38</v>
      </c>
      <c r="D18" s="50">
        <v>11</v>
      </c>
      <c r="E18" s="50">
        <v>4</v>
      </c>
      <c r="F18" s="50">
        <v>17</v>
      </c>
      <c r="G18" s="50">
        <v>0</v>
      </c>
      <c r="H18" s="50">
        <v>0</v>
      </c>
      <c r="I18" s="50">
        <v>5</v>
      </c>
      <c r="J18" s="50">
        <v>1</v>
      </c>
      <c r="K18" s="50">
        <v>0</v>
      </c>
      <c r="L18" s="50">
        <v>0</v>
      </c>
      <c r="M18" s="50">
        <v>120</v>
      </c>
      <c r="N18" s="50">
        <v>0</v>
      </c>
      <c r="O18" s="15">
        <f t="shared" si="0"/>
        <v>76</v>
      </c>
      <c r="P18" s="15">
        <f t="shared" si="1"/>
        <v>196</v>
      </c>
      <c r="R18" s="1" t="s">
        <v>14</v>
      </c>
      <c r="S18" s="17">
        <f t="shared" ref="S18:AF18" si="10">SUM(C42:C45)</f>
        <v>304</v>
      </c>
      <c r="T18" s="17">
        <f t="shared" si="10"/>
        <v>176</v>
      </c>
      <c r="U18" s="17">
        <f t="shared" si="10"/>
        <v>59</v>
      </c>
      <c r="V18" s="17">
        <f t="shared" si="10"/>
        <v>52</v>
      </c>
      <c r="W18" s="17">
        <f t="shared" si="10"/>
        <v>0</v>
      </c>
      <c r="X18" s="17">
        <f t="shared" si="10"/>
        <v>0</v>
      </c>
      <c r="Y18" s="17">
        <f t="shared" si="10"/>
        <v>25</v>
      </c>
      <c r="Z18" s="17">
        <f t="shared" si="10"/>
        <v>7</v>
      </c>
      <c r="AA18" s="17">
        <f t="shared" si="10"/>
        <v>3</v>
      </c>
      <c r="AB18" s="17">
        <f t="shared" si="10"/>
        <v>4</v>
      </c>
      <c r="AC18" s="17">
        <f t="shared" si="10"/>
        <v>493</v>
      </c>
      <c r="AD18" s="17">
        <f t="shared" si="10"/>
        <v>0</v>
      </c>
      <c r="AE18" s="31">
        <f t="shared" si="10"/>
        <v>630</v>
      </c>
      <c r="AF18" s="31">
        <f t="shared" si="10"/>
        <v>1123</v>
      </c>
    </row>
    <row r="19" spans="2:32" ht="23.1" customHeight="1" x14ac:dyDescent="0.25">
      <c r="B19" s="45" t="s">
        <v>46</v>
      </c>
      <c r="C19" s="50">
        <v>34</v>
      </c>
      <c r="D19" s="50">
        <v>10</v>
      </c>
      <c r="E19" s="50">
        <v>13</v>
      </c>
      <c r="F19" s="50">
        <v>9</v>
      </c>
      <c r="G19" s="50">
        <v>0</v>
      </c>
      <c r="H19" s="50">
        <v>0</v>
      </c>
      <c r="I19" s="50">
        <v>6</v>
      </c>
      <c r="J19" s="50">
        <v>1</v>
      </c>
      <c r="K19" s="50">
        <v>0</v>
      </c>
      <c r="L19" s="50">
        <v>1</v>
      </c>
      <c r="M19" s="50">
        <v>145</v>
      </c>
      <c r="N19" s="50">
        <v>0</v>
      </c>
      <c r="O19" s="15">
        <f t="shared" si="0"/>
        <v>74</v>
      </c>
      <c r="P19" s="15">
        <f t="shared" si="1"/>
        <v>219</v>
      </c>
      <c r="R19" s="1" t="s">
        <v>15</v>
      </c>
      <c r="S19" s="17">
        <f t="shared" ref="S19:AF19" si="11">SUM(C46:C49)</f>
        <v>377</v>
      </c>
      <c r="T19" s="17">
        <f t="shared" si="11"/>
        <v>102</v>
      </c>
      <c r="U19" s="17">
        <f t="shared" si="11"/>
        <v>27</v>
      </c>
      <c r="V19" s="17">
        <f t="shared" si="11"/>
        <v>69</v>
      </c>
      <c r="W19" s="17">
        <f t="shared" si="11"/>
        <v>4</v>
      </c>
      <c r="X19" s="17">
        <f t="shared" si="11"/>
        <v>0</v>
      </c>
      <c r="Y19" s="17">
        <f t="shared" si="11"/>
        <v>27</v>
      </c>
      <c r="Z19" s="17">
        <f t="shared" si="11"/>
        <v>7</v>
      </c>
      <c r="AA19" s="17">
        <f t="shared" si="11"/>
        <v>1</v>
      </c>
      <c r="AB19" s="17">
        <f t="shared" si="11"/>
        <v>0</v>
      </c>
      <c r="AC19" s="17">
        <f t="shared" si="11"/>
        <v>518</v>
      </c>
      <c r="AD19" s="17">
        <f t="shared" si="11"/>
        <v>0</v>
      </c>
      <c r="AE19" s="31">
        <f t="shared" si="11"/>
        <v>614</v>
      </c>
      <c r="AF19" s="31">
        <f t="shared" si="11"/>
        <v>1132</v>
      </c>
    </row>
    <row r="20" spans="2:32" ht="23.1" customHeight="1" x14ac:dyDescent="0.25">
      <c r="B20" s="45" t="s">
        <v>47</v>
      </c>
      <c r="C20" s="50">
        <v>54</v>
      </c>
      <c r="D20" s="50">
        <v>11</v>
      </c>
      <c r="E20" s="50">
        <v>10</v>
      </c>
      <c r="F20" s="50">
        <v>20</v>
      </c>
      <c r="G20" s="50">
        <v>1</v>
      </c>
      <c r="H20" s="50">
        <v>0</v>
      </c>
      <c r="I20" s="50">
        <v>11</v>
      </c>
      <c r="J20" s="50">
        <v>0</v>
      </c>
      <c r="K20" s="50">
        <v>0</v>
      </c>
      <c r="L20" s="50">
        <v>0</v>
      </c>
      <c r="M20" s="50">
        <v>128</v>
      </c>
      <c r="N20" s="50">
        <v>0</v>
      </c>
      <c r="O20" s="15">
        <f t="shared" si="0"/>
        <v>107</v>
      </c>
      <c r="P20" s="15">
        <f t="shared" si="1"/>
        <v>235</v>
      </c>
      <c r="R20" s="1" t="s">
        <v>16</v>
      </c>
      <c r="S20" s="17">
        <f t="shared" ref="S20:AF20" si="12">SUM(C50:C53)</f>
        <v>349</v>
      </c>
      <c r="T20" s="17">
        <f t="shared" si="12"/>
        <v>136</v>
      </c>
      <c r="U20" s="17">
        <f t="shared" si="12"/>
        <v>87</v>
      </c>
      <c r="V20" s="17">
        <f t="shared" si="12"/>
        <v>109</v>
      </c>
      <c r="W20" s="17">
        <f t="shared" si="12"/>
        <v>2</v>
      </c>
      <c r="X20" s="17">
        <f t="shared" si="12"/>
        <v>0</v>
      </c>
      <c r="Y20" s="17">
        <f t="shared" si="12"/>
        <v>19</v>
      </c>
      <c r="Z20" s="17">
        <f t="shared" si="12"/>
        <v>10</v>
      </c>
      <c r="AA20" s="17">
        <f t="shared" si="12"/>
        <v>2</v>
      </c>
      <c r="AB20" s="17">
        <f t="shared" si="12"/>
        <v>0</v>
      </c>
      <c r="AC20" s="17">
        <f t="shared" si="12"/>
        <v>597</v>
      </c>
      <c r="AD20" s="17">
        <f t="shared" si="12"/>
        <v>0</v>
      </c>
      <c r="AE20" s="31">
        <f t="shared" si="12"/>
        <v>714</v>
      </c>
      <c r="AF20" s="31">
        <f t="shared" si="12"/>
        <v>1311</v>
      </c>
    </row>
    <row r="21" spans="2:32" ht="23.1" customHeight="1" x14ac:dyDescent="0.25">
      <c r="B21" s="45" t="s">
        <v>48</v>
      </c>
      <c r="C21" s="50">
        <v>45</v>
      </c>
      <c r="D21" s="50">
        <v>15</v>
      </c>
      <c r="E21" s="50">
        <v>9</v>
      </c>
      <c r="F21" s="50">
        <v>16</v>
      </c>
      <c r="G21" s="50">
        <v>1</v>
      </c>
      <c r="H21" s="50">
        <v>0</v>
      </c>
      <c r="I21" s="50">
        <v>6</v>
      </c>
      <c r="J21" s="50">
        <v>0</v>
      </c>
      <c r="K21" s="50">
        <v>0</v>
      </c>
      <c r="L21" s="50">
        <v>0</v>
      </c>
      <c r="M21" s="50">
        <v>120</v>
      </c>
      <c r="N21" s="50">
        <v>0</v>
      </c>
      <c r="O21" s="15">
        <f t="shared" si="0"/>
        <v>92</v>
      </c>
      <c r="P21" s="15">
        <f t="shared" si="1"/>
        <v>212</v>
      </c>
      <c r="R21" s="36" t="s">
        <v>20</v>
      </c>
      <c r="S21" s="34">
        <f t="shared" ref="S21:AF21" si="13">SUM(C54:C57)</f>
        <v>325</v>
      </c>
      <c r="T21" s="17">
        <f t="shared" si="13"/>
        <v>108</v>
      </c>
      <c r="U21" s="17">
        <f t="shared" si="13"/>
        <v>75</v>
      </c>
      <c r="V21" s="17">
        <f t="shared" si="13"/>
        <v>82</v>
      </c>
      <c r="W21" s="17">
        <f t="shared" si="13"/>
        <v>1</v>
      </c>
      <c r="X21" s="17">
        <f t="shared" si="13"/>
        <v>1</v>
      </c>
      <c r="Y21" s="17">
        <f t="shared" si="13"/>
        <v>11</v>
      </c>
      <c r="Z21" s="17">
        <f t="shared" si="13"/>
        <v>6</v>
      </c>
      <c r="AA21" s="17">
        <f t="shared" si="13"/>
        <v>1</v>
      </c>
      <c r="AB21" s="17">
        <f t="shared" si="13"/>
        <v>0</v>
      </c>
      <c r="AC21" s="17">
        <f t="shared" si="13"/>
        <v>572</v>
      </c>
      <c r="AD21" s="17">
        <f t="shared" si="13"/>
        <v>0</v>
      </c>
      <c r="AE21" s="31">
        <f t="shared" si="13"/>
        <v>610</v>
      </c>
      <c r="AF21" s="31">
        <f t="shared" si="13"/>
        <v>1182</v>
      </c>
    </row>
    <row r="22" spans="2:32" ht="23.1" customHeight="1" x14ac:dyDescent="0.25">
      <c r="B22" s="45" t="s">
        <v>49</v>
      </c>
      <c r="C22" s="50">
        <v>57</v>
      </c>
      <c r="D22" s="50">
        <v>11</v>
      </c>
      <c r="E22" s="50">
        <v>7</v>
      </c>
      <c r="F22" s="50">
        <v>14</v>
      </c>
      <c r="G22" s="50">
        <v>0</v>
      </c>
      <c r="H22" s="50">
        <v>0</v>
      </c>
      <c r="I22" s="50">
        <v>11</v>
      </c>
      <c r="J22" s="50">
        <v>2</v>
      </c>
      <c r="K22" s="50">
        <v>0</v>
      </c>
      <c r="L22" s="50">
        <v>0</v>
      </c>
      <c r="M22" s="50">
        <v>127</v>
      </c>
      <c r="N22" s="50">
        <v>0</v>
      </c>
      <c r="O22" s="15">
        <f t="shared" si="0"/>
        <v>102</v>
      </c>
      <c r="P22" s="15">
        <f t="shared" si="1"/>
        <v>229</v>
      </c>
      <c r="R22" s="36" t="s">
        <v>146</v>
      </c>
      <c r="S22" s="34">
        <f>SUM(C58:C61)</f>
        <v>238</v>
      </c>
      <c r="T22" s="34">
        <f t="shared" ref="T22:AF22" si="14">SUM(D58:D61)</f>
        <v>69</v>
      </c>
      <c r="U22" s="34">
        <f t="shared" si="14"/>
        <v>22</v>
      </c>
      <c r="V22" s="34">
        <f t="shared" si="14"/>
        <v>61</v>
      </c>
      <c r="W22" s="34">
        <f t="shared" si="14"/>
        <v>1</v>
      </c>
      <c r="X22" s="34">
        <f t="shared" si="14"/>
        <v>1</v>
      </c>
      <c r="Y22" s="34">
        <f t="shared" si="14"/>
        <v>11</v>
      </c>
      <c r="Z22" s="34">
        <f t="shared" si="14"/>
        <v>8</v>
      </c>
      <c r="AA22" s="34">
        <f t="shared" si="14"/>
        <v>0</v>
      </c>
      <c r="AB22" s="34">
        <f t="shared" si="14"/>
        <v>0</v>
      </c>
      <c r="AC22" s="34">
        <f t="shared" si="14"/>
        <v>573</v>
      </c>
      <c r="AD22" s="34">
        <f t="shared" si="14"/>
        <v>0</v>
      </c>
      <c r="AE22" s="31">
        <f t="shared" si="14"/>
        <v>411</v>
      </c>
      <c r="AF22" s="31">
        <f t="shared" si="14"/>
        <v>984</v>
      </c>
    </row>
    <row r="23" spans="2:32" ht="23.1" customHeight="1" x14ac:dyDescent="0.25">
      <c r="B23" s="45" t="s">
        <v>50</v>
      </c>
      <c r="C23" s="50">
        <v>40</v>
      </c>
      <c r="D23" s="50">
        <v>9</v>
      </c>
      <c r="E23" s="50">
        <v>9</v>
      </c>
      <c r="F23" s="50">
        <v>13</v>
      </c>
      <c r="G23" s="50">
        <v>0</v>
      </c>
      <c r="H23" s="50">
        <v>0</v>
      </c>
      <c r="I23" s="50">
        <v>3</v>
      </c>
      <c r="J23" s="50">
        <v>1</v>
      </c>
      <c r="K23" s="50">
        <v>1</v>
      </c>
      <c r="L23" s="50">
        <v>0</v>
      </c>
      <c r="M23" s="50">
        <v>132</v>
      </c>
      <c r="N23" s="50">
        <v>0</v>
      </c>
      <c r="O23" s="15">
        <f t="shared" si="0"/>
        <v>76</v>
      </c>
      <c r="P23" s="15">
        <f t="shared" si="1"/>
        <v>208</v>
      </c>
      <c r="R23" s="36" t="s">
        <v>147</v>
      </c>
      <c r="S23" s="34">
        <f>SUM(C62:C65)</f>
        <v>296</v>
      </c>
      <c r="T23" s="34">
        <f t="shared" ref="T23:AF23" si="15">SUM(D62:D65)</f>
        <v>83</v>
      </c>
      <c r="U23" s="34">
        <f t="shared" si="15"/>
        <v>35</v>
      </c>
      <c r="V23" s="34">
        <f t="shared" si="15"/>
        <v>98</v>
      </c>
      <c r="W23" s="34">
        <f t="shared" si="15"/>
        <v>0</v>
      </c>
      <c r="X23" s="34">
        <f t="shared" si="15"/>
        <v>0</v>
      </c>
      <c r="Y23" s="34">
        <f t="shared" si="15"/>
        <v>8</v>
      </c>
      <c r="Z23" s="34">
        <f t="shared" si="15"/>
        <v>10</v>
      </c>
      <c r="AA23" s="34">
        <f t="shared" si="15"/>
        <v>0</v>
      </c>
      <c r="AB23" s="34">
        <f t="shared" si="15"/>
        <v>0</v>
      </c>
      <c r="AC23" s="34">
        <f t="shared" si="15"/>
        <v>677</v>
      </c>
      <c r="AD23" s="34">
        <f t="shared" si="15"/>
        <v>0</v>
      </c>
      <c r="AE23" s="31">
        <f t="shared" si="15"/>
        <v>530</v>
      </c>
      <c r="AF23" s="31">
        <f t="shared" si="15"/>
        <v>1207</v>
      </c>
    </row>
    <row r="24" spans="2:32" ht="23.1" customHeight="1" x14ac:dyDescent="0.25">
      <c r="B24" s="45" t="s">
        <v>51</v>
      </c>
      <c r="C24" s="50">
        <v>60</v>
      </c>
      <c r="D24" s="50">
        <v>16</v>
      </c>
      <c r="E24" s="50">
        <v>4</v>
      </c>
      <c r="F24" s="50">
        <v>28</v>
      </c>
      <c r="G24" s="50">
        <v>0</v>
      </c>
      <c r="H24" s="50">
        <v>0</v>
      </c>
      <c r="I24" s="50">
        <v>7</v>
      </c>
      <c r="J24" s="50">
        <v>3</v>
      </c>
      <c r="K24" s="50">
        <v>4</v>
      </c>
      <c r="L24" s="50">
        <v>0</v>
      </c>
      <c r="M24" s="50">
        <v>129</v>
      </c>
      <c r="N24" s="50">
        <v>0</v>
      </c>
      <c r="O24" s="15">
        <f t="shared" si="0"/>
        <v>122</v>
      </c>
      <c r="P24" s="15">
        <f t="shared" si="1"/>
        <v>251</v>
      </c>
      <c r="R24" s="36" t="s">
        <v>148</v>
      </c>
      <c r="S24" s="34">
        <f>SUM(C66:C69)</f>
        <v>187</v>
      </c>
      <c r="T24" s="34">
        <f t="shared" ref="T24:AF24" si="16">SUM(D66:D69)</f>
        <v>81</v>
      </c>
      <c r="U24" s="34">
        <f t="shared" si="16"/>
        <v>30</v>
      </c>
      <c r="V24" s="34">
        <f t="shared" si="16"/>
        <v>83</v>
      </c>
      <c r="W24" s="34">
        <f t="shared" si="16"/>
        <v>0</v>
      </c>
      <c r="X24" s="34">
        <f t="shared" si="16"/>
        <v>0</v>
      </c>
      <c r="Y24" s="34">
        <f t="shared" si="16"/>
        <v>5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534</v>
      </c>
      <c r="AD24" s="34">
        <f t="shared" si="16"/>
        <v>0</v>
      </c>
      <c r="AE24" s="31">
        <f t="shared" si="16"/>
        <v>386</v>
      </c>
      <c r="AF24" s="31">
        <f t="shared" si="16"/>
        <v>920</v>
      </c>
    </row>
    <row r="25" spans="2:32" ht="23.1" customHeight="1" x14ac:dyDescent="0.25">
      <c r="B25" s="45" t="s">
        <v>52</v>
      </c>
      <c r="C25" s="50">
        <v>60</v>
      </c>
      <c r="D25" s="50">
        <v>30</v>
      </c>
      <c r="E25" s="50">
        <v>10</v>
      </c>
      <c r="F25" s="50">
        <v>16</v>
      </c>
      <c r="G25" s="50">
        <v>0</v>
      </c>
      <c r="H25" s="50">
        <v>0</v>
      </c>
      <c r="I25" s="50">
        <v>7</v>
      </c>
      <c r="J25" s="50">
        <v>1</v>
      </c>
      <c r="K25" s="50">
        <v>1</v>
      </c>
      <c r="L25" s="50">
        <v>0</v>
      </c>
      <c r="M25" s="50">
        <v>133</v>
      </c>
      <c r="N25" s="50">
        <v>0</v>
      </c>
      <c r="O25" s="15">
        <f t="shared" si="0"/>
        <v>125</v>
      </c>
      <c r="P25" s="15">
        <f t="shared" si="1"/>
        <v>258</v>
      </c>
      <c r="R25" s="36" t="s">
        <v>149</v>
      </c>
      <c r="S25" s="34">
        <f>SUM(C70:C73)</f>
        <v>304</v>
      </c>
      <c r="T25" s="34">
        <f t="shared" ref="T25:AF25" si="17">SUM(D70:D73)</f>
        <v>143</v>
      </c>
      <c r="U25" s="34">
        <f t="shared" si="17"/>
        <v>42</v>
      </c>
      <c r="V25" s="34">
        <f t="shared" si="17"/>
        <v>67</v>
      </c>
      <c r="W25" s="34">
        <f t="shared" si="17"/>
        <v>0</v>
      </c>
      <c r="X25" s="34">
        <f t="shared" si="17"/>
        <v>0</v>
      </c>
      <c r="Y25" s="34">
        <f t="shared" si="17"/>
        <v>11</v>
      </c>
      <c r="Z25" s="34">
        <f t="shared" si="17"/>
        <v>3</v>
      </c>
      <c r="AA25" s="34">
        <f t="shared" si="17"/>
        <v>0</v>
      </c>
      <c r="AB25" s="34">
        <f t="shared" si="17"/>
        <v>1</v>
      </c>
      <c r="AC25" s="34">
        <f t="shared" si="17"/>
        <v>470</v>
      </c>
      <c r="AD25" s="34">
        <f t="shared" si="17"/>
        <v>0</v>
      </c>
      <c r="AE25" s="31">
        <f t="shared" si="17"/>
        <v>571</v>
      </c>
      <c r="AF25" s="31">
        <f t="shared" si="17"/>
        <v>1041</v>
      </c>
    </row>
    <row r="26" spans="2:32" ht="23.1" customHeight="1" x14ac:dyDescent="0.25">
      <c r="B26" s="45" t="s">
        <v>53</v>
      </c>
      <c r="C26" s="50">
        <v>54</v>
      </c>
      <c r="D26" s="50">
        <v>13</v>
      </c>
      <c r="E26" s="50">
        <v>7</v>
      </c>
      <c r="F26" s="50">
        <v>13</v>
      </c>
      <c r="G26" s="50">
        <v>1</v>
      </c>
      <c r="H26" s="50">
        <v>0</v>
      </c>
      <c r="I26" s="50">
        <v>8</v>
      </c>
      <c r="J26" s="50">
        <v>1</v>
      </c>
      <c r="K26" s="50">
        <v>1</v>
      </c>
      <c r="L26" s="50">
        <v>1</v>
      </c>
      <c r="M26" s="50">
        <v>134</v>
      </c>
      <c r="N26" s="50">
        <v>0</v>
      </c>
      <c r="O26" s="15">
        <f t="shared" si="0"/>
        <v>99</v>
      </c>
      <c r="P26" s="15">
        <f t="shared" si="1"/>
        <v>233</v>
      </c>
      <c r="R26" s="36" t="s">
        <v>150</v>
      </c>
      <c r="S26" s="34">
        <f>SUM(C74:C77)</f>
        <v>144</v>
      </c>
      <c r="T26" s="34">
        <f t="shared" ref="T26:AF26" si="18">SUM(D74:D77)</f>
        <v>101</v>
      </c>
      <c r="U26" s="34">
        <f t="shared" si="18"/>
        <v>11</v>
      </c>
      <c r="V26" s="34">
        <f t="shared" si="18"/>
        <v>23</v>
      </c>
      <c r="W26" s="34">
        <f t="shared" si="18"/>
        <v>0</v>
      </c>
      <c r="X26" s="34">
        <f t="shared" si="18"/>
        <v>0</v>
      </c>
      <c r="Y26" s="34">
        <f t="shared" si="18"/>
        <v>7</v>
      </c>
      <c r="Z26" s="34">
        <f t="shared" si="18"/>
        <v>10</v>
      </c>
      <c r="AA26" s="34">
        <f t="shared" si="18"/>
        <v>0</v>
      </c>
      <c r="AB26" s="34">
        <f t="shared" si="18"/>
        <v>0</v>
      </c>
      <c r="AC26" s="34">
        <f t="shared" si="18"/>
        <v>269</v>
      </c>
      <c r="AD26" s="34">
        <f t="shared" si="18"/>
        <v>0</v>
      </c>
      <c r="AE26" s="31">
        <f t="shared" si="18"/>
        <v>296</v>
      </c>
      <c r="AF26" s="31">
        <f t="shared" si="18"/>
        <v>565</v>
      </c>
    </row>
    <row r="27" spans="2:32" ht="23.1" customHeight="1" x14ac:dyDescent="0.25">
      <c r="B27" s="45" t="s">
        <v>54</v>
      </c>
      <c r="C27" s="50">
        <v>68</v>
      </c>
      <c r="D27" s="50">
        <v>24</v>
      </c>
      <c r="E27" s="50">
        <v>11</v>
      </c>
      <c r="F27" s="50">
        <v>15</v>
      </c>
      <c r="G27" s="50">
        <v>0</v>
      </c>
      <c r="H27" s="50">
        <v>0</v>
      </c>
      <c r="I27" s="50">
        <v>6</v>
      </c>
      <c r="J27" s="50">
        <v>1</v>
      </c>
      <c r="K27" s="50">
        <v>1</v>
      </c>
      <c r="L27" s="50">
        <v>1</v>
      </c>
      <c r="M27" s="50">
        <v>137</v>
      </c>
      <c r="N27" s="50">
        <v>0</v>
      </c>
      <c r="O27" s="15">
        <f t="shared" si="0"/>
        <v>127</v>
      </c>
      <c r="P27" s="15">
        <f t="shared" si="1"/>
        <v>264</v>
      </c>
      <c r="R27" s="36" t="s">
        <v>151</v>
      </c>
      <c r="S27" s="34">
        <f>SUM(C78:C81)</f>
        <v>103</v>
      </c>
      <c r="T27" s="34">
        <f t="shared" ref="T27:AF27" si="19">SUM(D78:D81)</f>
        <v>47</v>
      </c>
      <c r="U27" s="34">
        <f t="shared" si="19"/>
        <v>13</v>
      </c>
      <c r="V27" s="34">
        <f t="shared" si="19"/>
        <v>10</v>
      </c>
      <c r="W27" s="34">
        <f t="shared" si="19"/>
        <v>0</v>
      </c>
      <c r="X27" s="34">
        <f t="shared" si="19"/>
        <v>0</v>
      </c>
      <c r="Y27" s="34">
        <f t="shared" si="19"/>
        <v>2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170</v>
      </c>
      <c r="AD27" s="34">
        <f t="shared" si="19"/>
        <v>0</v>
      </c>
      <c r="AE27" s="31">
        <f t="shared" si="19"/>
        <v>175</v>
      </c>
      <c r="AF27" s="31">
        <f t="shared" si="19"/>
        <v>345</v>
      </c>
    </row>
    <row r="28" spans="2:32" ht="23.1" customHeight="1" x14ac:dyDescent="0.25">
      <c r="B28" s="45" t="s">
        <v>55</v>
      </c>
      <c r="C28" s="50">
        <v>52</v>
      </c>
      <c r="D28" s="50">
        <v>15</v>
      </c>
      <c r="E28" s="50">
        <v>10</v>
      </c>
      <c r="F28" s="50">
        <v>18</v>
      </c>
      <c r="G28" s="50">
        <v>0</v>
      </c>
      <c r="H28" s="50">
        <v>5</v>
      </c>
      <c r="I28" s="50">
        <v>2</v>
      </c>
      <c r="J28" s="50">
        <v>1</v>
      </c>
      <c r="K28" s="50">
        <v>0</v>
      </c>
      <c r="L28" s="50">
        <v>0</v>
      </c>
      <c r="M28" s="50">
        <v>120</v>
      </c>
      <c r="N28" s="50">
        <v>0</v>
      </c>
      <c r="O28" s="15">
        <f t="shared" si="0"/>
        <v>103</v>
      </c>
      <c r="P28" s="15">
        <f t="shared" si="1"/>
        <v>223</v>
      </c>
      <c r="R28" s="36" t="s">
        <v>152</v>
      </c>
      <c r="S28" s="34">
        <f>SUM(C82:C85)</f>
        <v>65</v>
      </c>
      <c r="T28" s="34">
        <f t="shared" ref="T28:AF28" si="20">SUM(D82:D85)</f>
        <v>15</v>
      </c>
      <c r="U28" s="34">
        <f t="shared" si="20"/>
        <v>1</v>
      </c>
      <c r="V28" s="34">
        <f t="shared" si="20"/>
        <v>1</v>
      </c>
      <c r="W28" s="34">
        <f t="shared" si="20"/>
        <v>0</v>
      </c>
      <c r="X28" s="34">
        <f t="shared" si="20"/>
        <v>0</v>
      </c>
      <c r="Y28" s="34">
        <f t="shared" si="20"/>
        <v>2</v>
      </c>
      <c r="Z28" s="34">
        <f t="shared" si="20"/>
        <v>3</v>
      </c>
      <c r="AA28" s="34">
        <f t="shared" si="20"/>
        <v>0</v>
      </c>
      <c r="AB28" s="34">
        <f t="shared" si="20"/>
        <v>0</v>
      </c>
      <c r="AC28" s="34">
        <f t="shared" si="20"/>
        <v>146</v>
      </c>
      <c r="AD28" s="34">
        <f t="shared" si="20"/>
        <v>0</v>
      </c>
      <c r="AE28" s="31">
        <f t="shared" si="20"/>
        <v>87</v>
      </c>
      <c r="AF28" s="31">
        <f t="shared" si="20"/>
        <v>233</v>
      </c>
    </row>
    <row r="29" spans="2:32" ht="23.1" customHeight="1" x14ac:dyDescent="0.25">
      <c r="B29" s="45" t="s">
        <v>56</v>
      </c>
      <c r="C29" s="50">
        <v>61</v>
      </c>
      <c r="D29" s="50">
        <v>22</v>
      </c>
      <c r="E29" s="50">
        <v>8</v>
      </c>
      <c r="F29" s="50">
        <v>19</v>
      </c>
      <c r="G29" s="50">
        <v>0</v>
      </c>
      <c r="H29" s="50">
        <v>0</v>
      </c>
      <c r="I29" s="50">
        <v>3</v>
      </c>
      <c r="J29" s="50">
        <v>0</v>
      </c>
      <c r="K29" s="50">
        <v>1</v>
      </c>
      <c r="L29" s="50">
        <v>0</v>
      </c>
      <c r="M29" s="50">
        <v>122</v>
      </c>
      <c r="N29" s="50">
        <v>0</v>
      </c>
      <c r="O29" s="15">
        <f t="shared" si="0"/>
        <v>114</v>
      </c>
      <c r="P29" s="15">
        <f t="shared" si="1"/>
        <v>236</v>
      </c>
      <c r="R29" s="36" t="s">
        <v>153</v>
      </c>
      <c r="S29" s="34">
        <f>SUM(C86:C89)</f>
        <v>58</v>
      </c>
      <c r="T29" s="34">
        <f t="shared" ref="T29:AF29" si="21">SUM(D86:D89)</f>
        <v>18</v>
      </c>
      <c r="U29" s="34">
        <f t="shared" si="21"/>
        <v>4</v>
      </c>
      <c r="V29" s="34">
        <f t="shared" si="21"/>
        <v>7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1</v>
      </c>
      <c r="AA29" s="34">
        <f t="shared" si="21"/>
        <v>0</v>
      </c>
      <c r="AB29" s="34">
        <f t="shared" si="21"/>
        <v>0</v>
      </c>
      <c r="AC29" s="34">
        <f t="shared" si="21"/>
        <v>72</v>
      </c>
      <c r="AD29" s="34">
        <f t="shared" si="21"/>
        <v>0</v>
      </c>
      <c r="AE29" s="31">
        <f t="shared" si="21"/>
        <v>88</v>
      </c>
      <c r="AF29" s="31">
        <f t="shared" si="21"/>
        <v>160</v>
      </c>
    </row>
    <row r="30" spans="2:32" ht="23.1" customHeight="1" x14ac:dyDescent="0.25">
      <c r="B30" s="45" t="s">
        <v>57</v>
      </c>
      <c r="C30" s="50">
        <v>66</v>
      </c>
      <c r="D30" s="50">
        <v>15</v>
      </c>
      <c r="E30" s="50">
        <v>12</v>
      </c>
      <c r="F30" s="50">
        <v>8</v>
      </c>
      <c r="G30" s="50">
        <v>0</v>
      </c>
      <c r="H30" s="50">
        <v>0</v>
      </c>
      <c r="I30" s="50">
        <v>20</v>
      </c>
      <c r="J30" s="50">
        <v>4</v>
      </c>
      <c r="K30" s="50">
        <v>1</v>
      </c>
      <c r="L30" s="50">
        <v>1</v>
      </c>
      <c r="M30" s="50">
        <v>137</v>
      </c>
      <c r="N30" s="50">
        <v>0</v>
      </c>
      <c r="O30" s="15">
        <f t="shared" si="0"/>
        <v>127</v>
      </c>
      <c r="P30" s="15">
        <f t="shared" si="1"/>
        <v>264</v>
      </c>
      <c r="R30" s="36" t="s">
        <v>154</v>
      </c>
      <c r="S30" s="34">
        <f>SUM(C90:C93)</f>
        <v>57</v>
      </c>
      <c r="T30" s="34">
        <f t="shared" ref="T30:AF30" si="22">SUM(D90:D93)</f>
        <v>19</v>
      </c>
      <c r="U30" s="34">
        <f t="shared" si="22"/>
        <v>1</v>
      </c>
      <c r="V30" s="34">
        <f t="shared" si="22"/>
        <v>9</v>
      </c>
      <c r="W30" s="34">
        <f t="shared" si="22"/>
        <v>0</v>
      </c>
      <c r="X30" s="34">
        <f t="shared" si="22"/>
        <v>0</v>
      </c>
      <c r="Y30" s="34">
        <f t="shared" si="22"/>
        <v>2</v>
      </c>
      <c r="Z30" s="34">
        <f t="shared" si="22"/>
        <v>1</v>
      </c>
      <c r="AA30" s="34">
        <f t="shared" si="22"/>
        <v>0</v>
      </c>
      <c r="AB30" s="34">
        <f t="shared" si="22"/>
        <v>0</v>
      </c>
      <c r="AC30" s="34">
        <f t="shared" si="22"/>
        <v>61</v>
      </c>
      <c r="AD30" s="34">
        <f t="shared" si="22"/>
        <v>0</v>
      </c>
      <c r="AE30" s="31">
        <f t="shared" si="22"/>
        <v>89</v>
      </c>
      <c r="AF30" s="31">
        <f t="shared" si="22"/>
        <v>150</v>
      </c>
    </row>
    <row r="31" spans="2:32" ht="23.1" customHeight="1" x14ac:dyDescent="0.25">
      <c r="B31" s="46" t="s">
        <v>58</v>
      </c>
      <c r="C31" s="50">
        <v>75</v>
      </c>
      <c r="D31" s="50">
        <v>17</v>
      </c>
      <c r="E31" s="50">
        <v>5</v>
      </c>
      <c r="F31" s="50">
        <v>18</v>
      </c>
      <c r="G31" s="50">
        <v>1</v>
      </c>
      <c r="H31" s="50">
        <v>0</v>
      </c>
      <c r="I31" s="50">
        <v>3</v>
      </c>
      <c r="J31" s="50">
        <v>1</v>
      </c>
      <c r="K31" s="50">
        <v>1</v>
      </c>
      <c r="L31" s="50">
        <v>0</v>
      </c>
      <c r="M31" s="50">
        <v>140</v>
      </c>
      <c r="N31" s="50">
        <v>0</v>
      </c>
      <c r="O31" s="15">
        <f t="shared" si="0"/>
        <v>121</v>
      </c>
      <c r="P31" s="15">
        <f t="shared" si="1"/>
        <v>261</v>
      </c>
      <c r="R31" s="36" t="s">
        <v>155</v>
      </c>
      <c r="S31" s="34">
        <f>SUM(C94:C97)</f>
        <v>66</v>
      </c>
      <c r="T31" s="34">
        <f t="shared" ref="T31:AF31" si="23">SUM(D94:D97)</f>
        <v>23</v>
      </c>
      <c r="U31" s="34">
        <f t="shared" si="23"/>
        <v>5</v>
      </c>
      <c r="V31" s="34">
        <f t="shared" si="23"/>
        <v>32</v>
      </c>
      <c r="W31" s="34">
        <f t="shared" si="23"/>
        <v>0</v>
      </c>
      <c r="X31" s="34">
        <f t="shared" si="23"/>
        <v>0</v>
      </c>
      <c r="Y31" s="34">
        <f t="shared" si="23"/>
        <v>4</v>
      </c>
      <c r="Z31" s="34">
        <f t="shared" si="23"/>
        <v>2</v>
      </c>
      <c r="AA31" s="34">
        <f t="shared" si="23"/>
        <v>0</v>
      </c>
      <c r="AB31" s="34">
        <f t="shared" si="23"/>
        <v>0</v>
      </c>
      <c r="AC31" s="34">
        <f t="shared" si="23"/>
        <v>40</v>
      </c>
      <c r="AD31" s="34">
        <f t="shared" si="23"/>
        <v>0</v>
      </c>
      <c r="AE31" s="31">
        <f t="shared" si="23"/>
        <v>132</v>
      </c>
      <c r="AF31" s="31">
        <f t="shared" si="23"/>
        <v>172</v>
      </c>
    </row>
    <row r="32" spans="2:32" ht="23.1" customHeight="1" x14ac:dyDescent="0.25">
      <c r="B32" s="46" t="s">
        <v>59</v>
      </c>
      <c r="C32" s="50">
        <v>65</v>
      </c>
      <c r="D32" s="50">
        <v>34</v>
      </c>
      <c r="E32" s="50">
        <v>8</v>
      </c>
      <c r="F32" s="50">
        <v>12</v>
      </c>
      <c r="G32" s="50">
        <v>0</v>
      </c>
      <c r="H32" s="50">
        <v>0</v>
      </c>
      <c r="I32" s="50">
        <v>10</v>
      </c>
      <c r="J32" s="50">
        <v>1</v>
      </c>
      <c r="K32" s="50">
        <v>0</v>
      </c>
      <c r="L32" s="50">
        <v>1</v>
      </c>
      <c r="M32" s="50">
        <v>140</v>
      </c>
      <c r="N32" s="50">
        <v>0</v>
      </c>
      <c r="O32" s="15">
        <f t="shared" si="0"/>
        <v>131</v>
      </c>
      <c r="P32" s="15">
        <f t="shared" si="1"/>
        <v>271</v>
      </c>
      <c r="R32" s="33" t="s">
        <v>156</v>
      </c>
      <c r="S32" s="34">
        <f>SUM(C98:C101)</f>
        <v>50</v>
      </c>
      <c r="T32" s="34">
        <f t="shared" ref="T32:AF32" si="24">SUM(D98:D101)</f>
        <v>15</v>
      </c>
      <c r="U32" s="34">
        <f t="shared" si="24"/>
        <v>16</v>
      </c>
      <c r="V32" s="34">
        <f t="shared" si="24"/>
        <v>16</v>
      </c>
      <c r="W32" s="34">
        <f t="shared" si="24"/>
        <v>0</v>
      </c>
      <c r="X32" s="34">
        <f t="shared" si="24"/>
        <v>0</v>
      </c>
      <c r="Y32" s="34">
        <f t="shared" si="24"/>
        <v>2</v>
      </c>
      <c r="Z32" s="34">
        <f t="shared" si="24"/>
        <v>1</v>
      </c>
      <c r="AA32" s="34">
        <f t="shared" si="24"/>
        <v>2</v>
      </c>
      <c r="AB32" s="34">
        <f t="shared" si="24"/>
        <v>0</v>
      </c>
      <c r="AC32" s="34">
        <f t="shared" si="24"/>
        <v>72</v>
      </c>
      <c r="AD32" s="34">
        <f t="shared" si="24"/>
        <v>0</v>
      </c>
      <c r="AE32" s="31">
        <f t="shared" si="24"/>
        <v>102</v>
      </c>
      <c r="AF32" s="31">
        <f t="shared" si="24"/>
        <v>174</v>
      </c>
    </row>
    <row r="33" spans="2:32" ht="23.1" customHeight="1" x14ac:dyDescent="0.25">
      <c r="B33" s="45" t="s">
        <v>60</v>
      </c>
      <c r="C33" s="50">
        <v>75</v>
      </c>
      <c r="D33" s="50">
        <v>14</v>
      </c>
      <c r="E33" s="50">
        <v>12</v>
      </c>
      <c r="F33" s="50">
        <v>18</v>
      </c>
      <c r="G33" s="50">
        <v>0</v>
      </c>
      <c r="H33" s="50">
        <v>0</v>
      </c>
      <c r="I33" s="50">
        <v>10</v>
      </c>
      <c r="J33" s="50">
        <v>2</v>
      </c>
      <c r="K33" s="50">
        <v>0</v>
      </c>
      <c r="L33" s="50">
        <v>0</v>
      </c>
      <c r="M33" s="50">
        <v>135</v>
      </c>
      <c r="N33" s="50">
        <v>0</v>
      </c>
      <c r="O33" s="15">
        <f t="shared" si="0"/>
        <v>131</v>
      </c>
      <c r="P33" s="15">
        <f t="shared" si="1"/>
        <v>266</v>
      </c>
      <c r="R33" s="33" t="s">
        <v>157</v>
      </c>
      <c r="S33" s="34">
        <f>SUM(C102:C105)</f>
        <v>33</v>
      </c>
      <c r="T33" s="34">
        <f t="shared" ref="T33:AF33" si="25">SUM(D102:D105)</f>
        <v>5</v>
      </c>
      <c r="U33" s="34">
        <f t="shared" si="25"/>
        <v>5</v>
      </c>
      <c r="V33" s="34">
        <f t="shared" si="25"/>
        <v>24</v>
      </c>
      <c r="W33" s="34">
        <f t="shared" si="25"/>
        <v>0</v>
      </c>
      <c r="X33" s="34">
        <f t="shared" si="25"/>
        <v>1</v>
      </c>
      <c r="Y33" s="34">
        <f t="shared" si="25"/>
        <v>3</v>
      </c>
      <c r="Z33" s="34">
        <f t="shared" si="25"/>
        <v>1</v>
      </c>
      <c r="AA33" s="34">
        <f t="shared" si="25"/>
        <v>1</v>
      </c>
      <c r="AB33" s="34">
        <f t="shared" si="25"/>
        <v>0</v>
      </c>
      <c r="AC33" s="34">
        <f t="shared" si="25"/>
        <v>142</v>
      </c>
      <c r="AD33" s="34">
        <f t="shared" si="25"/>
        <v>0</v>
      </c>
      <c r="AE33" s="31">
        <f t="shared" si="25"/>
        <v>73</v>
      </c>
      <c r="AF33" s="31">
        <f t="shared" si="25"/>
        <v>215</v>
      </c>
    </row>
    <row r="34" spans="2:32" ht="23.1" customHeight="1" x14ac:dyDescent="0.25">
      <c r="B34" s="46" t="s">
        <v>61</v>
      </c>
      <c r="C34" s="50">
        <v>65</v>
      </c>
      <c r="D34" s="50">
        <v>28</v>
      </c>
      <c r="E34" s="50">
        <v>15</v>
      </c>
      <c r="F34" s="50">
        <v>20</v>
      </c>
      <c r="G34" s="50">
        <v>0</v>
      </c>
      <c r="H34" s="50">
        <v>0</v>
      </c>
      <c r="I34" s="50">
        <v>9</v>
      </c>
      <c r="J34" s="50">
        <v>1</v>
      </c>
      <c r="K34" s="50">
        <v>1</v>
      </c>
      <c r="L34" s="50">
        <v>0</v>
      </c>
      <c r="M34" s="50">
        <v>110</v>
      </c>
      <c r="N34" s="50">
        <v>0</v>
      </c>
      <c r="O34" s="15">
        <f t="shared" si="0"/>
        <v>139</v>
      </c>
      <c r="P34" s="15">
        <f t="shared" si="1"/>
        <v>249</v>
      </c>
      <c r="R34" s="38" t="s">
        <v>90</v>
      </c>
      <c r="S34" s="39">
        <f t="shared" ref="S34:AF34" si="26">MAX(S10:S12)</f>
        <v>171</v>
      </c>
      <c r="T34" s="39">
        <f t="shared" si="26"/>
        <v>47</v>
      </c>
      <c r="U34" s="39">
        <f t="shared" si="26"/>
        <v>36</v>
      </c>
      <c r="V34" s="39">
        <f t="shared" si="26"/>
        <v>62</v>
      </c>
      <c r="W34" s="39">
        <f t="shared" si="26"/>
        <v>3</v>
      </c>
      <c r="X34" s="39">
        <f t="shared" si="26"/>
        <v>1</v>
      </c>
      <c r="Y34" s="39">
        <f t="shared" si="26"/>
        <v>28</v>
      </c>
      <c r="Z34" s="39">
        <f t="shared" si="26"/>
        <v>4</v>
      </c>
      <c r="AA34" s="39">
        <f t="shared" si="26"/>
        <v>6</v>
      </c>
      <c r="AB34" s="39">
        <f t="shared" si="26"/>
        <v>1</v>
      </c>
      <c r="AC34" s="39">
        <f t="shared" si="26"/>
        <v>513</v>
      </c>
      <c r="AD34" s="39">
        <f t="shared" si="26"/>
        <v>0</v>
      </c>
      <c r="AE34" s="40">
        <f t="shared" si="26"/>
        <v>349</v>
      </c>
      <c r="AF34" s="40">
        <f t="shared" si="26"/>
        <v>862</v>
      </c>
    </row>
    <row r="35" spans="2:32" ht="23.1" customHeight="1" x14ac:dyDescent="0.25">
      <c r="B35" s="46" t="s">
        <v>62</v>
      </c>
      <c r="C35" s="50">
        <v>60</v>
      </c>
      <c r="D35" s="50">
        <v>20</v>
      </c>
      <c r="E35" s="50">
        <v>6</v>
      </c>
      <c r="F35" s="50">
        <v>14</v>
      </c>
      <c r="G35" s="50">
        <v>0</v>
      </c>
      <c r="H35" s="50">
        <v>0</v>
      </c>
      <c r="I35" s="50">
        <v>13</v>
      </c>
      <c r="J35" s="50">
        <v>4</v>
      </c>
      <c r="K35" s="50">
        <v>1</v>
      </c>
      <c r="L35" s="50">
        <v>0</v>
      </c>
      <c r="M35" s="50">
        <v>128</v>
      </c>
      <c r="N35" s="50">
        <v>0</v>
      </c>
      <c r="O35" s="15">
        <f t="shared" si="0"/>
        <v>118</v>
      </c>
      <c r="P35" s="15">
        <f t="shared" si="1"/>
        <v>246</v>
      </c>
      <c r="R35" s="38" t="s">
        <v>91</v>
      </c>
      <c r="S35" s="39">
        <f t="shared" ref="S35:AF35" si="27">MAX(S13:S18)</f>
        <v>351</v>
      </c>
      <c r="T35" s="39">
        <f t="shared" si="27"/>
        <v>176</v>
      </c>
      <c r="U35" s="39">
        <f t="shared" si="27"/>
        <v>59</v>
      </c>
      <c r="V35" s="39">
        <f t="shared" si="27"/>
        <v>75</v>
      </c>
      <c r="W35" s="39">
        <f t="shared" si="27"/>
        <v>6</v>
      </c>
      <c r="X35" s="39">
        <f t="shared" si="27"/>
        <v>5</v>
      </c>
      <c r="Y35" s="39">
        <f t="shared" si="27"/>
        <v>43</v>
      </c>
      <c r="Z35" s="39">
        <f t="shared" si="27"/>
        <v>8</v>
      </c>
      <c r="AA35" s="39">
        <f t="shared" si="27"/>
        <v>6</v>
      </c>
      <c r="AB35" s="39">
        <f t="shared" si="27"/>
        <v>4</v>
      </c>
      <c r="AC35" s="39">
        <f t="shared" si="27"/>
        <v>552</v>
      </c>
      <c r="AD35" s="39">
        <f t="shared" si="27"/>
        <v>0</v>
      </c>
      <c r="AE35" s="40">
        <f t="shared" si="27"/>
        <v>630</v>
      </c>
      <c r="AF35" s="40">
        <f t="shared" si="27"/>
        <v>1123</v>
      </c>
    </row>
    <row r="36" spans="2:32" ht="23.1" customHeight="1" x14ac:dyDescent="0.25">
      <c r="B36" s="46" t="s">
        <v>63</v>
      </c>
      <c r="C36" s="50">
        <v>81</v>
      </c>
      <c r="D36" s="50">
        <v>23</v>
      </c>
      <c r="E36" s="50">
        <v>12</v>
      </c>
      <c r="F36" s="50">
        <v>22</v>
      </c>
      <c r="G36" s="50">
        <v>0</v>
      </c>
      <c r="H36" s="50">
        <v>0</v>
      </c>
      <c r="I36" s="50">
        <v>2</v>
      </c>
      <c r="J36" s="50">
        <v>2</v>
      </c>
      <c r="K36" s="50">
        <v>1</v>
      </c>
      <c r="L36" s="50">
        <v>0</v>
      </c>
      <c r="M36" s="50">
        <v>95</v>
      </c>
      <c r="N36" s="50">
        <v>0</v>
      </c>
      <c r="O36" s="15">
        <f t="shared" si="0"/>
        <v>143</v>
      </c>
      <c r="P36" s="15">
        <f t="shared" si="1"/>
        <v>238</v>
      </c>
      <c r="R36" s="38" t="s">
        <v>92</v>
      </c>
      <c r="S36" s="39">
        <f t="shared" ref="S36:AF36" si="28">MAX(S19:S21)</f>
        <v>377</v>
      </c>
      <c r="T36" s="39">
        <f t="shared" si="28"/>
        <v>136</v>
      </c>
      <c r="U36" s="39">
        <f t="shared" si="28"/>
        <v>87</v>
      </c>
      <c r="V36" s="39">
        <f t="shared" si="28"/>
        <v>109</v>
      </c>
      <c r="W36" s="39">
        <f t="shared" si="28"/>
        <v>4</v>
      </c>
      <c r="X36" s="39">
        <f t="shared" si="28"/>
        <v>1</v>
      </c>
      <c r="Y36" s="39">
        <f t="shared" si="28"/>
        <v>27</v>
      </c>
      <c r="Z36" s="39">
        <f t="shared" si="28"/>
        <v>10</v>
      </c>
      <c r="AA36" s="39">
        <f t="shared" si="28"/>
        <v>2</v>
      </c>
      <c r="AB36" s="39">
        <f t="shared" si="28"/>
        <v>0</v>
      </c>
      <c r="AC36" s="39">
        <f t="shared" si="28"/>
        <v>597</v>
      </c>
      <c r="AD36" s="39">
        <f t="shared" si="28"/>
        <v>0</v>
      </c>
      <c r="AE36" s="40">
        <f t="shared" si="28"/>
        <v>714</v>
      </c>
      <c r="AF36" s="40">
        <f t="shared" si="28"/>
        <v>1311</v>
      </c>
    </row>
    <row r="37" spans="2:32" ht="23.1" customHeight="1" x14ac:dyDescent="0.25">
      <c r="B37" s="45" t="s">
        <v>64</v>
      </c>
      <c r="C37" s="50">
        <v>80</v>
      </c>
      <c r="D37" s="50">
        <v>22</v>
      </c>
      <c r="E37" s="50">
        <v>14</v>
      </c>
      <c r="F37" s="50">
        <v>16</v>
      </c>
      <c r="G37" s="50">
        <v>0</v>
      </c>
      <c r="H37" s="50">
        <v>0</v>
      </c>
      <c r="I37" s="50">
        <v>7</v>
      </c>
      <c r="J37" s="50">
        <v>1</v>
      </c>
      <c r="K37" s="50">
        <v>0</v>
      </c>
      <c r="L37" s="50">
        <v>0</v>
      </c>
      <c r="M37" s="50">
        <v>114</v>
      </c>
      <c r="N37" s="50">
        <v>0</v>
      </c>
      <c r="O37" s="15">
        <f t="shared" si="0"/>
        <v>140</v>
      </c>
      <c r="P37" s="15">
        <f t="shared" si="1"/>
        <v>254</v>
      </c>
      <c r="R37" s="37" t="s">
        <v>85</v>
      </c>
      <c r="S37" s="35">
        <f t="shared" ref="S37:AF37" si="29">SUM(S10:S12)</f>
        <v>437</v>
      </c>
      <c r="T37" s="16">
        <f t="shared" si="29"/>
        <v>113</v>
      </c>
      <c r="U37" s="16">
        <f t="shared" si="29"/>
        <v>64</v>
      </c>
      <c r="V37" s="16">
        <f t="shared" si="29"/>
        <v>157</v>
      </c>
      <c r="W37" s="16">
        <f t="shared" si="29"/>
        <v>5</v>
      </c>
      <c r="X37" s="16">
        <f t="shared" si="29"/>
        <v>1</v>
      </c>
      <c r="Y37" s="16">
        <f t="shared" si="29"/>
        <v>73</v>
      </c>
      <c r="Z37" s="16">
        <f t="shared" si="29"/>
        <v>8</v>
      </c>
      <c r="AA37" s="16">
        <f t="shared" si="29"/>
        <v>7</v>
      </c>
      <c r="AB37" s="16">
        <f t="shared" si="29"/>
        <v>2</v>
      </c>
      <c r="AC37" s="16">
        <f t="shared" si="29"/>
        <v>1290</v>
      </c>
      <c r="AD37" s="16">
        <f t="shared" si="29"/>
        <v>0</v>
      </c>
      <c r="AE37" s="32">
        <f t="shared" si="29"/>
        <v>867</v>
      </c>
      <c r="AF37" s="32">
        <f t="shared" si="29"/>
        <v>2157</v>
      </c>
    </row>
    <row r="38" spans="2:32" ht="23.1" customHeight="1" x14ac:dyDescent="0.25">
      <c r="B38" s="46" t="s">
        <v>65</v>
      </c>
      <c r="C38" s="50">
        <v>85</v>
      </c>
      <c r="D38" s="50">
        <v>26</v>
      </c>
      <c r="E38" s="50">
        <v>10</v>
      </c>
      <c r="F38" s="50">
        <v>18</v>
      </c>
      <c r="G38" s="50">
        <v>2</v>
      </c>
      <c r="H38" s="50">
        <v>0</v>
      </c>
      <c r="I38" s="50">
        <v>5</v>
      </c>
      <c r="J38" s="50">
        <v>4</v>
      </c>
      <c r="K38" s="50">
        <v>1</v>
      </c>
      <c r="L38" s="50">
        <v>1</v>
      </c>
      <c r="M38" s="50">
        <v>143</v>
      </c>
      <c r="N38" s="50">
        <v>0</v>
      </c>
      <c r="O38" s="15">
        <f t="shared" si="0"/>
        <v>152</v>
      </c>
      <c r="P38" s="15">
        <f t="shared" si="1"/>
        <v>295</v>
      </c>
      <c r="R38" s="28" t="s">
        <v>86</v>
      </c>
      <c r="S38" s="16">
        <f t="shared" ref="S38:AF38" si="30">SUM(S13:S18)</f>
        <v>1674</v>
      </c>
      <c r="T38" s="16">
        <f t="shared" si="30"/>
        <v>592</v>
      </c>
      <c r="U38" s="16">
        <f t="shared" si="30"/>
        <v>262</v>
      </c>
      <c r="V38" s="16">
        <f t="shared" si="30"/>
        <v>391</v>
      </c>
      <c r="W38" s="16">
        <f t="shared" si="30"/>
        <v>8</v>
      </c>
      <c r="X38" s="16">
        <f t="shared" si="30"/>
        <v>5</v>
      </c>
      <c r="Y38" s="16">
        <f t="shared" si="30"/>
        <v>169</v>
      </c>
      <c r="Z38" s="16">
        <f t="shared" si="30"/>
        <v>37</v>
      </c>
      <c r="AA38" s="16">
        <f t="shared" si="30"/>
        <v>20</v>
      </c>
      <c r="AB38" s="16">
        <f t="shared" si="30"/>
        <v>9</v>
      </c>
      <c r="AC38" s="16">
        <f t="shared" si="30"/>
        <v>2915</v>
      </c>
      <c r="AD38" s="16">
        <f t="shared" si="30"/>
        <v>0</v>
      </c>
      <c r="AE38" s="32">
        <f t="shared" si="30"/>
        <v>3167</v>
      </c>
      <c r="AF38" s="32">
        <f t="shared" si="30"/>
        <v>6082</v>
      </c>
    </row>
    <row r="39" spans="2:32" ht="23.1" customHeight="1" x14ac:dyDescent="0.25">
      <c r="B39" s="46" t="s">
        <v>66</v>
      </c>
      <c r="C39" s="50">
        <v>81</v>
      </c>
      <c r="D39" s="50">
        <v>33</v>
      </c>
      <c r="E39" s="50">
        <v>14</v>
      </c>
      <c r="F39" s="50">
        <v>19</v>
      </c>
      <c r="G39" s="50">
        <v>1</v>
      </c>
      <c r="H39" s="50">
        <v>0</v>
      </c>
      <c r="I39" s="50">
        <v>8</v>
      </c>
      <c r="J39" s="50">
        <v>0</v>
      </c>
      <c r="K39" s="50">
        <v>1</v>
      </c>
      <c r="L39" s="50">
        <v>0</v>
      </c>
      <c r="M39" s="50">
        <v>126</v>
      </c>
      <c r="N39" s="50">
        <v>0</v>
      </c>
      <c r="O39" s="15">
        <f t="shared" si="0"/>
        <v>157</v>
      </c>
      <c r="P39" s="15">
        <f t="shared" si="1"/>
        <v>283</v>
      </c>
      <c r="R39" s="29" t="s">
        <v>87</v>
      </c>
      <c r="S39" s="16">
        <f t="shared" ref="S39:AF39" si="31">SUM(S19:S21)</f>
        <v>1051</v>
      </c>
      <c r="T39" s="16">
        <f t="shared" si="31"/>
        <v>346</v>
      </c>
      <c r="U39" s="16">
        <f t="shared" si="31"/>
        <v>189</v>
      </c>
      <c r="V39" s="16">
        <f t="shared" si="31"/>
        <v>260</v>
      </c>
      <c r="W39" s="16">
        <f t="shared" si="31"/>
        <v>7</v>
      </c>
      <c r="X39" s="16">
        <f t="shared" si="31"/>
        <v>1</v>
      </c>
      <c r="Y39" s="16">
        <f t="shared" si="31"/>
        <v>57</v>
      </c>
      <c r="Z39" s="16">
        <f t="shared" si="31"/>
        <v>23</v>
      </c>
      <c r="AA39" s="16">
        <f t="shared" si="31"/>
        <v>4</v>
      </c>
      <c r="AB39" s="16">
        <f t="shared" si="31"/>
        <v>0</v>
      </c>
      <c r="AC39" s="16">
        <f t="shared" si="31"/>
        <v>1687</v>
      </c>
      <c r="AD39" s="16">
        <f t="shared" si="31"/>
        <v>0</v>
      </c>
      <c r="AE39" s="32">
        <f t="shared" si="31"/>
        <v>1938</v>
      </c>
      <c r="AF39" s="32">
        <f t="shared" si="31"/>
        <v>3625</v>
      </c>
    </row>
    <row r="40" spans="2:32" ht="23.1" customHeight="1" x14ac:dyDescent="0.25">
      <c r="B40" s="46" t="s">
        <v>67</v>
      </c>
      <c r="C40" s="50">
        <v>85</v>
      </c>
      <c r="D40" s="50">
        <v>14</v>
      </c>
      <c r="E40" s="50">
        <v>15</v>
      </c>
      <c r="F40" s="50">
        <v>18</v>
      </c>
      <c r="G40" s="50">
        <v>0</v>
      </c>
      <c r="H40" s="50">
        <v>0</v>
      </c>
      <c r="I40" s="50">
        <v>8</v>
      </c>
      <c r="J40" s="50">
        <v>0</v>
      </c>
      <c r="K40" s="50">
        <v>1</v>
      </c>
      <c r="L40" s="50">
        <v>0</v>
      </c>
      <c r="M40" s="50">
        <v>120</v>
      </c>
      <c r="N40" s="50">
        <v>0</v>
      </c>
      <c r="O40" s="15">
        <f t="shared" si="0"/>
        <v>141</v>
      </c>
      <c r="P40" s="15">
        <f t="shared" si="1"/>
        <v>261</v>
      </c>
      <c r="R40" s="5" t="s">
        <v>17</v>
      </c>
      <c r="S40" s="16">
        <f t="shared" ref="S40:AF40" si="32">SUM(S10:S21)</f>
        <v>3162</v>
      </c>
      <c r="T40" s="16">
        <f t="shared" si="32"/>
        <v>1051</v>
      </c>
      <c r="U40" s="16">
        <f t="shared" si="32"/>
        <v>515</v>
      </c>
      <c r="V40" s="16">
        <f t="shared" si="32"/>
        <v>808</v>
      </c>
      <c r="W40" s="16">
        <f t="shared" si="32"/>
        <v>20</v>
      </c>
      <c r="X40" s="16">
        <f t="shared" si="32"/>
        <v>7</v>
      </c>
      <c r="Y40" s="16">
        <f t="shared" si="32"/>
        <v>299</v>
      </c>
      <c r="Z40" s="16">
        <f t="shared" si="32"/>
        <v>68</v>
      </c>
      <c r="AA40" s="16">
        <f t="shared" si="32"/>
        <v>31</v>
      </c>
      <c r="AB40" s="16">
        <f t="shared" si="32"/>
        <v>11</v>
      </c>
      <c r="AC40" s="16">
        <f t="shared" si="32"/>
        <v>5892</v>
      </c>
      <c r="AD40" s="16">
        <f t="shared" si="32"/>
        <v>0</v>
      </c>
      <c r="AE40" s="32">
        <f t="shared" si="32"/>
        <v>5972</v>
      </c>
      <c r="AF40" s="32">
        <f t="shared" si="32"/>
        <v>11864</v>
      </c>
    </row>
    <row r="41" spans="2:32" ht="23.1" customHeight="1" x14ac:dyDescent="0.25">
      <c r="B41" s="45" t="s">
        <v>68</v>
      </c>
      <c r="C41" s="50">
        <v>100</v>
      </c>
      <c r="D41" s="50">
        <v>30</v>
      </c>
      <c r="E41" s="50">
        <v>14</v>
      </c>
      <c r="F41" s="50">
        <v>20</v>
      </c>
      <c r="G41" s="50">
        <v>3</v>
      </c>
      <c r="H41" s="50">
        <v>0</v>
      </c>
      <c r="I41" s="50">
        <v>2</v>
      </c>
      <c r="J41" s="50">
        <v>0</v>
      </c>
      <c r="K41" s="50">
        <v>0</v>
      </c>
      <c r="L41" s="50">
        <v>0</v>
      </c>
      <c r="M41" s="50">
        <v>0</v>
      </c>
      <c r="N41" s="50">
        <v>0</v>
      </c>
      <c r="O41" s="15">
        <f t="shared" si="0"/>
        <v>169</v>
      </c>
      <c r="P41" s="15">
        <f t="shared" si="1"/>
        <v>169</v>
      </c>
      <c r="R41" s="5" t="s">
        <v>159</v>
      </c>
      <c r="S41" s="16">
        <f>SUM(S10:S33)</f>
        <v>4763</v>
      </c>
      <c r="T41" s="16">
        <f t="shared" ref="T41:AF41" si="33">SUM(T10:T33)</f>
        <v>1670</v>
      </c>
      <c r="U41" s="16">
        <f t="shared" si="33"/>
        <v>700</v>
      </c>
      <c r="V41" s="16">
        <f t="shared" si="33"/>
        <v>1239</v>
      </c>
      <c r="W41" s="16">
        <f t="shared" si="33"/>
        <v>21</v>
      </c>
      <c r="X41" s="16">
        <f t="shared" si="33"/>
        <v>9</v>
      </c>
      <c r="Y41" s="16">
        <f t="shared" si="33"/>
        <v>356</v>
      </c>
      <c r="Z41" s="16">
        <f t="shared" si="33"/>
        <v>108</v>
      </c>
      <c r="AA41" s="16">
        <f t="shared" si="33"/>
        <v>34</v>
      </c>
      <c r="AB41" s="16">
        <f t="shared" si="33"/>
        <v>12</v>
      </c>
      <c r="AC41" s="16">
        <f t="shared" si="33"/>
        <v>9118</v>
      </c>
      <c r="AD41" s="16">
        <f t="shared" si="33"/>
        <v>0</v>
      </c>
      <c r="AE41" s="32">
        <f t="shared" si="33"/>
        <v>8912</v>
      </c>
      <c r="AF41" s="32">
        <f t="shared" si="33"/>
        <v>18030</v>
      </c>
    </row>
    <row r="42" spans="2:32" ht="23.1" customHeight="1" x14ac:dyDescent="0.25">
      <c r="B42" s="46" t="s">
        <v>69</v>
      </c>
      <c r="C42" s="50">
        <v>90</v>
      </c>
      <c r="D42" s="50">
        <v>75</v>
      </c>
      <c r="E42" s="50">
        <v>24</v>
      </c>
      <c r="F42" s="50">
        <v>17</v>
      </c>
      <c r="G42" s="50">
        <v>0</v>
      </c>
      <c r="H42" s="50">
        <v>0</v>
      </c>
      <c r="I42" s="50">
        <v>7</v>
      </c>
      <c r="J42" s="50">
        <v>2</v>
      </c>
      <c r="K42" s="50">
        <v>1</v>
      </c>
      <c r="L42" s="50">
        <v>0</v>
      </c>
      <c r="M42" s="50">
        <v>105</v>
      </c>
      <c r="N42" s="50">
        <v>0</v>
      </c>
      <c r="O42" s="15">
        <f t="shared" si="0"/>
        <v>216</v>
      </c>
      <c r="P42" s="15">
        <f t="shared" si="1"/>
        <v>321</v>
      </c>
      <c r="R42" s="5" t="s">
        <v>160</v>
      </c>
      <c r="S42" s="48">
        <f>S41/S40</f>
        <v>1.5063251106894371</v>
      </c>
      <c r="T42" s="48">
        <f t="shared" ref="T42:AF42" si="34">T41/T40</f>
        <v>1.5889628924833492</v>
      </c>
      <c r="U42" s="48">
        <f t="shared" si="34"/>
        <v>1.3592233009708738</v>
      </c>
      <c r="V42" s="48">
        <f t="shared" si="34"/>
        <v>1.5334158415841583</v>
      </c>
      <c r="W42" s="48">
        <f t="shared" si="34"/>
        <v>1.05</v>
      </c>
      <c r="X42" s="48">
        <f t="shared" si="34"/>
        <v>1.2857142857142858</v>
      </c>
      <c r="Y42" s="48">
        <f t="shared" si="34"/>
        <v>1.1906354515050168</v>
      </c>
      <c r="Z42" s="48">
        <f t="shared" si="34"/>
        <v>1.588235294117647</v>
      </c>
      <c r="AA42" s="48">
        <f t="shared" si="34"/>
        <v>1.096774193548387</v>
      </c>
      <c r="AB42" s="48">
        <f t="shared" si="34"/>
        <v>1.0909090909090908</v>
      </c>
      <c r="AC42" s="48">
        <f t="shared" si="34"/>
        <v>1.5475220638153429</v>
      </c>
      <c r="AD42" s="48" t="e">
        <f t="shared" si="34"/>
        <v>#DIV/0!</v>
      </c>
      <c r="AE42" s="48">
        <f t="shared" si="34"/>
        <v>1.4922973878097789</v>
      </c>
      <c r="AF42" s="48">
        <f t="shared" si="34"/>
        <v>1.5197235333782873</v>
      </c>
    </row>
    <row r="43" spans="2:32" ht="23.1" customHeight="1" x14ac:dyDescent="0.25">
      <c r="B43" s="45" t="s">
        <v>70</v>
      </c>
      <c r="C43" s="50">
        <v>64</v>
      </c>
      <c r="D43" s="50">
        <v>55</v>
      </c>
      <c r="E43" s="50">
        <v>7</v>
      </c>
      <c r="F43" s="50">
        <v>14</v>
      </c>
      <c r="G43" s="50">
        <v>0</v>
      </c>
      <c r="H43" s="50">
        <v>0</v>
      </c>
      <c r="I43" s="50">
        <v>6</v>
      </c>
      <c r="J43" s="50">
        <v>0</v>
      </c>
      <c r="K43" s="50">
        <v>0</v>
      </c>
      <c r="L43" s="50">
        <v>1</v>
      </c>
      <c r="M43" s="50">
        <v>149</v>
      </c>
      <c r="N43" s="50">
        <v>0</v>
      </c>
      <c r="O43" s="15">
        <f t="shared" si="0"/>
        <v>147</v>
      </c>
      <c r="P43" s="15">
        <f t="shared" si="1"/>
        <v>296</v>
      </c>
    </row>
    <row r="44" spans="2:32" ht="23.1" customHeight="1" x14ac:dyDescent="0.25">
      <c r="B44" s="47" t="s">
        <v>71</v>
      </c>
      <c r="C44" s="50">
        <v>66</v>
      </c>
      <c r="D44" s="50">
        <v>25</v>
      </c>
      <c r="E44" s="50">
        <v>15</v>
      </c>
      <c r="F44" s="50">
        <v>1</v>
      </c>
      <c r="G44" s="50">
        <v>0</v>
      </c>
      <c r="H44" s="50">
        <v>0</v>
      </c>
      <c r="I44" s="50">
        <v>8</v>
      </c>
      <c r="J44" s="50">
        <v>3</v>
      </c>
      <c r="K44" s="50">
        <v>2</v>
      </c>
      <c r="L44" s="50">
        <v>2</v>
      </c>
      <c r="M44" s="50">
        <v>133</v>
      </c>
      <c r="N44" s="50">
        <v>0</v>
      </c>
      <c r="O44" s="15">
        <f t="shared" si="0"/>
        <v>122</v>
      </c>
      <c r="P44" s="15">
        <f t="shared" si="1"/>
        <v>255</v>
      </c>
    </row>
    <row r="45" spans="2:32" ht="23.1" customHeight="1" x14ac:dyDescent="0.25">
      <c r="B45" s="45" t="s">
        <v>72</v>
      </c>
      <c r="C45" s="50">
        <v>84</v>
      </c>
      <c r="D45" s="50">
        <v>21</v>
      </c>
      <c r="E45" s="50">
        <v>13</v>
      </c>
      <c r="F45" s="50">
        <v>20</v>
      </c>
      <c r="G45" s="50">
        <v>0</v>
      </c>
      <c r="H45" s="50">
        <v>0</v>
      </c>
      <c r="I45" s="50">
        <v>4</v>
      </c>
      <c r="J45" s="50">
        <v>2</v>
      </c>
      <c r="K45" s="50">
        <v>0</v>
      </c>
      <c r="L45" s="50">
        <v>1</v>
      </c>
      <c r="M45" s="50">
        <v>106</v>
      </c>
      <c r="N45" s="50">
        <v>0</v>
      </c>
      <c r="O45" s="15">
        <f t="shared" si="0"/>
        <v>145</v>
      </c>
      <c r="P45" s="15">
        <f t="shared" si="1"/>
        <v>251</v>
      </c>
    </row>
    <row r="46" spans="2:32" ht="23.1" customHeight="1" x14ac:dyDescent="0.25">
      <c r="B46" s="46" t="s">
        <v>73</v>
      </c>
      <c r="C46" s="50">
        <v>81</v>
      </c>
      <c r="D46" s="50">
        <v>35</v>
      </c>
      <c r="E46" s="50">
        <v>11</v>
      </c>
      <c r="F46" s="50">
        <v>9</v>
      </c>
      <c r="G46" s="50">
        <v>0</v>
      </c>
      <c r="H46" s="50">
        <v>0</v>
      </c>
      <c r="I46" s="50">
        <v>9</v>
      </c>
      <c r="J46" s="50">
        <v>0</v>
      </c>
      <c r="K46" s="50">
        <v>0</v>
      </c>
      <c r="L46" s="50">
        <v>0</v>
      </c>
      <c r="M46" s="50">
        <v>155</v>
      </c>
      <c r="N46" s="50">
        <v>0</v>
      </c>
      <c r="O46" s="15">
        <f t="shared" si="0"/>
        <v>145</v>
      </c>
      <c r="P46" s="15">
        <f t="shared" si="1"/>
        <v>300</v>
      </c>
      <c r="R46" s="8"/>
      <c r="T46"/>
    </row>
    <row r="47" spans="2:32" ht="23.1" customHeight="1" x14ac:dyDescent="0.25">
      <c r="B47" s="46" t="s">
        <v>74</v>
      </c>
      <c r="C47" s="50">
        <v>111</v>
      </c>
      <c r="D47" s="50">
        <v>18</v>
      </c>
      <c r="E47" s="50">
        <v>4</v>
      </c>
      <c r="F47" s="50">
        <v>16</v>
      </c>
      <c r="G47" s="50">
        <v>1</v>
      </c>
      <c r="H47" s="50">
        <v>0</v>
      </c>
      <c r="I47" s="50">
        <v>4</v>
      </c>
      <c r="J47" s="50">
        <v>0</v>
      </c>
      <c r="K47" s="50">
        <v>1</v>
      </c>
      <c r="L47" s="50">
        <v>0</v>
      </c>
      <c r="M47" s="50">
        <v>90</v>
      </c>
      <c r="N47" s="50">
        <v>0</v>
      </c>
      <c r="O47" s="15">
        <f t="shared" si="0"/>
        <v>155</v>
      </c>
      <c r="P47" s="15">
        <f t="shared" si="1"/>
        <v>245</v>
      </c>
      <c r="R47" s="8"/>
      <c r="T47"/>
    </row>
    <row r="48" spans="2:32" ht="23.1" customHeight="1" x14ac:dyDescent="0.25">
      <c r="B48" s="46" t="s">
        <v>75</v>
      </c>
      <c r="C48" s="50">
        <v>110</v>
      </c>
      <c r="D48" s="50">
        <v>28</v>
      </c>
      <c r="E48" s="50">
        <v>4</v>
      </c>
      <c r="F48" s="50">
        <v>19</v>
      </c>
      <c r="G48" s="50">
        <v>0</v>
      </c>
      <c r="H48" s="50">
        <v>0</v>
      </c>
      <c r="I48" s="50">
        <v>7</v>
      </c>
      <c r="J48" s="50">
        <v>3</v>
      </c>
      <c r="K48" s="50">
        <v>0</v>
      </c>
      <c r="L48" s="50">
        <v>0</v>
      </c>
      <c r="M48" s="50">
        <v>124</v>
      </c>
      <c r="N48" s="50">
        <v>0</v>
      </c>
      <c r="O48" s="15">
        <f t="shared" si="0"/>
        <v>171</v>
      </c>
      <c r="P48" s="15">
        <f t="shared" si="1"/>
        <v>295</v>
      </c>
      <c r="R48" s="8"/>
      <c r="T48"/>
    </row>
    <row r="49" spans="2:20" ht="23.1" customHeight="1" x14ac:dyDescent="0.25">
      <c r="B49" s="45" t="s">
        <v>76</v>
      </c>
      <c r="C49" s="50">
        <v>75</v>
      </c>
      <c r="D49" s="50">
        <v>21</v>
      </c>
      <c r="E49" s="50">
        <v>8</v>
      </c>
      <c r="F49" s="50">
        <v>25</v>
      </c>
      <c r="G49" s="50">
        <v>3</v>
      </c>
      <c r="H49" s="50">
        <v>0</v>
      </c>
      <c r="I49" s="50">
        <v>7</v>
      </c>
      <c r="J49" s="50">
        <v>4</v>
      </c>
      <c r="K49" s="50">
        <v>0</v>
      </c>
      <c r="L49" s="50">
        <v>0</v>
      </c>
      <c r="M49" s="50">
        <v>149</v>
      </c>
      <c r="N49" s="50">
        <v>0</v>
      </c>
      <c r="O49" s="15">
        <f t="shared" si="0"/>
        <v>143</v>
      </c>
      <c r="P49" s="15">
        <f t="shared" si="1"/>
        <v>292</v>
      </c>
      <c r="R49" s="8"/>
      <c r="T49"/>
    </row>
    <row r="50" spans="2:20" ht="23.1" customHeight="1" x14ac:dyDescent="0.25">
      <c r="B50" s="46" t="s">
        <v>77</v>
      </c>
      <c r="C50" s="50">
        <v>96</v>
      </c>
      <c r="D50" s="50">
        <v>31</v>
      </c>
      <c r="E50" s="50">
        <v>12</v>
      </c>
      <c r="F50" s="50">
        <v>22</v>
      </c>
      <c r="G50" s="50">
        <v>1</v>
      </c>
      <c r="H50" s="50">
        <v>0</v>
      </c>
      <c r="I50" s="50">
        <v>6</v>
      </c>
      <c r="J50" s="50">
        <v>2</v>
      </c>
      <c r="K50" s="50">
        <v>1</v>
      </c>
      <c r="L50" s="50">
        <v>0</v>
      </c>
      <c r="M50" s="50">
        <v>145</v>
      </c>
      <c r="N50" s="50">
        <v>0</v>
      </c>
      <c r="O50" s="15">
        <f t="shared" si="0"/>
        <v>171</v>
      </c>
      <c r="P50" s="15">
        <f t="shared" si="1"/>
        <v>316</v>
      </c>
      <c r="R50" s="8"/>
      <c r="T50"/>
    </row>
    <row r="51" spans="2:20" ht="23.1" customHeight="1" x14ac:dyDescent="0.25">
      <c r="B51" s="46" t="s">
        <v>78</v>
      </c>
      <c r="C51" s="50">
        <v>90</v>
      </c>
      <c r="D51" s="50">
        <v>60</v>
      </c>
      <c r="E51" s="50">
        <v>35</v>
      </c>
      <c r="F51" s="50">
        <v>30</v>
      </c>
      <c r="G51" s="50">
        <v>0</v>
      </c>
      <c r="H51" s="50">
        <v>0</v>
      </c>
      <c r="I51" s="50">
        <v>4</v>
      </c>
      <c r="J51" s="50">
        <v>4</v>
      </c>
      <c r="K51" s="50">
        <v>1</v>
      </c>
      <c r="L51" s="50">
        <v>0</v>
      </c>
      <c r="M51" s="50">
        <v>157</v>
      </c>
      <c r="N51" s="50">
        <v>0</v>
      </c>
      <c r="O51" s="15">
        <f t="shared" si="0"/>
        <v>224</v>
      </c>
      <c r="P51" s="15">
        <f t="shared" si="1"/>
        <v>381</v>
      </c>
      <c r="R51" s="8"/>
      <c r="T51"/>
    </row>
    <row r="52" spans="2:20" ht="23.1" customHeight="1" x14ac:dyDescent="0.25">
      <c r="B52" s="46" t="s">
        <v>79</v>
      </c>
      <c r="C52" s="50">
        <v>85</v>
      </c>
      <c r="D52" s="50">
        <v>23</v>
      </c>
      <c r="E52" s="50">
        <v>17</v>
      </c>
      <c r="F52" s="50">
        <v>47</v>
      </c>
      <c r="G52" s="50">
        <v>0</v>
      </c>
      <c r="H52" s="50">
        <v>0</v>
      </c>
      <c r="I52" s="50">
        <v>3</v>
      </c>
      <c r="J52" s="50">
        <v>4</v>
      </c>
      <c r="K52" s="50">
        <v>0</v>
      </c>
      <c r="L52" s="50">
        <v>0</v>
      </c>
      <c r="M52" s="50">
        <v>152</v>
      </c>
      <c r="N52" s="50">
        <v>0</v>
      </c>
      <c r="O52" s="15">
        <f t="shared" si="0"/>
        <v>179</v>
      </c>
      <c r="P52" s="15">
        <f t="shared" si="1"/>
        <v>331</v>
      </c>
      <c r="R52" s="8"/>
      <c r="T52"/>
    </row>
    <row r="53" spans="2:20" ht="23.1" customHeight="1" x14ac:dyDescent="0.25">
      <c r="B53" s="45" t="s">
        <v>80</v>
      </c>
      <c r="C53" s="50">
        <v>78</v>
      </c>
      <c r="D53" s="50">
        <v>22</v>
      </c>
      <c r="E53" s="50">
        <v>23</v>
      </c>
      <c r="F53" s="50">
        <v>10</v>
      </c>
      <c r="G53" s="50">
        <v>1</v>
      </c>
      <c r="H53" s="50">
        <v>0</v>
      </c>
      <c r="I53" s="50">
        <v>6</v>
      </c>
      <c r="J53" s="50">
        <v>0</v>
      </c>
      <c r="K53" s="50">
        <v>0</v>
      </c>
      <c r="L53" s="50">
        <v>0</v>
      </c>
      <c r="M53" s="50">
        <v>143</v>
      </c>
      <c r="N53" s="50">
        <v>0</v>
      </c>
      <c r="O53" s="15">
        <f t="shared" si="0"/>
        <v>140</v>
      </c>
      <c r="P53" s="15">
        <f t="shared" si="1"/>
        <v>283</v>
      </c>
      <c r="R53" s="8"/>
      <c r="T53"/>
    </row>
    <row r="54" spans="2:20" ht="23.1" customHeight="1" x14ac:dyDescent="0.25">
      <c r="B54" s="45" t="s">
        <v>81</v>
      </c>
      <c r="C54" s="50">
        <v>80</v>
      </c>
      <c r="D54" s="50">
        <v>28</v>
      </c>
      <c r="E54" s="50">
        <v>10</v>
      </c>
      <c r="F54" s="50">
        <v>25</v>
      </c>
      <c r="G54" s="50">
        <v>0</v>
      </c>
      <c r="H54" s="50">
        <v>1</v>
      </c>
      <c r="I54" s="50">
        <v>3</v>
      </c>
      <c r="J54" s="50">
        <v>4</v>
      </c>
      <c r="K54" s="50">
        <v>0</v>
      </c>
      <c r="L54" s="50">
        <v>0</v>
      </c>
      <c r="M54" s="50">
        <v>140</v>
      </c>
      <c r="N54" s="50">
        <v>0</v>
      </c>
      <c r="O54" s="15">
        <f t="shared" si="0"/>
        <v>151</v>
      </c>
      <c r="P54" s="15">
        <f t="shared" si="1"/>
        <v>291</v>
      </c>
      <c r="R54" s="8"/>
      <c r="T54"/>
    </row>
    <row r="55" spans="2:20" ht="23.1" customHeight="1" x14ac:dyDescent="0.25">
      <c r="B55" s="45" t="s">
        <v>82</v>
      </c>
      <c r="C55" s="50">
        <v>61</v>
      </c>
      <c r="D55" s="50">
        <v>27</v>
      </c>
      <c r="E55" s="50">
        <v>28</v>
      </c>
      <c r="F55" s="50">
        <v>13</v>
      </c>
      <c r="G55" s="50">
        <v>1</v>
      </c>
      <c r="H55" s="50">
        <v>0</v>
      </c>
      <c r="I55" s="50">
        <v>3</v>
      </c>
      <c r="J55" s="50">
        <v>1</v>
      </c>
      <c r="K55" s="50">
        <v>1</v>
      </c>
      <c r="L55" s="50">
        <v>0</v>
      </c>
      <c r="M55" s="50">
        <v>150</v>
      </c>
      <c r="N55" s="50">
        <v>0</v>
      </c>
      <c r="O55" s="15">
        <f t="shared" si="0"/>
        <v>135</v>
      </c>
      <c r="P55" s="15">
        <f t="shared" si="1"/>
        <v>285</v>
      </c>
      <c r="R55" s="8"/>
      <c r="T55"/>
    </row>
    <row r="56" spans="2:20" ht="23.1" customHeight="1" x14ac:dyDescent="0.25">
      <c r="B56" s="45" t="s">
        <v>83</v>
      </c>
      <c r="C56" s="50">
        <v>97</v>
      </c>
      <c r="D56" s="50">
        <v>31</v>
      </c>
      <c r="E56" s="50">
        <v>29</v>
      </c>
      <c r="F56" s="50">
        <v>35</v>
      </c>
      <c r="G56" s="50">
        <v>0</v>
      </c>
      <c r="H56" s="50">
        <v>0</v>
      </c>
      <c r="I56" s="50">
        <v>3</v>
      </c>
      <c r="J56" s="50">
        <v>1</v>
      </c>
      <c r="K56" s="50">
        <v>0</v>
      </c>
      <c r="L56" s="50">
        <v>0</v>
      </c>
      <c r="M56" s="50">
        <v>143</v>
      </c>
      <c r="N56" s="50">
        <v>0</v>
      </c>
      <c r="O56" s="15">
        <f t="shared" si="0"/>
        <v>196</v>
      </c>
      <c r="P56" s="15">
        <f t="shared" si="1"/>
        <v>339</v>
      </c>
      <c r="R56" s="8"/>
      <c r="T56"/>
    </row>
    <row r="57" spans="2:20" ht="23.1" customHeight="1" x14ac:dyDescent="0.25">
      <c r="B57" s="45" t="s">
        <v>84</v>
      </c>
      <c r="C57" s="50">
        <v>87</v>
      </c>
      <c r="D57" s="50">
        <v>22</v>
      </c>
      <c r="E57" s="50">
        <v>8</v>
      </c>
      <c r="F57" s="50">
        <v>9</v>
      </c>
      <c r="G57" s="50">
        <v>0</v>
      </c>
      <c r="H57" s="50">
        <v>0</v>
      </c>
      <c r="I57" s="50">
        <v>2</v>
      </c>
      <c r="J57" s="50">
        <v>0</v>
      </c>
      <c r="K57" s="50">
        <v>0</v>
      </c>
      <c r="L57" s="50">
        <v>0</v>
      </c>
      <c r="M57" s="50">
        <v>139</v>
      </c>
      <c r="N57" s="50">
        <v>0</v>
      </c>
      <c r="O57" s="15">
        <f t="shared" si="0"/>
        <v>128</v>
      </c>
      <c r="P57" s="15">
        <f t="shared" si="1"/>
        <v>267</v>
      </c>
      <c r="R57" s="8"/>
      <c r="T57"/>
    </row>
    <row r="58" spans="2:20" ht="23.1" customHeight="1" x14ac:dyDescent="0.25">
      <c r="B58" s="45" t="s">
        <v>99</v>
      </c>
      <c r="C58" s="50">
        <v>10</v>
      </c>
      <c r="D58" s="50">
        <v>7</v>
      </c>
      <c r="E58" s="50">
        <v>3</v>
      </c>
      <c r="F58" s="50">
        <v>0</v>
      </c>
      <c r="G58" s="50">
        <v>0</v>
      </c>
      <c r="H58" s="50">
        <v>0</v>
      </c>
      <c r="I58" s="50">
        <v>2</v>
      </c>
      <c r="J58" s="50">
        <v>0</v>
      </c>
      <c r="K58" s="50">
        <v>0</v>
      </c>
      <c r="L58" s="50">
        <v>0</v>
      </c>
      <c r="M58" s="50">
        <v>39</v>
      </c>
      <c r="N58" s="50">
        <v>0</v>
      </c>
      <c r="O58" s="15">
        <f t="shared" si="0"/>
        <v>22</v>
      </c>
      <c r="P58" s="15">
        <f t="shared" si="1"/>
        <v>61</v>
      </c>
      <c r="R58" s="8"/>
      <c r="T58"/>
    </row>
    <row r="59" spans="2:20" ht="23.1" customHeight="1" x14ac:dyDescent="0.25">
      <c r="B59" s="45" t="s">
        <v>100</v>
      </c>
      <c r="C59" s="50">
        <v>83</v>
      </c>
      <c r="D59" s="50">
        <v>20</v>
      </c>
      <c r="E59" s="50">
        <v>5</v>
      </c>
      <c r="F59" s="50">
        <v>16</v>
      </c>
      <c r="G59" s="50">
        <v>0</v>
      </c>
      <c r="H59" s="50">
        <v>0</v>
      </c>
      <c r="I59" s="50">
        <v>2</v>
      </c>
      <c r="J59" s="50">
        <v>0</v>
      </c>
      <c r="K59" s="50">
        <v>0</v>
      </c>
      <c r="L59" s="50">
        <v>0</v>
      </c>
      <c r="M59" s="50">
        <v>162</v>
      </c>
      <c r="N59" s="50">
        <v>0</v>
      </c>
      <c r="O59" s="15">
        <f t="shared" si="0"/>
        <v>126</v>
      </c>
      <c r="P59" s="15">
        <f t="shared" si="1"/>
        <v>288</v>
      </c>
      <c r="R59" s="8"/>
      <c r="T59"/>
    </row>
    <row r="60" spans="2:20" ht="23.1" customHeight="1" x14ac:dyDescent="0.25">
      <c r="B60" s="45" t="s">
        <v>101</v>
      </c>
      <c r="C60" s="50">
        <v>60</v>
      </c>
      <c r="D60" s="50">
        <v>23</v>
      </c>
      <c r="E60" s="50">
        <v>3</v>
      </c>
      <c r="F60" s="50">
        <v>20</v>
      </c>
      <c r="G60" s="50">
        <v>1</v>
      </c>
      <c r="H60" s="50">
        <v>1</v>
      </c>
      <c r="I60" s="50">
        <v>2</v>
      </c>
      <c r="J60" s="50">
        <v>5</v>
      </c>
      <c r="K60" s="50">
        <v>0</v>
      </c>
      <c r="L60" s="50">
        <v>0</v>
      </c>
      <c r="M60" s="50">
        <v>178</v>
      </c>
      <c r="N60" s="50">
        <v>0</v>
      </c>
      <c r="O60" s="15">
        <f t="shared" si="0"/>
        <v>115</v>
      </c>
      <c r="P60" s="15">
        <f t="shared" si="1"/>
        <v>293</v>
      </c>
      <c r="R60" s="8"/>
      <c r="T60"/>
    </row>
    <row r="61" spans="2:20" ht="23.1" customHeight="1" x14ac:dyDescent="0.25">
      <c r="B61" s="45" t="s">
        <v>102</v>
      </c>
      <c r="C61" s="50">
        <v>85</v>
      </c>
      <c r="D61" s="50">
        <v>19</v>
      </c>
      <c r="E61" s="50">
        <v>11</v>
      </c>
      <c r="F61" s="50">
        <v>25</v>
      </c>
      <c r="G61" s="50">
        <v>0</v>
      </c>
      <c r="H61" s="50">
        <v>0</v>
      </c>
      <c r="I61" s="50">
        <v>5</v>
      </c>
      <c r="J61" s="50">
        <v>3</v>
      </c>
      <c r="K61" s="50">
        <v>0</v>
      </c>
      <c r="L61" s="50">
        <v>0</v>
      </c>
      <c r="M61" s="50">
        <v>194</v>
      </c>
      <c r="N61" s="50">
        <v>0</v>
      </c>
      <c r="O61" s="15">
        <f t="shared" si="0"/>
        <v>148</v>
      </c>
      <c r="P61" s="15">
        <f t="shared" si="1"/>
        <v>342</v>
      </c>
      <c r="R61" s="8"/>
      <c r="T61"/>
    </row>
    <row r="62" spans="2:20" ht="23.1" customHeight="1" x14ac:dyDescent="0.25">
      <c r="B62" s="45" t="s">
        <v>107</v>
      </c>
      <c r="C62" s="50">
        <v>68</v>
      </c>
      <c r="D62" s="50">
        <v>13</v>
      </c>
      <c r="E62" s="50">
        <v>4</v>
      </c>
      <c r="F62" s="50">
        <v>22</v>
      </c>
      <c r="G62" s="50">
        <v>0</v>
      </c>
      <c r="H62" s="50">
        <v>0</v>
      </c>
      <c r="I62" s="50">
        <v>3</v>
      </c>
      <c r="J62" s="50">
        <v>0</v>
      </c>
      <c r="K62" s="50">
        <v>0</v>
      </c>
      <c r="L62" s="50">
        <v>0</v>
      </c>
      <c r="M62" s="50">
        <v>164</v>
      </c>
      <c r="N62" s="50">
        <v>0</v>
      </c>
      <c r="O62" s="15">
        <f t="shared" si="0"/>
        <v>110</v>
      </c>
      <c r="P62" s="15">
        <f t="shared" si="1"/>
        <v>274</v>
      </c>
      <c r="R62" s="8"/>
      <c r="T62"/>
    </row>
    <row r="63" spans="2:20" ht="23.1" customHeight="1" x14ac:dyDescent="0.25">
      <c r="B63" s="45" t="s">
        <v>108</v>
      </c>
      <c r="C63" s="50">
        <v>76</v>
      </c>
      <c r="D63" s="50">
        <v>25</v>
      </c>
      <c r="E63" s="50">
        <v>10</v>
      </c>
      <c r="F63" s="50">
        <v>24</v>
      </c>
      <c r="G63" s="50">
        <v>0</v>
      </c>
      <c r="H63" s="50">
        <v>0</v>
      </c>
      <c r="I63" s="50">
        <v>2</v>
      </c>
      <c r="J63" s="50">
        <v>3</v>
      </c>
      <c r="K63" s="50">
        <v>0</v>
      </c>
      <c r="L63" s="50">
        <v>0</v>
      </c>
      <c r="M63" s="50">
        <v>153</v>
      </c>
      <c r="N63" s="50">
        <v>0</v>
      </c>
      <c r="O63" s="15">
        <f t="shared" si="0"/>
        <v>140</v>
      </c>
      <c r="P63" s="15">
        <f t="shared" si="1"/>
        <v>293</v>
      </c>
      <c r="R63" s="8"/>
      <c r="T63"/>
    </row>
    <row r="64" spans="2:20" ht="23.1" customHeight="1" x14ac:dyDescent="0.25">
      <c r="B64" s="45" t="s">
        <v>109</v>
      </c>
      <c r="C64" s="50">
        <v>90</v>
      </c>
      <c r="D64" s="50">
        <v>26</v>
      </c>
      <c r="E64" s="50">
        <v>9</v>
      </c>
      <c r="F64" s="50">
        <v>25</v>
      </c>
      <c r="G64" s="50">
        <v>0</v>
      </c>
      <c r="H64" s="50">
        <v>0</v>
      </c>
      <c r="I64" s="50">
        <v>2</v>
      </c>
      <c r="J64" s="50">
        <v>3</v>
      </c>
      <c r="K64" s="50">
        <v>0</v>
      </c>
      <c r="L64" s="50">
        <v>0</v>
      </c>
      <c r="M64" s="50">
        <v>172</v>
      </c>
      <c r="N64" s="50">
        <v>0</v>
      </c>
      <c r="O64" s="15">
        <f t="shared" si="0"/>
        <v>155</v>
      </c>
      <c r="P64" s="15">
        <f t="shared" si="1"/>
        <v>327</v>
      </c>
      <c r="R64" s="8"/>
      <c r="T64"/>
    </row>
    <row r="65" spans="2:20" ht="23.1" customHeight="1" x14ac:dyDescent="0.25">
      <c r="B65" s="45" t="s">
        <v>158</v>
      </c>
      <c r="C65" s="50">
        <v>62</v>
      </c>
      <c r="D65" s="50">
        <v>19</v>
      </c>
      <c r="E65" s="50">
        <v>12</v>
      </c>
      <c r="F65" s="50">
        <v>27</v>
      </c>
      <c r="G65" s="50">
        <v>0</v>
      </c>
      <c r="H65" s="50">
        <v>0</v>
      </c>
      <c r="I65" s="50">
        <v>1</v>
      </c>
      <c r="J65" s="50">
        <v>4</v>
      </c>
      <c r="K65" s="50">
        <v>0</v>
      </c>
      <c r="L65" s="50">
        <v>0</v>
      </c>
      <c r="M65" s="50">
        <v>188</v>
      </c>
      <c r="N65" s="50">
        <v>0</v>
      </c>
      <c r="O65" s="15">
        <f t="shared" si="0"/>
        <v>125</v>
      </c>
      <c r="P65" s="15">
        <f t="shared" si="1"/>
        <v>313</v>
      </c>
      <c r="R65" s="8"/>
      <c r="T65"/>
    </row>
    <row r="66" spans="2:20" ht="23.1" customHeight="1" x14ac:dyDescent="0.25">
      <c r="B66" s="45" t="s">
        <v>103</v>
      </c>
      <c r="C66" s="50">
        <v>59</v>
      </c>
      <c r="D66" s="50">
        <v>20</v>
      </c>
      <c r="E66" s="50">
        <v>8</v>
      </c>
      <c r="F66" s="50">
        <v>23</v>
      </c>
      <c r="G66" s="50">
        <v>0</v>
      </c>
      <c r="H66" s="50">
        <v>0</v>
      </c>
      <c r="I66" s="50">
        <v>1</v>
      </c>
      <c r="J66" s="50">
        <v>0</v>
      </c>
      <c r="K66" s="50">
        <v>0</v>
      </c>
      <c r="L66" s="50">
        <v>0</v>
      </c>
      <c r="M66" s="50">
        <v>135</v>
      </c>
      <c r="N66" s="50">
        <v>0</v>
      </c>
      <c r="O66" s="15">
        <f t="shared" si="0"/>
        <v>111</v>
      </c>
      <c r="P66" s="15">
        <f t="shared" si="1"/>
        <v>246</v>
      </c>
      <c r="R66" s="8"/>
      <c r="T66"/>
    </row>
    <row r="67" spans="2:20" ht="23.1" customHeight="1" x14ac:dyDescent="0.25">
      <c r="B67" s="45" t="s">
        <v>104</v>
      </c>
      <c r="C67" s="50">
        <v>35</v>
      </c>
      <c r="D67" s="50">
        <v>14</v>
      </c>
      <c r="E67" s="50">
        <v>4</v>
      </c>
      <c r="F67" s="50">
        <v>22</v>
      </c>
      <c r="G67" s="50">
        <v>0</v>
      </c>
      <c r="H67" s="50">
        <v>0</v>
      </c>
      <c r="I67" s="50">
        <v>1</v>
      </c>
      <c r="J67" s="50">
        <v>0</v>
      </c>
      <c r="K67" s="50">
        <v>0</v>
      </c>
      <c r="L67" s="50">
        <v>0</v>
      </c>
      <c r="M67" s="50">
        <v>135</v>
      </c>
      <c r="N67" s="50">
        <v>0</v>
      </c>
      <c r="O67" s="15">
        <f t="shared" si="0"/>
        <v>76</v>
      </c>
      <c r="P67" s="15">
        <f t="shared" si="1"/>
        <v>211</v>
      </c>
      <c r="R67" s="8"/>
      <c r="T67"/>
    </row>
    <row r="68" spans="2:20" ht="23.1" customHeight="1" x14ac:dyDescent="0.25">
      <c r="B68" s="45" t="s">
        <v>105</v>
      </c>
      <c r="C68" s="50">
        <v>43</v>
      </c>
      <c r="D68" s="50">
        <v>30</v>
      </c>
      <c r="E68" s="50">
        <v>15</v>
      </c>
      <c r="F68" s="50">
        <v>24</v>
      </c>
      <c r="G68" s="50">
        <v>0</v>
      </c>
      <c r="H68" s="50">
        <v>0</v>
      </c>
      <c r="I68" s="50">
        <v>1</v>
      </c>
      <c r="J68" s="50">
        <v>0</v>
      </c>
      <c r="K68" s="50">
        <v>0</v>
      </c>
      <c r="L68" s="50">
        <v>0</v>
      </c>
      <c r="M68" s="50">
        <v>154</v>
      </c>
      <c r="N68" s="50">
        <v>0</v>
      </c>
      <c r="O68" s="15">
        <f t="shared" si="0"/>
        <v>113</v>
      </c>
      <c r="P68" s="15">
        <f t="shared" si="1"/>
        <v>267</v>
      </c>
      <c r="R68" s="8"/>
      <c r="T68"/>
    </row>
    <row r="69" spans="2:20" ht="23.1" customHeight="1" x14ac:dyDescent="0.25">
      <c r="B69" s="45" t="s">
        <v>106</v>
      </c>
      <c r="C69" s="50">
        <v>50</v>
      </c>
      <c r="D69" s="50">
        <v>17</v>
      </c>
      <c r="E69" s="50">
        <v>3</v>
      </c>
      <c r="F69" s="50">
        <v>14</v>
      </c>
      <c r="G69" s="50">
        <v>0</v>
      </c>
      <c r="H69" s="50">
        <v>0</v>
      </c>
      <c r="I69" s="50">
        <v>2</v>
      </c>
      <c r="J69" s="50">
        <v>0</v>
      </c>
      <c r="K69" s="50">
        <v>0</v>
      </c>
      <c r="L69" s="50">
        <v>0</v>
      </c>
      <c r="M69" s="50">
        <v>110</v>
      </c>
      <c r="N69" s="50">
        <v>0</v>
      </c>
      <c r="O69" s="15">
        <f t="shared" si="0"/>
        <v>86</v>
      </c>
      <c r="P69" s="15">
        <f t="shared" si="1"/>
        <v>196</v>
      </c>
      <c r="R69" s="8"/>
      <c r="T69"/>
    </row>
    <row r="70" spans="2:20" ht="23.1" customHeight="1" x14ac:dyDescent="0.25">
      <c r="B70" s="45" t="s">
        <v>110</v>
      </c>
      <c r="C70" s="50">
        <v>60</v>
      </c>
      <c r="D70" s="50">
        <v>37</v>
      </c>
      <c r="E70" s="50">
        <v>8</v>
      </c>
      <c r="F70" s="50">
        <v>9</v>
      </c>
      <c r="G70" s="50">
        <v>0</v>
      </c>
      <c r="H70" s="50">
        <v>0</v>
      </c>
      <c r="I70" s="50">
        <v>3</v>
      </c>
      <c r="J70" s="50">
        <v>0</v>
      </c>
      <c r="K70" s="50">
        <v>0</v>
      </c>
      <c r="L70" s="50">
        <v>1</v>
      </c>
      <c r="M70" s="50">
        <v>126</v>
      </c>
      <c r="N70" s="50">
        <v>0</v>
      </c>
      <c r="O70" s="15">
        <f t="shared" si="0"/>
        <v>118</v>
      </c>
      <c r="P70" s="15">
        <f t="shared" si="1"/>
        <v>244</v>
      </c>
      <c r="R70" s="8"/>
      <c r="T70"/>
    </row>
    <row r="71" spans="2:20" ht="23.1" customHeight="1" x14ac:dyDescent="0.25">
      <c r="B71" s="45" t="s">
        <v>111</v>
      </c>
      <c r="C71" s="50">
        <v>75</v>
      </c>
      <c r="D71" s="50">
        <v>28</v>
      </c>
      <c r="E71" s="50">
        <v>8</v>
      </c>
      <c r="F71" s="50">
        <v>23</v>
      </c>
      <c r="G71" s="50">
        <v>0</v>
      </c>
      <c r="H71" s="50">
        <v>0</v>
      </c>
      <c r="I71" s="50">
        <v>3</v>
      </c>
      <c r="J71" s="50">
        <v>0</v>
      </c>
      <c r="K71" s="50">
        <v>0</v>
      </c>
      <c r="L71" s="50">
        <v>0</v>
      </c>
      <c r="M71" s="50">
        <v>135</v>
      </c>
      <c r="N71" s="50">
        <v>0</v>
      </c>
      <c r="O71" s="15">
        <f t="shared" si="0"/>
        <v>137</v>
      </c>
      <c r="P71" s="15">
        <f t="shared" si="1"/>
        <v>272</v>
      </c>
      <c r="R71" s="8"/>
      <c r="T71"/>
    </row>
    <row r="72" spans="2:20" ht="23.1" customHeight="1" x14ac:dyDescent="0.25">
      <c r="B72" s="45" t="s">
        <v>112</v>
      </c>
      <c r="C72" s="50">
        <v>90</v>
      </c>
      <c r="D72" s="50">
        <v>37</v>
      </c>
      <c r="E72" s="50">
        <v>15</v>
      </c>
      <c r="F72" s="50">
        <v>20</v>
      </c>
      <c r="G72" s="50">
        <v>0</v>
      </c>
      <c r="H72" s="50">
        <v>0</v>
      </c>
      <c r="I72" s="50">
        <v>3</v>
      </c>
      <c r="J72" s="50">
        <v>2</v>
      </c>
      <c r="K72" s="50">
        <v>0</v>
      </c>
      <c r="L72" s="50">
        <v>0</v>
      </c>
      <c r="M72" s="50">
        <v>108</v>
      </c>
      <c r="N72" s="50">
        <v>0</v>
      </c>
      <c r="O72" s="15">
        <f t="shared" si="0"/>
        <v>167</v>
      </c>
      <c r="P72" s="15">
        <f t="shared" si="1"/>
        <v>275</v>
      </c>
      <c r="R72" s="8"/>
      <c r="T72"/>
    </row>
    <row r="73" spans="2:20" ht="23.1" customHeight="1" x14ac:dyDescent="0.25">
      <c r="B73" s="45" t="s">
        <v>113</v>
      </c>
      <c r="C73" s="50">
        <v>79</v>
      </c>
      <c r="D73" s="50">
        <v>41</v>
      </c>
      <c r="E73" s="50">
        <v>11</v>
      </c>
      <c r="F73" s="50">
        <v>15</v>
      </c>
      <c r="G73" s="50">
        <v>0</v>
      </c>
      <c r="H73" s="50">
        <v>0</v>
      </c>
      <c r="I73" s="50">
        <v>2</v>
      </c>
      <c r="J73" s="50">
        <v>1</v>
      </c>
      <c r="K73" s="50">
        <v>0</v>
      </c>
      <c r="L73" s="50">
        <v>0</v>
      </c>
      <c r="M73" s="50">
        <v>101</v>
      </c>
      <c r="N73" s="50">
        <v>0</v>
      </c>
      <c r="O73" s="15">
        <f t="shared" si="0"/>
        <v>149</v>
      </c>
      <c r="P73" s="15">
        <f t="shared" si="1"/>
        <v>250</v>
      </c>
      <c r="R73" s="8"/>
      <c r="T73"/>
    </row>
    <row r="74" spans="2:20" ht="23.1" customHeight="1" x14ac:dyDescent="0.25">
      <c r="B74" s="45" t="s">
        <v>114</v>
      </c>
      <c r="C74" s="50">
        <v>35</v>
      </c>
      <c r="D74" s="50">
        <v>28</v>
      </c>
      <c r="E74" s="50">
        <v>1</v>
      </c>
      <c r="F74" s="50">
        <v>7</v>
      </c>
      <c r="G74" s="50">
        <v>0</v>
      </c>
      <c r="H74" s="50">
        <v>0</v>
      </c>
      <c r="I74" s="50">
        <v>3</v>
      </c>
      <c r="J74" s="50">
        <v>7</v>
      </c>
      <c r="K74" s="50">
        <v>0</v>
      </c>
      <c r="L74" s="50">
        <v>0</v>
      </c>
      <c r="M74" s="50">
        <v>94</v>
      </c>
      <c r="N74" s="50">
        <v>0</v>
      </c>
      <c r="O74" s="15">
        <f t="shared" ref="O74:O105" si="35">SUM(C74:L74,N74)</f>
        <v>81</v>
      </c>
      <c r="P74" s="15">
        <f t="shared" ref="P74:P105" si="36">SUM(C74:N74)</f>
        <v>175</v>
      </c>
      <c r="R74" s="8"/>
      <c r="T74"/>
    </row>
    <row r="75" spans="2:20" ht="23.1" customHeight="1" x14ac:dyDescent="0.25">
      <c r="B75" s="45" t="s">
        <v>115</v>
      </c>
      <c r="C75" s="50">
        <v>25</v>
      </c>
      <c r="D75" s="50">
        <v>31</v>
      </c>
      <c r="E75" s="50">
        <v>5</v>
      </c>
      <c r="F75" s="50">
        <v>5</v>
      </c>
      <c r="G75" s="50">
        <v>0</v>
      </c>
      <c r="H75" s="50">
        <v>0</v>
      </c>
      <c r="I75" s="50">
        <v>1</v>
      </c>
      <c r="J75" s="50">
        <v>1</v>
      </c>
      <c r="K75" s="50">
        <v>0</v>
      </c>
      <c r="L75" s="50">
        <v>0</v>
      </c>
      <c r="M75" s="50">
        <v>71</v>
      </c>
      <c r="N75" s="50">
        <v>0</v>
      </c>
      <c r="O75" s="15">
        <f t="shared" si="35"/>
        <v>68</v>
      </c>
      <c r="P75" s="15">
        <f t="shared" si="36"/>
        <v>139</v>
      </c>
      <c r="R75" s="8"/>
      <c r="T75"/>
    </row>
    <row r="76" spans="2:20" ht="23.1" customHeight="1" x14ac:dyDescent="0.25">
      <c r="B76" s="45" t="s">
        <v>116</v>
      </c>
      <c r="C76" s="50">
        <v>55</v>
      </c>
      <c r="D76" s="50">
        <v>23</v>
      </c>
      <c r="E76" s="50">
        <v>3</v>
      </c>
      <c r="F76" s="50">
        <v>7</v>
      </c>
      <c r="G76" s="50">
        <v>0</v>
      </c>
      <c r="H76" s="50">
        <v>0</v>
      </c>
      <c r="I76" s="50">
        <v>1</v>
      </c>
      <c r="J76" s="50">
        <v>1</v>
      </c>
      <c r="K76" s="50">
        <v>0</v>
      </c>
      <c r="L76" s="50">
        <v>0</v>
      </c>
      <c r="M76" s="50">
        <v>51</v>
      </c>
      <c r="N76" s="50">
        <v>0</v>
      </c>
      <c r="O76" s="15">
        <f t="shared" si="35"/>
        <v>90</v>
      </c>
      <c r="P76" s="15">
        <f t="shared" si="36"/>
        <v>141</v>
      </c>
      <c r="R76" s="8"/>
      <c r="T76"/>
    </row>
    <row r="77" spans="2:20" ht="23.1" customHeight="1" x14ac:dyDescent="0.25">
      <c r="B77" s="45" t="s">
        <v>117</v>
      </c>
      <c r="C77" s="50">
        <v>29</v>
      </c>
      <c r="D77" s="50">
        <v>19</v>
      </c>
      <c r="E77" s="50">
        <v>2</v>
      </c>
      <c r="F77" s="50">
        <v>4</v>
      </c>
      <c r="G77" s="50">
        <v>0</v>
      </c>
      <c r="H77" s="50">
        <v>0</v>
      </c>
      <c r="I77" s="50">
        <v>2</v>
      </c>
      <c r="J77" s="50">
        <v>1</v>
      </c>
      <c r="K77" s="50">
        <v>0</v>
      </c>
      <c r="L77" s="50">
        <v>0</v>
      </c>
      <c r="M77" s="50">
        <v>53</v>
      </c>
      <c r="N77" s="50">
        <v>0</v>
      </c>
      <c r="O77" s="15">
        <f t="shared" si="35"/>
        <v>57</v>
      </c>
      <c r="P77" s="15">
        <f t="shared" si="36"/>
        <v>110</v>
      </c>
      <c r="R77" s="8"/>
      <c r="T77"/>
    </row>
    <row r="78" spans="2:20" ht="23.1" customHeight="1" x14ac:dyDescent="0.25">
      <c r="B78" s="46" t="s">
        <v>118</v>
      </c>
      <c r="C78" s="50">
        <v>28</v>
      </c>
      <c r="D78" s="50">
        <v>13</v>
      </c>
      <c r="E78" s="50">
        <v>2</v>
      </c>
      <c r="F78" s="50">
        <v>3</v>
      </c>
      <c r="G78" s="50">
        <v>0</v>
      </c>
      <c r="H78" s="50">
        <v>0</v>
      </c>
      <c r="I78" s="50">
        <v>2</v>
      </c>
      <c r="J78" s="50">
        <v>0</v>
      </c>
      <c r="K78" s="50">
        <v>0</v>
      </c>
      <c r="L78" s="50">
        <v>0</v>
      </c>
      <c r="M78" s="50">
        <v>42</v>
      </c>
      <c r="N78" s="50">
        <v>0</v>
      </c>
      <c r="O78" s="15">
        <f t="shared" si="35"/>
        <v>48</v>
      </c>
      <c r="P78" s="15">
        <f t="shared" si="36"/>
        <v>90</v>
      </c>
      <c r="R78" s="8"/>
      <c r="T78"/>
    </row>
    <row r="79" spans="2:20" ht="23.1" customHeight="1" x14ac:dyDescent="0.25">
      <c r="B79" s="45" t="s">
        <v>119</v>
      </c>
      <c r="C79" s="50">
        <v>32</v>
      </c>
      <c r="D79" s="50">
        <v>18</v>
      </c>
      <c r="E79" s="50">
        <v>4</v>
      </c>
      <c r="F79" s="50">
        <v>4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58</v>
      </c>
      <c r="N79" s="50">
        <v>0</v>
      </c>
      <c r="O79" s="15">
        <f t="shared" si="35"/>
        <v>58</v>
      </c>
      <c r="P79" s="15">
        <f t="shared" si="36"/>
        <v>116</v>
      </c>
      <c r="R79" s="8"/>
      <c r="T79"/>
    </row>
    <row r="80" spans="2:20" ht="23.1" customHeight="1" x14ac:dyDescent="0.25">
      <c r="B80" s="47" t="s">
        <v>120</v>
      </c>
      <c r="C80" s="50">
        <v>24</v>
      </c>
      <c r="D80" s="50">
        <v>12</v>
      </c>
      <c r="E80" s="50">
        <v>5</v>
      </c>
      <c r="F80" s="50">
        <v>2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47</v>
      </c>
      <c r="N80" s="50">
        <v>0</v>
      </c>
      <c r="O80" s="15">
        <f t="shared" si="35"/>
        <v>43</v>
      </c>
      <c r="P80" s="15">
        <f t="shared" si="36"/>
        <v>90</v>
      </c>
      <c r="R80" s="8"/>
      <c r="T80"/>
    </row>
    <row r="81" spans="2:20" ht="23.1" customHeight="1" x14ac:dyDescent="0.25">
      <c r="B81" s="45" t="s">
        <v>121</v>
      </c>
      <c r="C81" s="50">
        <v>19</v>
      </c>
      <c r="D81" s="50">
        <v>4</v>
      </c>
      <c r="E81" s="50">
        <v>2</v>
      </c>
      <c r="F81" s="50">
        <v>1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23</v>
      </c>
      <c r="N81" s="50">
        <v>0</v>
      </c>
      <c r="O81" s="15">
        <f t="shared" si="35"/>
        <v>26</v>
      </c>
      <c r="P81" s="15">
        <f t="shared" si="36"/>
        <v>49</v>
      </c>
      <c r="R81" s="8"/>
      <c r="T81"/>
    </row>
    <row r="82" spans="2:20" ht="23.1" customHeight="1" x14ac:dyDescent="0.25">
      <c r="B82" s="46" t="s">
        <v>122</v>
      </c>
      <c r="C82" s="50">
        <v>14</v>
      </c>
      <c r="D82" s="50">
        <v>3</v>
      </c>
      <c r="E82" s="50">
        <v>1</v>
      </c>
      <c r="F82" s="50">
        <v>0</v>
      </c>
      <c r="G82" s="50">
        <v>0</v>
      </c>
      <c r="H82" s="50">
        <v>0</v>
      </c>
      <c r="I82" s="50">
        <v>0</v>
      </c>
      <c r="J82" s="50">
        <v>2</v>
      </c>
      <c r="K82" s="50">
        <v>0</v>
      </c>
      <c r="L82" s="50">
        <v>0</v>
      </c>
      <c r="M82" s="50">
        <v>41</v>
      </c>
      <c r="N82" s="50">
        <v>0</v>
      </c>
      <c r="O82" s="15">
        <f t="shared" si="35"/>
        <v>20</v>
      </c>
      <c r="P82" s="15">
        <f t="shared" si="36"/>
        <v>61</v>
      </c>
      <c r="R82" s="8"/>
      <c r="T82"/>
    </row>
    <row r="83" spans="2:20" ht="23.1" customHeight="1" x14ac:dyDescent="0.25">
      <c r="B83" s="45" t="s">
        <v>123</v>
      </c>
      <c r="C83" s="50">
        <v>17</v>
      </c>
      <c r="D83" s="50">
        <v>4</v>
      </c>
      <c r="E83" s="50">
        <v>0</v>
      </c>
      <c r="F83" s="50">
        <v>1</v>
      </c>
      <c r="G83" s="50">
        <v>0</v>
      </c>
      <c r="H83" s="50">
        <v>0</v>
      </c>
      <c r="I83" s="50">
        <v>1</v>
      </c>
      <c r="J83" s="50">
        <v>1</v>
      </c>
      <c r="K83" s="50">
        <v>0</v>
      </c>
      <c r="L83" s="50">
        <v>0</v>
      </c>
      <c r="M83" s="50">
        <v>36</v>
      </c>
      <c r="N83" s="50">
        <v>0</v>
      </c>
      <c r="O83" s="15">
        <f t="shared" si="35"/>
        <v>24</v>
      </c>
      <c r="P83" s="15">
        <f t="shared" si="36"/>
        <v>60</v>
      </c>
      <c r="R83" s="8"/>
      <c r="T83"/>
    </row>
    <row r="84" spans="2:20" ht="23.1" customHeight="1" x14ac:dyDescent="0.25">
      <c r="B84" s="47" t="s">
        <v>124</v>
      </c>
      <c r="C84" s="50">
        <v>13</v>
      </c>
      <c r="D84" s="50">
        <v>2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30</v>
      </c>
      <c r="N84" s="50">
        <v>0</v>
      </c>
      <c r="O84" s="15">
        <f t="shared" si="35"/>
        <v>15</v>
      </c>
      <c r="P84" s="15">
        <f t="shared" si="36"/>
        <v>45</v>
      </c>
      <c r="R84" s="8"/>
      <c r="T84"/>
    </row>
    <row r="85" spans="2:20" ht="23.1" customHeight="1" x14ac:dyDescent="0.25">
      <c r="B85" s="45" t="s">
        <v>125</v>
      </c>
      <c r="C85" s="50">
        <v>21</v>
      </c>
      <c r="D85" s="50">
        <v>6</v>
      </c>
      <c r="E85" s="50">
        <v>0</v>
      </c>
      <c r="F85" s="50">
        <v>0</v>
      </c>
      <c r="G85" s="50">
        <v>0</v>
      </c>
      <c r="H85" s="50">
        <v>0</v>
      </c>
      <c r="I85" s="50">
        <v>1</v>
      </c>
      <c r="J85" s="50">
        <v>0</v>
      </c>
      <c r="K85" s="50">
        <v>0</v>
      </c>
      <c r="L85" s="50">
        <v>0</v>
      </c>
      <c r="M85" s="50">
        <v>39</v>
      </c>
      <c r="N85" s="50">
        <v>0</v>
      </c>
      <c r="O85" s="15">
        <f t="shared" si="35"/>
        <v>28</v>
      </c>
      <c r="P85" s="15">
        <f t="shared" si="36"/>
        <v>67</v>
      </c>
      <c r="R85" s="8"/>
      <c r="T85"/>
    </row>
    <row r="86" spans="2:20" ht="23.1" customHeight="1" x14ac:dyDescent="0.25">
      <c r="B86" s="46" t="s">
        <v>126</v>
      </c>
      <c r="C86" s="50">
        <v>14</v>
      </c>
      <c r="D86" s="50">
        <v>3</v>
      </c>
      <c r="E86" s="50">
        <v>1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15</v>
      </c>
      <c r="N86" s="50">
        <v>0</v>
      </c>
      <c r="O86" s="15">
        <f t="shared" si="35"/>
        <v>18</v>
      </c>
      <c r="P86" s="15">
        <f t="shared" si="36"/>
        <v>33</v>
      </c>
      <c r="R86" s="8"/>
      <c r="T86"/>
    </row>
    <row r="87" spans="2:20" ht="23.1" customHeight="1" x14ac:dyDescent="0.25">
      <c r="B87" s="45" t="s">
        <v>127</v>
      </c>
      <c r="C87" s="50">
        <v>13</v>
      </c>
      <c r="D87" s="50">
        <v>7</v>
      </c>
      <c r="E87" s="50">
        <v>1</v>
      </c>
      <c r="F87" s="50">
        <v>3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18</v>
      </c>
      <c r="N87" s="50">
        <v>0</v>
      </c>
      <c r="O87" s="15">
        <f t="shared" si="35"/>
        <v>24</v>
      </c>
      <c r="P87" s="15">
        <f t="shared" si="36"/>
        <v>42</v>
      </c>
      <c r="R87" s="8"/>
      <c r="T87"/>
    </row>
    <row r="88" spans="2:20" ht="23.1" customHeight="1" x14ac:dyDescent="0.25">
      <c r="B88" s="47" t="s">
        <v>128</v>
      </c>
      <c r="C88" s="50">
        <v>18</v>
      </c>
      <c r="D88" s="50">
        <v>3</v>
      </c>
      <c r="E88" s="50">
        <v>1</v>
      </c>
      <c r="F88" s="50">
        <v>3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26</v>
      </c>
      <c r="N88" s="50">
        <v>0</v>
      </c>
      <c r="O88" s="15">
        <f t="shared" si="35"/>
        <v>25</v>
      </c>
      <c r="P88" s="15">
        <f t="shared" si="36"/>
        <v>51</v>
      </c>
      <c r="R88" s="8"/>
      <c r="T88"/>
    </row>
    <row r="89" spans="2:20" ht="23.1" customHeight="1" x14ac:dyDescent="0.25">
      <c r="B89" s="45" t="s">
        <v>129</v>
      </c>
      <c r="C89" s="50">
        <v>13</v>
      </c>
      <c r="D89" s="50">
        <v>5</v>
      </c>
      <c r="E89" s="50">
        <v>1</v>
      </c>
      <c r="F89" s="50">
        <v>1</v>
      </c>
      <c r="G89" s="50">
        <v>0</v>
      </c>
      <c r="H89" s="50">
        <v>0</v>
      </c>
      <c r="I89" s="50">
        <v>0</v>
      </c>
      <c r="J89" s="50">
        <v>1</v>
      </c>
      <c r="K89" s="50">
        <v>0</v>
      </c>
      <c r="L89" s="50">
        <v>0</v>
      </c>
      <c r="M89" s="50">
        <v>13</v>
      </c>
      <c r="N89" s="50">
        <v>0</v>
      </c>
      <c r="O89" s="15">
        <f t="shared" si="35"/>
        <v>21</v>
      </c>
      <c r="P89" s="15">
        <f t="shared" si="36"/>
        <v>34</v>
      </c>
      <c r="R89" s="8"/>
      <c r="T89"/>
    </row>
    <row r="90" spans="2:20" ht="23.1" customHeight="1" x14ac:dyDescent="0.25">
      <c r="B90" s="46" t="s">
        <v>130</v>
      </c>
      <c r="C90" s="50">
        <v>11</v>
      </c>
      <c r="D90" s="50">
        <v>3</v>
      </c>
      <c r="E90" s="50">
        <v>1</v>
      </c>
      <c r="F90" s="50">
        <v>3</v>
      </c>
      <c r="G90" s="50">
        <v>0</v>
      </c>
      <c r="H90" s="50">
        <v>0</v>
      </c>
      <c r="I90" s="50">
        <v>1</v>
      </c>
      <c r="J90" s="50">
        <v>0</v>
      </c>
      <c r="K90" s="50">
        <v>0</v>
      </c>
      <c r="L90" s="50">
        <v>0</v>
      </c>
      <c r="M90" s="50">
        <v>22</v>
      </c>
      <c r="N90" s="50">
        <v>0</v>
      </c>
      <c r="O90" s="15">
        <f t="shared" si="35"/>
        <v>19</v>
      </c>
      <c r="P90" s="15">
        <f t="shared" si="36"/>
        <v>41</v>
      </c>
      <c r="R90" s="8"/>
      <c r="T90"/>
    </row>
    <row r="91" spans="2:20" ht="23.1" customHeight="1" x14ac:dyDescent="0.25">
      <c r="B91" s="45" t="s">
        <v>131</v>
      </c>
      <c r="C91" s="50">
        <v>16</v>
      </c>
      <c r="D91" s="50">
        <v>7</v>
      </c>
      <c r="E91" s="50">
        <v>0</v>
      </c>
      <c r="F91" s="50">
        <v>2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15</v>
      </c>
      <c r="N91" s="50">
        <v>0</v>
      </c>
      <c r="O91" s="15">
        <f t="shared" si="35"/>
        <v>25</v>
      </c>
      <c r="P91" s="15">
        <f t="shared" si="36"/>
        <v>40</v>
      </c>
      <c r="R91" s="8"/>
      <c r="T91"/>
    </row>
    <row r="92" spans="2:20" ht="23.1" customHeight="1" x14ac:dyDescent="0.25">
      <c r="B92" s="47" t="s">
        <v>132</v>
      </c>
      <c r="C92" s="50">
        <v>10</v>
      </c>
      <c r="D92" s="50">
        <v>1</v>
      </c>
      <c r="E92" s="50">
        <v>0</v>
      </c>
      <c r="F92" s="50">
        <v>1</v>
      </c>
      <c r="G92" s="50">
        <v>0</v>
      </c>
      <c r="H92" s="50">
        <v>0</v>
      </c>
      <c r="I92" s="50">
        <v>1</v>
      </c>
      <c r="J92" s="50">
        <v>1</v>
      </c>
      <c r="K92" s="50">
        <v>0</v>
      </c>
      <c r="L92" s="50">
        <v>0</v>
      </c>
      <c r="M92" s="50">
        <v>13</v>
      </c>
      <c r="N92" s="50">
        <v>0</v>
      </c>
      <c r="O92" s="15">
        <f t="shared" si="35"/>
        <v>14</v>
      </c>
      <c r="P92" s="15">
        <f t="shared" si="36"/>
        <v>27</v>
      </c>
      <c r="R92" s="8"/>
      <c r="T92"/>
    </row>
    <row r="93" spans="2:20" ht="23.1" customHeight="1" x14ac:dyDescent="0.25">
      <c r="B93" s="45" t="s">
        <v>133</v>
      </c>
      <c r="C93" s="50">
        <v>20</v>
      </c>
      <c r="D93" s="50">
        <v>8</v>
      </c>
      <c r="E93" s="50">
        <v>0</v>
      </c>
      <c r="F93" s="50">
        <v>3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11</v>
      </c>
      <c r="N93" s="50">
        <v>0</v>
      </c>
      <c r="O93" s="15">
        <f t="shared" si="35"/>
        <v>31</v>
      </c>
      <c r="P93" s="15">
        <f t="shared" si="36"/>
        <v>42</v>
      </c>
      <c r="R93" s="8"/>
      <c r="T93"/>
    </row>
    <row r="94" spans="2:20" ht="23.1" customHeight="1" x14ac:dyDescent="0.25">
      <c r="B94" s="46" t="s">
        <v>134</v>
      </c>
      <c r="C94" s="50">
        <v>15</v>
      </c>
      <c r="D94" s="50">
        <v>2</v>
      </c>
      <c r="E94" s="50">
        <v>3</v>
      </c>
      <c r="F94" s="50">
        <v>4</v>
      </c>
      <c r="G94" s="50">
        <v>0</v>
      </c>
      <c r="H94" s="50">
        <v>0</v>
      </c>
      <c r="I94" s="50">
        <v>1</v>
      </c>
      <c r="J94" s="50">
        <v>0</v>
      </c>
      <c r="K94" s="50">
        <v>0</v>
      </c>
      <c r="L94" s="50">
        <v>0</v>
      </c>
      <c r="M94" s="50">
        <v>15</v>
      </c>
      <c r="N94" s="50">
        <v>0</v>
      </c>
      <c r="O94" s="15">
        <f t="shared" si="35"/>
        <v>25</v>
      </c>
      <c r="P94" s="15">
        <f t="shared" si="36"/>
        <v>40</v>
      </c>
      <c r="R94" s="8"/>
      <c r="T94"/>
    </row>
    <row r="95" spans="2:20" ht="23.1" customHeight="1" x14ac:dyDescent="0.25">
      <c r="B95" s="45" t="s">
        <v>135</v>
      </c>
      <c r="C95" s="50">
        <v>13</v>
      </c>
      <c r="D95" s="50">
        <v>2</v>
      </c>
      <c r="E95" s="50">
        <v>0</v>
      </c>
      <c r="F95" s="50">
        <v>4</v>
      </c>
      <c r="G95" s="50">
        <v>0</v>
      </c>
      <c r="H95" s="50">
        <v>0</v>
      </c>
      <c r="I95" s="50">
        <v>1</v>
      </c>
      <c r="J95" s="50">
        <v>1</v>
      </c>
      <c r="K95" s="50">
        <v>0</v>
      </c>
      <c r="L95" s="50">
        <v>0</v>
      </c>
      <c r="M95" s="50">
        <v>10</v>
      </c>
      <c r="N95" s="50">
        <v>0</v>
      </c>
      <c r="O95" s="15">
        <f t="shared" si="35"/>
        <v>21</v>
      </c>
      <c r="P95" s="15">
        <f t="shared" si="36"/>
        <v>31</v>
      </c>
      <c r="R95" s="8"/>
      <c r="T95"/>
    </row>
    <row r="96" spans="2:20" ht="23.1" customHeight="1" x14ac:dyDescent="0.25">
      <c r="B96" s="47" t="s">
        <v>136</v>
      </c>
      <c r="C96" s="50">
        <v>16</v>
      </c>
      <c r="D96" s="50">
        <v>5</v>
      </c>
      <c r="E96" s="50">
        <v>2</v>
      </c>
      <c r="F96" s="50">
        <v>8</v>
      </c>
      <c r="G96" s="50">
        <v>0</v>
      </c>
      <c r="H96" s="50">
        <v>0</v>
      </c>
      <c r="I96" s="50">
        <v>2</v>
      </c>
      <c r="J96" s="50">
        <v>1</v>
      </c>
      <c r="K96" s="50">
        <v>0</v>
      </c>
      <c r="L96" s="50">
        <v>0</v>
      </c>
      <c r="M96" s="50">
        <v>6</v>
      </c>
      <c r="N96" s="50">
        <v>0</v>
      </c>
      <c r="O96" s="15">
        <f t="shared" si="35"/>
        <v>34</v>
      </c>
      <c r="P96" s="15">
        <f t="shared" si="36"/>
        <v>40</v>
      </c>
      <c r="R96" s="8"/>
      <c r="T96"/>
    </row>
    <row r="97" spans="2:20" ht="23.1" customHeight="1" x14ac:dyDescent="0.25">
      <c r="B97" s="45" t="s">
        <v>137</v>
      </c>
      <c r="C97" s="50">
        <v>22</v>
      </c>
      <c r="D97" s="50">
        <v>14</v>
      </c>
      <c r="E97" s="50">
        <v>0</v>
      </c>
      <c r="F97" s="50">
        <v>16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9</v>
      </c>
      <c r="N97" s="50">
        <v>0</v>
      </c>
      <c r="O97" s="15">
        <f t="shared" si="35"/>
        <v>52</v>
      </c>
      <c r="P97" s="15">
        <f t="shared" si="36"/>
        <v>61</v>
      </c>
      <c r="R97" s="8"/>
      <c r="T97"/>
    </row>
    <row r="98" spans="2:20" ht="23.1" customHeight="1" x14ac:dyDescent="0.25">
      <c r="B98" s="46" t="s">
        <v>138</v>
      </c>
      <c r="C98" s="50">
        <v>24</v>
      </c>
      <c r="D98" s="50">
        <v>13</v>
      </c>
      <c r="E98" s="50">
        <v>9</v>
      </c>
      <c r="F98" s="50">
        <v>11</v>
      </c>
      <c r="G98" s="50">
        <v>0</v>
      </c>
      <c r="H98" s="50">
        <v>0</v>
      </c>
      <c r="I98" s="50">
        <v>0</v>
      </c>
      <c r="J98" s="50">
        <v>1</v>
      </c>
      <c r="K98" s="50">
        <v>1</v>
      </c>
      <c r="L98" s="50">
        <v>0</v>
      </c>
      <c r="M98" s="50">
        <v>13</v>
      </c>
      <c r="N98" s="50">
        <v>0</v>
      </c>
      <c r="O98" s="15">
        <f t="shared" si="35"/>
        <v>59</v>
      </c>
      <c r="P98" s="15">
        <f t="shared" si="36"/>
        <v>72</v>
      </c>
      <c r="R98" s="8"/>
      <c r="T98"/>
    </row>
    <row r="99" spans="2:20" ht="23.1" customHeight="1" x14ac:dyDescent="0.25">
      <c r="B99" s="45" t="s">
        <v>139</v>
      </c>
      <c r="C99" s="50">
        <v>12</v>
      </c>
      <c r="D99" s="50">
        <v>0</v>
      </c>
      <c r="E99" s="50">
        <v>2</v>
      </c>
      <c r="F99" s="50">
        <v>1</v>
      </c>
      <c r="G99" s="50">
        <v>0</v>
      </c>
      <c r="H99" s="50">
        <v>0</v>
      </c>
      <c r="I99" s="50">
        <v>1</v>
      </c>
      <c r="J99" s="50">
        <v>0</v>
      </c>
      <c r="K99" s="50">
        <v>0</v>
      </c>
      <c r="L99" s="50">
        <v>0</v>
      </c>
      <c r="M99" s="50">
        <v>15</v>
      </c>
      <c r="N99" s="50">
        <v>0</v>
      </c>
      <c r="O99" s="15">
        <f t="shared" si="35"/>
        <v>16</v>
      </c>
      <c r="P99" s="15">
        <f t="shared" si="36"/>
        <v>31</v>
      </c>
      <c r="R99" s="8"/>
      <c r="T99"/>
    </row>
    <row r="100" spans="2:20" ht="23.1" customHeight="1" x14ac:dyDescent="0.25">
      <c r="B100" s="47" t="s">
        <v>140</v>
      </c>
      <c r="C100" s="50">
        <v>6</v>
      </c>
      <c r="D100" s="50">
        <v>0</v>
      </c>
      <c r="E100" s="50">
        <v>3</v>
      </c>
      <c r="F100" s="50">
        <v>3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17</v>
      </c>
      <c r="N100" s="50">
        <v>0</v>
      </c>
      <c r="O100" s="15">
        <f t="shared" si="35"/>
        <v>12</v>
      </c>
      <c r="P100" s="15">
        <f t="shared" si="36"/>
        <v>29</v>
      </c>
      <c r="R100" s="8"/>
      <c r="T100"/>
    </row>
    <row r="101" spans="2:20" ht="23.1" customHeight="1" x14ac:dyDescent="0.25">
      <c r="B101" s="45" t="s">
        <v>141</v>
      </c>
      <c r="C101" s="50">
        <v>8</v>
      </c>
      <c r="D101" s="50">
        <v>2</v>
      </c>
      <c r="E101" s="50">
        <v>2</v>
      </c>
      <c r="F101" s="50">
        <v>1</v>
      </c>
      <c r="G101" s="50">
        <v>0</v>
      </c>
      <c r="H101" s="50">
        <v>0</v>
      </c>
      <c r="I101" s="50">
        <v>1</v>
      </c>
      <c r="J101" s="50">
        <v>0</v>
      </c>
      <c r="K101" s="50">
        <v>1</v>
      </c>
      <c r="L101" s="50">
        <v>0</v>
      </c>
      <c r="M101" s="50">
        <v>27</v>
      </c>
      <c r="N101" s="50">
        <v>0</v>
      </c>
      <c r="O101" s="15">
        <f t="shared" si="35"/>
        <v>15</v>
      </c>
      <c r="P101" s="15">
        <f t="shared" si="36"/>
        <v>42</v>
      </c>
      <c r="R101" s="8"/>
      <c r="T101"/>
    </row>
    <row r="102" spans="2:20" ht="23.1" customHeight="1" x14ac:dyDescent="0.25">
      <c r="B102" s="46" t="s">
        <v>142</v>
      </c>
      <c r="C102" s="50">
        <v>5</v>
      </c>
      <c r="D102" s="50">
        <v>1</v>
      </c>
      <c r="E102" s="50">
        <v>2</v>
      </c>
      <c r="F102" s="50">
        <v>5</v>
      </c>
      <c r="G102" s="50">
        <v>0</v>
      </c>
      <c r="H102" s="50">
        <v>0</v>
      </c>
      <c r="I102" s="50">
        <v>1</v>
      </c>
      <c r="J102" s="50">
        <v>0</v>
      </c>
      <c r="K102" s="50">
        <v>0</v>
      </c>
      <c r="L102" s="50">
        <v>0</v>
      </c>
      <c r="M102" s="50">
        <v>20</v>
      </c>
      <c r="N102" s="50">
        <v>0</v>
      </c>
      <c r="O102" s="15">
        <f t="shared" si="35"/>
        <v>14</v>
      </c>
      <c r="P102" s="15">
        <f t="shared" si="36"/>
        <v>34</v>
      </c>
      <c r="R102" s="8"/>
      <c r="T102"/>
    </row>
    <row r="103" spans="2:20" ht="23.1" customHeight="1" x14ac:dyDescent="0.25">
      <c r="B103" s="45" t="s">
        <v>143</v>
      </c>
      <c r="C103" s="50">
        <v>8</v>
      </c>
      <c r="D103" s="50">
        <v>0</v>
      </c>
      <c r="E103" s="50">
        <v>0</v>
      </c>
      <c r="F103" s="50">
        <v>3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36</v>
      </c>
      <c r="N103" s="50">
        <v>0</v>
      </c>
      <c r="O103" s="15">
        <f t="shared" si="35"/>
        <v>11</v>
      </c>
      <c r="P103" s="15">
        <f t="shared" si="36"/>
        <v>47</v>
      </c>
      <c r="R103" s="8"/>
      <c r="T103"/>
    </row>
    <row r="104" spans="2:20" ht="23.1" customHeight="1" x14ac:dyDescent="0.25">
      <c r="B104" s="47" t="s">
        <v>144</v>
      </c>
      <c r="C104" s="50">
        <v>8</v>
      </c>
      <c r="D104" s="50">
        <v>1</v>
      </c>
      <c r="E104" s="50">
        <v>1</v>
      </c>
      <c r="F104" s="50">
        <v>7</v>
      </c>
      <c r="G104" s="50">
        <v>0</v>
      </c>
      <c r="H104" s="50">
        <v>0</v>
      </c>
      <c r="I104" s="50">
        <v>2</v>
      </c>
      <c r="J104" s="50">
        <v>0</v>
      </c>
      <c r="K104" s="50">
        <v>0</v>
      </c>
      <c r="L104" s="50">
        <v>0</v>
      </c>
      <c r="M104" s="50">
        <v>44</v>
      </c>
      <c r="N104" s="50">
        <v>0</v>
      </c>
      <c r="O104" s="15">
        <f t="shared" si="35"/>
        <v>19</v>
      </c>
      <c r="P104" s="15">
        <f t="shared" si="36"/>
        <v>63</v>
      </c>
      <c r="R104" s="8"/>
      <c r="T104"/>
    </row>
    <row r="105" spans="2:20" ht="23.1" customHeight="1" x14ac:dyDescent="0.25">
      <c r="B105" s="45" t="s">
        <v>145</v>
      </c>
      <c r="C105" s="50">
        <v>12</v>
      </c>
      <c r="D105" s="50">
        <v>3</v>
      </c>
      <c r="E105" s="50">
        <v>2</v>
      </c>
      <c r="F105" s="50">
        <v>9</v>
      </c>
      <c r="G105" s="50">
        <v>0</v>
      </c>
      <c r="H105" s="50">
        <v>1</v>
      </c>
      <c r="I105" s="50">
        <v>0</v>
      </c>
      <c r="J105" s="50">
        <v>1</v>
      </c>
      <c r="K105" s="50">
        <v>1</v>
      </c>
      <c r="L105" s="50">
        <v>0</v>
      </c>
      <c r="M105" s="50">
        <v>42</v>
      </c>
      <c r="N105" s="50">
        <v>0</v>
      </c>
      <c r="O105" s="15">
        <f t="shared" si="35"/>
        <v>29</v>
      </c>
      <c r="P105" s="15">
        <f t="shared" si="36"/>
        <v>71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4763</v>
      </c>
      <c r="D106" s="16">
        <f t="shared" ref="D106:P106" si="37">SUM(D10:D105)</f>
        <v>1670</v>
      </c>
      <c r="E106" s="16">
        <f t="shared" si="37"/>
        <v>700</v>
      </c>
      <c r="F106" s="16">
        <f t="shared" si="37"/>
        <v>1239</v>
      </c>
      <c r="G106" s="16">
        <f t="shared" si="37"/>
        <v>21</v>
      </c>
      <c r="H106" s="16">
        <f t="shared" si="37"/>
        <v>9</v>
      </c>
      <c r="I106" s="16">
        <f t="shared" si="37"/>
        <v>356</v>
      </c>
      <c r="J106" s="16">
        <f t="shared" si="37"/>
        <v>108</v>
      </c>
      <c r="K106" s="16">
        <f t="shared" si="37"/>
        <v>34</v>
      </c>
      <c r="L106" s="16">
        <f t="shared" si="37"/>
        <v>12</v>
      </c>
      <c r="M106" s="16">
        <f t="shared" si="37"/>
        <v>9118</v>
      </c>
      <c r="N106" s="16">
        <f t="shared" si="37"/>
        <v>0</v>
      </c>
      <c r="O106" s="16">
        <f t="shared" si="37"/>
        <v>8912</v>
      </c>
      <c r="P106" s="16">
        <f t="shared" si="37"/>
        <v>18030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0.2641708264004437</v>
      </c>
      <c r="D107" s="43">
        <f t="shared" si="38"/>
        <v>9.262340543538547E-2</v>
      </c>
      <c r="E107" s="43">
        <f t="shared" si="38"/>
        <v>3.8824181919023849E-2</v>
      </c>
      <c r="F107" s="43">
        <f t="shared" si="38"/>
        <v>6.8718801996672213E-2</v>
      </c>
      <c r="G107" s="43">
        <f t="shared" si="38"/>
        <v>1.1647254575707154E-3</v>
      </c>
      <c r="H107" s="43">
        <f t="shared" si="38"/>
        <v>4.9916805324459236E-4</v>
      </c>
      <c r="I107" s="43">
        <f t="shared" si="38"/>
        <v>1.9744869661674987E-2</v>
      </c>
      <c r="J107" s="43">
        <f t="shared" si="38"/>
        <v>5.9900166389351079E-3</v>
      </c>
      <c r="K107" s="43">
        <f t="shared" si="38"/>
        <v>1.8857459789240155E-3</v>
      </c>
      <c r="L107" s="43">
        <f t="shared" si="38"/>
        <v>6.6555740432612314E-4</v>
      </c>
      <c r="M107" s="43">
        <f t="shared" si="38"/>
        <v>0.50571270105379917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0.53444793536804314</v>
      </c>
      <c r="D108" s="44">
        <f t="shared" ref="D108:N108" si="39">D106/$O$106</f>
        <v>0.18738779174147216</v>
      </c>
      <c r="E108" s="44">
        <f t="shared" si="39"/>
        <v>7.8545780969479354E-2</v>
      </c>
      <c r="F108" s="44">
        <f t="shared" si="39"/>
        <v>0.13902603231597846</v>
      </c>
      <c r="G108" s="44">
        <f t="shared" si="39"/>
        <v>2.3563734290843806E-3</v>
      </c>
      <c r="H108" s="44">
        <f t="shared" si="39"/>
        <v>1.0098743267504488E-3</v>
      </c>
      <c r="I108" s="44">
        <f t="shared" si="39"/>
        <v>3.9946140035906644E-2</v>
      </c>
      <c r="J108" s="44">
        <f t="shared" si="39"/>
        <v>1.2118491921005385E-2</v>
      </c>
      <c r="K108" s="44">
        <f t="shared" si="39"/>
        <v>3.81508078994614E-3</v>
      </c>
      <c r="L108" s="44">
        <f t="shared" si="39"/>
        <v>1.3464991023339318E-3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4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0" t="str">
        <f>'01.08 NAMUGONGO-KIREKA'!C3:G3</f>
        <v>MCC - C1 - STN039 - NAMUGONGO ROAD</v>
      </c>
      <c r="D3" s="60"/>
      <c r="E3" s="60"/>
      <c r="F3" s="60"/>
      <c r="G3" s="6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175</v>
      </c>
      <c r="E5" s="3"/>
      <c r="F5" s="41" t="s">
        <v>1</v>
      </c>
      <c r="G5" s="56" t="str">
        <f>'01.08 NAMUGONGO-KIREKA'!G5:H5</f>
        <v>AGENDA</v>
      </c>
      <c r="H5" s="57"/>
      <c r="I5" s="14"/>
      <c r="J5" s="2" t="s">
        <v>5</v>
      </c>
      <c r="K5" s="56" t="str">
        <f>'01.08 NAMUGONGO-KIREKA'!K5:L5</f>
        <v>STEVEN</v>
      </c>
      <c r="L5" s="57"/>
      <c r="M5" s="10"/>
      <c r="N5" s="10"/>
      <c r="O5" s="3"/>
      <c r="P5" s="3"/>
    </row>
    <row r="6" spans="2:32" ht="23.25" customHeight="1" x14ac:dyDescent="0.25">
      <c r="C6" s="2" t="s">
        <v>4</v>
      </c>
      <c r="D6" s="56" t="str">
        <f>'01.08 NAMUGONGO-KIREKA'!D6:E6</f>
        <v>NAMUGONGO</v>
      </c>
      <c r="E6" s="57"/>
      <c r="F6" s="2" t="s">
        <v>2</v>
      </c>
      <c r="G6" s="56" t="str">
        <f>'01.08 NAMUGONGO-KIREKA'!G6:H6</f>
        <v>KIREKA</v>
      </c>
      <c r="H6" s="57"/>
      <c r="J6" s="2" t="s">
        <v>21</v>
      </c>
      <c r="K6" s="56" t="str">
        <f>'01.08 NAMUGONGO-KIREKA'!K6:L6</f>
        <v>NAIDO GRACE BRENDA</v>
      </c>
      <c r="L6" s="5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5" t="s">
        <v>88</v>
      </c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21</v>
      </c>
      <c r="D10" s="50">
        <v>1</v>
      </c>
      <c r="E10" s="50">
        <v>2</v>
      </c>
      <c r="F10" s="50">
        <v>16</v>
      </c>
      <c r="G10" s="50">
        <v>0</v>
      </c>
      <c r="H10" s="50">
        <v>0</v>
      </c>
      <c r="I10" s="50">
        <v>2</v>
      </c>
      <c r="J10" s="50">
        <v>1</v>
      </c>
      <c r="K10" s="50">
        <v>0</v>
      </c>
      <c r="L10" s="50">
        <v>0</v>
      </c>
      <c r="M10" s="50">
        <v>66</v>
      </c>
      <c r="N10" s="50">
        <v>0</v>
      </c>
      <c r="O10" s="15">
        <f t="shared" ref="O10:O57" si="0">SUM(C10:L10,N10)</f>
        <v>43</v>
      </c>
      <c r="P10" s="15">
        <f t="shared" ref="P10:P57" si="1">SUM(C10:N10)</f>
        <v>109</v>
      </c>
      <c r="R10" s="1" t="s">
        <v>6</v>
      </c>
      <c r="S10" s="17">
        <f t="shared" ref="S10:AF10" si="2">SUM(C10:C13)</f>
        <v>155</v>
      </c>
      <c r="T10" s="17">
        <f t="shared" si="2"/>
        <v>11</v>
      </c>
      <c r="U10" s="17">
        <f t="shared" si="2"/>
        <v>10</v>
      </c>
      <c r="V10" s="17">
        <f t="shared" si="2"/>
        <v>118</v>
      </c>
      <c r="W10" s="17">
        <f t="shared" si="2"/>
        <v>4</v>
      </c>
      <c r="X10" s="17">
        <f t="shared" si="2"/>
        <v>0</v>
      </c>
      <c r="Y10" s="17">
        <f t="shared" si="2"/>
        <v>9</v>
      </c>
      <c r="Z10" s="17">
        <f t="shared" si="2"/>
        <v>6</v>
      </c>
      <c r="AA10" s="17">
        <f t="shared" si="2"/>
        <v>1</v>
      </c>
      <c r="AB10" s="17">
        <f t="shared" si="2"/>
        <v>0</v>
      </c>
      <c r="AC10" s="17">
        <f t="shared" si="2"/>
        <v>298</v>
      </c>
      <c r="AD10" s="17">
        <f t="shared" si="2"/>
        <v>0</v>
      </c>
      <c r="AE10" s="31">
        <f t="shared" si="2"/>
        <v>314</v>
      </c>
      <c r="AF10" s="31">
        <f t="shared" si="2"/>
        <v>612</v>
      </c>
    </row>
    <row r="11" spans="2:32" s="6" customFormat="1" ht="23.1" customHeight="1" x14ac:dyDescent="0.25">
      <c r="B11" s="23" t="s">
        <v>38</v>
      </c>
      <c r="C11" s="50">
        <v>52</v>
      </c>
      <c r="D11" s="50">
        <v>2</v>
      </c>
      <c r="E11" s="50">
        <v>1</v>
      </c>
      <c r="F11" s="50">
        <v>46</v>
      </c>
      <c r="G11" s="50">
        <v>1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73</v>
      </c>
      <c r="N11" s="50">
        <v>0</v>
      </c>
      <c r="O11" s="15">
        <f t="shared" si="0"/>
        <v>103</v>
      </c>
      <c r="P11" s="15">
        <f t="shared" si="1"/>
        <v>176</v>
      </c>
      <c r="R11" s="1" t="s">
        <v>7</v>
      </c>
      <c r="S11" s="17">
        <f t="shared" ref="S11:AF11" si="3">SUM(C14:C17)</f>
        <v>233</v>
      </c>
      <c r="T11" s="17">
        <f t="shared" si="3"/>
        <v>13</v>
      </c>
      <c r="U11" s="17">
        <f t="shared" si="3"/>
        <v>12</v>
      </c>
      <c r="V11" s="17">
        <f t="shared" si="3"/>
        <v>113</v>
      </c>
      <c r="W11" s="17">
        <f t="shared" si="3"/>
        <v>0</v>
      </c>
      <c r="X11" s="17">
        <f t="shared" si="3"/>
        <v>0</v>
      </c>
      <c r="Y11" s="17">
        <f t="shared" si="3"/>
        <v>5</v>
      </c>
      <c r="Z11" s="17">
        <f t="shared" si="3"/>
        <v>4</v>
      </c>
      <c r="AA11" s="17">
        <f t="shared" si="3"/>
        <v>6</v>
      </c>
      <c r="AB11" s="17">
        <f t="shared" si="3"/>
        <v>0</v>
      </c>
      <c r="AC11" s="17">
        <f t="shared" si="3"/>
        <v>428</v>
      </c>
      <c r="AD11" s="17">
        <f t="shared" si="3"/>
        <v>0</v>
      </c>
      <c r="AE11" s="31">
        <f t="shared" si="3"/>
        <v>386</v>
      </c>
      <c r="AF11" s="31">
        <f t="shared" si="3"/>
        <v>814</v>
      </c>
    </row>
    <row r="12" spans="2:32" ht="23.1" customHeight="1" x14ac:dyDescent="0.25">
      <c r="B12" s="23" t="s">
        <v>39</v>
      </c>
      <c r="C12" s="50">
        <v>37</v>
      </c>
      <c r="D12" s="50">
        <v>2</v>
      </c>
      <c r="E12" s="50">
        <v>7</v>
      </c>
      <c r="F12" s="50">
        <v>16</v>
      </c>
      <c r="G12" s="50">
        <v>3</v>
      </c>
      <c r="H12" s="50">
        <v>0</v>
      </c>
      <c r="I12" s="50">
        <v>4</v>
      </c>
      <c r="J12" s="50">
        <v>4</v>
      </c>
      <c r="K12" s="50">
        <v>1</v>
      </c>
      <c r="L12" s="50">
        <v>0</v>
      </c>
      <c r="M12" s="50">
        <v>74</v>
      </c>
      <c r="N12" s="50">
        <v>0</v>
      </c>
      <c r="O12" s="15">
        <f t="shared" si="0"/>
        <v>74</v>
      </c>
      <c r="P12" s="15">
        <f t="shared" si="1"/>
        <v>148</v>
      </c>
      <c r="R12" s="1" t="s">
        <v>8</v>
      </c>
      <c r="S12" s="17">
        <f t="shared" ref="S12:AF12" si="4">SUM(C18:C21)</f>
        <v>279</v>
      </c>
      <c r="T12" s="17">
        <f t="shared" si="4"/>
        <v>28</v>
      </c>
      <c r="U12" s="17">
        <f t="shared" si="4"/>
        <v>24</v>
      </c>
      <c r="V12" s="17">
        <f t="shared" si="4"/>
        <v>82</v>
      </c>
      <c r="W12" s="17">
        <f t="shared" si="4"/>
        <v>1</v>
      </c>
      <c r="X12" s="17">
        <f t="shared" si="4"/>
        <v>0</v>
      </c>
      <c r="Y12" s="17">
        <f t="shared" si="4"/>
        <v>22</v>
      </c>
      <c r="Z12" s="17">
        <f t="shared" si="4"/>
        <v>11</v>
      </c>
      <c r="AA12" s="17">
        <f t="shared" si="4"/>
        <v>1</v>
      </c>
      <c r="AB12" s="17">
        <f t="shared" si="4"/>
        <v>0</v>
      </c>
      <c r="AC12" s="17">
        <f t="shared" si="4"/>
        <v>486</v>
      </c>
      <c r="AD12" s="17">
        <f t="shared" si="4"/>
        <v>0</v>
      </c>
      <c r="AE12" s="31">
        <f t="shared" si="4"/>
        <v>448</v>
      </c>
      <c r="AF12" s="31">
        <f t="shared" si="4"/>
        <v>934</v>
      </c>
    </row>
    <row r="13" spans="2:32" ht="23.1" customHeight="1" x14ac:dyDescent="0.25">
      <c r="B13" s="23" t="s">
        <v>40</v>
      </c>
      <c r="C13" s="50">
        <v>45</v>
      </c>
      <c r="D13" s="50">
        <v>6</v>
      </c>
      <c r="E13" s="50">
        <v>0</v>
      </c>
      <c r="F13" s="50">
        <v>40</v>
      </c>
      <c r="G13" s="50">
        <v>0</v>
      </c>
      <c r="H13" s="50">
        <v>0</v>
      </c>
      <c r="I13" s="50">
        <v>2</v>
      </c>
      <c r="J13" s="50">
        <v>1</v>
      </c>
      <c r="K13" s="50">
        <v>0</v>
      </c>
      <c r="L13" s="50">
        <v>0</v>
      </c>
      <c r="M13" s="50">
        <v>85</v>
      </c>
      <c r="N13" s="50">
        <v>0</v>
      </c>
      <c r="O13" s="15">
        <f t="shared" si="0"/>
        <v>94</v>
      </c>
      <c r="P13" s="15">
        <f t="shared" si="1"/>
        <v>179</v>
      </c>
      <c r="R13" s="1" t="s">
        <v>9</v>
      </c>
      <c r="S13" s="17">
        <f t="shared" ref="S13:AF13" si="5">SUM(C22:C25)</f>
        <v>360</v>
      </c>
      <c r="T13" s="17">
        <f t="shared" si="5"/>
        <v>41</v>
      </c>
      <c r="U13" s="17">
        <f t="shared" si="5"/>
        <v>17</v>
      </c>
      <c r="V13" s="17">
        <f t="shared" si="5"/>
        <v>99</v>
      </c>
      <c r="W13" s="17">
        <f t="shared" si="5"/>
        <v>0</v>
      </c>
      <c r="X13" s="17">
        <f t="shared" si="5"/>
        <v>0</v>
      </c>
      <c r="Y13" s="17">
        <f t="shared" si="5"/>
        <v>13</v>
      </c>
      <c r="Z13" s="17">
        <f t="shared" si="5"/>
        <v>10</v>
      </c>
      <c r="AA13" s="17">
        <f t="shared" si="5"/>
        <v>4</v>
      </c>
      <c r="AB13" s="17">
        <f t="shared" si="5"/>
        <v>2</v>
      </c>
      <c r="AC13" s="17">
        <f t="shared" si="5"/>
        <v>511</v>
      </c>
      <c r="AD13" s="17">
        <f t="shared" si="5"/>
        <v>0</v>
      </c>
      <c r="AE13" s="31">
        <f t="shared" si="5"/>
        <v>546</v>
      </c>
      <c r="AF13" s="31">
        <f t="shared" si="5"/>
        <v>1057</v>
      </c>
    </row>
    <row r="14" spans="2:32" ht="23.1" customHeight="1" x14ac:dyDescent="0.25">
      <c r="B14" s="23" t="s">
        <v>41</v>
      </c>
      <c r="C14" s="50">
        <v>65</v>
      </c>
      <c r="D14" s="50">
        <v>2</v>
      </c>
      <c r="E14" s="50">
        <v>3</v>
      </c>
      <c r="F14" s="50">
        <v>30</v>
      </c>
      <c r="G14" s="50">
        <v>0</v>
      </c>
      <c r="H14" s="50">
        <v>0</v>
      </c>
      <c r="I14" s="50">
        <v>0</v>
      </c>
      <c r="J14" s="50">
        <v>1</v>
      </c>
      <c r="K14" s="50">
        <v>3</v>
      </c>
      <c r="L14" s="50">
        <v>0</v>
      </c>
      <c r="M14" s="50">
        <v>108</v>
      </c>
      <c r="N14" s="50">
        <v>0</v>
      </c>
      <c r="O14" s="15">
        <f t="shared" si="0"/>
        <v>104</v>
      </c>
      <c r="P14" s="15">
        <f t="shared" si="1"/>
        <v>212</v>
      </c>
      <c r="R14" s="1" t="s">
        <v>10</v>
      </c>
      <c r="S14" s="17">
        <f t="shared" ref="S14:AF14" si="6">SUM(C26:C29)</f>
        <v>363</v>
      </c>
      <c r="T14" s="17">
        <f t="shared" si="6"/>
        <v>21</v>
      </c>
      <c r="U14" s="17">
        <f t="shared" si="6"/>
        <v>35</v>
      </c>
      <c r="V14" s="17">
        <f t="shared" si="6"/>
        <v>103</v>
      </c>
      <c r="W14" s="17">
        <f t="shared" si="6"/>
        <v>1</v>
      </c>
      <c r="X14" s="17">
        <f t="shared" si="6"/>
        <v>0</v>
      </c>
      <c r="Y14" s="17">
        <f t="shared" si="6"/>
        <v>12</v>
      </c>
      <c r="Z14" s="17">
        <f t="shared" si="6"/>
        <v>13</v>
      </c>
      <c r="AA14" s="17">
        <f t="shared" si="6"/>
        <v>2</v>
      </c>
      <c r="AB14" s="17">
        <f t="shared" si="6"/>
        <v>1</v>
      </c>
      <c r="AC14" s="17">
        <f t="shared" si="6"/>
        <v>472</v>
      </c>
      <c r="AD14" s="17">
        <f t="shared" si="6"/>
        <v>0</v>
      </c>
      <c r="AE14" s="31">
        <f t="shared" si="6"/>
        <v>551</v>
      </c>
      <c r="AF14" s="31">
        <f t="shared" si="6"/>
        <v>1023</v>
      </c>
    </row>
    <row r="15" spans="2:32" ht="23.1" customHeight="1" x14ac:dyDescent="0.25">
      <c r="B15" s="23" t="s">
        <v>42</v>
      </c>
      <c r="C15" s="50">
        <v>50</v>
      </c>
      <c r="D15" s="50">
        <v>2</v>
      </c>
      <c r="E15" s="50">
        <v>4</v>
      </c>
      <c r="F15" s="50">
        <v>35</v>
      </c>
      <c r="G15" s="50">
        <v>0</v>
      </c>
      <c r="H15" s="50">
        <v>0</v>
      </c>
      <c r="I15" s="50">
        <v>0</v>
      </c>
      <c r="J15" s="50">
        <v>1</v>
      </c>
      <c r="K15" s="50">
        <v>3</v>
      </c>
      <c r="L15" s="50">
        <v>0</v>
      </c>
      <c r="M15" s="50">
        <v>113</v>
      </c>
      <c r="N15" s="50">
        <v>0</v>
      </c>
      <c r="O15" s="15">
        <f t="shared" si="0"/>
        <v>95</v>
      </c>
      <c r="P15" s="15">
        <f t="shared" si="1"/>
        <v>208</v>
      </c>
      <c r="R15" s="1" t="s">
        <v>11</v>
      </c>
      <c r="S15" s="17">
        <f t="shared" ref="S15:AF15" si="7">SUM(C30:C33)</f>
        <v>312</v>
      </c>
      <c r="T15" s="17">
        <f t="shared" si="7"/>
        <v>23</v>
      </c>
      <c r="U15" s="17">
        <f t="shared" si="7"/>
        <v>28</v>
      </c>
      <c r="V15" s="17">
        <f t="shared" si="7"/>
        <v>76</v>
      </c>
      <c r="W15" s="17">
        <f t="shared" si="7"/>
        <v>0</v>
      </c>
      <c r="X15" s="17">
        <f t="shared" si="7"/>
        <v>0</v>
      </c>
      <c r="Y15" s="17">
        <f t="shared" si="7"/>
        <v>11</v>
      </c>
      <c r="Z15" s="17">
        <f t="shared" si="7"/>
        <v>6</v>
      </c>
      <c r="AA15" s="17">
        <f t="shared" si="7"/>
        <v>4</v>
      </c>
      <c r="AB15" s="17">
        <f t="shared" si="7"/>
        <v>2</v>
      </c>
      <c r="AC15" s="17">
        <f t="shared" si="7"/>
        <v>426</v>
      </c>
      <c r="AD15" s="17">
        <f t="shared" si="7"/>
        <v>0</v>
      </c>
      <c r="AE15" s="31">
        <f t="shared" si="7"/>
        <v>462</v>
      </c>
      <c r="AF15" s="31">
        <f t="shared" si="7"/>
        <v>888</v>
      </c>
    </row>
    <row r="16" spans="2:32" ht="23.1" customHeight="1" x14ac:dyDescent="0.25">
      <c r="B16" s="23" t="s">
        <v>43</v>
      </c>
      <c r="C16" s="50">
        <v>58</v>
      </c>
      <c r="D16" s="50">
        <v>4</v>
      </c>
      <c r="E16" s="50">
        <v>2</v>
      </c>
      <c r="F16" s="50">
        <v>17</v>
      </c>
      <c r="G16" s="50">
        <v>0</v>
      </c>
      <c r="H16" s="50">
        <v>0</v>
      </c>
      <c r="I16" s="50">
        <v>4</v>
      </c>
      <c r="J16" s="50">
        <v>2</v>
      </c>
      <c r="K16" s="50">
        <v>0</v>
      </c>
      <c r="L16" s="50">
        <v>0</v>
      </c>
      <c r="M16" s="50">
        <v>99</v>
      </c>
      <c r="N16" s="50">
        <v>0</v>
      </c>
      <c r="O16" s="15">
        <f t="shared" si="0"/>
        <v>87</v>
      </c>
      <c r="P16" s="15">
        <f t="shared" si="1"/>
        <v>186</v>
      </c>
      <c r="R16" s="1" t="s">
        <v>12</v>
      </c>
      <c r="S16" s="17">
        <f t="shared" ref="S16:AF16" si="8">SUM(C34:C37)</f>
        <v>250</v>
      </c>
      <c r="T16" s="17">
        <f t="shared" si="8"/>
        <v>17</v>
      </c>
      <c r="U16" s="17">
        <f t="shared" si="8"/>
        <v>12</v>
      </c>
      <c r="V16" s="17">
        <f t="shared" si="8"/>
        <v>88</v>
      </c>
      <c r="W16" s="17">
        <f t="shared" si="8"/>
        <v>0</v>
      </c>
      <c r="X16" s="17">
        <f t="shared" si="8"/>
        <v>0</v>
      </c>
      <c r="Y16" s="17">
        <f t="shared" si="8"/>
        <v>11</v>
      </c>
      <c r="Z16" s="17">
        <f t="shared" si="8"/>
        <v>8</v>
      </c>
      <c r="AA16" s="17">
        <f t="shared" si="8"/>
        <v>4</v>
      </c>
      <c r="AB16" s="17">
        <f t="shared" si="8"/>
        <v>1</v>
      </c>
      <c r="AC16" s="17">
        <f t="shared" si="8"/>
        <v>414</v>
      </c>
      <c r="AD16" s="17">
        <f t="shared" si="8"/>
        <v>0</v>
      </c>
      <c r="AE16" s="31">
        <f t="shared" si="8"/>
        <v>391</v>
      </c>
      <c r="AF16" s="31">
        <f t="shared" si="8"/>
        <v>805</v>
      </c>
    </row>
    <row r="17" spans="2:32" ht="23.1" customHeight="1" x14ac:dyDescent="0.25">
      <c r="B17" s="23" t="s">
        <v>44</v>
      </c>
      <c r="C17" s="50">
        <v>60</v>
      </c>
      <c r="D17" s="50">
        <v>5</v>
      </c>
      <c r="E17" s="50">
        <v>3</v>
      </c>
      <c r="F17" s="50">
        <v>31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108</v>
      </c>
      <c r="N17" s="50">
        <v>0</v>
      </c>
      <c r="O17" s="15">
        <f t="shared" si="0"/>
        <v>100</v>
      </c>
      <c r="P17" s="15">
        <f t="shared" si="1"/>
        <v>208</v>
      </c>
      <c r="R17" s="1" t="s">
        <v>13</v>
      </c>
      <c r="S17" s="17">
        <f t="shared" ref="S17:AF17" si="9">SUM(C38:C41)</f>
        <v>310</v>
      </c>
      <c r="T17" s="17">
        <f t="shared" si="9"/>
        <v>26</v>
      </c>
      <c r="U17" s="17">
        <f t="shared" si="9"/>
        <v>18</v>
      </c>
      <c r="V17" s="17">
        <f t="shared" si="9"/>
        <v>85</v>
      </c>
      <c r="W17" s="17">
        <f t="shared" si="9"/>
        <v>0</v>
      </c>
      <c r="X17" s="17">
        <f t="shared" si="9"/>
        <v>0</v>
      </c>
      <c r="Y17" s="17">
        <f t="shared" si="9"/>
        <v>12</v>
      </c>
      <c r="Z17" s="17">
        <f t="shared" si="9"/>
        <v>3</v>
      </c>
      <c r="AA17" s="17">
        <f t="shared" si="9"/>
        <v>4</v>
      </c>
      <c r="AB17" s="17">
        <f t="shared" si="9"/>
        <v>2</v>
      </c>
      <c r="AC17" s="17">
        <f t="shared" si="9"/>
        <v>430</v>
      </c>
      <c r="AD17" s="17">
        <f t="shared" si="9"/>
        <v>0</v>
      </c>
      <c r="AE17" s="31">
        <f t="shared" si="9"/>
        <v>460</v>
      </c>
      <c r="AF17" s="31">
        <f t="shared" si="9"/>
        <v>890</v>
      </c>
    </row>
    <row r="18" spans="2:32" ht="23.1" customHeight="1" x14ac:dyDescent="0.25">
      <c r="B18" s="23" t="s">
        <v>45</v>
      </c>
      <c r="C18" s="50">
        <v>55</v>
      </c>
      <c r="D18" s="50">
        <v>7</v>
      </c>
      <c r="E18" s="50">
        <v>2</v>
      </c>
      <c r="F18" s="50">
        <v>24</v>
      </c>
      <c r="G18" s="50">
        <v>0</v>
      </c>
      <c r="H18" s="50">
        <v>0</v>
      </c>
      <c r="I18" s="50">
        <v>9</v>
      </c>
      <c r="J18" s="50">
        <v>5</v>
      </c>
      <c r="K18" s="50">
        <v>0</v>
      </c>
      <c r="L18" s="50">
        <v>0</v>
      </c>
      <c r="M18" s="50">
        <v>109</v>
      </c>
      <c r="N18" s="50">
        <v>0</v>
      </c>
      <c r="O18" s="15">
        <f t="shared" si="0"/>
        <v>102</v>
      </c>
      <c r="P18" s="15">
        <f t="shared" si="1"/>
        <v>211</v>
      </c>
      <c r="R18" s="1" t="s">
        <v>14</v>
      </c>
      <c r="S18" s="17">
        <f t="shared" ref="S18:AF18" si="10">SUM(C42:C45)</f>
        <v>254</v>
      </c>
      <c r="T18" s="17">
        <f t="shared" si="10"/>
        <v>35</v>
      </c>
      <c r="U18" s="17">
        <f t="shared" si="10"/>
        <v>24</v>
      </c>
      <c r="V18" s="17">
        <f t="shared" si="10"/>
        <v>69</v>
      </c>
      <c r="W18" s="17">
        <f t="shared" si="10"/>
        <v>0</v>
      </c>
      <c r="X18" s="17">
        <f t="shared" si="10"/>
        <v>0</v>
      </c>
      <c r="Y18" s="17">
        <f t="shared" si="10"/>
        <v>11</v>
      </c>
      <c r="Z18" s="17">
        <f t="shared" si="10"/>
        <v>2</v>
      </c>
      <c r="AA18" s="17">
        <f t="shared" si="10"/>
        <v>1</v>
      </c>
      <c r="AB18" s="17">
        <f t="shared" si="10"/>
        <v>0</v>
      </c>
      <c r="AC18" s="17">
        <f t="shared" si="10"/>
        <v>423</v>
      </c>
      <c r="AD18" s="17">
        <f t="shared" si="10"/>
        <v>0</v>
      </c>
      <c r="AE18" s="31">
        <f t="shared" si="10"/>
        <v>396</v>
      </c>
      <c r="AF18" s="31">
        <f t="shared" si="10"/>
        <v>819</v>
      </c>
    </row>
    <row r="19" spans="2:32" ht="23.1" customHeight="1" x14ac:dyDescent="0.25">
      <c r="B19" s="23" t="s">
        <v>46</v>
      </c>
      <c r="C19" s="50">
        <v>68</v>
      </c>
      <c r="D19" s="50">
        <v>8</v>
      </c>
      <c r="E19" s="50">
        <v>8</v>
      </c>
      <c r="F19" s="50">
        <v>15</v>
      </c>
      <c r="G19" s="50">
        <v>1</v>
      </c>
      <c r="H19" s="50">
        <v>0</v>
      </c>
      <c r="I19" s="50">
        <v>5</v>
      </c>
      <c r="J19" s="50">
        <v>3</v>
      </c>
      <c r="K19" s="50">
        <v>1</v>
      </c>
      <c r="L19" s="50">
        <v>0</v>
      </c>
      <c r="M19" s="50">
        <v>130</v>
      </c>
      <c r="N19" s="50">
        <v>0</v>
      </c>
      <c r="O19" s="15">
        <f t="shared" si="0"/>
        <v>109</v>
      </c>
      <c r="P19" s="15">
        <f t="shared" si="1"/>
        <v>239</v>
      </c>
      <c r="R19" s="1" t="s">
        <v>15</v>
      </c>
      <c r="S19" s="17">
        <f t="shared" ref="S19:AF19" si="11">SUM(C46:C49)</f>
        <v>343</v>
      </c>
      <c r="T19" s="17">
        <f t="shared" si="11"/>
        <v>55</v>
      </c>
      <c r="U19" s="17">
        <f t="shared" si="11"/>
        <v>28</v>
      </c>
      <c r="V19" s="17">
        <f t="shared" si="11"/>
        <v>98</v>
      </c>
      <c r="W19" s="17">
        <f t="shared" si="11"/>
        <v>0</v>
      </c>
      <c r="X19" s="17">
        <f t="shared" si="11"/>
        <v>0</v>
      </c>
      <c r="Y19" s="17">
        <f t="shared" si="11"/>
        <v>14</v>
      </c>
      <c r="Z19" s="17">
        <f t="shared" si="11"/>
        <v>4</v>
      </c>
      <c r="AA19" s="17">
        <f t="shared" si="11"/>
        <v>1</v>
      </c>
      <c r="AB19" s="17">
        <f t="shared" si="11"/>
        <v>0</v>
      </c>
      <c r="AC19" s="17">
        <f t="shared" si="11"/>
        <v>422</v>
      </c>
      <c r="AD19" s="17">
        <f t="shared" si="11"/>
        <v>0</v>
      </c>
      <c r="AE19" s="31">
        <f t="shared" si="11"/>
        <v>543</v>
      </c>
      <c r="AF19" s="31">
        <f t="shared" si="11"/>
        <v>965</v>
      </c>
    </row>
    <row r="20" spans="2:32" ht="23.1" customHeight="1" x14ac:dyDescent="0.25">
      <c r="B20" s="23" t="s">
        <v>47</v>
      </c>
      <c r="C20" s="50">
        <v>81</v>
      </c>
      <c r="D20" s="50">
        <v>7</v>
      </c>
      <c r="E20" s="50">
        <v>6</v>
      </c>
      <c r="F20" s="50">
        <v>25</v>
      </c>
      <c r="G20" s="50">
        <v>0</v>
      </c>
      <c r="H20" s="50">
        <v>0</v>
      </c>
      <c r="I20" s="50">
        <v>5</v>
      </c>
      <c r="J20" s="50">
        <v>1</v>
      </c>
      <c r="K20" s="50">
        <v>0</v>
      </c>
      <c r="L20" s="50">
        <v>0</v>
      </c>
      <c r="M20" s="50">
        <v>128</v>
      </c>
      <c r="N20" s="50">
        <v>0</v>
      </c>
      <c r="O20" s="15">
        <f t="shared" si="0"/>
        <v>125</v>
      </c>
      <c r="P20" s="15">
        <f t="shared" si="1"/>
        <v>253</v>
      </c>
      <c r="R20" s="1" t="s">
        <v>16</v>
      </c>
      <c r="S20" s="17">
        <f t="shared" ref="S20:AF20" si="12">SUM(C50:C53)</f>
        <v>220</v>
      </c>
      <c r="T20" s="17">
        <f t="shared" si="12"/>
        <v>20</v>
      </c>
      <c r="U20" s="17">
        <f t="shared" si="12"/>
        <v>24</v>
      </c>
      <c r="V20" s="17">
        <f t="shared" si="12"/>
        <v>78</v>
      </c>
      <c r="W20" s="17">
        <f t="shared" si="12"/>
        <v>0</v>
      </c>
      <c r="X20" s="17">
        <f t="shared" si="12"/>
        <v>0</v>
      </c>
      <c r="Y20" s="17">
        <f t="shared" si="12"/>
        <v>11</v>
      </c>
      <c r="Z20" s="17">
        <f t="shared" si="12"/>
        <v>3</v>
      </c>
      <c r="AA20" s="17">
        <f t="shared" si="12"/>
        <v>3</v>
      </c>
      <c r="AB20" s="17">
        <f t="shared" si="12"/>
        <v>1</v>
      </c>
      <c r="AC20" s="17">
        <f t="shared" si="12"/>
        <v>455</v>
      </c>
      <c r="AD20" s="17">
        <f t="shared" si="12"/>
        <v>0</v>
      </c>
      <c r="AE20" s="31">
        <f t="shared" si="12"/>
        <v>360</v>
      </c>
      <c r="AF20" s="31">
        <f t="shared" si="12"/>
        <v>815</v>
      </c>
    </row>
    <row r="21" spans="2:32" ht="23.1" customHeight="1" x14ac:dyDescent="0.25">
      <c r="B21" s="23" t="s">
        <v>48</v>
      </c>
      <c r="C21" s="50">
        <v>75</v>
      </c>
      <c r="D21" s="50">
        <v>6</v>
      </c>
      <c r="E21" s="50">
        <v>8</v>
      </c>
      <c r="F21" s="50">
        <v>18</v>
      </c>
      <c r="G21" s="50">
        <v>0</v>
      </c>
      <c r="H21" s="50">
        <v>0</v>
      </c>
      <c r="I21" s="50">
        <v>3</v>
      </c>
      <c r="J21" s="50">
        <v>2</v>
      </c>
      <c r="K21" s="50">
        <v>0</v>
      </c>
      <c r="L21" s="50">
        <v>0</v>
      </c>
      <c r="M21" s="50">
        <v>119</v>
      </c>
      <c r="N21" s="50">
        <v>0</v>
      </c>
      <c r="O21" s="15">
        <f t="shared" si="0"/>
        <v>112</v>
      </c>
      <c r="P21" s="15">
        <f t="shared" si="1"/>
        <v>231</v>
      </c>
      <c r="R21" s="36" t="s">
        <v>20</v>
      </c>
      <c r="S21" s="34">
        <f t="shared" ref="S21:AF21" si="13">SUM(C54:C57)</f>
        <v>188</v>
      </c>
      <c r="T21" s="17">
        <f t="shared" si="13"/>
        <v>41</v>
      </c>
      <c r="U21" s="17">
        <f t="shared" si="13"/>
        <v>25</v>
      </c>
      <c r="V21" s="17">
        <f t="shared" si="13"/>
        <v>60</v>
      </c>
      <c r="W21" s="17">
        <f t="shared" si="13"/>
        <v>0</v>
      </c>
      <c r="X21" s="17">
        <f t="shared" si="13"/>
        <v>0</v>
      </c>
      <c r="Y21" s="17">
        <f t="shared" si="13"/>
        <v>8</v>
      </c>
      <c r="Z21" s="17">
        <f t="shared" si="13"/>
        <v>3</v>
      </c>
      <c r="AA21" s="17">
        <f t="shared" si="13"/>
        <v>1</v>
      </c>
      <c r="AB21" s="17">
        <f t="shared" si="13"/>
        <v>0</v>
      </c>
      <c r="AC21" s="17">
        <f t="shared" si="13"/>
        <v>468</v>
      </c>
      <c r="AD21" s="17">
        <f t="shared" si="13"/>
        <v>0</v>
      </c>
      <c r="AE21" s="31">
        <f t="shared" si="13"/>
        <v>326</v>
      </c>
      <c r="AF21" s="31">
        <f t="shared" si="13"/>
        <v>794</v>
      </c>
    </row>
    <row r="22" spans="2:32" ht="23.1" customHeight="1" x14ac:dyDescent="0.25">
      <c r="B22" s="23" t="s">
        <v>49</v>
      </c>
      <c r="C22" s="50">
        <v>90</v>
      </c>
      <c r="D22" s="50">
        <v>7</v>
      </c>
      <c r="E22" s="50">
        <v>3</v>
      </c>
      <c r="F22" s="50">
        <v>17</v>
      </c>
      <c r="G22" s="50">
        <v>0</v>
      </c>
      <c r="H22" s="50">
        <v>0</v>
      </c>
      <c r="I22" s="50">
        <v>4</v>
      </c>
      <c r="J22" s="50">
        <v>0</v>
      </c>
      <c r="K22" s="50">
        <v>0</v>
      </c>
      <c r="L22" s="50">
        <v>0</v>
      </c>
      <c r="M22" s="50">
        <v>124</v>
      </c>
      <c r="N22" s="50">
        <v>0</v>
      </c>
      <c r="O22" s="15">
        <f t="shared" si="0"/>
        <v>121</v>
      </c>
      <c r="P22" s="15">
        <f t="shared" si="1"/>
        <v>245</v>
      </c>
      <c r="R22" s="38" t="s">
        <v>90</v>
      </c>
      <c r="S22" s="39">
        <f>MAX(S10:S12)</f>
        <v>279</v>
      </c>
      <c r="T22" s="39">
        <f t="shared" ref="T22:AF22" si="14">MAX(T10:T12)</f>
        <v>28</v>
      </c>
      <c r="U22" s="39">
        <f t="shared" si="14"/>
        <v>24</v>
      </c>
      <c r="V22" s="39">
        <f t="shared" si="14"/>
        <v>118</v>
      </c>
      <c r="W22" s="39">
        <f t="shared" si="14"/>
        <v>4</v>
      </c>
      <c r="X22" s="39">
        <f t="shared" si="14"/>
        <v>0</v>
      </c>
      <c r="Y22" s="39">
        <f t="shared" si="14"/>
        <v>22</v>
      </c>
      <c r="Z22" s="39">
        <f t="shared" si="14"/>
        <v>11</v>
      </c>
      <c r="AA22" s="39">
        <f t="shared" si="14"/>
        <v>6</v>
      </c>
      <c r="AB22" s="39">
        <f t="shared" si="14"/>
        <v>0</v>
      </c>
      <c r="AC22" s="39">
        <f t="shared" si="14"/>
        <v>486</v>
      </c>
      <c r="AD22" s="39">
        <f t="shared" si="14"/>
        <v>0</v>
      </c>
      <c r="AE22" s="40">
        <f t="shared" si="14"/>
        <v>448</v>
      </c>
      <c r="AF22" s="40">
        <f t="shared" si="14"/>
        <v>934</v>
      </c>
    </row>
    <row r="23" spans="2:32" ht="23.1" customHeight="1" x14ac:dyDescent="0.25">
      <c r="B23" s="23" t="s">
        <v>50</v>
      </c>
      <c r="C23" s="50">
        <v>92</v>
      </c>
      <c r="D23" s="50">
        <v>20</v>
      </c>
      <c r="E23" s="50">
        <v>6</v>
      </c>
      <c r="F23" s="50">
        <v>28</v>
      </c>
      <c r="G23" s="50">
        <v>0</v>
      </c>
      <c r="H23" s="50">
        <v>0</v>
      </c>
      <c r="I23" s="50">
        <v>4</v>
      </c>
      <c r="J23" s="50">
        <v>3</v>
      </c>
      <c r="K23" s="50">
        <v>0</v>
      </c>
      <c r="L23" s="50">
        <v>0</v>
      </c>
      <c r="M23" s="50">
        <v>124</v>
      </c>
      <c r="N23" s="50">
        <v>0</v>
      </c>
      <c r="O23" s="15">
        <f t="shared" si="0"/>
        <v>153</v>
      </c>
      <c r="P23" s="15">
        <f t="shared" si="1"/>
        <v>277</v>
      </c>
      <c r="R23" s="38" t="s">
        <v>91</v>
      </c>
      <c r="S23" s="39">
        <f>MAX(S13:S18)</f>
        <v>363</v>
      </c>
      <c r="T23" s="39">
        <f t="shared" ref="T23:AF23" si="15">MAX(T13:T18)</f>
        <v>41</v>
      </c>
      <c r="U23" s="39">
        <f t="shared" si="15"/>
        <v>35</v>
      </c>
      <c r="V23" s="39">
        <f t="shared" si="15"/>
        <v>103</v>
      </c>
      <c r="W23" s="39">
        <f t="shared" si="15"/>
        <v>1</v>
      </c>
      <c r="X23" s="39">
        <f t="shared" si="15"/>
        <v>0</v>
      </c>
      <c r="Y23" s="39">
        <f t="shared" si="15"/>
        <v>13</v>
      </c>
      <c r="Z23" s="39">
        <f t="shared" si="15"/>
        <v>13</v>
      </c>
      <c r="AA23" s="39">
        <f t="shared" si="15"/>
        <v>4</v>
      </c>
      <c r="AB23" s="39">
        <f t="shared" si="15"/>
        <v>2</v>
      </c>
      <c r="AC23" s="39">
        <f t="shared" si="15"/>
        <v>511</v>
      </c>
      <c r="AD23" s="39">
        <f t="shared" si="15"/>
        <v>0</v>
      </c>
      <c r="AE23" s="40">
        <f t="shared" si="15"/>
        <v>551</v>
      </c>
      <c r="AF23" s="40">
        <f t="shared" si="15"/>
        <v>1057</v>
      </c>
    </row>
    <row r="24" spans="2:32" ht="23.1" customHeight="1" x14ac:dyDescent="0.25">
      <c r="B24" s="23" t="s">
        <v>51</v>
      </c>
      <c r="C24" s="50">
        <v>90</v>
      </c>
      <c r="D24" s="50">
        <v>7</v>
      </c>
      <c r="E24" s="50">
        <v>6</v>
      </c>
      <c r="F24" s="50">
        <v>17</v>
      </c>
      <c r="G24" s="50">
        <v>0</v>
      </c>
      <c r="H24" s="50">
        <v>0</v>
      </c>
      <c r="I24" s="50">
        <v>0</v>
      </c>
      <c r="J24" s="50">
        <v>4</v>
      </c>
      <c r="K24" s="50">
        <v>1</v>
      </c>
      <c r="L24" s="50">
        <v>1</v>
      </c>
      <c r="M24" s="50">
        <v>120</v>
      </c>
      <c r="N24" s="50">
        <v>0</v>
      </c>
      <c r="O24" s="15">
        <f t="shared" si="0"/>
        <v>126</v>
      </c>
      <c r="P24" s="15">
        <f t="shared" si="1"/>
        <v>246</v>
      </c>
      <c r="R24" s="38" t="s">
        <v>92</v>
      </c>
      <c r="S24" s="39">
        <f>MAX(S19:S21)</f>
        <v>343</v>
      </c>
      <c r="T24" s="39">
        <f t="shared" ref="T24:AF24" si="16">MAX(T19:T21)</f>
        <v>55</v>
      </c>
      <c r="U24" s="39">
        <f t="shared" si="16"/>
        <v>28</v>
      </c>
      <c r="V24" s="39">
        <f t="shared" si="16"/>
        <v>98</v>
      </c>
      <c r="W24" s="39">
        <f t="shared" si="16"/>
        <v>0</v>
      </c>
      <c r="X24" s="39">
        <f t="shared" si="16"/>
        <v>0</v>
      </c>
      <c r="Y24" s="39">
        <f t="shared" si="16"/>
        <v>14</v>
      </c>
      <c r="Z24" s="39">
        <f t="shared" si="16"/>
        <v>4</v>
      </c>
      <c r="AA24" s="39">
        <f t="shared" si="16"/>
        <v>3</v>
      </c>
      <c r="AB24" s="39">
        <f t="shared" si="16"/>
        <v>1</v>
      </c>
      <c r="AC24" s="39">
        <f t="shared" si="16"/>
        <v>468</v>
      </c>
      <c r="AD24" s="39">
        <f t="shared" si="16"/>
        <v>0</v>
      </c>
      <c r="AE24" s="40">
        <f t="shared" si="16"/>
        <v>543</v>
      </c>
      <c r="AF24" s="40">
        <f t="shared" si="16"/>
        <v>965</v>
      </c>
    </row>
    <row r="25" spans="2:32" ht="23.1" customHeight="1" x14ac:dyDescent="0.25">
      <c r="B25" s="23" t="s">
        <v>52</v>
      </c>
      <c r="C25" s="50">
        <v>88</v>
      </c>
      <c r="D25" s="50">
        <v>7</v>
      </c>
      <c r="E25" s="50">
        <v>2</v>
      </c>
      <c r="F25" s="50">
        <v>37</v>
      </c>
      <c r="G25" s="50">
        <v>0</v>
      </c>
      <c r="H25" s="50">
        <v>0</v>
      </c>
      <c r="I25" s="50">
        <v>5</v>
      </c>
      <c r="J25" s="50">
        <v>3</v>
      </c>
      <c r="K25" s="50">
        <v>3</v>
      </c>
      <c r="L25" s="50">
        <v>1</v>
      </c>
      <c r="M25" s="50">
        <v>143</v>
      </c>
      <c r="N25" s="50">
        <v>0</v>
      </c>
      <c r="O25" s="15">
        <f t="shared" si="0"/>
        <v>146</v>
      </c>
      <c r="P25" s="15">
        <f t="shared" si="1"/>
        <v>289</v>
      </c>
      <c r="R25" s="37" t="s">
        <v>85</v>
      </c>
      <c r="S25" s="35">
        <f t="shared" ref="S25:AF25" si="17">SUM(S10:S12)</f>
        <v>667</v>
      </c>
      <c r="T25" s="16">
        <f t="shared" si="17"/>
        <v>52</v>
      </c>
      <c r="U25" s="16">
        <f t="shared" si="17"/>
        <v>46</v>
      </c>
      <c r="V25" s="16">
        <f t="shared" si="17"/>
        <v>313</v>
      </c>
      <c r="W25" s="16">
        <f t="shared" si="17"/>
        <v>5</v>
      </c>
      <c r="X25" s="16">
        <f t="shared" si="17"/>
        <v>0</v>
      </c>
      <c r="Y25" s="16">
        <f t="shared" si="17"/>
        <v>36</v>
      </c>
      <c r="Z25" s="16">
        <f t="shared" si="17"/>
        <v>21</v>
      </c>
      <c r="AA25" s="16">
        <f t="shared" si="17"/>
        <v>8</v>
      </c>
      <c r="AB25" s="16">
        <f t="shared" si="17"/>
        <v>0</v>
      </c>
      <c r="AC25" s="16">
        <f t="shared" si="17"/>
        <v>1212</v>
      </c>
      <c r="AD25" s="16">
        <f t="shared" si="17"/>
        <v>0</v>
      </c>
      <c r="AE25" s="32">
        <f t="shared" si="17"/>
        <v>1148</v>
      </c>
      <c r="AF25" s="32">
        <f t="shared" si="17"/>
        <v>2360</v>
      </c>
    </row>
    <row r="26" spans="2:32" ht="23.1" customHeight="1" x14ac:dyDescent="0.25">
      <c r="B26" s="23" t="s">
        <v>53</v>
      </c>
      <c r="C26" s="50">
        <v>78</v>
      </c>
      <c r="D26" s="50">
        <v>1</v>
      </c>
      <c r="E26" s="50">
        <v>7</v>
      </c>
      <c r="F26" s="50">
        <v>14</v>
      </c>
      <c r="G26" s="50">
        <v>0</v>
      </c>
      <c r="H26" s="50">
        <v>0</v>
      </c>
      <c r="I26" s="50">
        <v>4</v>
      </c>
      <c r="J26" s="50">
        <v>2</v>
      </c>
      <c r="K26" s="50">
        <v>1</v>
      </c>
      <c r="L26" s="50">
        <v>0</v>
      </c>
      <c r="M26" s="50">
        <v>117</v>
      </c>
      <c r="N26" s="50">
        <v>0</v>
      </c>
      <c r="O26" s="15">
        <f t="shared" si="0"/>
        <v>107</v>
      </c>
      <c r="P26" s="15">
        <f t="shared" si="1"/>
        <v>224</v>
      </c>
      <c r="R26" s="28" t="s">
        <v>86</v>
      </c>
      <c r="S26" s="16">
        <f t="shared" ref="S26:AF26" si="18">SUM(S13:S18)</f>
        <v>1849</v>
      </c>
      <c r="T26" s="16">
        <f t="shared" si="18"/>
        <v>163</v>
      </c>
      <c r="U26" s="16">
        <f t="shared" si="18"/>
        <v>134</v>
      </c>
      <c r="V26" s="16">
        <f t="shared" si="18"/>
        <v>520</v>
      </c>
      <c r="W26" s="16">
        <f t="shared" si="18"/>
        <v>1</v>
      </c>
      <c r="X26" s="16">
        <f t="shared" si="18"/>
        <v>0</v>
      </c>
      <c r="Y26" s="16">
        <f t="shared" si="18"/>
        <v>70</v>
      </c>
      <c r="Z26" s="16">
        <f t="shared" si="18"/>
        <v>42</v>
      </c>
      <c r="AA26" s="16">
        <f t="shared" si="18"/>
        <v>19</v>
      </c>
      <c r="AB26" s="16">
        <f t="shared" si="18"/>
        <v>8</v>
      </c>
      <c r="AC26" s="16">
        <f t="shared" si="18"/>
        <v>2676</v>
      </c>
      <c r="AD26" s="16">
        <f t="shared" si="18"/>
        <v>0</v>
      </c>
      <c r="AE26" s="32">
        <f t="shared" si="18"/>
        <v>2806</v>
      </c>
      <c r="AF26" s="32">
        <f t="shared" si="18"/>
        <v>5482</v>
      </c>
    </row>
    <row r="27" spans="2:32" ht="23.1" customHeight="1" x14ac:dyDescent="0.25">
      <c r="B27" s="23" t="s">
        <v>54</v>
      </c>
      <c r="C27" s="50">
        <v>90</v>
      </c>
      <c r="D27" s="50">
        <v>4</v>
      </c>
      <c r="E27" s="50">
        <v>4</v>
      </c>
      <c r="F27" s="50">
        <v>25</v>
      </c>
      <c r="G27" s="50">
        <v>0</v>
      </c>
      <c r="H27" s="50">
        <v>0</v>
      </c>
      <c r="I27" s="50">
        <v>1</v>
      </c>
      <c r="J27" s="50">
        <v>5</v>
      </c>
      <c r="K27" s="50">
        <v>0</v>
      </c>
      <c r="L27" s="50">
        <v>0</v>
      </c>
      <c r="M27" s="50">
        <v>119</v>
      </c>
      <c r="N27" s="50">
        <v>0</v>
      </c>
      <c r="O27" s="15">
        <f t="shared" si="0"/>
        <v>129</v>
      </c>
      <c r="P27" s="15">
        <f t="shared" si="1"/>
        <v>248</v>
      </c>
      <c r="R27" s="29" t="s">
        <v>87</v>
      </c>
      <c r="S27" s="16">
        <f t="shared" ref="S27:AF27" si="19">SUM(S19:S21)</f>
        <v>751</v>
      </c>
      <c r="T27" s="16">
        <f t="shared" si="19"/>
        <v>116</v>
      </c>
      <c r="U27" s="16">
        <f t="shared" si="19"/>
        <v>77</v>
      </c>
      <c r="V27" s="16">
        <f t="shared" si="19"/>
        <v>236</v>
      </c>
      <c r="W27" s="16">
        <f t="shared" si="19"/>
        <v>0</v>
      </c>
      <c r="X27" s="16">
        <f t="shared" si="19"/>
        <v>0</v>
      </c>
      <c r="Y27" s="16">
        <f t="shared" si="19"/>
        <v>33</v>
      </c>
      <c r="Z27" s="16">
        <f t="shared" si="19"/>
        <v>10</v>
      </c>
      <c r="AA27" s="16">
        <f t="shared" si="19"/>
        <v>5</v>
      </c>
      <c r="AB27" s="16">
        <f t="shared" si="19"/>
        <v>1</v>
      </c>
      <c r="AC27" s="16">
        <f t="shared" si="19"/>
        <v>1345</v>
      </c>
      <c r="AD27" s="16">
        <f t="shared" si="19"/>
        <v>0</v>
      </c>
      <c r="AE27" s="32">
        <f t="shared" si="19"/>
        <v>1229</v>
      </c>
      <c r="AF27" s="32">
        <f t="shared" si="19"/>
        <v>2574</v>
      </c>
    </row>
    <row r="28" spans="2:32" ht="23.1" customHeight="1" x14ac:dyDescent="0.25">
      <c r="B28" s="23" t="s">
        <v>55</v>
      </c>
      <c r="C28" s="50">
        <v>100</v>
      </c>
      <c r="D28" s="50">
        <v>6</v>
      </c>
      <c r="E28" s="50">
        <v>17</v>
      </c>
      <c r="F28" s="50">
        <v>30</v>
      </c>
      <c r="G28" s="50">
        <v>0</v>
      </c>
      <c r="H28" s="50">
        <v>0</v>
      </c>
      <c r="I28" s="50">
        <v>5</v>
      </c>
      <c r="J28" s="50">
        <v>3</v>
      </c>
      <c r="K28" s="50">
        <v>0</v>
      </c>
      <c r="L28" s="50">
        <v>0</v>
      </c>
      <c r="M28" s="50">
        <v>123</v>
      </c>
      <c r="N28" s="50">
        <v>0</v>
      </c>
      <c r="O28" s="15">
        <f t="shared" si="0"/>
        <v>161</v>
      </c>
      <c r="P28" s="15">
        <f t="shared" si="1"/>
        <v>284</v>
      </c>
      <c r="R28" s="5" t="s">
        <v>17</v>
      </c>
      <c r="S28" s="16">
        <f t="shared" ref="S28:AF28" si="20">SUM(S10:S21)</f>
        <v>3267</v>
      </c>
      <c r="T28" s="16">
        <f t="shared" si="20"/>
        <v>331</v>
      </c>
      <c r="U28" s="16">
        <f t="shared" si="20"/>
        <v>257</v>
      </c>
      <c r="V28" s="16">
        <f t="shared" si="20"/>
        <v>1069</v>
      </c>
      <c r="W28" s="16">
        <f t="shared" si="20"/>
        <v>6</v>
      </c>
      <c r="X28" s="16">
        <f t="shared" si="20"/>
        <v>0</v>
      </c>
      <c r="Y28" s="16">
        <f t="shared" si="20"/>
        <v>139</v>
      </c>
      <c r="Z28" s="16">
        <f t="shared" si="20"/>
        <v>73</v>
      </c>
      <c r="AA28" s="16">
        <f t="shared" si="20"/>
        <v>32</v>
      </c>
      <c r="AB28" s="16">
        <f t="shared" si="20"/>
        <v>9</v>
      </c>
      <c r="AC28" s="16">
        <f t="shared" si="20"/>
        <v>5233</v>
      </c>
      <c r="AD28" s="16">
        <f t="shared" si="20"/>
        <v>0</v>
      </c>
      <c r="AE28" s="32">
        <f t="shared" si="20"/>
        <v>5183</v>
      </c>
      <c r="AF28" s="32">
        <f t="shared" si="20"/>
        <v>10416</v>
      </c>
    </row>
    <row r="29" spans="2:32" ht="23.1" customHeight="1" x14ac:dyDescent="0.25">
      <c r="B29" s="23" t="s">
        <v>56</v>
      </c>
      <c r="C29" s="50">
        <v>95</v>
      </c>
      <c r="D29" s="50">
        <v>10</v>
      </c>
      <c r="E29" s="50">
        <v>7</v>
      </c>
      <c r="F29" s="50">
        <v>34</v>
      </c>
      <c r="G29" s="50">
        <v>1</v>
      </c>
      <c r="H29" s="50">
        <v>0</v>
      </c>
      <c r="I29" s="50">
        <v>2</v>
      </c>
      <c r="J29" s="50">
        <v>3</v>
      </c>
      <c r="K29" s="50">
        <v>1</v>
      </c>
      <c r="L29" s="50">
        <v>1</v>
      </c>
      <c r="M29" s="50">
        <v>113</v>
      </c>
      <c r="N29" s="50">
        <v>0</v>
      </c>
      <c r="O29" s="15">
        <f t="shared" si="0"/>
        <v>154</v>
      </c>
      <c r="P29" s="15">
        <f t="shared" si="1"/>
        <v>267</v>
      </c>
      <c r="R29"/>
      <c r="S29" s="20"/>
      <c r="T29" s="19"/>
    </row>
    <row r="30" spans="2:32" ht="23.1" customHeight="1" x14ac:dyDescent="0.25">
      <c r="B30" s="23" t="s">
        <v>57</v>
      </c>
      <c r="C30" s="50">
        <v>80</v>
      </c>
      <c r="D30" s="50">
        <v>4</v>
      </c>
      <c r="E30" s="50">
        <v>5</v>
      </c>
      <c r="F30" s="50">
        <v>19</v>
      </c>
      <c r="G30" s="50">
        <v>0</v>
      </c>
      <c r="H30" s="50">
        <v>0</v>
      </c>
      <c r="I30" s="50">
        <v>2</v>
      </c>
      <c r="J30" s="50">
        <v>0</v>
      </c>
      <c r="K30" s="50">
        <v>0</v>
      </c>
      <c r="L30" s="50">
        <v>0</v>
      </c>
      <c r="M30" s="50">
        <v>116</v>
      </c>
      <c r="N30" s="50">
        <v>0</v>
      </c>
      <c r="O30" s="15">
        <f t="shared" si="0"/>
        <v>110</v>
      </c>
      <c r="P30" s="15">
        <f t="shared" si="1"/>
        <v>226</v>
      </c>
    </row>
    <row r="31" spans="2:32" ht="23.1" customHeight="1" x14ac:dyDescent="0.25">
      <c r="B31" s="24" t="s">
        <v>58</v>
      </c>
      <c r="C31" s="50">
        <v>95</v>
      </c>
      <c r="D31" s="50">
        <v>2</v>
      </c>
      <c r="E31" s="50">
        <v>6</v>
      </c>
      <c r="F31" s="50">
        <v>23</v>
      </c>
      <c r="G31" s="50">
        <v>0</v>
      </c>
      <c r="H31" s="50">
        <v>0</v>
      </c>
      <c r="I31" s="50">
        <v>2</v>
      </c>
      <c r="J31" s="50">
        <v>1</v>
      </c>
      <c r="K31" s="50">
        <v>1</v>
      </c>
      <c r="L31" s="50">
        <v>1</v>
      </c>
      <c r="M31" s="50">
        <v>100</v>
      </c>
      <c r="N31" s="50">
        <v>0</v>
      </c>
      <c r="O31" s="15">
        <f t="shared" si="0"/>
        <v>131</v>
      </c>
      <c r="P31" s="15">
        <f t="shared" si="1"/>
        <v>231</v>
      </c>
    </row>
    <row r="32" spans="2:32" ht="23.1" customHeight="1" x14ac:dyDescent="0.25">
      <c r="B32" s="24" t="s">
        <v>59</v>
      </c>
      <c r="C32" s="50">
        <v>76</v>
      </c>
      <c r="D32" s="50">
        <v>6</v>
      </c>
      <c r="E32" s="50">
        <v>9</v>
      </c>
      <c r="F32" s="50">
        <v>18</v>
      </c>
      <c r="G32" s="50">
        <v>0</v>
      </c>
      <c r="H32" s="50">
        <v>0</v>
      </c>
      <c r="I32" s="50">
        <v>6</v>
      </c>
      <c r="J32" s="50">
        <v>2</v>
      </c>
      <c r="K32" s="50">
        <v>1</v>
      </c>
      <c r="L32" s="50">
        <v>1</v>
      </c>
      <c r="M32" s="50">
        <v>98</v>
      </c>
      <c r="N32" s="50">
        <v>0</v>
      </c>
      <c r="O32" s="15">
        <f t="shared" si="0"/>
        <v>119</v>
      </c>
      <c r="P32" s="15">
        <f t="shared" si="1"/>
        <v>217</v>
      </c>
    </row>
    <row r="33" spans="2:20" ht="23.1" customHeight="1" x14ac:dyDescent="0.25">
      <c r="B33" s="23" t="s">
        <v>60</v>
      </c>
      <c r="C33" s="50">
        <v>61</v>
      </c>
      <c r="D33" s="50">
        <v>11</v>
      </c>
      <c r="E33" s="50">
        <v>8</v>
      </c>
      <c r="F33" s="50">
        <v>16</v>
      </c>
      <c r="G33" s="50">
        <v>0</v>
      </c>
      <c r="H33" s="50">
        <v>0</v>
      </c>
      <c r="I33" s="50">
        <v>1</v>
      </c>
      <c r="J33" s="50">
        <v>3</v>
      </c>
      <c r="K33" s="50">
        <v>2</v>
      </c>
      <c r="L33" s="50">
        <v>0</v>
      </c>
      <c r="M33" s="50">
        <v>112</v>
      </c>
      <c r="N33" s="50">
        <v>0</v>
      </c>
      <c r="O33" s="15">
        <f t="shared" si="0"/>
        <v>102</v>
      </c>
      <c r="P33" s="15">
        <f t="shared" si="1"/>
        <v>214</v>
      </c>
    </row>
    <row r="34" spans="2:20" ht="23.1" customHeight="1" x14ac:dyDescent="0.25">
      <c r="B34" s="24" t="s">
        <v>61</v>
      </c>
      <c r="C34" s="50">
        <v>65</v>
      </c>
      <c r="D34" s="50">
        <v>7</v>
      </c>
      <c r="E34" s="50">
        <v>7</v>
      </c>
      <c r="F34" s="50">
        <v>26</v>
      </c>
      <c r="G34" s="50">
        <v>0</v>
      </c>
      <c r="H34" s="50">
        <v>0</v>
      </c>
      <c r="I34" s="50">
        <v>3</v>
      </c>
      <c r="J34" s="50">
        <v>3</v>
      </c>
      <c r="K34" s="50">
        <v>1</v>
      </c>
      <c r="L34" s="50">
        <v>0</v>
      </c>
      <c r="M34" s="50">
        <v>125</v>
      </c>
      <c r="N34" s="50">
        <v>0</v>
      </c>
      <c r="O34" s="15">
        <f t="shared" si="0"/>
        <v>112</v>
      </c>
      <c r="P34" s="15">
        <f t="shared" si="1"/>
        <v>237</v>
      </c>
    </row>
    <row r="35" spans="2:20" ht="23.1" customHeight="1" x14ac:dyDescent="0.25">
      <c r="B35" s="24" t="s">
        <v>62</v>
      </c>
      <c r="C35" s="50">
        <v>55</v>
      </c>
      <c r="D35" s="50">
        <v>3</v>
      </c>
      <c r="E35" s="50">
        <v>1</v>
      </c>
      <c r="F35" s="50">
        <v>17</v>
      </c>
      <c r="G35" s="50">
        <v>0</v>
      </c>
      <c r="H35" s="50">
        <v>0</v>
      </c>
      <c r="I35" s="50">
        <v>2</v>
      </c>
      <c r="J35" s="50">
        <v>0</v>
      </c>
      <c r="K35" s="50">
        <v>0</v>
      </c>
      <c r="L35" s="50">
        <v>0</v>
      </c>
      <c r="M35" s="50">
        <v>108</v>
      </c>
      <c r="N35" s="50">
        <v>0</v>
      </c>
      <c r="O35" s="15">
        <f t="shared" si="0"/>
        <v>78</v>
      </c>
      <c r="P35" s="15">
        <f t="shared" si="1"/>
        <v>186</v>
      </c>
    </row>
    <row r="36" spans="2:20" ht="23.1" customHeight="1" x14ac:dyDescent="0.25">
      <c r="B36" s="24" t="s">
        <v>63</v>
      </c>
      <c r="C36" s="50">
        <v>70</v>
      </c>
      <c r="D36" s="50">
        <v>4</v>
      </c>
      <c r="E36" s="50">
        <v>3</v>
      </c>
      <c r="F36" s="50">
        <v>20</v>
      </c>
      <c r="G36" s="50">
        <v>0</v>
      </c>
      <c r="H36" s="50">
        <v>0</v>
      </c>
      <c r="I36" s="50">
        <v>4</v>
      </c>
      <c r="J36" s="50">
        <v>5</v>
      </c>
      <c r="K36" s="50">
        <v>3</v>
      </c>
      <c r="L36" s="50">
        <v>1</v>
      </c>
      <c r="M36" s="50">
        <v>89</v>
      </c>
      <c r="N36" s="50">
        <v>0</v>
      </c>
      <c r="O36" s="15">
        <f t="shared" si="0"/>
        <v>110</v>
      </c>
      <c r="P36" s="15">
        <f t="shared" si="1"/>
        <v>199</v>
      </c>
    </row>
    <row r="37" spans="2:20" ht="23.1" customHeight="1" x14ac:dyDescent="0.25">
      <c r="B37" s="23" t="s">
        <v>64</v>
      </c>
      <c r="C37" s="50">
        <v>60</v>
      </c>
      <c r="D37" s="50">
        <v>3</v>
      </c>
      <c r="E37" s="50">
        <v>1</v>
      </c>
      <c r="F37" s="50">
        <v>25</v>
      </c>
      <c r="G37" s="50">
        <v>0</v>
      </c>
      <c r="H37" s="50">
        <v>0</v>
      </c>
      <c r="I37" s="50">
        <v>2</v>
      </c>
      <c r="J37" s="50">
        <v>0</v>
      </c>
      <c r="K37" s="50">
        <v>0</v>
      </c>
      <c r="L37" s="50">
        <v>0</v>
      </c>
      <c r="M37" s="50">
        <v>92</v>
      </c>
      <c r="N37" s="50">
        <v>0</v>
      </c>
      <c r="O37" s="15">
        <f t="shared" si="0"/>
        <v>91</v>
      </c>
      <c r="P37" s="15">
        <f t="shared" si="1"/>
        <v>183</v>
      </c>
    </row>
    <row r="38" spans="2:20" ht="23.1" customHeight="1" x14ac:dyDescent="0.25">
      <c r="B38" s="24" t="s">
        <v>65</v>
      </c>
      <c r="C38" s="50">
        <v>65</v>
      </c>
      <c r="D38" s="50">
        <v>8</v>
      </c>
      <c r="E38" s="50">
        <v>9</v>
      </c>
      <c r="F38" s="50">
        <v>21</v>
      </c>
      <c r="G38" s="50">
        <v>0</v>
      </c>
      <c r="H38" s="50">
        <v>0</v>
      </c>
      <c r="I38" s="50">
        <v>3</v>
      </c>
      <c r="J38" s="50">
        <v>0</v>
      </c>
      <c r="K38" s="50">
        <v>1</v>
      </c>
      <c r="L38" s="50">
        <v>0</v>
      </c>
      <c r="M38" s="50">
        <v>95</v>
      </c>
      <c r="N38" s="50">
        <v>0</v>
      </c>
      <c r="O38" s="15">
        <f t="shared" si="0"/>
        <v>107</v>
      </c>
      <c r="P38" s="15">
        <f t="shared" si="1"/>
        <v>202</v>
      </c>
    </row>
    <row r="39" spans="2:20" ht="23.1" customHeight="1" x14ac:dyDescent="0.25">
      <c r="B39" s="24" t="s">
        <v>66</v>
      </c>
      <c r="C39" s="50">
        <v>80</v>
      </c>
      <c r="D39" s="50">
        <v>7</v>
      </c>
      <c r="E39" s="50">
        <v>3</v>
      </c>
      <c r="F39" s="50">
        <v>20</v>
      </c>
      <c r="G39" s="50">
        <v>0</v>
      </c>
      <c r="H39" s="50">
        <v>0</v>
      </c>
      <c r="I39" s="50">
        <v>2</v>
      </c>
      <c r="J39" s="50">
        <v>1</v>
      </c>
      <c r="K39" s="50">
        <v>1</v>
      </c>
      <c r="L39" s="50">
        <v>1</v>
      </c>
      <c r="M39" s="50">
        <v>110</v>
      </c>
      <c r="N39" s="50">
        <v>0</v>
      </c>
      <c r="O39" s="15">
        <f t="shared" si="0"/>
        <v>115</v>
      </c>
      <c r="P39" s="15">
        <f t="shared" si="1"/>
        <v>225</v>
      </c>
    </row>
    <row r="40" spans="2:20" ht="23.1" customHeight="1" x14ac:dyDescent="0.25">
      <c r="B40" s="24" t="s">
        <v>67</v>
      </c>
      <c r="C40" s="50">
        <v>90</v>
      </c>
      <c r="D40" s="50">
        <v>5</v>
      </c>
      <c r="E40" s="50">
        <v>4</v>
      </c>
      <c r="F40" s="50">
        <v>15</v>
      </c>
      <c r="G40" s="50">
        <v>0</v>
      </c>
      <c r="H40" s="50">
        <v>0</v>
      </c>
      <c r="I40" s="50">
        <v>4</v>
      </c>
      <c r="J40" s="50">
        <v>1</v>
      </c>
      <c r="K40" s="50">
        <v>2</v>
      </c>
      <c r="L40" s="50">
        <v>1</v>
      </c>
      <c r="M40" s="50">
        <v>116</v>
      </c>
      <c r="N40" s="50">
        <v>0</v>
      </c>
      <c r="O40" s="15">
        <f t="shared" si="0"/>
        <v>122</v>
      </c>
      <c r="P40" s="15">
        <f t="shared" si="1"/>
        <v>238</v>
      </c>
    </row>
    <row r="41" spans="2:20" ht="23.1" customHeight="1" x14ac:dyDescent="0.25">
      <c r="B41" s="23" t="s">
        <v>68</v>
      </c>
      <c r="C41" s="50">
        <v>75</v>
      </c>
      <c r="D41" s="50">
        <v>6</v>
      </c>
      <c r="E41" s="50">
        <v>2</v>
      </c>
      <c r="F41" s="50">
        <v>29</v>
      </c>
      <c r="G41" s="50">
        <v>0</v>
      </c>
      <c r="H41" s="50">
        <v>0</v>
      </c>
      <c r="I41" s="50">
        <v>3</v>
      </c>
      <c r="J41" s="50">
        <v>1</v>
      </c>
      <c r="K41" s="50">
        <v>0</v>
      </c>
      <c r="L41" s="50">
        <v>0</v>
      </c>
      <c r="M41" s="50">
        <v>109</v>
      </c>
      <c r="N41" s="50">
        <v>0</v>
      </c>
      <c r="O41" s="15">
        <f t="shared" si="0"/>
        <v>116</v>
      </c>
      <c r="P41" s="15">
        <f t="shared" si="1"/>
        <v>225</v>
      </c>
    </row>
    <row r="42" spans="2:20" ht="23.1" customHeight="1" x14ac:dyDescent="0.25">
      <c r="B42" s="24" t="s">
        <v>69</v>
      </c>
      <c r="C42" s="50">
        <v>79</v>
      </c>
      <c r="D42" s="50">
        <v>9</v>
      </c>
      <c r="E42" s="50">
        <v>7</v>
      </c>
      <c r="F42" s="50">
        <v>14</v>
      </c>
      <c r="G42" s="50">
        <v>0</v>
      </c>
      <c r="H42" s="50">
        <v>0</v>
      </c>
      <c r="I42" s="50">
        <v>3</v>
      </c>
      <c r="J42" s="50">
        <v>2</v>
      </c>
      <c r="K42" s="50">
        <v>1</v>
      </c>
      <c r="L42" s="50">
        <v>0</v>
      </c>
      <c r="M42" s="50">
        <v>100</v>
      </c>
      <c r="N42" s="50">
        <v>0</v>
      </c>
      <c r="O42" s="15">
        <f t="shared" si="0"/>
        <v>115</v>
      </c>
      <c r="P42" s="15">
        <f t="shared" si="1"/>
        <v>215</v>
      </c>
    </row>
    <row r="43" spans="2:20" ht="23.1" customHeight="1" x14ac:dyDescent="0.25">
      <c r="B43" s="23" t="s">
        <v>70</v>
      </c>
      <c r="C43" s="50">
        <v>60</v>
      </c>
      <c r="D43" s="50">
        <v>10</v>
      </c>
      <c r="E43" s="50">
        <v>8</v>
      </c>
      <c r="F43" s="50">
        <v>17</v>
      </c>
      <c r="G43" s="50">
        <v>0</v>
      </c>
      <c r="H43" s="50">
        <v>0</v>
      </c>
      <c r="I43" s="50">
        <v>4</v>
      </c>
      <c r="J43" s="50">
        <v>0</v>
      </c>
      <c r="K43" s="50">
        <v>0</v>
      </c>
      <c r="L43" s="50">
        <v>0</v>
      </c>
      <c r="M43" s="50">
        <v>104</v>
      </c>
      <c r="N43" s="50">
        <v>0</v>
      </c>
      <c r="O43" s="15">
        <f t="shared" si="0"/>
        <v>99</v>
      </c>
      <c r="P43" s="15">
        <f t="shared" si="1"/>
        <v>203</v>
      </c>
    </row>
    <row r="44" spans="2:20" ht="23.1" customHeight="1" x14ac:dyDescent="0.25">
      <c r="B44" s="25" t="s">
        <v>71</v>
      </c>
      <c r="C44" s="50">
        <v>63</v>
      </c>
      <c r="D44" s="50">
        <v>10</v>
      </c>
      <c r="E44" s="50">
        <v>5</v>
      </c>
      <c r="F44" s="50">
        <v>18</v>
      </c>
      <c r="G44" s="50">
        <v>0</v>
      </c>
      <c r="H44" s="50">
        <v>0</v>
      </c>
      <c r="I44" s="50">
        <v>3</v>
      </c>
      <c r="J44" s="50">
        <v>0</v>
      </c>
      <c r="K44" s="50">
        <v>0</v>
      </c>
      <c r="L44" s="50">
        <v>0</v>
      </c>
      <c r="M44" s="50">
        <v>122</v>
      </c>
      <c r="N44" s="50">
        <v>0</v>
      </c>
      <c r="O44" s="15">
        <f t="shared" si="0"/>
        <v>99</v>
      </c>
      <c r="P44" s="15">
        <f t="shared" si="1"/>
        <v>221</v>
      </c>
    </row>
    <row r="45" spans="2:20" ht="23.1" customHeight="1" x14ac:dyDescent="0.25">
      <c r="B45" s="23" t="s">
        <v>72</v>
      </c>
      <c r="C45" s="50">
        <v>52</v>
      </c>
      <c r="D45" s="50">
        <v>6</v>
      </c>
      <c r="E45" s="50">
        <v>4</v>
      </c>
      <c r="F45" s="50">
        <v>20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97</v>
      </c>
      <c r="N45" s="50">
        <v>0</v>
      </c>
      <c r="O45" s="15">
        <f t="shared" si="0"/>
        <v>83</v>
      </c>
      <c r="P45" s="15">
        <f t="shared" si="1"/>
        <v>180</v>
      </c>
    </row>
    <row r="46" spans="2:20" ht="23.1" customHeight="1" x14ac:dyDescent="0.25">
      <c r="B46" s="24" t="s">
        <v>73</v>
      </c>
      <c r="C46" s="50">
        <v>155</v>
      </c>
      <c r="D46" s="50">
        <v>23</v>
      </c>
      <c r="E46" s="50">
        <v>10</v>
      </c>
      <c r="F46" s="50">
        <v>38</v>
      </c>
      <c r="G46" s="50">
        <v>0</v>
      </c>
      <c r="H46" s="50">
        <v>0</v>
      </c>
      <c r="I46" s="50">
        <v>6</v>
      </c>
      <c r="J46" s="50">
        <v>1</v>
      </c>
      <c r="K46" s="50">
        <v>0</v>
      </c>
      <c r="L46" s="50">
        <v>0</v>
      </c>
      <c r="M46" s="50">
        <v>110</v>
      </c>
      <c r="N46" s="50">
        <v>0</v>
      </c>
      <c r="O46" s="15">
        <f t="shared" si="0"/>
        <v>233</v>
      </c>
      <c r="P46" s="15">
        <f t="shared" si="1"/>
        <v>343</v>
      </c>
      <c r="R46" s="8"/>
      <c r="T46"/>
    </row>
    <row r="47" spans="2:20" ht="23.1" customHeight="1" x14ac:dyDescent="0.25">
      <c r="B47" s="24" t="s">
        <v>74</v>
      </c>
      <c r="C47" s="50">
        <v>50</v>
      </c>
      <c r="D47" s="50">
        <v>18</v>
      </c>
      <c r="E47" s="50">
        <v>4</v>
      </c>
      <c r="F47" s="50">
        <v>25</v>
      </c>
      <c r="G47" s="50">
        <v>0</v>
      </c>
      <c r="H47" s="50">
        <v>0</v>
      </c>
      <c r="I47" s="50">
        <v>2</v>
      </c>
      <c r="J47" s="50">
        <v>0</v>
      </c>
      <c r="K47" s="50">
        <v>0</v>
      </c>
      <c r="L47" s="50">
        <v>0</v>
      </c>
      <c r="M47" s="50">
        <v>95</v>
      </c>
      <c r="N47" s="50">
        <v>0</v>
      </c>
      <c r="O47" s="15">
        <f t="shared" si="0"/>
        <v>99</v>
      </c>
      <c r="P47" s="15">
        <f t="shared" si="1"/>
        <v>194</v>
      </c>
      <c r="R47" s="8"/>
      <c r="T47"/>
    </row>
    <row r="48" spans="2:20" ht="23.1" customHeight="1" x14ac:dyDescent="0.25">
      <c r="B48" s="24" t="s">
        <v>75</v>
      </c>
      <c r="C48" s="50">
        <v>66</v>
      </c>
      <c r="D48" s="50">
        <v>3</v>
      </c>
      <c r="E48" s="50">
        <v>8</v>
      </c>
      <c r="F48" s="50">
        <v>19</v>
      </c>
      <c r="G48" s="50">
        <v>0</v>
      </c>
      <c r="H48" s="50">
        <v>0</v>
      </c>
      <c r="I48" s="50">
        <v>5</v>
      </c>
      <c r="J48" s="50">
        <v>2</v>
      </c>
      <c r="K48" s="50">
        <v>1</v>
      </c>
      <c r="L48" s="50">
        <v>0</v>
      </c>
      <c r="M48" s="50">
        <v>104</v>
      </c>
      <c r="N48" s="50">
        <v>0</v>
      </c>
      <c r="O48" s="15">
        <f t="shared" si="0"/>
        <v>104</v>
      </c>
      <c r="P48" s="15">
        <f t="shared" si="1"/>
        <v>208</v>
      </c>
      <c r="R48" s="8"/>
      <c r="T48"/>
    </row>
    <row r="49" spans="2:20" ht="23.1" customHeight="1" x14ac:dyDescent="0.25">
      <c r="B49" s="23" t="s">
        <v>76</v>
      </c>
      <c r="C49" s="50">
        <v>72</v>
      </c>
      <c r="D49" s="50">
        <v>11</v>
      </c>
      <c r="E49" s="50">
        <v>6</v>
      </c>
      <c r="F49" s="50">
        <v>16</v>
      </c>
      <c r="G49" s="50">
        <v>0</v>
      </c>
      <c r="H49" s="50">
        <v>0</v>
      </c>
      <c r="I49" s="50">
        <v>1</v>
      </c>
      <c r="J49" s="50">
        <v>1</v>
      </c>
      <c r="K49" s="50">
        <v>0</v>
      </c>
      <c r="L49" s="50">
        <v>0</v>
      </c>
      <c r="M49" s="50">
        <v>113</v>
      </c>
      <c r="N49" s="50">
        <v>0</v>
      </c>
      <c r="O49" s="15">
        <f t="shared" si="0"/>
        <v>107</v>
      </c>
      <c r="P49" s="15">
        <f t="shared" si="1"/>
        <v>220</v>
      </c>
      <c r="R49" s="8"/>
      <c r="T49"/>
    </row>
    <row r="50" spans="2:20" ht="23.1" customHeight="1" x14ac:dyDescent="0.25">
      <c r="B50" s="24" t="s">
        <v>77</v>
      </c>
      <c r="C50" s="50">
        <v>64</v>
      </c>
      <c r="D50" s="50">
        <v>2</v>
      </c>
      <c r="E50" s="50">
        <v>11</v>
      </c>
      <c r="F50" s="50">
        <v>17</v>
      </c>
      <c r="G50" s="50">
        <v>0</v>
      </c>
      <c r="H50" s="50">
        <v>0</v>
      </c>
      <c r="I50" s="50">
        <v>6</v>
      </c>
      <c r="J50" s="50">
        <v>1</v>
      </c>
      <c r="K50" s="50">
        <v>0</v>
      </c>
      <c r="L50" s="50">
        <v>0</v>
      </c>
      <c r="M50" s="50">
        <v>109</v>
      </c>
      <c r="N50" s="50">
        <v>0</v>
      </c>
      <c r="O50" s="15">
        <f t="shared" si="0"/>
        <v>101</v>
      </c>
      <c r="P50" s="15">
        <f t="shared" si="1"/>
        <v>210</v>
      </c>
      <c r="R50" s="8"/>
      <c r="T50"/>
    </row>
    <row r="51" spans="2:20" ht="23.1" customHeight="1" x14ac:dyDescent="0.25">
      <c r="B51" s="24" t="s">
        <v>78</v>
      </c>
      <c r="C51" s="50">
        <v>57</v>
      </c>
      <c r="D51" s="50">
        <v>7</v>
      </c>
      <c r="E51" s="50">
        <v>2</v>
      </c>
      <c r="F51" s="50">
        <v>15</v>
      </c>
      <c r="G51" s="50">
        <v>0</v>
      </c>
      <c r="H51" s="50">
        <v>0</v>
      </c>
      <c r="I51" s="50">
        <v>1</v>
      </c>
      <c r="J51" s="50">
        <v>1</v>
      </c>
      <c r="K51" s="50">
        <v>2</v>
      </c>
      <c r="L51" s="50">
        <v>0</v>
      </c>
      <c r="M51" s="50">
        <v>110</v>
      </c>
      <c r="N51" s="50">
        <v>0</v>
      </c>
      <c r="O51" s="15">
        <f t="shared" si="0"/>
        <v>85</v>
      </c>
      <c r="P51" s="15">
        <f t="shared" si="1"/>
        <v>195</v>
      </c>
      <c r="R51" s="8"/>
      <c r="T51"/>
    </row>
    <row r="52" spans="2:20" ht="23.1" customHeight="1" x14ac:dyDescent="0.25">
      <c r="B52" s="24" t="s">
        <v>79</v>
      </c>
      <c r="C52" s="50">
        <v>54</v>
      </c>
      <c r="D52" s="50">
        <v>5</v>
      </c>
      <c r="E52" s="50">
        <v>8</v>
      </c>
      <c r="F52" s="50">
        <v>27</v>
      </c>
      <c r="G52" s="50">
        <v>0</v>
      </c>
      <c r="H52" s="50">
        <v>0</v>
      </c>
      <c r="I52" s="50">
        <v>3</v>
      </c>
      <c r="J52" s="50">
        <v>0</v>
      </c>
      <c r="K52" s="50">
        <v>0</v>
      </c>
      <c r="L52" s="50">
        <v>0</v>
      </c>
      <c r="M52" s="50">
        <v>116</v>
      </c>
      <c r="N52" s="50">
        <v>0</v>
      </c>
      <c r="O52" s="15">
        <f t="shared" si="0"/>
        <v>97</v>
      </c>
      <c r="P52" s="15">
        <f t="shared" si="1"/>
        <v>213</v>
      </c>
      <c r="R52" s="8"/>
      <c r="T52"/>
    </row>
    <row r="53" spans="2:20" ht="23.1" customHeight="1" x14ac:dyDescent="0.25">
      <c r="B53" s="23" t="s">
        <v>80</v>
      </c>
      <c r="C53" s="50">
        <v>45</v>
      </c>
      <c r="D53" s="50">
        <v>6</v>
      </c>
      <c r="E53" s="50">
        <v>3</v>
      </c>
      <c r="F53" s="50">
        <v>19</v>
      </c>
      <c r="G53" s="50">
        <v>0</v>
      </c>
      <c r="H53" s="50">
        <v>0</v>
      </c>
      <c r="I53" s="50">
        <v>1</v>
      </c>
      <c r="J53" s="50">
        <v>1</v>
      </c>
      <c r="K53" s="50">
        <v>1</v>
      </c>
      <c r="L53" s="50">
        <v>1</v>
      </c>
      <c r="M53" s="50">
        <v>120</v>
      </c>
      <c r="N53" s="50">
        <v>0</v>
      </c>
      <c r="O53" s="15">
        <f t="shared" si="0"/>
        <v>77</v>
      </c>
      <c r="P53" s="15">
        <f t="shared" si="1"/>
        <v>197</v>
      </c>
      <c r="R53" s="8"/>
      <c r="T53"/>
    </row>
    <row r="54" spans="2:20" ht="23.1" customHeight="1" x14ac:dyDescent="0.25">
      <c r="B54" s="23" t="s">
        <v>81</v>
      </c>
      <c r="C54" s="50">
        <v>56</v>
      </c>
      <c r="D54" s="50">
        <v>6</v>
      </c>
      <c r="E54" s="50">
        <v>3</v>
      </c>
      <c r="F54" s="50">
        <v>6</v>
      </c>
      <c r="G54" s="50">
        <v>0</v>
      </c>
      <c r="H54" s="50">
        <v>0</v>
      </c>
      <c r="I54" s="50">
        <v>3</v>
      </c>
      <c r="J54" s="50">
        <v>1</v>
      </c>
      <c r="K54" s="50">
        <v>0</v>
      </c>
      <c r="L54" s="50">
        <v>0</v>
      </c>
      <c r="M54" s="50">
        <v>124</v>
      </c>
      <c r="N54" s="50">
        <v>0</v>
      </c>
      <c r="O54" s="15">
        <f t="shared" si="0"/>
        <v>75</v>
      </c>
      <c r="P54" s="15">
        <f t="shared" si="1"/>
        <v>199</v>
      </c>
      <c r="R54" s="8"/>
      <c r="T54"/>
    </row>
    <row r="55" spans="2:20" ht="23.1" customHeight="1" x14ac:dyDescent="0.25">
      <c r="B55" s="23" t="s">
        <v>82</v>
      </c>
      <c r="C55" s="50">
        <v>43</v>
      </c>
      <c r="D55" s="50">
        <v>14</v>
      </c>
      <c r="E55" s="50">
        <v>9</v>
      </c>
      <c r="F55" s="50">
        <v>23</v>
      </c>
      <c r="G55" s="50">
        <v>0</v>
      </c>
      <c r="H55" s="50">
        <v>0</v>
      </c>
      <c r="I55" s="50">
        <v>3</v>
      </c>
      <c r="J55" s="50">
        <v>0</v>
      </c>
      <c r="K55" s="50">
        <v>0</v>
      </c>
      <c r="L55" s="50">
        <v>0</v>
      </c>
      <c r="M55" s="50">
        <v>130</v>
      </c>
      <c r="N55" s="50">
        <v>0</v>
      </c>
      <c r="O55" s="15">
        <f t="shared" si="0"/>
        <v>92</v>
      </c>
      <c r="P55" s="15">
        <f t="shared" si="1"/>
        <v>222</v>
      </c>
      <c r="R55" s="8"/>
      <c r="T55"/>
    </row>
    <row r="56" spans="2:20" ht="23.1" customHeight="1" x14ac:dyDescent="0.25">
      <c r="B56" s="23" t="s">
        <v>83</v>
      </c>
      <c r="C56" s="50">
        <v>36</v>
      </c>
      <c r="D56" s="50">
        <v>6</v>
      </c>
      <c r="E56" s="50">
        <v>5</v>
      </c>
      <c r="F56" s="50">
        <v>13</v>
      </c>
      <c r="G56" s="50">
        <v>0</v>
      </c>
      <c r="H56" s="50">
        <v>0</v>
      </c>
      <c r="I56" s="50">
        <v>1</v>
      </c>
      <c r="J56" s="50">
        <v>1</v>
      </c>
      <c r="K56" s="50">
        <v>1</v>
      </c>
      <c r="L56" s="50">
        <v>0</v>
      </c>
      <c r="M56" s="50">
        <v>106</v>
      </c>
      <c r="N56" s="50">
        <v>0</v>
      </c>
      <c r="O56" s="15">
        <f t="shared" si="0"/>
        <v>63</v>
      </c>
      <c r="P56" s="15">
        <f t="shared" si="1"/>
        <v>169</v>
      </c>
      <c r="R56" s="8"/>
      <c r="T56"/>
    </row>
    <row r="57" spans="2:20" ht="23.1" customHeight="1" x14ac:dyDescent="0.25">
      <c r="B57" s="23" t="s">
        <v>84</v>
      </c>
      <c r="C57" s="50">
        <v>53</v>
      </c>
      <c r="D57" s="50">
        <v>15</v>
      </c>
      <c r="E57" s="50">
        <v>8</v>
      </c>
      <c r="F57" s="50">
        <v>18</v>
      </c>
      <c r="G57" s="50">
        <v>0</v>
      </c>
      <c r="H57" s="50">
        <v>0</v>
      </c>
      <c r="I57" s="50">
        <v>1</v>
      </c>
      <c r="J57" s="50">
        <v>1</v>
      </c>
      <c r="K57" s="50">
        <v>0</v>
      </c>
      <c r="L57" s="50">
        <v>0</v>
      </c>
      <c r="M57" s="50">
        <v>108</v>
      </c>
      <c r="N57" s="50">
        <v>0</v>
      </c>
      <c r="O57" s="15">
        <f t="shared" si="0"/>
        <v>96</v>
      </c>
      <c r="P57" s="15">
        <f t="shared" si="1"/>
        <v>204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3267</v>
      </c>
      <c r="D58" s="16">
        <f t="shared" si="21"/>
        <v>331</v>
      </c>
      <c r="E58" s="16">
        <f t="shared" si="21"/>
        <v>257</v>
      </c>
      <c r="F58" s="16">
        <f t="shared" si="21"/>
        <v>1069</v>
      </c>
      <c r="G58" s="16">
        <f t="shared" si="21"/>
        <v>6</v>
      </c>
      <c r="H58" s="16">
        <f t="shared" si="21"/>
        <v>0</v>
      </c>
      <c r="I58" s="16">
        <f t="shared" si="21"/>
        <v>139</v>
      </c>
      <c r="J58" s="16">
        <f t="shared" si="21"/>
        <v>73</v>
      </c>
      <c r="K58" s="16">
        <f t="shared" si="21"/>
        <v>32</v>
      </c>
      <c r="L58" s="16">
        <f t="shared" si="21"/>
        <v>9</v>
      </c>
      <c r="M58" s="16">
        <f t="shared" si="21"/>
        <v>5233</v>
      </c>
      <c r="N58" s="16">
        <f t="shared" si="21"/>
        <v>0</v>
      </c>
      <c r="O58" s="16">
        <f t="shared" si="21"/>
        <v>5183</v>
      </c>
      <c r="P58" s="16">
        <f t="shared" si="21"/>
        <v>10416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0.31365207373271892</v>
      </c>
      <c r="D59" s="43">
        <f t="shared" si="22"/>
        <v>3.1778033794162823E-2</v>
      </c>
      <c r="E59" s="43">
        <f t="shared" si="22"/>
        <v>2.4673579109062978E-2</v>
      </c>
      <c r="F59" s="43">
        <f t="shared" si="22"/>
        <v>0.10263056835637481</v>
      </c>
      <c r="G59" s="43">
        <f t="shared" si="22"/>
        <v>5.76036866359447E-4</v>
      </c>
      <c r="H59" s="43">
        <f t="shared" si="22"/>
        <v>0</v>
      </c>
      <c r="I59" s="43">
        <f t="shared" si="22"/>
        <v>1.3344854070660522E-2</v>
      </c>
      <c r="J59" s="43">
        <f t="shared" si="22"/>
        <v>7.0084485407066049E-3</v>
      </c>
      <c r="K59" s="43">
        <f t="shared" si="22"/>
        <v>3.0721966205837174E-3</v>
      </c>
      <c r="L59" s="43">
        <f t="shared" si="22"/>
        <v>8.6405529953917056E-4</v>
      </c>
      <c r="M59" s="43">
        <f t="shared" si="22"/>
        <v>0.50240015360983103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0.63032992475400351</v>
      </c>
      <c r="D60" s="44">
        <f t="shared" ref="D60:N60" si="23">D58/$O$58</f>
        <v>6.3862627821724874E-2</v>
      </c>
      <c r="E60" s="44">
        <f t="shared" si="23"/>
        <v>4.9585182326837736E-2</v>
      </c>
      <c r="F60" s="44">
        <f t="shared" si="23"/>
        <v>0.20625120586532897</v>
      </c>
      <c r="G60" s="44">
        <f t="shared" si="23"/>
        <v>1.1576307158016593E-3</v>
      </c>
      <c r="H60" s="44">
        <f t="shared" si="23"/>
        <v>0</v>
      </c>
      <c r="I60" s="44">
        <f t="shared" si="23"/>
        <v>2.6818444916071774E-2</v>
      </c>
      <c r="J60" s="44">
        <f t="shared" si="23"/>
        <v>1.4084507042253521E-2</v>
      </c>
      <c r="K60" s="44">
        <f t="shared" si="23"/>
        <v>6.174030484275516E-3</v>
      </c>
      <c r="L60" s="44">
        <f t="shared" si="23"/>
        <v>1.736446073702489E-3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M53" sqref="M5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0" t="str">
        <f>'01.08 KIREKA-NAMUGONGO'!C3:G3</f>
        <v>MCC - C1 - STN039 - NAMUGONGO ROAD</v>
      </c>
      <c r="D3" s="60"/>
      <c r="E3" s="60"/>
      <c r="F3" s="60"/>
      <c r="G3" s="6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'04.08 NAMUGONGO-KIREKA'!D5</f>
        <v>04.08.19</v>
      </c>
      <c r="E5" s="3"/>
      <c r="F5" s="41" t="s">
        <v>1</v>
      </c>
      <c r="G5" s="56" t="str">
        <f>'01.08 NAMUGONGO-KIREKA'!G5:H5</f>
        <v>AGENDA</v>
      </c>
      <c r="H5" s="57"/>
      <c r="I5" s="14"/>
      <c r="J5" s="2" t="s">
        <v>5</v>
      </c>
      <c r="K5" s="56" t="str">
        <f>'01.08 NAMUGONGO-KIREKA'!K5:L5</f>
        <v>STEVEN</v>
      </c>
      <c r="L5" s="57"/>
      <c r="M5" s="10"/>
      <c r="N5" s="10"/>
      <c r="O5" s="3"/>
      <c r="P5" s="3"/>
    </row>
    <row r="6" spans="2:32" ht="23.25" customHeight="1" x14ac:dyDescent="0.25">
      <c r="C6" s="2" t="s">
        <v>4</v>
      </c>
      <c r="D6" s="56" t="str">
        <f>'01.08 KIREKA-NAMUGONGO'!D6:E6</f>
        <v>KIREKA</v>
      </c>
      <c r="E6" s="57"/>
      <c r="F6" s="2" t="s">
        <v>2</v>
      </c>
      <c r="G6" s="56" t="str">
        <f>'01.08 KIREKA-NAMUGONGO'!G6:H6</f>
        <v>NAMUGONGO</v>
      </c>
      <c r="H6" s="57"/>
      <c r="J6" s="2" t="s">
        <v>21</v>
      </c>
      <c r="K6" s="56" t="str">
        <f>'01.08 NAMUGONGO-KIREKA'!K6:L6</f>
        <v>NAIDO GRACE BRENDA</v>
      </c>
      <c r="L6" s="5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5" t="s">
        <v>88</v>
      </c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15</v>
      </c>
      <c r="D10" s="50">
        <v>3</v>
      </c>
      <c r="E10" s="50">
        <v>8</v>
      </c>
      <c r="F10" s="50">
        <v>14</v>
      </c>
      <c r="G10" s="50">
        <v>0</v>
      </c>
      <c r="H10" s="50">
        <v>0</v>
      </c>
      <c r="I10" s="50">
        <v>3</v>
      </c>
      <c r="J10" s="50">
        <v>2</v>
      </c>
      <c r="K10" s="50">
        <v>1</v>
      </c>
      <c r="L10" s="50">
        <v>0</v>
      </c>
      <c r="M10" s="50">
        <v>65</v>
      </c>
      <c r="N10" s="50">
        <v>0</v>
      </c>
      <c r="O10" s="15">
        <f t="shared" ref="O10:O57" si="0">SUM(C10:L10,N10)</f>
        <v>46</v>
      </c>
      <c r="P10" s="15">
        <f t="shared" ref="P10:P57" si="1">SUM(C10:N10)</f>
        <v>111</v>
      </c>
      <c r="R10" s="1" t="s">
        <v>6</v>
      </c>
      <c r="S10" s="17">
        <f t="shared" ref="S10:AF10" si="2">SUM(C10:C13)</f>
        <v>69</v>
      </c>
      <c r="T10" s="17">
        <f t="shared" si="2"/>
        <v>17</v>
      </c>
      <c r="U10" s="17">
        <f t="shared" si="2"/>
        <v>12</v>
      </c>
      <c r="V10" s="17">
        <f t="shared" si="2"/>
        <v>51</v>
      </c>
      <c r="W10" s="17">
        <f t="shared" si="2"/>
        <v>0</v>
      </c>
      <c r="X10" s="17">
        <f t="shared" si="2"/>
        <v>0</v>
      </c>
      <c r="Y10" s="17">
        <f t="shared" si="2"/>
        <v>8</v>
      </c>
      <c r="Z10" s="17">
        <f t="shared" si="2"/>
        <v>8</v>
      </c>
      <c r="AA10" s="17">
        <f t="shared" si="2"/>
        <v>2</v>
      </c>
      <c r="AB10" s="17">
        <f t="shared" si="2"/>
        <v>0</v>
      </c>
      <c r="AC10" s="17">
        <f t="shared" si="2"/>
        <v>304</v>
      </c>
      <c r="AD10" s="17">
        <f t="shared" si="2"/>
        <v>0</v>
      </c>
      <c r="AE10" s="31">
        <f t="shared" si="2"/>
        <v>167</v>
      </c>
      <c r="AF10" s="31">
        <f t="shared" si="2"/>
        <v>471</v>
      </c>
    </row>
    <row r="11" spans="2:32" s="6" customFormat="1" ht="23.1" customHeight="1" x14ac:dyDescent="0.25">
      <c r="B11" s="23" t="s">
        <v>38</v>
      </c>
      <c r="C11" s="50">
        <v>8</v>
      </c>
      <c r="D11" s="50">
        <v>3</v>
      </c>
      <c r="E11" s="50">
        <v>2</v>
      </c>
      <c r="F11" s="50">
        <v>8</v>
      </c>
      <c r="G11" s="50">
        <v>0</v>
      </c>
      <c r="H11" s="50">
        <v>0</v>
      </c>
      <c r="I11" s="50">
        <v>2</v>
      </c>
      <c r="J11" s="50">
        <v>2</v>
      </c>
      <c r="K11" s="50">
        <v>0</v>
      </c>
      <c r="L11" s="50">
        <v>0</v>
      </c>
      <c r="M11" s="50">
        <v>70</v>
      </c>
      <c r="N11" s="50">
        <v>0</v>
      </c>
      <c r="O11" s="15">
        <f t="shared" si="0"/>
        <v>25</v>
      </c>
      <c r="P11" s="15">
        <f t="shared" si="1"/>
        <v>95</v>
      </c>
      <c r="R11" s="1" t="s">
        <v>7</v>
      </c>
      <c r="S11" s="17">
        <f t="shared" ref="S11:AF11" si="3">SUM(C14:C17)</f>
        <v>102</v>
      </c>
      <c r="T11" s="17">
        <f t="shared" si="3"/>
        <v>29</v>
      </c>
      <c r="U11" s="17">
        <f t="shared" si="3"/>
        <v>17</v>
      </c>
      <c r="V11" s="17">
        <f t="shared" si="3"/>
        <v>59</v>
      </c>
      <c r="W11" s="17">
        <f t="shared" si="3"/>
        <v>2</v>
      </c>
      <c r="X11" s="17">
        <f t="shared" si="3"/>
        <v>0</v>
      </c>
      <c r="Y11" s="17">
        <f t="shared" si="3"/>
        <v>18</v>
      </c>
      <c r="Z11" s="17">
        <f t="shared" si="3"/>
        <v>5</v>
      </c>
      <c r="AA11" s="17">
        <f t="shared" si="3"/>
        <v>0</v>
      </c>
      <c r="AB11" s="17">
        <f t="shared" si="3"/>
        <v>0</v>
      </c>
      <c r="AC11" s="17">
        <f t="shared" si="3"/>
        <v>389</v>
      </c>
      <c r="AD11" s="17">
        <f t="shared" si="3"/>
        <v>0</v>
      </c>
      <c r="AE11" s="31">
        <f t="shared" si="3"/>
        <v>232</v>
      </c>
      <c r="AF11" s="31">
        <f t="shared" si="3"/>
        <v>621</v>
      </c>
    </row>
    <row r="12" spans="2:32" ht="23.1" customHeight="1" x14ac:dyDescent="0.25">
      <c r="B12" s="23" t="s">
        <v>39</v>
      </c>
      <c r="C12" s="50">
        <v>19</v>
      </c>
      <c r="D12" s="50">
        <v>5</v>
      </c>
      <c r="E12" s="50">
        <v>0</v>
      </c>
      <c r="F12" s="50">
        <v>17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90</v>
      </c>
      <c r="N12" s="50">
        <v>0</v>
      </c>
      <c r="O12" s="15">
        <f t="shared" si="0"/>
        <v>42</v>
      </c>
      <c r="P12" s="15">
        <f t="shared" si="1"/>
        <v>132</v>
      </c>
      <c r="R12" s="1" t="s">
        <v>8</v>
      </c>
      <c r="S12" s="17">
        <f t="shared" ref="S12:AF12" si="4">SUM(C18:C21)</f>
        <v>155</v>
      </c>
      <c r="T12" s="17">
        <f t="shared" si="4"/>
        <v>45</v>
      </c>
      <c r="U12" s="17">
        <f t="shared" si="4"/>
        <v>22</v>
      </c>
      <c r="V12" s="17">
        <f t="shared" si="4"/>
        <v>56</v>
      </c>
      <c r="W12" s="17">
        <f t="shared" si="4"/>
        <v>0</v>
      </c>
      <c r="X12" s="17">
        <f t="shared" si="4"/>
        <v>0</v>
      </c>
      <c r="Y12" s="17">
        <f t="shared" si="4"/>
        <v>19</v>
      </c>
      <c r="Z12" s="17">
        <f t="shared" si="4"/>
        <v>4</v>
      </c>
      <c r="AA12" s="17">
        <f t="shared" si="4"/>
        <v>3</v>
      </c>
      <c r="AB12" s="17">
        <f t="shared" si="4"/>
        <v>1</v>
      </c>
      <c r="AC12" s="17">
        <f t="shared" si="4"/>
        <v>451</v>
      </c>
      <c r="AD12" s="17">
        <f t="shared" si="4"/>
        <v>0</v>
      </c>
      <c r="AE12" s="31">
        <f t="shared" si="4"/>
        <v>305</v>
      </c>
      <c r="AF12" s="31">
        <f t="shared" si="4"/>
        <v>756</v>
      </c>
    </row>
    <row r="13" spans="2:32" ht="23.1" customHeight="1" x14ac:dyDescent="0.25">
      <c r="B13" s="23" t="s">
        <v>40</v>
      </c>
      <c r="C13" s="50">
        <v>27</v>
      </c>
      <c r="D13" s="50">
        <v>6</v>
      </c>
      <c r="E13" s="50">
        <v>2</v>
      </c>
      <c r="F13" s="50">
        <v>12</v>
      </c>
      <c r="G13" s="50">
        <v>0</v>
      </c>
      <c r="H13" s="50">
        <v>0</v>
      </c>
      <c r="I13" s="50">
        <v>2</v>
      </c>
      <c r="J13" s="50">
        <v>4</v>
      </c>
      <c r="K13" s="50">
        <v>1</v>
      </c>
      <c r="L13" s="50">
        <v>0</v>
      </c>
      <c r="M13" s="50">
        <v>79</v>
      </c>
      <c r="N13" s="50">
        <v>0</v>
      </c>
      <c r="O13" s="15">
        <f t="shared" si="0"/>
        <v>54</v>
      </c>
      <c r="P13" s="15">
        <f t="shared" si="1"/>
        <v>133</v>
      </c>
      <c r="R13" s="1" t="s">
        <v>9</v>
      </c>
      <c r="S13" s="17">
        <f t="shared" ref="S13:AF13" si="5">SUM(C22:C25)</f>
        <v>235</v>
      </c>
      <c r="T13" s="17">
        <f t="shared" si="5"/>
        <v>53</v>
      </c>
      <c r="U13" s="17">
        <f t="shared" si="5"/>
        <v>28</v>
      </c>
      <c r="V13" s="17">
        <f t="shared" si="5"/>
        <v>59</v>
      </c>
      <c r="W13" s="17">
        <f t="shared" si="5"/>
        <v>2</v>
      </c>
      <c r="X13" s="17">
        <f t="shared" si="5"/>
        <v>0</v>
      </c>
      <c r="Y13" s="17">
        <f t="shared" si="5"/>
        <v>11</v>
      </c>
      <c r="Z13" s="17">
        <f t="shared" si="5"/>
        <v>8</v>
      </c>
      <c r="AA13" s="17">
        <f t="shared" si="5"/>
        <v>0</v>
      </c>
      <c r="AB13" s="17">
        <f t="shared" si="5"/>
        <v>1</v>
      </c>
      <c r="AC13" s="17">
        <f t="shared" si="5"/>
        <v>494</v>
      </c>
      <c r="AD13" s="17">
        <f t="shared" si="5"/>
        <v>0</v>
      </c>
      <c r="AE13" s="31">
        <f t="shared" si="5"/>
        <v>397</v>
      </c>
      <c r="AF13" s="31">
        <f t="shared" si="5"/>
        <v>891</v>
      </c>
    </row>
    <row r="14" spans="2:32" ht="23.1" customHeight="1" x14ac:dyDescent="0.25">
      <c r="B14" s="23" t="s">
        <v>41</v>
      </c>
      <c r="C14" s="50">
        <v>20</v>
      </c>
      <c r="D14" s="50">
        <v>9</v>
      </c>
      <c r="E14" s="50">
        <v>3</v>
      </c>
      <c r="F14" s="50">
        <v>13</v>
      </c>
      <c r="G14" s="50">
        <v>2</v>
      </c>
      <c r="H14" s="50">
        <v>0</v>
      </c>
      <c r="I14" s="50">
        <v>5</v>
      </c>
      <c r="J14" s="50">
        <v>2</v>
      </c>
      <c r="K14" s="50">
        <v>0</v>
      </c>
      <c r="L14" s="50">
        <v>0</v>
      </c>
      <c r="M14" s="50">
        <v>98</v>
      </c>
      <c r="N14" s="50">
        <v>0</v>
      </c>
      <c r="O14" s="15">
        <f t="shared" si="0"/>
        <v>54</v>
      </c>
      <c r="P14" s="15">
        <f t="shared" si="1"/>
        <v>152</v>
      </c>
      <c r="R14" s="1" t="s">
        <v>10</v>
      </c>
      <c r="S14" s="17">
        <f t="shared" ref="S14:AF14" si="6">SUM(C26:C29)</f>
        <v>230</v>
      </c>
      <c r="T14" s="17">
        <f t="shared" si="6"/>
        <v>63</v>
      </c>
      <c r="U14" s="17">
        <f t="shared" si="6"/>
        <v>31</v>
      </c>
      <c r="V14" s="17">
        <f t="shared" si="6"/>
        <v>53</v>
      </c>
      <c r="W14" s="17">
        <f t="shared" si="6"/>
        <v>1</v>
      </c>
      <c r="X14" s="17">
        <f t="shared" si="6"/>
        <v>0</v>
      </c>
      <c r="Y14" s="17">
        <f t="shared" si="6"/>
        <v>22</v>
      </c>
      <c r="Z14" s="17">
        <f t="shared" si="6"/>
        <v>1</v>
      </c>
      <c r="AA14" s="17">
        <f t="shared" si="6"/>
        <v>1</v>
      </c>
      <c r="AB14" s="17">
        <f t="shared" si="6"/>
        <v>1</v>
      </c>
      <c r="AC14" s="17">
        <f t="shared" si="6"/>
        <v>545</v>
      </c>
      <c r="AD14" s="17">
        <f t="shared" si="6"/>
        <v>0</v>
      </c>
      <c r="AE14" s="31">
        <f t="shared" si="6"/>
        <v>403</v>
      </c>
      <c r="AF14" s="31">
        <f t="shared" si="6"/>
        <v>948</v>
      </c>
    </row>
    <row r="15" spans="2:32" ht="23.1" customHeight="1" x14ac:dyDescent="0.25">
      <c r="B15" s="23" t="s">
        <v>42</v>
      </c>
      <c r="C15" s="50">
        <v>23</v>
      </c>
      <c r="D15" s="50">
        <v>6</v>
      </c>
      <c r="E15" s="50">
        <v>2</v>
      </c>
      <c r="F15" s="50">
        <v>15</v>
      </c>
      <c r="G15" s="50">
        <v>0</v>
      </c>
      <c r="H15" s="50">
        <v>0</v>
      </c>
      <c r="I15" s="50">
        <v>3</v>
      </c>
      <c r="J15" s="50">
        <v>2</v>
      </c>
      <c r="K15" s="50">
        <v>0</v>
      </c>
      <c r="L15" s="50">
        <v>0</v>
      </c>
      <c r="M15" s="50">
        <v>97</v>
      </c>
      <c r="N15" s="50">
        <v>0</v>
      </c>
      <c r="O15" s="15">
        <f t="shared" si="0"/>
        <v>51</v>
      </c>
      <c r="P15" s="15">
        <f t="shared" si="1"/>
        <v>148</v>
      </c>
      <c r="R15" s="1" t="s">
        <v>11</v>
      </c>
      <c r="S15" s="17">
        <f t="shared" ref="S15:AF15" si="7">SUM(C30:C33)</f>
        <v>250</v>
      </c>
      <c r="T15" s="17">
        <f t="shared" si="7"/>
        <v>72</v>
      </c>
      <c r="U15" s="17">
        <f t="shared" si="7"/>
        <v>31</v>
      </c>
      <c r="V15" s="17">
        <f t="shared" si="7"/>
        <v>53</v>
      </c>
      <c r="W15" s="17">
        <f t="shared" si="7"/>
        <v>1</v>
      </c>
      <c r="X15" s="17">
        <f t="shared" si="7"/>
        <v>0</v>
      </c>
      <c r="Y15" s="17">
        <f t="shared" si="7"/>
        <v>18</v>
      </c>
      <c r="Z15" s="17">
        <f t="shared" si="7"/>
        <v>4</v>
      </c>
      <c r="AA15" s="17">
        <f t="shared" si="7"/>
        <v>2</v>
      </c>
      <c r="AB15" s="17">
        <f t="shared" si="7"/>
        <v>1</v>
      </c>
      <c r="AC15" s="17">
        <f t="shared" si="7"/>
        <v>456</v>
      </c>
      <c r="AD15" s="17">
        <f t="shared" si="7"/>
        <v>0</v>
      </c>
      <c r="AE15" s="31">
        <f t="shared" si="7"/>
        <v>432</v>
      </c>
      <c r="AF15" s="31">
        <f t="shared" si="7"/>
        <v>888</v>
      </c>
    </row>
    <row r="16" spans="2:32" ht="23.1" customHeight="1" x14ac:dyDescent="0.25">
      <c r="B16" s="23" t="s">
        <v>43</v>
      </c>
      <c r="C16" s="50">
        <v>32</v>
      </c>
      <c r="D16" s="50">
        <v>8</v>
      </c>
      <c r="E16" s="50">
        <v>3</v>
      </c>
      <c r="F16" s="50">
        <v>15</v>
      </c>
      <c r="G16" s="50">
        <v>0</v>
      </c>
      <c r="H16" s="50">
        <v>0</v>
      </c>
      <c r="I16" s="50">
        <v>9</v>
      </c>
      <c r="J16" s="50">
        <v>0</v>
      </c>
      <c r="K16" s="50">
        <v>0</v>
      </c>
      <c r="L16" s="50">
        <v>0</v>
      </c>
      <c r="M16" s="50">
        <v>106</v>
      </c>
      <c r="N16" s="50">
        <v>0</v>
      </c>
      <c r="O16" s="15">
        <f t="shared" si="0"/>
        <v>67</v>
      </c>
      <c r="P16" s="15">
        <f t="shared" si="1"/>
        <v>173</v>
      </c>
      <c r="R16" s="1" t="s">
        <v>12</v>
      </c>
      <c r="S16" s="17">
        <f t="shared" ref="S16:AF16" si="8">SUM(C34:C37)</f>
        <v>352</v>
      </c>
      <c r="T16" s="17">
        <f t="shared" si="8"/>
        <v>93</v>
      </c>
      <c r="U16" s="17">
        <f t="shared" si="8"/>
        <v>41</v>
      </c>
      <c r="V16" s="17">
        <f t="shared" si="8"/>
        <v>64</v>
      </c>
      <c r="W16" s="17">
        <f t="shared" si="8"/>
        <v>0</v>
      </c>
      <c r="X16" s="17">
        <f t="shared" si="8"/>
        <v>0</v>
      </c>
      <c r="Y16" s="17">
        <f t="shared" si="8"/>
        <v>11</v>
      </c>
      <c r="Z16" s="17">
        <f t="shared" si="8"/>
        <v>2</v>
      </c>
      <c r="AA16" s="17">
        <f t="shared" si="8"/>
        <v>1</v>
      </c>
      <c r="AB16" s="17">
        <f t="shared" si="8"/>
        <v>0</v>
      </c>
      <c r="AC16" s="17">
        <f t="shared" si="8"/>
        <v>410</v>
      </c>
      <c r="AD16" s="17">
        <f t="shared" si="8"/>
        <v>0</v>
      </c>
      <c r="AE16" s="31">
        <f t="shared" si="8"/>
        <v>564</v>
      </c>
      <c r="AF16" s="31">
        <f t="shared" si="8"/>
        <v>974</v>
      </c>
    </row>
    <row r="17" spans="2:32" ht="23.1" customHeight="1" x14ac:dyDescent="0.25">
      <c r="B17" s="23" t="s">
        <v>44</v>
      </c>
      <c r="C17" s="50">
        <v>27</v>
      </c>
      <c r="D17" s="50">
        <v>6</v>
      </c>
      <c r="E17" s="50">
        <v>9</v>
      </c>
      <c r="F17" s="50">
        <v>16</v>
      </c>
      <c r="G17" s="50">
        <v>0</v>
      </c>
      <c r="H17" s="50">
        <v>0</v>
      </c>
      <c r="I17" s="50">
        <v>1</v>
      </c>
      <c r="J17" s="50">
        <v>1</v>
      </c>
      <c r="K17" s="50">
        <v>0</v>
      </c>
      <c r="L17" s="50">
        <v>0</v>
      </c>
      <c r="M17" s="50">
        <v>88</v>
      </c>
      <c r="N17" s="50">
        <v>0</v>
      </c>
      <c r="O17" s="15">
        <f t="shared" si="0"/>
        <v>60</v>
      </c>
      <c r="P17" s="15">
        <f t="shared" si="1"/>
        <v>148</v>
      </c>
      <c r="R17" s="1" t="s">
        <v>13</v>
      </c>
      <c r="S17" s="17">
        <f t="shared" ref="S17:AF17" si="9">SUM(C38:C41)</f>
        <v>289</v>
      </c>
      <c r="T17" s="17">
        <f t="shared" si="9"/>
        <v>107</v>
      </c>
      <c r="U17" s="17">
        <f t="shared" si="9"/>
        <v>25</v>
      </c>
      <c r="V17" s="17">
        <f t="shared" si="9"/>
        <v>68</v>
      </c>
      <c r="W17" s="17">
        <f t="shared" si="9"/>
        <v>0</v>
      </c>
      <c r="X17" s="17">
        <f t="shared" si="9"/>
        <v>0</v>
      </c>
      <c r="Y17" s="17">
        <f t="shared" si="9"/>
        <v>16</v>
      </c>
      <c r="Z17" s="17">
        <f t="shared" si="9"/>
        <v>1</v>
      </c>
      <c r="AA17" s="17">
        <f t="shared" si="9"/>
        <v>1</v>
      </c>
      <c r="AB17" s="17">
        <f t="shared" si="9"/>
        <v>0</v>
      </c>
      <c r="AC17" s="17">
        <f t="shared" si="9"/>
        <v>443</v>
      </c>
      <c r="AD17" s="17">
        <f t="shared" si="9"/>
        <v>0</v>
      </c>
      <c r="AE17" s="31">
        <f t="shared" si="9"/>
        <v>507</v>
      </c>
      <c r="AF17" s="31">
        <f t="shared" si="9"/>
        <v>950</v>
      </c>
    </row>
    <row r="18" spans="2:32" ht="23.1" customHeight="1" x14ac:dyDescent="0.25">
      <c r="B18" s="23" t="s">
        <v>45</v>
      </c>
      <c r="C18" s="50">
        <v>44</v>
      </c>
      <c r="D18" s="50">
        <v>13</v>
      </c>
      <c r="E18" s="50">
        <v>7</v>
      </c>
      <c r="F18" s="50">
        <v>17</v>
      </c>
      <c r="G18" s="50">
        <v>0</v>
      </c>
      <c r="H18" s="50">
        <v>0</v>
      </c>
      <c r="I18" s="50">
        <v>5</v>
      </c>
      <c r="J18" s="50">
        <v>0</v>
      </c>
      <c r="K18" s="50">
        <v>0</v>
      </c>
      <c r="L18" s="50">
        <v>1</v>
      </c>
      <c r="M18" s="50">
        <v>111</v>
      </c>
      <c r="N18" s="50">
        <v>0</v>
      </c>
      <c r="O18" s="15">
        <f t="shared" si="0"/>
        <v>87</v>
      </c>
      <c r="P18" s="15">
        <f t="shared" si="1"/>
        <v>198</v>
      </c>
      <c r="R18" s="1" t="s">
        <v>14</v>
      </c>
      <c r="S18" s="17">
        <f t="shared" ref="S18:AF18" si="10">SUM(C42:C45)</f>
        <v>304</v>
      </c>
      <c r="T18" s="17">
        <f t="shared" si="10"/>
        <v>93</v>
      </c>
      <c r="U18" s="17">
        <f t="shared" si="10"/>
        <v>24</v>
      </c>
      <c r="V18" s="17">
        <f t="shared" si="10"/>
        <v>56</v>
      </c>
      <c r="W18" s="17">
        <f t="shared" si="10"/>
        <v>0</v>
      </c>
      <c r="X18" s="17">
        <f t="shared" si="10"/>
        <v>0</v>
      </c>
      <c r="Y18" s="17">
        <f t="shared" si="10"/>
        <v>16</v>
      </c>
      <c r="Z18" s="17">
        <f t="shared" si="10"/>
        <v>3</v>
      </c>
      <c r="AA18" s="17">
        <f t="shared" si="10"/>
        <v>1</v>
      </c>
      <c r="AB18" s="17">
        <f t="shared" si="10"/>
        <v>1</v>
      </c>
      <c r="AC18" s="17">
        <f t="shared" si="10"/>
        <v>490</v>
      </c>
      <c r="AD18" s="17">
        <f t="shared" si="10"/>
        <v>0</v>
      </c>
      <c r="AE18" s="31">
        <f t="shared" si="10"/>
        <v>498</v>
      </c>
      <c r="AF18" s="31">
        <f t="shared" si="10"/>
        <v>988</v>
      </c>
    </row>
    <row r="19" spans="2:32" ht="23.1" customHeight="1" x14ac:dyDescent="0.25">
      <c r="B19" s="23" t="s">
        <v>46</v>
      </c>
      <c r="C19" s="50">
        <v>38</v>
      </c>
      <c r="D19" s="50">
        <v>11</v>
      </c>
      <c r="E19" s="50">
        <v>4</v>
      </c>
      <c r="F19" s="50">
        <v>12</v>
      </c>
      <c r="G19" s="50">
        <v>0</v>
      </c>
      <c r="H19" s="50">
        <v>0</v>
      </c>
      <c r="I19" s="50">
        <v>3</v>
      </c>
      <c r="J19" s="50">
        <v>3</v>
      </c>
      <c r="K19" s="50">
        <v>2</v>
      </c>
      <c r="L19" s="50">
        <v>0</v>
      </c>
      <c r="M19" s="50">
        <v>116</v>
      </c>
      <c r="N19" s="50">
        <v>0</v>
      </c>
      <c r="O19" s="15">
        <f t="shared" si="0"/>
        <v>73</v>
      </c>
      <c r="P19" s="15">
        <f t="shared" si="1"/>
        <v>189</v>
      </c>
      <c r="R19" s="1" t="s">
        <v>15</v>
      </c>
      <c r="S19" s="17">
        <f t="shared" ref="S19:AF19" si="11">SUM(C46:C49)</f>
        <v>343</v>
      </c>
      <c r="T19" s="17">
        <f t="shared" si="11"/>
        <v>92</v>
      </c>
      <c r="U19" s="17">
        <f t="shared" si="11"/>
        <v>31</v>
      </c>
      <c r="V19" s="17">
        <f t="shared" si="11"/>
        <v>64</v>
      </c>
      <c r="W19" s="17">
        <f t="shared" si="11"/>
        <v>0</v>
      </c>
      <c r="X19" s="17">
        <f t="shared" si="11"/>
        <v>0</v>
      </c>
      <c r="Y19" s="17">
        <f t="shared" si="11"/>
        <v>11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493</v>
      </c>
      <c r="AD19" s="17">
        <f t="shared" si="11"/>
        <v>0</v>
      </c>
      <c r="AE19" s="31">
        <f t="shared" si="11"/>
        <v>542</v>
      </c>
      <c r="AF19" s="31">
        <f t="shared" si="11"/>
        <v>1035</v>
      </c>
    </row>
    <row r="20" spans="2:32" ht="23.1" customHeight="1" x14ac:dyDescent="0.25">
      <c r="B20" s="23" t="s">
        <v>47</v>
      </c>
      <c r="C20" s="50">
        <v>40</v>
      </c>
      <c r="D20" s="50">
        <v>8</v>
      </c>
      <c r="E20" s="50">
        <v>4</v>
      </c>
      <c r="F20" s="50">
        <v>13</v>
      </c>
      <c r="G20" s="50">
        <v>0</v>
      </c>
      <c r="H20" s="50">
        <v>0</v>
      </c>
      <c r="I20" s="50">
        <v>4</v>
      </c>
      <c r="J20" s="50">
        <v>0</v>
      </c>
      <c r="K20" s="50">
        <v>0</v>
      </c>
      <c r="L20" s="50">
        <v>0</v>
      </c>
      <c r="M20" s="50">
        <v>102</v>
      </c>
      <c r="N20" s="50">
        <v>0</v>
      </c>
      <c r="O20" s="15">
        <f t="shared" si="0"/>
        <v>69</v>
      </c>
      <c r="P20" s="15">
        <f t="shared" si="1"/>
        <v>171</v>
      </c>
      <c r="R20" s="1" t="s">
        <v>16</v>
      </c>
      <c r="S20" s="17">
        <f t="shared" ref="S20:AF20" si="12">SUM(C50:C53)</f>
        <v>282</v>
      </c>
      <c r="T20" s="17">
        <f t="shared" si="12"/>
        <v>88</v>
      </c>
      <c r="U20" s="17">
        <f t="shared" si="12"/>
        <v>26</v>
      </c>
      <c r="V20" s="17">
        <f t="shared" si="12"/>
        <v>63</v>
      </c>
      <c r="W20" s="17">
        <f t="shared" si="12"/>
        <v>1</v>
      </c>
      <c r="X20" s="17">
        <f t="shared" si="12"/>
        <v>0</v>
      </c>
      <c r="Y20" s="17">
        <f t="shared" si="12"/>
        <v>17</v>
      </c>
      <c r="Z20" s="17">
        <f t="shared" si="12"/>
        <v>3</v>
      </c>
      <c r="AA20" s="17">
        <f t="shared" si="12"/>
        <v>3</v>
      </c>
      <c r="AB20" s="17">
        <f t="shared" si="12"/>
        <v>0</v>
      </c>
      <c r="AC20" s="17">
        <f t="shared" si="12"/>
        <v>467</v>
      </c>
      <c r="AD20" s="17">
        <f t="shared" si="12"/>
        <v>0</v>
      </c>
      <c r="AE20" s="31">
        <f t="shared" si="12"/>
        <v>483</v>
      </c>
      <c r="AF20" s="31">
        <f t="shared" si="12"/>
        <v>950</v>
      </c>
    </row>
    <row r="21" spans="2:32" ht="23.1" customHeight="1" x14ac:dyDescent="0.25">
      <c r="B21" s="23" t="s">
        <v>48</v>
      </c>
      <c r="C21" s="50">
        <v>33</v>
      </c>
      <c r="D21" s="50">
        <v>13</v>
      </c>
      <c r="E21" s="50">
        <v>7</v>
      </c>
      <c r="F21" s="50">
        <v>14</v>
      </c>
      <c r="G21" s="50">
        <v>0</v>
      </c>
      <c r="H21" s="50">
        <v>0</v>
      </c>
      <c r="I21" s="50">
        <v>7</v>
      </c>
      <c r="J21" s="50">
        <v>1</v>
      </c>
      <c r="K21" s="50">
        <v>1</v>
      </c>
      <c r="L21" s="50">
        <v>0</v>
      </c>
      <c r="M21" s="50">
        <v>122</v>
      </c>
      <c r="N21" s="50">
        <v>0</v>
      </c>
      <c r="O21" s="15">
        <f t="shared" si="0"/>
        <v>76</v>
      </c>
      <c r="P21" s="15">
        <f t="shared" si="1"/>
        <v>198</v>
      </c>
      <c r="R21" s="36" t="s">
        <v>20</v>
      </c>
      <c r="S21" s="34">
        <f t="shared" ref="S21:AF21" si="13">SUM(C54:C57)</f>
        <v>321</v>
      </c>
      <c r="T21" s="17">
        <f t="shared" si="13"/>
        <v>98</v>
      </c>
      <c r="U21" s="17">
        <f t="shared" si="13"/>
        <v>17</v>
      </c>
      <c r="V21" s="17">
        <f t="shared" si="13"/>
        <v>68</v>
      </c>
      <c r="W21" s="17">
        <f t="shared" si="13"/>
        <v>0</v>
      </c>
      <c r="X21" s="17">
        <f t="shared" si="13"/>
        <v>0</v>
      </c>
      <c r="Y21" s="17">
        <f t="shared" si="13"/>
        <v>7</v>
      </c>
      <c r="Z21" s="17">
        <f t="shared" si="13"/>
        <v>0</v>
      </c>
      <c r="AA21" s="17">
        <f t="shared" si="13"/>
        <v>3</v>
      </c>
      <c r="AB21" s="17">
        <f t="shared" si="13"/>
        <v>0</v>
      </c>
      <c r="AC21" s="17">
        <f t="shared" si="13"/>
        <v>463</v>
      </c>
      <c r="AD21" s="17">
        <f t="shared" si="13"/>
        <v>0</v>
      </c>
      <c r="AE21" s="31">
        <f t="shared" si="13"/>
        <v>514</v>
      </c>
      <c r="AF21" s="31">
        <f t="shared" si="13"/>
        <v>977</v>
      </c>
    </row>
    <row r="22" spans="2:32" ht="23.1" customHeight="1" x14ac:dyDescent="0.25">
      <c r="B22" s="23" t="s">
        <v>49</v>
      </c>
      <c r="C22" s="50">
        <v>55</v>
      </c>
      <c r="D22" s="50">
        <v>15</v>
      </c>
      <c r="E22" s="50">
        <v>8</v>
      </c>
      <c r="F22" s="50">
        <v>21</v>
      </c>
      <c r="G22" s="50">
        <v>0</v>
      </c>
      <c r="H22" s="50">
        <v>0</v>
      </c>
      <c r="I22" s="50">
        <v>3</v>
      </c>
      <c r="J22" s="50">
        <v>1</v>
      </c>
      <c r="K22" s="50">
        <v>0</v>
      </c>
      <c r="L22" s="50">
        <v>0</v>
      </c>
      <c r="M22" s="50">
        <v>122</v>
      </c>
      <c r="N22" s="50">
        <v>0</v>
      </c>
      <c r="O22" s="15">
        <f t="shared" si="0"/>
        <v>103</v>
      </c>
      <c r="P22" s="15">
        <f t="shared" si="1"/>
        <v>225</v>
      </c>
      <c r="R22" s="38" t="s">
        <v>90</v>
      </c>
      <c r="S22" s="39">
        <f>MAX(S10:S12)</f>
        <v>155</v>
      </c>
      <c r="T22" s="39">
        <f t="shared" ref="T22:AF22" si="14">MAX(T10:T12)</f>
        <v>45</v>
      </c>
      <c r="U22" s="39">
        <f t="shared" si="14"/>
        <v>22</v>
      </c>
      <c r="V22" s="39">
        <f t="shared" si="14"/>
        <v>59</v>
      </c>
      <c r="W22" s="39">
        <f t="shared" si="14"/>
        <v>2</v>
      </c>
      <c r="X22" s="39">
        <f t="shared" si="14"/>
        <v>0</v>
      </c>
      <c r="Y22" s="39">
        <f t="shared" si="14"/>
        <v>19</v>
      </c>
      <c r="Z22" s="39">
        <f t="shared" si="14"/>
        <v>8</v>
      </c>
      <c r="AA22" s="39">
        <f t="shared" si="14"/>
        <v>3</v>
      </c>
      <c r="AB22" s="39">
        <f t="shared" si="14"/>
        <v>1</v>
      </c>
      <c r="AC22" s="39">
        <f t="shared" si="14"/>
        <v>451</v>
      </c>
      <c r="AD22" s="39">
        <f t="shared" si="14"/>
        <v>0</v>
      </c>
      <c r="AE22" s="40">
        <f t="shared" si="14"/>
        <v>305</v>
      </c>
      <c r="AF22" s="40">
        <f t="shared" si="14"/>
        <v>756</v>
      </c>
    </row>
    <row r="23" spans="2:32" ht="23.1" customHeight="1" x14ac:dyDescent="0.25">
      <c r="B23" s="23" t="s">
        <v>50</v>
      </c>
      <c r="C23" s="50">
        <v>70</v>
      </c>
      <c r="D23" s="50">
        <v>11</v>
      </c>
      <c r="E23" s="50">
        <v>10</v>
      </c>
      <c r="F23" s="50">
        <v>12</v>
      </c>
      <c r="G23" s="50">
        <v>2</v>
      </c>
      <c r="H23" s="50">
        <v>0</v>
      </c>
      <c r="I23" s="50">
        <v>4</v>
      </c>
      <c r="J23" s="50">
        <v>4</v>
      </c>
      <c r="K23" s="50">
        <v>0</v>
      </c>
      <c r="L23" s="50">
        <v>0</v>
      </c>
      <c r="M23" s="50">
        <v>140</v>
      </c>
      <c r="N23" s="50">
        <v>0</v>
      </c>
      <c r="O23" s="15">
        <f t="shared" si="0"/>
        <v>113</v>
      </c>
      <c r="P23" s="15">
        <f t="shared" si="1"/>
        <v>253</v>
      </c>
      <c r="R23" s="38" t="s">
        <v>91</v>
      </c>
      <c r="S23" s="39">
        <f>MAX(S13:S18)</f>
        <v>352</v>
      </c>
      <c r="T23" s="39">
        <f t="shared" ref="T23:AF23" si="15">MAX(T13:T18)</f>
        <v>107</v>
      </c>
      <c r="U23" s="39">
        <f t="shared" si="15"/>
        <v>41</v>
      </c>
      <c r="V23" s="39">
        <f t="shared" si="15"/>
        <v>68</v>
      </c>
      <c r="W23" s="39">
        <f t="shared" si="15"/>
        <v>2</v>
      </c>
      <c r="X23" s="39">
        <f t="shared" si="15"/>
        <v>0</v>
      </c>
      <c r="Y23" s="39">
        <f t="shared" si="15"/>
        <v>22</v>
      </c>
      <c r="Z23" s="39">
        <f t="shared" si="15"/>
        <v>8</v>
      </c>
      <c r="AA23" s="39">
        <f t="shared" si="15"/>
        <v>2</v>
      </c>
      <c r="AB23" s="39">
        <f t="shared" si="15"/>
        <v>1</v>
      </c>
      <c r="AC23" s="39">
        <f t="shared" si="15"/>
        <v>545</v>
      </c>
      <c r="AD23" s="39">
        <f t="shared" si="15"/>
        <v>0</v>
      </c>
      <c r="AE23" s="40">
        <f t="shared" si="15"/>
        <v>564</v>
      </c>
      <c r="AF23" s="40">
        <f t="shared" si="15"/>
        <v>988</v>
      </c>
    </row>
    <row r="24" spans="2:32" ht="23.1" customHeight="1" x14ac:dyDescent="0.25">
      <c r="B24" s="23" t="s">
        <v>51</v>
      </c>
      <c r="C24" s="50">
        <v>46</v>
      </c>
      <c r="D24" s="50">
        <v>13</v>
      </c>
      <c r="E24" s="50">
        <v>6</v>
      </c>
      <c r="F24" s="50">
        <v>14</v>
      </c>
      <c r="G24" s="50">
        <v>0</v>
      </c>
      <c r="H24" s="50">
        <v>0</v>
      </c>
      <c r="I24" s="50">
        <v>3</v>
      </c>
      <c r="J24" s="50">
        <v>2</v>
      </c>
      <c r="K24" s="50">
        <v>0</v>
      </c>
      <c r="L24" s="50">
        <v>1</v>
      </c>
      <c r="M24" s="50">
        <v>112</v>
      </c>
      <c r="N24" s="50">
        <v>0</v>
      </c>
      <c r="O24" s="15">
        <f t="shared" si="0"/>
        <v>85</v>
      </c>
      <c r="P24" s="15">
        <f t="shared" si="1"/>
        <v>197</v>
      </c>
      <c r="R24" s="38" t="s">
        <v>92</v>
      </c>
      <c r="S24" s="39">
        <f>MAX(S19:S21)</f>
        <v>343</v>
      </c>
      <c r="T24" s="39">
        <f t="shared" ref="T24:AF24" si="16">MAX(T19:T21)</f>
        <v>98</v>
      </c>
      <c r="U24" s="39">
        <f t="shared" si="16"/>
        <v>31</v>
      </c>
      <c r="V24" s="39">
        <f t="shared" si="16"/>
        <v>68</v>
      </c>
      <c r="W24" s="39">
        <f t="shared" si="16"/>
        <v>1</v>
      </c>
      <c r="X24" s="39">
        <f t="shared" si="16"/>
        <v>0</v>
      </c>
      <c r="Y24" s="39">
        <f t="shared" si="16"/>
        <v>17</v>
      </c>
      <c r="Z24" s="39">
        <f t="shared" si="16"/>
        <v>3</v>
      </c>
      <c r="AA24" s="39">
        <f t="shared" si="16"/>
        <v>3</v>
      </c>
      <c r="AB24" s="39">
        <f t="shared" si="16"/>
        <v>0</v>
      </c>
      <c r="AC24" s="39">
        <f t="shared" si="16"/>
        <v>493</v>
      </c>
      <c r="AD24" s="39">
        <f t="shared" si="16"/>
        <v>0</v>
      </c>
      <c r="AE24" s="40">
        <f t="shared" si="16"/>
        <v>542</v>
      </c>
      <c r="AF24" s="40">
        <f t="shared" si="16"/>
        <v>1035</v>
      </c>
    </row>
    <row r="25" spans="2:32" ht="23.1" customHeight="1" x14ac:dyDescent="0.25">
      <c r="B25" s="23" t="s">
        <v>52</v>
      </c>
      <c r="C25" s="50">
        <v>64</v>
      </c>
      <c r="D25" s="50">
        <v>14</v>
      </c>
      <c r="E25" s="50">
        <v>4</v>
      </c>
      <c r="F25" s="50">
        <v>12</v>
      </c>
      <c r="G25" s="50">
        <v>0</v>
      </c>
      <c r="H25" s="50">
        <v>0</v>
      </c>
      <c r="I25" s="50">
        <v>1</v>
      </c>
      <c r="J25" s="50">
        <v>1</v>
      </c>
      <c r="K25" s="50">
        <v>0</v>
      </c>
      <c r="L25" s="50">
        <v>0</v>
      </c>
      <c r="M25" s="50">
        <v>120</v>
      </c>
      <c r="N25" s="50">
        <v>0</v>
      </c>
      <c r="O25" s="15">
        <f t="shared" si="0"/>
        <v>96</v>
      </c>
      <c r="P25" s="15">
        <f t="shared" si="1"/>
        <v>216</v>
      </c>
      <c r="R25" s="37" t="s">
        <v>85</v>
      </c>
      <c r="S25" s="35">
        <f t="shared" ref="S25:AF25" si="17">SUM(S10:S12)</f>
        <v>326</v>
      </c>
      <c r="T25" s="16">
        <f t="shared" si="17"/>
        <v>91</v>
      </c>
      <c r="U25" s="16">
        <f t="shared" si="17"/>
        <v>51</v>
      </c>
      <c r="V25" s="16">
        <f t="shared" si="17"/>
        <v>166</v>
      </c>
      <c r="W25" s="16">
        <f t="shared" si="17"/>
        <v>2</v>
      </c>
      <c r="X25" s="16">
        <f t="shared" si="17"/>
        <v>0</v>
      </c>
      <c r="Y25" s="16">
        <f t="shared" si="17"/>
        <v>45</v>
      </c>
      <c r="Z25" s="16">
        <f t="shared" si="17"/>
        <v>17</v>
      </c>
      <c r="AA25" s="16">
        <f t="shared" si="17"/>
        <v>5</v>
      </c>
      <c r="AB25" s="16">
        <f t="shared" si="17"/>
        <v>1</v>
      </c>
      <c r="AC25" s="16">
        <f t="shared" si="17"/>
        <v>1144</v>
      </c>
      <c r="AD25" s="16">
        <f t="shared" si="17"/>
        <v>0</v>
      </c>
      <c r="AE25" s="32">
        <f t="shared" si="17"/>
        <v>704</v>
      </c>
      <c r="AF25" s="32">
        <f t="shared" si="17"/>
        <v>1848</v>
      </c>
    </row>
    <row r="26" spans="2:32" ht="23.1" customHeight="1" x14ac:dyDescent="0.25">
      <c r="B26" s="23" t="s">
        <v>53</v>
      </c>
      <c r="C26" s="50">
        <v>55</v>
      </c>
      <c r="D26" s="50">
        <v>14</v>
      </c>
      <c r="E26" s="50">
        <v>17</v>
      </c>
      <c r="F26" s="50">
        <v>1</v>
      </c>
      <c r="G26" s="50">
        <v>0</v>
      </c>
      <c r="H26" s="50">
        <v>0</v>
      </c>
      <c r="I26" s="50">
        <v>5</v>
      </c>
      <c r="J26" s="50">
        <v>0</v>
      </c>
      <c r="K26" s="50">
        <v>0</v>
      </c>
      <c r="L26" s="50">
        <v>0</v>
      </c>
      <c r="M26" s="50">
        <v>145</v>
      </c>
      <c r="N26" s="50">
        <v>0</v>
      </c>
      <c r="O26" s="15">
        <f t="shared" si="0"/>
        <v>92</v>
      </c>
      <c r="P26" s="15">
        <f t="shared" si="1"/>
        <v>237</v>
      </c>
      <c r="R26" s="28" t="s">
        <v>86</v>
      </c>
      <c r="S26" s="16">
        <f t="shared" ref="S26:AF26" si="18">SUM(S13:S18)</f>
        <v>1660</v>
      </c>
      <c r="T26" s="16">
        <f t="shared" si="18"/>
        <v>481</v>
      </c>
      <c r="U26" s="16">
        <f t="shared" si="18"/>
        <v>180</v>
      </c>
      <c r="V26" s="16">
        <f t="shared" si="18"/>
        <v>353</v>
      </c>
      <c r="W26" s="16">
        <f t="shared" si="18"/>
        <v>4</v>
      </c>
      <c r="X26" s="16">
        <f t="shared" si="18"/>
        <v>0</v>
      </c>
      <c r="Y26" s="16">
        <f t="shared" si="18"/>
        <v>94</v>
      </c>
      <c r="Z26" s="16">
        <f t="shared" si="18"/>
        <v>19</v>
      </c>
      <c r="AA26" s="16">
        <f t="shared" si="18"/>
        <v>6</v>
      </c>
      <c r="AB26" s="16">
        <f t="shared" si="18"/>
        <v>4</v>
      </c>
      <c r="AC26" s="16">
        <f t="shared" si="18"/>
        <v>2838</v>
      </c>
      <c r="AD26" s="16">
        <f t="shared" si="18"/>
        <v>0</v>
      </c>
      <c r="AE26" s="32">
        <f t="shared" si="18"/>
        <v>2801</v>
      </c>
      <c r="AF26" s="32">
        <f t="shared" si="18"/>
        <v>5639</v>
      </c>
    </row>
    <row r="27" spans="2:32" ht="23.1" customHeight="1" x14ac:dyDescent="0.25">
      <c r="B27" s="23" t="s">
        <v>54</v>
      </c>
      <c r="C27" s="50">
        <v>36</v>
      </c>
      <c r="D27" s="50">
        <v>16</v>
      </c>
      <c r="E27" s="50">
        <v>6</v>
      </c>
      <c r="F27" s="50">
        <v>17</v>
      </c>
      <c r="G27" s="50">
        <v>1</v>
      </c>
      <c r="H27" s="50">
        <v>0</v>
      </c>
      <c r="I27" s="50">
        <v>5</v>
      </c>
      <c r="J27" s="50">
        <v>0</v>
      </c>
      <c r="K27" s="50">
        <v>0</v>
      </c>
      <c r="L27" s="50">
        <v>0</v>
      </c>
      <c r="M27" s="50">
        <v>143</v>
      </c>
      <c r="N27" s="50">
        <v>0</v>
      </c>
      <c r="O27" s="15">
        <f t="shared" si="0"/>
        <v>81</v>
      </c>
      <c r="P27" s="15">
        <f t="shared" si="1"/>
        <v>224</v>
      </c>
      <c r="R27" s="29" t="s">
        <v>87</v>
      </c>
      <c r="S27" s="16">
        <f t="shared" ref="S27:AF27" si="19">SUM(S19:S21)</f>
        <v>946</v>
      </c>
      <c r="T27" s="16">
        <f t="shared" si="19"/>
        <v>278</v>
      </c>
      <c r="U27" s="16">
        <f t="shared" si="19"/>
        <v>74</v>
      </c>
      <c r="V27" s="16">
        <f t="shared" si="19"/>
        <v>195</v>
      </c>
      <c r="W27" s="16">
        <f t="shared" si="19"/>
        <v>1</v>
      </c>
      <c r="X27" s="16">
        <f t="shared" si="19"/>
        <v>0</v>
      </c>
      <c r="Y27" s="16">
        <f t="shared" si="19"/>
        <v>35</v>
      </c>
      <c r="Z27" s="16">
        <f t="shared" si="19"/>
        <v>4</v>
      </c>
      <c r="AA27" s="16">
        <f t="shared" si="19"/>
        <v>6</v>
      </c>
      <c r="AB27" s="16">
        <f t="shared" si="19"/>
        <v>0</v>
      </c>
      <c r="AC27" s="16">
        <f t="shared" si="19"/>
        <v>1423</v>
      </c>
      <c r="AD27" s="16">
        <f t="shared" si="19"/>
        <v>0</v>
      </c>
      <c r="AE27" s="32">
        <f t="shared" si="19"/>
        <v>1539</v>
      </c>
      <c r="AF27" s="32">
        <f t="shared" si="19"/>
        <v>2962</v>
      </c>
    </row>
    <row r="28" spans="2:32" ht="23.1" customHeight="1" x14ac:dyDescent="0.25">
      <c r="B28" s="23" t="s">
        <v>55</v>
      </c>
      <c r="C28" s="50">
        <v>58</v>
      </c>
      <c r="D28" s="50">
        <v>13</v>
      </c>
      <c r="E28" s="50">
        <v>7</v>
      </c>
      <c r="F28" s="50">
        <v>19</v>
      </c>
      <c r="G28" s="50">
        <v>0</v>
      </c>
      <c r="H28" s="50">
        <v>0</v>
      </c>
      <c r="I28" s="50">
        <v>5</v>
      </c>
      <c r="J28" s="50">
        <v>0</v>
      </c>
      <c r="K28" s="50">
        <v>1</v>
      </c>
      <c r="L28" s="50">
        <v>1</v>
      </c>
      <c r="M28" s="50">
        <v>137</v>
      </c>
      <c r="N28" s="50">
        <v>0</v>
      </c>
      <c r="O28" s="15">
        <f t="shared" si="0"/>
        <v>104</v>
      </c>
      <c r="P28" s="15">
        <f t="shared" si="1"/>
        <v>241</v>
      </c>
      <c r="R28" s="5" t="s">
        <v>17</v>
      </c>
      <c r="S28" s="16">
        <f t="shared" ref="S28:AF28" si="20">SUM(S10:S21)</f>
        <v>2932</v>
      </c>
      <c r="T28" s="16">
        <f t="shared" si="20"/>
        <v>850</v>
      </c>
      <c r="U28" s="16">
        <f t="shared" si="20"/>
        <v>305</v>
      </c>
      <c r="V28" s="16">
        <f t="shared" si="20"/>
        <v>714</v>
      </c>
      <c r="W28" s="16">
        <f t="shared" si="20"/>
        <v>7</v>
      </c>
      <c r="X28" s="16">
        <f t="shared" si="20"/>
        <v>0</v>
      </c>
      <c r="Y28" s="16">
        <f t="shared" si="20"/>
        <v>174</v>
      </c>
      <c r="Z28" s="16">
        <f t="shared" si="20"/>
        <v>40</v>
      </c>
      <c r="AA28" s="16">
        <f t="shared" si="20"/>
        <v>17</v>
      </c>
      <c r="AB28" s="16">
        <f t="shared" si="20"/>
        <v>5</v>
      </c>
      <c r="AC28" s="16">
        <f t="shared" si="20"/>
        <v>5405</v>
      </c>
      <c r="AD28" s="16">
        <f t="shared" si="20"/>
        <v>0</v>
      </c>
      <c r="AE28" s="32">
        <f t="shared" si="20"/>
        <v>5044</v>
      </c>
      <c r="AF28" s="32">
        <f t="shared" si="20"/>
        <v>10449</v>
      </c>
    </row>
    <row r="29" spans="2:32" ht="23.1" customHeight="1" x14ac:dyDescent="0.25">
      <c r="B29" s="23" t="s">
        <v>56</v>
      </c>
      <c r="C29" s="50">
        <v>81</v>
      </c>
      <c r="D29" s="50">
        <v>20</v>
      </c>
      <c r="E29" s="50">
        <v>1</v>
      </c>
      <c r="F29" s="50">
        <v>16</v>
      </c>
      <c r="G29" s="50">
        <v>0</v>
      </c>
      <c r="H29" s="50">
        <v>0</v>
      </c>
      <c r="I29" s="50">
        <v>7</v>
      </c>
      <c r="J29" s="50">
        <v>1</v>
      </c>
      <c r="K29" s="50">
        <v>0</v>
      </c>
      <c r="L29" s="50">
        <v>0</v>
      </c>
      <c r="M29" s="50">
        <v>120</v>
      </c>
      <c r="N29" s="50">
        <v>0</v>
      </c>
      <c r="O29" s="15">
        <f t="shared" si="0"/>
        <v>126</v>
      </c>
      <c r="P29" s="15">
        <f t="shared" si="1"/>
        <v>246</v>
      </c>
      <c r="R29"/>
      <c r="S29" s="20"/>
      <c r="T29" s="19"/>
    </row>
    <row r="30" spans="2:32" ht="23.1" customHeight="1" x14ac:dyDescent="0.25">
      <c r="B30" s="23" t="s">
        <v>57</v>
      </c>
      <c r="C30" s="50">
        <v>67</v>
      </c>
      <c r="D30" s="50">
        <v>15</v>
      </c>
      <c r="E30" s="50">
        <v>5</v>
      </c>
      <c r="F30" s="50">
        <v>15</v>
      </c>
      <c r="G30" s="50">
        <v>0</v>
      </c>
      <c r="H30" s="50">
        <v>0</v>
      </c>
      <c r="I30" s="50">
        <v>8</v>
      </c>
      <c r="J30" s="50">
        <v>2</v>
      </c>
      <c r="K30" s="50">
        <v>0</v>
      </c>
      <c r="L30" s="50">
        <v>0</v>
      </c>
      <c r="M30" s="50">
        <v>98</v>
      </c>
      <c r="N30" s="50">
        <v>0</v>
      </c>
      <c r="O30" s="15">
        <f t="shared" si="0"/>
        <v>112</v>
      </c>
      <c r="P30" s="15">
        <f t="shared" si="1"/>
        <v>210</v>
      </c>
    </row>
    <row r="31" spans="2:32" ht="23.1" customHeight="1" x14ac:dyDescent="0.25">
      <c r="B31" s="24" t="s">
        <v>58</v>
      </c>
      <c r="C31" s="50">
        <v>53</v>
      </c>
      <c r="D31" s="50">
        <v>21</v>
      </c>
      <c r="E31" s="50">
        <v>4</v>
      </c>
      <c r="F31" s="50">
        <v>12</v>
      </c>
      <c r="G31" s="50">
        <v>0</v>
      </c>
      <c r="H31" s="50">
        <v>0</v>
      </c>
      <c r="I31" s="50">
        <v>4</v>
      </c>
      <c r="J31" s="50">
        <v>0</v>
      </c>
      <c r="K31" s="50">
        <v>0</v>
      </c>
      <c r="L31" s="50">
        <v>0</v>
      </c>
      <c r="M31" s="50">
        <v>136</v>
      </c>
      <c r="N31" s="50">
        <v>0</v>
      </c>
      <c r="O31" s="15">
        <f t="shared" si="0"/>
        <v>94</v>
      </c>
      <c r="P31" s="15">
        <f t="shared" si="1"/>
        <v>230</v>
      </c>
    </row>
    <row r="32" spans="2:32" ht="23.1" customHeight="1" x14ac:dyDescent="0.25">
      <c r="B32" s="24" t="s">
        <v>59</v>
      </c>
      <c r="C32" s="50">
        <v>60</v>
      </c>
      <c r="D32" s="50">
        <v>24</v>
      </c>
      <c r="E32" s="50">
        <v>9</v>
      </c>
      <c r="F32" s="50">
        <v>16</v>
      </c>
      <c r="G32" s="50">
        <v>0</v>
      </c>
      <c r="H32" s="50">
        <v>0</v>
      </c>
      <c r="I32" s="50">
        <v>3</v>
      </c>
      <c r="J32" s="50">
        <v>1</v>
      </c>
      <c r="K32" s="50">
        <v>1</v>
      </c>
      <c r="L32" s="50">
        <v>0</v>
      </c>
      <c r="M32" s="50">
        <v>110</v>
      </c>
      <c r="N32" s="50">
        <v>0</v>
      </c>
      <c r="O32" s="15">
        <f t="shared" si="0"/>
        <v>114</v>
      </c>
      <c r="P32" s="15">
        <f t="shared" si="1"/>
        <v>224</v>
      </c>
    </row>
    <row r="33" spans="2:20" ht="23.1" customHeight="1" x14ac:dyDescent="0.25">
      <c r="B33" s="23" t="s">
        <v>60</v>
      </c>
      <c r="C33" s="50">
        <v>70</v>
      </c>
      <c r="D33" s="50">
        <v>12</v>
      </c>
      <c r="E33" s="50">
        <v>13</v>
      </c>
      <c r="F33" s="50">
        <v>10</v>
      </c>
      <c r="G33" s="50">
        <v>1</v>
      </c>
      <c r="H33" s="50">
        <v>0</v>
      </c>
      <c r="I33" s="50">
        <v>3</v>
      </c>
      <c r="J33" s="50">
        <v>1</v>
      </c>
      <c r="K33" s="50">
        <v>1</v>
      </c>
      <c r="L33" s="50">
        <v>1</v>
      </c>
      <c r="M33" s="50">
        <v>112</v>
      </c>
      <c r="N33" s="50">
        <v>0</v>
      </c>
      <c r="O33" s="15">
        <f t="shared" si="0"/>
        <v>112</v>
      </c>
      <c r="P33" s="15">
        <f t="shared" si="1"/>
        <v>224</v>
      </c>
    </row>
    <row r="34" spans="2:20" ht="23.1" customHeight="1" x14ac:dyDescent="0.25">
      <c r="B34" s="24" t="s">
        <v>61</v>
      </c>
      <c r="C34" s="50">
        <v>72</v>
      </c>
      <c r="D34" s="50">
        <v>23</v>
      </c>
      <c r="E34" s="50">
        <v>7</v>
      </c>
      <c r="F34" s="50">
        <v>11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110</v>
      </c>
      <c r="N34" s="50">
        <v>0</v>
      </c>
      <c r="O34" s="15">
        <f t="shared" si="0"/>
        <v>114</v>
      </c>
      <c r="P34" s="15">
        <f t="shared" si="1"/>
        <v>224</v>
      </c>
    </row>
    <row r="35" spans="2:20" ht="23.1" customHeight="1" x14ac:dyDescent="0.25">
      <c r="B35" s="24" t="s">
        <v>62</v>
      </c>
      <c r="C35" s="50">
        <v>76</v>
      </c>
      <c r="D35" s="50">
        <v>21</v>
      </c>
      <c r="E35" s="50">
        <v>12</v>
      </c>
      <c r="F35" s="50">
        <v>15</v>
      </c>
      <c r="G35" s="50">
        <v>0</v>
      </c>
      <c r="H35" s="50">
        <v>0</v>
      </c>
      <c r="I35" s="50">
        <v>6</v>
      </c>
      <c r="J35" s="50">
        <v>2</v>
      </c>
      <c r="K35" s="50">
        <v>0</v>
      </c>
      <c r="L35" s="50">
        <v>0</v>
      </c>
      <c r="M35" s="50">
        <v>109</v>
      </c>
      <c r="N35" s="50">
        <v>0</v>
      </c>
      <c r="O35" s="15">
        <f t="shared" si="0"/>
        <v>132</v>
      </c>
      <c r="P35" s="15">
        <f t="shared" si="1"/>
        <v>241</v>
      </c>
    </row>
    <row r="36" spans="2:20" ht="23.1" customHeight="1" x14ac:dyDescent="0.25">
      <c r="B36" s="24" t="s">
        <v>63</v>
      </c>
      <c r="C36" s="50">
        <v>90</v>
      </c>
      <c r="D36" s="50">
        <v>18</v>
      </c>
      <c r="E36" s="50">
        <v>15</v>
      </c>
      <c r="F36" s="50">
        <v>16</v>
      </c>
      <c r="G36" s="50">
        <v>0</v>
      </c>
      <c r="H36" s="50">
        <v>0</v>
      </c>
      <c r="I36" s="50">
        <v>2</v>
      </c>
      <c r="J36" s="50">
        <v>0</v>
      </c>
      <c r="K36" s="50">
        <v>1</v>
      </c>
      <c r="L36" s="50">
        <v>0</v>
      </c>
      <c r="M36" s="50">
        <v>90</v>
      </c>
      <c r="N36" s="50">
        <v>0</v>
      </c>
      <c r="O36" s="15">
        <f t="shared" si="0"/>
        <v>142</v>
      </c>
      <c r="P36" s="15">
        <f t="shared" si="1"/>
        <v>232</v>
      </c>
    </row>
    <row r="37" spans="2:20" ht="23.1" customHeight="1" x14ac:dyDescent="0.25">
      <c r="B37" s="23" t="s">
        <v>64</v>
      </c>
      <c r="C37" s="50">
        <v>114</v>
      </c>
      <c r="D37" s="50">
        <v>31</v>
      </c>
      <c r="E37" s="50">
        <v>7</v>
      </c>
      <c r="F37" s="50">
        <v>22</v>
      </c>
      <c r="G37" s="50">
        <v>0</v>
      </c>
      <c r="H37" s="50">
        <v>0</v>
      </c>
      <c r="I37" s="50">
        <v>2</v>
      </c>
      <c r="J37" s="50">
        <v>0</v>
      </c>
      <c r="K37" s="50">
        <v>0</v>
      </c>
      <c r="L37" s="50">
        <v>0</v>
      </c>
      <c r="M37" s="50">
        <v>101</v>
      </c>
      <c r="N37" s="50">
        <v>0</v>
      </c>
      <c r="O37" s="15">
        <f t="shared" si="0"/>
        <v>176</v>
      </c>
      <c r="P37" s="15">
        <f t="shared" si="1"/>
        <v>277</v>
      </c>
    </row>
    <row r="38" spans="2:20" ht="23.1" customHeight="1" x14ac:dyDescent="0.25">
      <c r="B38" s="24" t="s">
        <v>65</v>
      </c>
      <c r="C38" s="50">
        <v>50</v>
      </c>
      <c r="D38" s="50">
        <v>14</v>
      </c>
      <c r="E38" s="50">
        <v>4</v>
      </c>
      <c r="F38" s="50">
        <v>15</v>
      </c>
      <c r="G38" s="50">
        <v>0</v>
      </c>
      <c r="H38" s="50">
        <v>0</v>
      </c>
      <c r="I38" s="50">
        <v>5</v>
      </c>
      <c r="J38" s="50">
        <v>0</v>
      </c>
      <c r="K38" s="50">
        <v>1</v>
      </c>
      <c r="L38" s="50">
        <v>0</v>
      </c>
      <c r="M38" s="50">
        <v>103</v>
      </c>
      <c r="N38" s="50">
        <v>0</v>
      </c>
      <c r="O38" s="15">
        <f t="shared" si="0"/>
        <v>89</v>
      </c>
      <c r="P38" s="15">
        <f t="shared" si="1"/>
        <v>192</v>
      </c>
    </row>
    <row r="39" spans="2:20" ht="23.1" customHeight="1" x14ac:dyDescent="0.25">
      <c r="B39" s="24" t="s">
        <v>66</v>
      </c>
      <c r="C39" s="50">
        <v>87</v>
      </c>
      <c r="D39" s="50">
        <v>24</v>
      </c>
      <c r="E39" s="50">
        <v>6</v>
      </c>
      <c r="F39" s="50">
        <v>23</v>
      </c>
      <c r="G39" s="50">
        <v>0</v>
      </c>
      <c r="H39" s="50">
        <v>0</v>
      </c>
      <c r="I39" s="50">
        <v>4</v>
      </c>
      <c r="J39" s="50">
        <v>0</v>
      </c>
      <c r="K39" s="50">
        <v>0</v>
      </c>
      <c r="L39" s="50">
        <v>0</v>
      </c>
      <c r="M39" s="50">
        <v>95</v>
      </c>
      <c r="N39" s="50">
        <v>0</v>
      </c>
      <c r="O39" s="15">
        <f t="shared" si="0"/>
        <v>144</v>
      </c>
      <c r="P39" s="15">
        <f t="shared" si="1"/>
        <v>239</v>
      </c>
    </row>
    <row r="40" spans="2:20" ht="23.1" customHeight="1" x14ac:dyDescent="0.25">
      <c r="B40" s="24" t="s">
        <v>67</v>
      </c>
      <c r="C40" s="50">
        <v>67</v>
      </c>
      <c r="D40" s="50">
        <v>43</v>
      </c>
      <c r="E40" s="50">
        <v>8</v>
      </c>
      <c r="F40" s="50">
        <v>14</v>
      </c>
      <c r="G40" s="50">
        <v>0</v>
      </c>
      <c r="H40" s="50">
        <v>0</v>
      </c>
      <c r="I40" s="50">
        <v>5</v>
      </c>
      <c r="J40" s="50">
        <v>1</v>
      </c>
      <c r="K40" s="50">
        <v>0</v>
      </c>
      <c r="L40" s="50">
        <v>0</v>
      </c>
      <c r="M40" s="50">
        <v>130</v>
      </c>
      <c r="N40" s="50">
        <v>0</v>
      </c>
      <c r="O40" s="15">
        <f t="shared" si="0"/>
        <v>138</v>
      </c>
      <c r="P40" s="15">
        <f t="shared" si="1"/>
        <v>268</v>
      </c>
    </row>
    <row r="41" spans="2:20" ht="23.1" customHeight="1" x14ac:dyDescent="0.25">
      <c r="B41" s="23" t="s">
        <v>68</v>
      </c>
      <c r="C41" s="50">
        <v>85</v>
      </c>
      <c r="D41" s="50">
        <v>26</v>
      </c>
      <c r="E41" s="50">
        <v>7</v>
      </c>
      <c r="F41" s="50">
        <v>16</v>
      </c>
      <c r="G41" s="50">
        <v>0</v>
      </c>
      <c r="H41" s="50">
        <v>0</v>
      </c>
      <c r="I41" s="50">
        <v>2</v>
      </c>
      <c r="J41" s="50">
        <v>0</v>
      </c>
      <c r="K41" s="50">
        <v>0</v>
      </c>
      <c r="L41" s="50">
        <v>0</v>
      </c>
      <c r="M41" s="50">
        <v>115</v>
      </c>
      <c r="N41" s="50">
        <v>0</v>
      </c>
      <c r="O41" s="15">
        <f t="shared" si="0"/>
        <v>136</v>
      </c>
      <c r="P41" s="15">
        <f t="shared" si="1"/>
        <v>251</v>
      </c>
    </row>
    <row r="42" spans="2:20" ht="23.1" customHeight="1" x14ac:dyDescent="0.25">
      <c r="B42" s="24" t="s">
        <v>69</v>
      </c>
      <c r="C42" s="50">
        <v>73</v>
      </c>
      <c r="D42" s="50">
        <v>22</v>
      </c>
      <c r="E42" s="50">
        <v>6</v>
      </c>
      <c r="F42" s="50">
        <v>12</v>
      </c>
      <c r="G42" s="50">
        <v>0</v>
      </c>
      <c r="H42" s="50">
        <v>0</v>
      </c>
      <c r="I42" s="50">
        <v>7</v>
      </c>
      <c r="J42" s="50">
        <v>0</v>
      </c>
      <c r="K42" s="50">
        <v>1</v>
      </c>
      <c r="L42" s="50">
        <v>0</v>
      </c>
      <c r="M42" s="50">
        <v>126</v>
      </c>
      <c r="N42" s="50">
        <v>0</v>
      </c>
      <c r="O42" s="15">
        <f t="shared" si="0"/>
        <v>121</v>
      </c>
      <c r="P42" s="15">
        <f t="shared" si="1"/>
        <v>247</v>
      </c>
    </row>
    <row r="43" spans="2:20" ht="23.1" customHeight="1" x14ac:dyDescent="0.25">
      <c r="B43" s="23" t="s">
        <v>70</v>
      </c>
      <c r="C43" s="50">
        <v>63</v>
      </c>
      <c r="D43" s="50">
        <v>23</v>
      </c>
      <c r="E43" s="50">
        <v>4</v>
      </c>
      <c r="F43" s="50">
        <v>18</v>
      </c>
      <c r="G43" s="50">
        <v>0</v>
      </c>
      <c r="H43" s="50">
        <v>0</v>
      </c>
      <c r="I43" s="50">
        <v>4</v>
      </c>
      <c r="J43" s="50">
        <v>0</v>
      </c>
      <c r="K43" s="50">
        <v>0</v>
      </c>
      <c r="L43" s="50">
        <v>0</v>
      </c>
      <c r="M43" s="50">
        <v>122</v>
      </c>
      <c r="N43" s="50">
        <v>0</v>
      </c>
      <c r="O43" s="15">
        <f t="shared" si="0"/>
        <v>112</v>
      </c>
      <c r="P43" s="15">
        <f t="shared" si="1"/>
        <v>234</v>
      </c>
    </row>
    <row r="44" spans="2:20" ht="23.1" customHeight="1" x14ac:dyDescent="0.25">
      <c r="B44" s="25" t="s">
        <v>71</v>
      </c>
      <c r="C44" s="50">
        <v>92</v>
      </c>
      <c r="D44" s="50">
        <v>31</v>
      </c>
      <c r="E44" s="50">
        <v>7</v>
      </c>
      <c r="F44" s="50">
        <v>13</v>
      </c>
      <c r="G44" s="50">
        <v>0</v>
      </c>
      <c r="H44" s="50">
        <v>0</v>
      </c>
      <c r="I44" s="50">
        <v>1</v>
      </c>
      <c r="J44" s="50">
        <v>1</v>
      </c>
      <c r="K44" s="50">
        <v>0</v>
      </c>
      <c r="L44" s="50">
        <v>0</v>
      </c>
      <c r="M44" s="50">
        <v>126</v>
      </c>
      <c r="N44" s="50">
        <v>0</v>
      </c>
      <c r="O44" s="15">
        <f t="shared" si="0"/>
        <v>145</v>
      </c>
      <c r="P44" s="15">
        <f t="shared" si="1"/>
        <v>271</v>
      </c>
    </row>
    <row r="45" spans="2:20" ht="23.1" customHeight="1" x14ac:dyDescent="0.25">
      <c r="B45" s="23" t="s">
        <v>72</v>
      </c>
      <c r="C45" s="50">
        <v>76</v>
      </c>
      <c r="D45" s="50">
        <v>17</v>
      </c>
      <c r="E45" s="50">
        <v>7</v>
      </c>
      <c r="F45" s="50">
        <v>13</v>
      </c>
      <c r="G45" s="50">
        <v>0</v>
      </c>
      <c r="H45" s="50">
        <v>0</v>
      </c>
      <c r="I45" s="50">
        <v>4</v>
      </c>
      <c r="J45" s="50">
        <v>2</v>
      </c>
      <c r="K45" s="50">
        <v>0</v>
      </c>
      <c r="L45" s="50">
        <v>1</v>
      </c>
      <c r="M45" s="50">
        <v>116</v>
      </c>
      <c r="N45" s="50">
        <v>0</v>
      </c>
      <c r="O45" s="15">
        <f t="shared" si="0"/>
        <v>120</v>
      </c>
      <c r="P45" s="15">
        <f t="shared" si="1"/>
        <v>236</v>
      </c>
    </row>
    <row r="46" spans="2:20" ht="23.1" customHeight="1" x14ac:dyDescent="0.25">
      <c r="B46" s="24" t="s">
        <v>73</v>
      </c>
      <c r="C46" s="50">
        <v>75</v>
      </c>
      <c r="D46" s="50">
        <v>33</v>
      </c>
      <c r="E46" s="50">
        <v>5</v>
      </c>
      <c r="F46" s="50">
        <v>20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117</v>
      </c>
      <c r="N46" s="50">
        <v>0</v>
      </c>
      <c r="O46" s="15">
        <f t="shared" si="0"/>
        <v>134</v>
      </c>
      <c r="P46" s="15">
        <f t="shared" si="1"/>
        <v>251</v>
      </c>
      <c r="R46" s="8"/>
      <c r="T46"/>
    </row>
    <row r="47" spans="2:20" ht="23.1" customHeight="1" x14ac:dyDescent="0.25">
      <c r="B47" s="24" t="s">
        <v>74</v>
      </c>
      <c r="C47" s="50">
        <v>85</v>
      </c>
      <c r="D47" s="50">
        <v>23</v>
      </c>
      <c r="E47" s="50">
        <v>7</v>
      </c>
      <c r="F47" s="50">
        <v>16</v>
      </c>
      <c r="G47" s="50">
        <v>0</v>
      </c>
      <c r="H47" s="50">
        <v>0</v>
      </c>
      <c r="I47" s="50">
        <v>4</v>
      </c>
      <c r="J47" s="50">
        <v>0</v>
      </c>
      <c r="K47" s="50">
        <v>0</v>
      </c>
      <c r="L47" s="50">
        <v>0</v>
      </c>
      <c r="M47" s="50">
        <v>116</v>
      </c>
      <c r="N47" s="50">
        <v>0</v>
      </c>
      <c r="O47" s="15">
        <f t="shared" si="0"/>
        <v>135</v>
      </c>
      <c r="P47" s="15">
        <f t="shared" si="1"/>
        <v>251</v>
      </c>
      <c r="R47" s="8"/>
      <c r="T47"/>
    </row>
    <row r="48" spans="2:20" ht="23.1" customHeight="1" x14ac:dyDescent="0.25">
      <c r="B48" s="24" t="s">
        <v>75</v>
      </c>
      <c r="C48" s="50">
        <v>90</v>
      </c>
      <c r="D48" s="50">
        <v>19</v>
      </c>
      <c r="E48" s="50">
        <v>9</v>
      </c>
      <c r="F48" s="50">
        <v>12</v>
      </c>
      <c r="G48" s="50">
        <v>0</v>
      </c>
      <c r="H48" s="50">
        <v>0</v>
      </c>
      <c r="I48" s="50">
        <v>2</v>
      </c>
      <c r="J48" s="50">
        <v>0</v>
      </c>
      <c r="K48" s="50">
        <v>0</v>
      </c>
      <c r="L48" s="50">
        <v>0</v>
      </c>
      <c r="M48" s="50">
        <v>120</v>
      </c>
      <c r="N48" s="50">
        <v>0</v>
      </c>
      <c r="O48" s="15">
        <f t="shared" si="0"/>
        <v>132</v>
      </c>
      <c r="P48" s="15">
        <f t="shared" si="1"/>
        <v>252</v>
      </c>
      <c r="R48" s="8"/>
      <c r="T48"/>
    </row>
    <row r="49" spans="2:20" ht="23.1" customHeight="1" x14ac:dyDescent="0.25">
      <c r="B49" s="23" t="s">
        <v>76</v>
      </c>
      <c r="C49" s="50">
        <v>93</v>
      </c>
      <c r="D49" s="50">
        <v>17</v>
      </c>
      <c r="E49" s="50">
        <v>10</v>
      </c>
      <c r="F49" s="50">
        <v>16</v>
      </c>
      <c r="G49" s="50">
        <v>0</v>
      </c>
      <c r="H49" s="50">
        <v>0</v>
      </c>
      <c r="I49" s="50">
        <v>4</v>
      </c>
      <c r="J49" s="50">
        <v>1</v>
      </c>
      <c r="K49" s="50">
        <v>0</v>
      </c>
      <c r="L49" s="50">
        <v>0</v>
      </c>
      <c r="M49" s="50">
        <v>140</v>
      </c>
      <c r="N49" s="50">
        <v>0</v>
      </c>
      <c r="O49" s="15">
        <f t="shared" si="0"/>
        <v>141</v>
      </c>
      <c r="P49" s="15">
        <f t="shared" si="1"/>
        <v>281</v>
      </c>
      <c r="R49" s="8"/>
      <c r="T49"/>
    </row>
    <row r="50" spans="2:20" ht="23.1" customHeight="1" x14ac:dyDescent="0.25">
      <c r="B50" s="24" t="s">
        <v>77</v>
      </c>
      <c r="C50" s="50">
        <v>77</v>
      </c>
      <c r="D50" s="50">
        <v>25</v>
      </c>
      <c r="E50" s="50">
        <v>6</v>
      </c>
      <c r="F50" s="50">
        <v>19</v>
      </c>
      <c r="G50" s="50">
        <v>0</v>
      </c>
      <c r="H50" s="50">
        <v>0</v>
      </c>
      <c r="I50" s="50">
        <v>5</v>
      </c>
      <c r="J50" s="50">
        <v>0</v>
      </c>
      <c r="K50" s="50">
        <v>2</v>
      </c>
      <c r="L50" s="50">
        <v>0</v>
      </c>
      <c r="M50" s="50">
        <v>127</v>
      </c>
      <c r="N50" s="50">
        <v>0</v>
      </c>
      <c r="O50" s="15">
        <f t="shared" si="0"/>
        <v>134</v>
      </c>
      <c r="P50" s="15">
        <f t="shared" si="1"/>
        <v>261</v>
      </c>
      <c r="R50" s="8"/>
      <c r="T50"/>
    </row>
    <row r="51" spans="2:20" ht="23.1" customHeight="1" x14ac:dyDescent="0.25">
      <c r="B51" s="24" t="s">
        <v>78</v>
      </c>
      <c r="C51" s="50">
        <v>64</v>
      </c>
      <c r="D51" s="50">
        <v>17</v>
      </c>
      <c r="E51" s="50">
        <v>8</v>
      </c>
      <c r="F51" s="50">
        <v>20</v>
      </c>
      <c r="G51" s="50">
        <v>0</v>
      </c>
      <c r="H51" s="50">
        <v>0</v>
      </c>
      <c r="I51" s="50">
        <v>3</v>
      </c>
      <c r="J51" s="50">
        <v>1</v>
      </c>
      <c r="K51" s="50">
        <v>0</v>
      </c>
      <c r="L51" s="50">
        <v>0</v>
      </c>
      <c r="M51" s="50">
        <v>117</v>
      </c>
      <c r="N51" s="50">
        <v>0</v>
      </c>
      <c r="O51" s="15">
        <f t="shared" si="0"/>
        <v>113</v>
      </c>
      <c r="P51" s="15">
        <f t="shared" si="1"/>
        <v>230</v>
      </c>
      <c r="R51" s="8"/>
      <c r="T51"/>
    </row>
    <row r="52" spans="2:20" ht="23.1" customHeight="1" x14ac:dyDescent="0.25">
      <c r="B52" s="24" t="s">
        <v>79</v>
      </c>
      <c r="C52" s="50">
        <v>73</v>
      </c>
      <c r="D52" s="50">
        <v>22</v>
      </c>
      <c r="E52" s="50">
        <v>4</v>
      </c>
      <c r="F52" s="50">
        <v>16</v>
      </c>
      <c r="G52" s="50">
        <v>0</v>
      </c>
      <c r="H52" s="50">
        <v>0</v>
      </c>
      <c r="I52" s="50">
        <v>2</v>
      </c>
      <c r="J52" s="50">
        <v>1</v>
      </c>
      <c r="K52" s="50">
        <v>0</v>
      </c>
      <c r="L52" s="50">
        <v>0</v>
      </c>
      <c r="M52" s="50">
        <v>116</v>
      </c>
      <c r="N52" s="50">
        <v>0</v>
      </c>
      <c r="O52" s="15">
        <f t="shared" si="0"/>
        <v>118</v>
      </c>
      <c r="P52" s="15">
        <f t="shared" si="1"/>
        <v>234</v>
      </c>
      <c r="R52" s="8"/>
      <c r="T52"/>
    </row>
    <row r="53" spans="2:20" ht="23.1" customHeight="1" x14ac:dyDescent="0.25">
      <c r="B53" s="23" t="s">
        <v>80</v>
      </c>
      <c r="C53" s="50">
        <v>68</v>
      </c>
      <c r="D53" s="50">
        <v>24</v>
      </c>
      <c r="E53" s="50">
        <v>8</v>
      </c>
      <c r="F53" s="50">
        <v>8</v>
      </c>
      <c r="G53" s="50">
        <v>1</v>
      </c>
      <c r="H53" s="50">
        <v>0</v>
      </c>
      <c r="I53" s="50">
        <v>7</v>
      </c>
      <c r="J53" s="50">
        <v>1</v>
      </c>
      <c r="K53" s="50">
        <v>1</v>
      </c>
      <c r="L53" s="50">
        <v>0</v>
      </c>
      <c r="M53" s="50">
        <v>107</v>
      </c>
      <c r="N53" s="50">
        <v>0</v>
      </c>
      <c r="O53" s="15">
        <f t="shared" si="0"/>
        <v>118</v>
      </c>
      <c r="P53" s="15">
        <f t="shared" si="1"/>
        <v>225</v>
      </c>
      <c r="R53" s="8"/>
      <c r="T53"/>
    </row>
    <row r="54" spans="2:20" ht="23.1" customHeight="1" x14ac:dyDescent="0.25">
      <c r="B54" s="23" t="s">
        <v>81</v>
      </c>
      <c r="C54" s="50">
        <v>75</v>
      </c>
      <c r="D54" s="50">
        <v>30</v>
      </c>
      <c r="E54" s="50">
        <v>6</v>
      </c>
      <c r="F54" s="50">
        <v>18</v>
      </c>
      <c r="G54" s="50">
        <v>0</v>
      </c>
      <c r="H54" s="50">
        <v>0</v>
      </c>
      <c r="I54" s="50">
        <v>2</v>
      </c>
      <c r="J54" s="50">
        <v>0</v>
      </c>
      <c r="K54" s="50">
        <v>1</v>
      </c>
      <c r="L54" s="50">
        <v>0</v>
      </c>
      <c r="M54" s="50">
        <v>116</v>
      </c>
      <c r="N54" s="50">
        <v>0</v>
      </c>
      <c r="O54" s="15">
        <f t="shared" si="0"/>
        <v>132</v>
      </c>
      <c r="P54" s="15">
        <f t="shared" si="1"/>
        <v>248</v>
      </c>
      <c r="R54" s="8"/>
      <c r="T54"/>
    </row>
    <row r="55" spans="2:20" ht="23.1" customHeight="1" x14ac:dyDescent="0.25">
      <c r="B55" s="23" t="s">
        <v>82</v>
      </c>
      <c r="C55" s="50">
        <v>90</v>
      </c>
      <c r="D55" s="50">
        <v>21</v>
      </c>
      <c r="E55" s="50">
        <v>3</v>
      </c>
      <c r="F55" s="50">
        <v>17</v>
      </c>
      <c r="G55" s="50">
        <v>0</v>
      </c>
      <c r="H55" s="50">
        <v>0</v>
      </c>
      <c r="I55" s="50">
        <v>2</v>
      </c>
      <c r="J55" s="50">
        <v>0</v>
      </c>
      <c r="K55" s="50">
        <v>1</v>
      </c>
      <c r="L55" s="50">
        <v>0</v>
      </c>
      <c r="M55" s="50">
        <v>123</v>
      </c>
      <c r="N55" s="50">
        <v>0</v>
      </c>
      <c r="O55" s="15">
        <f t="shared" si="0"/>
        <v>134</v>
      </c>
      <c r="P55" s="15">
        <f t="shared" si="1"/>
        <v>257</v>
      </c>
      <c r="R55" s="8"/>
      <c r="T55"/>
    </row>
    <row r="56" spans="2:20" ht="23.1" customHeight="1" x14ac:dyDescent="0.25">
      <c r="B56" s="23" t="s">
        <v>83</v>
      </c>
      <c r="C56" s="50">
        <v>90</v>
      </c>
      <c r="D56" s="50">
        <v>21</v>
      </c>
      <c r="E56" s="50">
        <v>3</v>
      </c>
      <c r="F56" s="50">
        <v>17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102</v>
      </c>
      <c r="N56" s="50">
        <v>0</v>
      </c>
      <c r="O56" s="15">
        <f t="shared" si="0"/>
        <v>132</v>
      </c>
      <c r="P56" s="15">
        <f t="shared" si="1"/>
        <v>234</v>
      </c>
      <c r="R56" s="8"/>
      <c r="T56"/>
    </row>
    <row r="57" spans="2:20" ht="23.1" customHeight="1" x14ac:dyDescent="0.25">
      <c r="B57" s="23" t="s">
        <v>84</v>
      </c>
      <c r="C57" s="50">
        <v>66</v>
      </c>
      <c r="D57" s="50">
        <v>26</v>
      </c>
      <c r="E57" s="50">
        <v>5</v>
      </c>
      <c r="F57" s="50">
        <v>16</v>
      </c>
      <c r="G57" s="50">
        <v>0</v>
      </c>
      <c r="H57" s="50">
        <v>0</v>
      </c>
      <c r="I57" s="50">
        <v>2</v>
      </c>
      <c r="J57" s="50">
        <v>0</v>
      </c>
      <c r="K57" s="50">
        <v>1</v>
      </c>
      <c r="L57" s="50">
        <v>0</v>
      </c>
      <c r="M57" s="50">
        <v>122</v>
      </c>
      <c r="N57" s="50">
        <v>0</v>
      </c>
      <c r="O57" s="15">
        <f t="shared" si="0"/>
        <v>116</v>
      </c>
      <c r="P57" s="15">
        <f t="shared" si="1"/>
        <v>238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2932</v>
      </c>
      <c r="D58" s="16">
        <f t="shared" si="21"/>
        <v>850</v>
      </c>
      <c r="E58" s="16">
        <f t="shared" si="21"/>
        <v>305</v>
      </c>
      <c r="F58" s="16">
        <f t="shared" si="21"/>
        <v>714</v>
      </c>
      <c r="G58" s="16">
        <f t="shared" si="21"/>
        <v>7</v>
      </c>
      <c r="H58" s="16">
        <f t="shared" si="21"/>
        <v>0</v>
      </c>
      <c r="I58" s="16">
        <f t="shared" si="21"/>
        <v>174</v>
      </c>
      <c r="J58" s="16">
        <f t="shared" si="21"/>
        <v>40</v>
      </c>
      <c r="K58" s="16">
        <f t="shared" si="21"/>
        <v>17</v>
      </c>
      <c r="L58" s="16">
        <f t="shared" si="21"/>
        <v>5</v>
      </c>
      <c r="M58" s="16">
        <f t="shared" si="21"/>
        <v>5405</v>
      </c>
      <c r="N58" s="16">
        <f t="shared" si="21"/>
        <v>0</v>
      </c>
      <c r="O58" s="16">
        <f t="shared" si="21"/>
        <v>5044</v>
      </c>
      <c r="P58" s="16">
        <f t="shared" si="21"/>
        <v>10449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0.28060101445114366</v>
      </c>
      <c r="D59" s="43">
        <f t="shared" si="22"/>
        <v>8.1347497368169208E-2</v>
      </c>
      <c r="E59" s="43">
        <f t="shared" si="22"/>
        <v>2.9189396114460715E-2</v>
      </c>
      <c r="F59" s="43">
        <f t="shared" si="22"/>
        <v>6.833189778926213E-2</v>
      </c>
      <c r="G59" s="43">
        <f t="shared" si="22"/>
        <v>6.6992056656139346E-4</v>
      </c>
      <c r="H59" s="43">
        <f t="shared" si="22"/>
        <v>0</v>
      </c>
      <c r="I59" s="43">
        <f t="shared" si="22"/>
        <v>1.6652311225954636E-2</v>
      </c>
      <c r="J59" s="43">
        <f t="shared" si="22"/>
        <v>3.8281175232079624E-3</v>
      </c>
      <c r="K59" s="43">
        <f t="shared" si="22"/>
        <v>1.6269499473633841E-3</v>
      </c>
      <c r="L59" s="43">
        <f t="shared" si="22"/>
        <v>4.785146904009953E-4</v>
      </c>
      <c r="M59" s="43">
        <f t="shared" si="22"/>
        <v>0.51727438032347595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0.58128469468675659</v>
      </c>
      <c r="D60" s="44">
        <f t="shared" ref="D60:N60" si="23">D58/$O$58</f>
        <v>0.16851704996034894</v>
      </c>
      <c r="E60" s="44">
        <f t="shared" si="23"/>
        <v>6.0467882632831087E-2</v>
      </c>
      <c r="F60" s="44">
        <f t="shared" si="23"/>
        <v>0.1415543219666931</v>
      </c>
      <c r="G60" s="44">
        <f t="shared" si="23"/>
        <v>1.3877874702616971E-3</v>
      </c>
      <c r="H60" s="44">
        <f t="shared" si="23"/>
        <v>0</v>
      </c>
      <c r="I60" s="44">
        <f t="shared" si="23"/>
        <v>3.4496431403647901E-2</v>
      </c>
      <c r="J60" s="44">
        <f t="shared" si="23"/>
        <v>7.9302141157811257E-3</v>
      </c>
      <c r="K60" s="44">
        <f t="shared" si="23"/>
        <v>3.3703409992069788E-3</v>
      </c>
      <c r="L60" s="44">
        <f t="shared" si="23"/>
        <v>9.9127676447264071E-4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topLeftCell="G43" zoomScale="60" workbookViewId="0">
      <selection activeCell="AC56" sqref="AC5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0" t="str">
        <f>'30.07 KIREKA-NAMUGONGO'!C3:G3</f>
        <v>MCC - C1 - STN039 - NAMUGONGO ROAD</v>
      </c>
      <c r="D3" s="60"/>
      <c r="E3" s="60"/>
      <c r="F3" s="60"/>
      <c r="G3" s="6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6" t="s">
        <v>162</v>
      </c>
      <c r="E5" s="67"/>
      <c r="F5" s="41" t="s">
        <v>1</v>
      </c>
      <c r="G5" s="56" t="str">
        <f>'30.07 NAMUGONGO-KIREKA'!G5:H5</f>
        <v>AGENDA</v>
      </c>
      <c r="H5" s="57"/>
      <c r="I5" s="14"/>
      <c r="J5" s="2" t="s">
        <v>5</v>
      </c>
      <c r="K5" s="56" t="str">
        <f>'30.07 NAMUGONGO-KIREKA'!K5:L5</f>
        <v>STEVEN</v>
      </c>
      <c r="L5" s="57"/>
      <c r="M5" s="10"/>
      <c r="N5" s="10"/>
      <c r="O5" s="3"/>
      <c r="P5" s="3"/>
    </row>
    <row r="6" spans="2:32" ht="23.25" customHeight="1" x14ac:dyDescent="0.25">
      <c r="C6" s="2" t="s">
        <v>4</v>
      </c>
      <c r="D6" s="56" t="str">
        <f>'30.07 NAMUGONGO-KIREKA'!D6:E6</f>
        <v>NAMUGONGO</v>
      </c>
      <c r="E6" s="57"/>
      <c r="F6" s="2" t="s">
        <v>2</v>
      </c>
      <c r="G6" s="56" t="str">
        <f>'30.07 NAMUGONGO-KIREKA'!G6:H6</f>
        <v>KIREKA</v>
      </c>
      <c r="H6" s="57"/>
      <c r="J6" s="2" t="s">
        <v>21</v>
      </c>
      <c r="K6" s="56" t="str">
        <f>'30.07 NAMUGONGO-KIREKA'!K6:L6</f>
        <v>NAIDO GRACE BRENDA</v>
      </c>
      <c r="L6" s="5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5" t="s">
        <v>88</v>
      </c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AVERAGE('01.08 NAMUGONGO-KIREKA'!C10,'02.08 NAMUGONGO-KIREKA'!C10,'04.08 NAMUGONGO-KIREKA'!C10,'29.07 NAMUGONGO-KIREKA'!C10,'03.08 NAMUGONGO-KIREKA-24h'!C10,'31.07 NAMUGONGO-KIREKA-24h'!C10,'30.07 NAMUGONGO-KIREKA'!C10)</f>
        <v>58.714285714285715</v>
      </c>
      <c r="D10" s="49">
        <f>AVERAGE('01.08 NAMUGONGO-KIREKA'!D10,'02.08 NAMUGONGO-KIREKA'!D10,'04.08 NAMUGONGO-KIREKA'!D10,'29.07 NAMUGONGO-KIREKA'!D10,'03.08 NAMUGONGO-KIREKA-24h'!D10,'31.07 NAMUGONGO-KIREKA-24h'!D10,'30.07 NAMUGONGO-KIREKA'!D10)</f>
        <v>4.7142857142857144</v>
      </c>
      <c r="E10" s="49">
        <f>AVERAGE('01.08 NAMUGONGO-KIREKA'!E10,'02.08 NAMUGONGO-KIREKA'!E10,'04.08 NAMUGONGO-KIREKA'!E10,'29.07 NAMUGONGO-KIREKA'!E10,'03.08 NAMUGONGO-KIREKA-24h'!E10,'31.07 NAMUGONGO-KIREKA-24h'!E10,'30.07 NAMUGONGO-KIREKA'!E10)</f>
        <v>3.2857142857142856</v>
      </c>
      <c r="F10" s="49">
        <f>AVERAGE('01.08 NAMUGONGO-KIREKA'!F10,'02.08 NAMUGONGO-KIREKA'!F10,'04.08 NAMUGONGO-KIREKA'!F10,'29.07 NAMUGONGO-KIREKA'!F10,'03.08 NAMUGONGO-KIREKA-24h'!F10,'31.07 NAMUGONGO-KIREKA-24h'!F10,'30.07 NAMUGONGO-KIREKA'!F10)</f>
        <v>15.857142857142858</v>
      </c>
      <c r="G10" s="49">
        <f>AVERAGE('01.08 NAMUGONGO-KIREKA'!G10,'02.08 NAMUGONGO-KIREKA'!G10,'04.08 NAMUGONGO-KIREKA'!G10,'29.07 NAMUGONGO-KIREKA'!G10,'03.08 NAMUGONGO-KIREKA-24h'!G10,'31.07 NAMUGONGO-KIREKA-24h'!G10,'30.07 NAMUGONGO-KIREKA'!G10)</f>
        <v>0.2857142857142857</v>
      </c>
      <c r="H10" s="49">
        <f>AVERAGE('01.08 NAMUGONGO-KIREKA'!H10,'02.08 NAMUGONGO-KIREKA'!H10,'04.08 NAMUGONGO-KIREKA'!H10,'29.07 NAMUGONGO-KIREKA'!H10,'03.08 NAMUGONGO-KIREKA-24h'!H10,'31.07 NAMUGONGO-KIREKA-24h'!H10,'30.07 NAMUGONGO-KIREKA'!H10)</f>
        <v>0</v>
      </c>
      <c r="I10" s="49">
        <f>AVERAGE('01.08 NAMUGONGO-KIREKA'!I10,'02.08 NAMUGONGO-KIREKA'!I10,'04.08 NAMUGONGO-KIREKA'!I10,'29.07 NAMUGONGO-KIREKA'!I10,'03.08 NAMUGONGO-KIREKA-24h'!I10,'31.07 NAMUGONGO-KIREKA-24h'!I10,'30.07 NAMUGONGO-KIREKA'!I10)</f>
        <v>1.2857142857142858</v>
      </c>
      <c r="J10" s="49">
        <f>AVERAGE('01.08 NAMUGONGO-KIREKA'!J10,'02.08 NAMUGONGO-KIREKA'!J10,'04.08 NAMUGONGO-KIREKA'!J10,'29.07 NAMUGONGO-KIREKA'!J10,'03.08 NAMUGONGO-KIREKA-24h'!J10,'31.07 NAMUGONGO-KIREKA-24h'!J10,'30.07 NAMUGONGO-KIREKA'!J10)</f>
        <v>0.5714285714285714</v>
      </c>
      <c r="K10" s="49">
        <f>AVERAGE('01.08 NAMUGONGO-KIREKA'!K10,'02.08 NAMUGONGO-KIREKA'!K10,'04.08 NAMUGONGO-KIREKA'!K10,'29.07 NAMUGONGO-KIREKA'!K10,'03.08 NAMUGONGO-KIREKA-24h'!K10,'31.07 NAMUGONGO-KIREKA-24h'!K10,'30.07 NAMUGONGO-KIREKA'!K10)</f>
        <v>0.2857142857142857</v>
      </c>
      <c r="L10" s="49">
        <f>AVERAGE('01.08 NAMUGONGO-KIREKA'!L10,'02.08 NAMUGONGO-KIREKA'!L10,'04.08 NAMUGONGO-KIREKA'!L10,'29.07 NAMUGONGO-KIREKA'!L10,'03.08 NAMUGONGO-KIREKA-24h'!L10,'31.07 NAMUGONGO-KIREKA-24h'!L10,'30.07 NAMUGONGO-KIREKA'!L10)</f>
        <v>0.14285714285714285</v>
      </c>
      <c r="M10" s="49">
        <f>AVERAGE('01.08 NAMUGONGO-KIREKA'!M10,'02.08 NAMUGONGO-KIREKA'!M10,'04.08 NAMUGONGO-KIREKA'!M10,'29.07 NAMUGONGO-KIREKA'!M10,'03.08 NAMUGONGO-KIREKA-24h'!M10,'31.07 NAMUGONGO-KIREKA-24h'!M10,'30.07 NAMUGONGO-KIREKA'!M10)</f>
        <v>68.428571428571431</v>
      </c>
      <c r="N10" s="49">
        <f>AVERAGE('01.08 NAMUGONGO-KIREKA'!N10,'02.08 NAMUGONGO-KIREKA'!N10,'04.08 NAMUGONGO-KIREKA'!N10,'29.07 NAMUGONGO-KIREKA'!N10,'03.08 NAMUGONGO-KIREKA-24h'!N10,'31.07 NAMUGONGO-KIREKA-24h'!N10,'30.07 NAMUGONGO-KIREKA'!N10)</f>
        <v>0</v>
      </c>
      <c r="O10" s="15">
        <f t="shared" ref="O10:O58" si="0">SUM(C10:L10,N10)</f>
        <v>85.142857142857167</v>
      </c>
      <c r="P10" s="15">
        <f t="shared" ref="P10:P58" si="1">SUM(C10:N10)</f>
        <v>153.57142857142861</v>
      </c>
      <c r="R10" s="1" t="s">
        <v>6</v>
      </c>
      <c r="S10" s="17">
        <f t="shared" ref="S10:AF10" si="2">SUM(C10:C13)</f>
        <v>286.42857142857144</v>
      </c>
      <c r="T10" s="17">
        <f t="shared" si="2"/>
        <v>27.428571428571431</v>
      </c>
      <c r="U10" s="17">
        <f t="shared" si="2"/>
        <v>30.142857142857146</v>
      </c>
      <c r="V10" s="17">
        <f t="shared" si="2"/>
        <v>98</v>
      </c>
      <c r="W10" s="17">
        <f t="shared" si="2"/>
        <v>2.6904761904761907</v>
      </c>
      <c r="X10" s="17">
        <f t="shared" si="2"/>
        <v>0</v>
      </c>
      <c r="Y10" s="17">
        <f t="shared" si="2"/>
        <v>10.285714285714286</v>
      </c>
      <c r="Z10" s="17">
        <f t="shared" si="2"/>
        <v>3.2857142857142856</v>
      </c>
      <c r="AA10" s="17">
        <f t="shared" si="2"/>
        <v>1.2857142857142856</v>
      </c>
      <c r="AB10" s="17">
        <f t="shared" si="2"/>
        <v>0.71428571428571419</v>
      </c>
      <c r="AC10" s="17">
        <f t="shared" si="2"/>
        <v>435.42857142857144</v>
      </c>
      <c r="AD10" s="17">
        <f t="shared" si="2"/>
        <v>0</v>
      </c>
      <c r="AE10" s="31">
        <f t="shared" si="2"/>
        <v>460.26190476190476</v>
      </c>
      <c r="AF10" s="31">
        <f t="shared" si="2"/>
        <v>895.69047619047615</v>
      </c>
    </row>
    <row r="11" spans="2:32" s="6" customFormat="1" ht="23.1" customHeight="1" x14ac:dyDescent="0.25">
      <c r="B11" s="23" t="s">
        <v>38</v>
      </c>
      <c r="C11" s="49">
        <f>AVERAGE('01.08 NAMUGONGO-KIREKA'!C11,'02.08 NAMUGONGO-KIREKA'!C11,'04.08 NAMUGONGO-KIREKA'!C11,'29.07 NAMUGONGO-KIREKA'!C11,'03.08 NAMUGONGO-KIREKA-24h'!C11,'31.07 NAMUGONGO-KIREKA-24h'!C11,'30.07 NAMUGONGO-KIREKA'!C11)</f>
        <v>78.571428571428569</v>
      </c>
      <c r="D11" s="49">
        <f>AVERAGE('01.08 NAMUGONGO-KIREKA'!D11,'02.08 NAMUGONGO-KIREKA'!D11,'04.08 NAMUGONGO-KIREKA'!D11,'29.07 NAMUGONGO-KIREKA'!D11,'03.08 NAMUGONGO-KIREKA-24h'!D11,'31.07 NAMUGONGO-KIREKA-24h'!D11,'30.07 NAMUGONGO-KIREKA'!D11)</f>
        <v>8</v>
      </c>
      <c r="E11" s="49">
        <f>AVERAGE('01.08 NAMUGONGO-KIREKA'!E11,'02.08 NAMUGONGO-KIREKA'!E11,'04.08 NAMUGONGO-KIREKA'!E11,'29.07 NAMUGONGO-KIREKA'!E11,'03.08 NAMUGONGO-KIREKA-24h'!E11,'31.07 NAMUGONGO-KIREKA-24h'!E11,'30.07 NAMUGONGO-KIREKA'!E11)</f>
        <v>6.1428571428571432</v>
      </c>
      <c r="F11" s="49">
        <f>AVERAGE('01.08 NAMUGONGO-KIREKA'!F11,'02.08 NAMUGONGO-KIREKA'!F11,'04.08 NAMUGONGO-KIREKA'!F11,'29.07 NAMUGONGO-KIREKA'!F11,'03.08 NAMUGONGO-KIREKA-24h'!F11,'31.07 NAMUGONGO-KIREKA-24h'!F11,'30.07 NAMUGONGO-KIREKA'!F11)</f>
        <v>30</v>
      </c>
      <c r="G11" s="49">
        <f>AVERAGE('01.08 NAMUGONGO-KIREKA'!G11,'02.08 NAMUGONGO-KIREKA'!G11,'04.08 NAMUGONGO-KIREKA'!G11,'29.07 NAMUGONGO-KIREKA'!G11,'03.08 NAMUGONGO-KIREKA-24h'!G11,'31.07 NAMUGONGO-KIREKA-24h'!G11,'30.07 NAMUGONGO-KIREKA'!G11)</f>
        <v>1.4285714285714286</v>
      </c>
      <c r="H11" s="49">
        <f>AVERAGE('01.08 NAMUGONGO-KIREKA'!H11,'02.08 NAMUGONGO-KIREKA'!H11,'04.08 NAMUGONGO-KIREKA'!H11,'29.07 NAMUGONGO-KIREKA'!H11,'03.08 NAMUGONGO-KIREKA-24h'!H11,'31.07 NAMUGONGO-KIREKA-24h'!H11,'30.07 NAMUGONGO-KIREKA'!H11)</f>
        <v>0</v>
      </c>
      <c r="I11" s="49">
        <f>AVERAGE('01.08 NAMUGONGO-KIREKA'!I11,'02.08 NAMUGONGO-KIREKA'!I11,'04.08 NAMUGONGO-KIREKA'!I11,'29.07 NAMUGONGO-KIREKA'!I11,'03.08 NAMUGONGO-KIREKA-24h'!I11,'31.07 NAMUGONGO-KIREKA-24h'!I11,'30.07 NAMUGONGO-KIREKA'!I11)</f>
        <v>2.7142857142857144</v>
      </c>
      <c r="J11" s="49">
        <f>AVERAGE('01.08 NAMUGONGO-KIREKA'!J11,'02.08 NAMUGONGO-KIREKA'!J11,'04.08 NAMUGONGO-KIREKA'!J11,'29.07 NAMUGONGO-KIREKA'!J11,'03.08 NAMUGONGO-KIREKA-24h'!J11,'31.07 NAMUGONGO-KIREKA-24h'!J11,'30.07 NAMUGONGO-KIREKA'!J11)</f>
        <v>0.2857142857142857</v>
      </c>
      <c r="K11" s="49">
        <f>AVERAGE('01.08 NAMUGONGO-KIREKA'!K11,'02.08 NAMUGONGO-KIREKA'!K11,'04.08 NAMUGONGO-KIREKA'!K11,'29.07 NAMUGONGO-KIREKA'!K11,'03.08 NAMUGONGO-KIREKA-24h'!K11,'31.07 NAMUGONGO-KIREKA-24h'!K11,'30.07 NAMUGONGO-KIREKA'!K11)</f>
        <v>0.14285714285714285</v>
      </c>
      <c r="L11" s="49">
        <f>AVERAGE('01.08 NAMUGONGO-KIREKA'!L11,'02.08 NAMUGONGO-KIREKA'!L11,'04.08 NAMUGONGO-KIREKA'!L11,'29.07 NAMUGONGO-KIREKA'!L11,'03.08 NAMUGONGO-KIREKA-24h'!L11,'31.07 NAMUGONGO-KIREKA-24h'!L11,'30.07 NAMUGONGO-KIREKA'!L11)</f>
        <v>0.14285714285714285</v>
      </c>
      <c r="M11" s="49">
        <f>AVERAGE('01.08 NAMUGONGO-KIREKA'!M11,'02.08 NAMUGONGO-KIREKA'!M11,'04.08 NAMUGONGO-KIREKA'!M11,'29.07 NAMUGONGO-KIREKA'!M11,'03.08 NAMUGONGO-KIREKA-24h'!M11,'31.07 NAMUGONGO-KIREKA-24h'!M11,'30.07 NAMUGONGO-KIREKA'!M11)</f>
        <v>106.42857142857143</v>
      </c>
      <c r="N11" s="49">
        <f>AVERAGE('01.08 NAMUGONGO-KIREKA'!N11,'02.08 NAMUGONGO-KIREKA'!N11,'04.08 NAMUGONGO-KIREKA'!N11,'29.07 NAMUGONGO-KIREKA'!N11,'03.08 NAMUGONGO-KIREKA-24h'!N11,'31.07 NAMUGONGO-KIREKA-24h'!N11,'30.07 NAMUGONGO-KIREKA'!N11)</f>
        <v>0</v>
      </c>
      <c r="O11" s="15">
        <f t="shared" si="0"/>
        <v>127.42857142857142</v>
      </c>
      <c r="P11" s="15">
        <f t="shared" si="1"/>
        <v>233.85714285714283</v>
      </c>
      <c r="R11" s="1" t="s">
        <v>7</v>
      </c>
      <c r="S11" s="17">
        <f t="shared" ref="S11:AF11" si="3">SUM(C14:C17)</f>
        <v>314.57142857142856</v>
      </c>
      <c r="T11" s="17">
        <f t="shared" si="3"/>
        <v>32.571428571428569</v>
      </c>
      <c r="U11" s="17">
        <f t="shared" si="3"/>
        <v>34.714285714285715</v>
      </c>
      <c r="V11" s="17">
        <f t="shared" si="3"/>
        <v>94.285714285714278</v>
      </c>
      <c r="W11" s="17">
        <f t="shared" si="3"/>
        <v>0.42857142857142855</v>
      </c>
      <c r="X11" s="17">
        <f t="shared" si="3"/>
        <v>1</v>
      </c>
      <c r="Y11" s="17">
        <f t="shared" si="3"/>
        <v>14</v>
      </c>
      <c r="Z11" s="17">
        <f t="shared" si="3"/>
        <v>5.2857142857142856</v>
      </c>
      <c r="AA11" s="17">
        <f t="shared" si="3"/>
        <v>3.7142857142857144</v>
      </c>
      <c r="AB11" s="17">
        <f t="shared" si="3"/>
        <v>0.2857142857142857</v>
      </c>
      <c r="AC11" s="17">
        <f t="shared" si="3"/>
        <v>572.57142857142856</v>
      </c>
      <c r="AD11" s="17">
        <f t="shared" si="3"/>
        <v>0</v>
      </c>
      <c r="AE11" s="31">
        <f t="shared" si="3"/>
        <v>500.85714285714278</v>
      </c>
      <c r="AF11" s="31">
        <f t="shared" si="3"/>
        <v>1073.4285714285711</v>
      </c>
    </row>
    <row r="12" spans="2:32" ht="23.1" customHeight="1" x14ac:dyDescent="0.25">
      <c r="B12" s="23" t="s">
        <v>39</v>
      </c>
      <c r="C12" s="49">
        <f>AVERAGE('01.08 NAMUGONGO-KIREKA'!C12,'02.08 NAMUGONGO-KIREKA'!C12,'04.08 NAMUGONGO-KIREKA'!C12,'29.07 NAMUGONGO-KIREKA'!C12,'03.08 NAMUGONGO-KIREKA-24h'!C12,'31.07 NAMUGONGO-KIREKA-24h'!C12,'30.07 NAMUGONGO-KIREKA'!C12)</f>
        <v>74.428571428571431</v>
      </c>
      <c r="D12" s="49">
        <f>AVERAGE('01.08 NAMUGONGO-KIREKA'!D12,'02.08 NAMUGONGO-KIREKA'!D12,'04.08 NAMUGONGO-KIREKA'!D12,'29.07 NAMUGONGO-KIREKA'!D12,'03.08 NAMUGONGO-KIREKA-24h'!D12,'31.07 NAMUGONGO-KIREKA-24h'!D12,'30.07 NAMUGONGO-KIREKA'!D12)</f>
        <v>7.1428571428571432</v>
      </c>
      <c r="E12" s="49">
        <f>AVERAGE('01.08 NAMUGONGO-KIREKA'!E12,'02.08 NAMUGONGO-KIREKA'!E12,'04.08 NAMUGONGO-KIREKA'!E12,'29.07 NAMUGONGO-KIREKA'!E12,'03.08 NAMUGONGO-KIREKA-24h'!E12,'31.07 NAMUGONGO-KIREKA-24h'!E12,'30.07 NAMUGONGO-KIREKA'!E12)</f>
        <v>10.428571428571429</v>
      </c>
      <c r="F12" s="49">
        <f>AVERAGE('01.08 NAMUGONGO-KIREKA'!F12,'02.08 NAMUGONGO-KIREKA'!F12,'04.08 NAMUGONGO-KIREKA'!F12,'29.07 NAMUGONGO-KIREKA'!F12,'03.08 NAMUGONGO-KIREKA-24h'!F12,'31.07 NAMUGONGO-KIREKA-24h'!F12,'30.07 NAMUGONGO-KIREKA'!F12)</f>
        <v>23.571428571428573</v>
      </c>
      <c r="G12" s="49">
        <f>AVERAGE('01.08 NAMUGONGO-KIREKA'!G12,'02.08 NAMUGONGO-KIREKA'!G12,'04.08 NAMUGONGO-KIREKA'!G12,'29.07 NAMUGONGO-KIREKA'!G12,'03.08 NAMUGONGO-KIREKA-24h'!G12,'31.07 NAMUGONGO-KIREKA-24h'!G12,'30.07 NAMUGONGO-KIREKA'!G12)</f>
        <v>0.83333333333333337</v>
      </c>
      <c r="H12" s="49">
        <f>AVERAGE('01.08 NAMUGONGO-KIREKA'!H12,'02.08 NAMUGONGO-KIREKA'!H12,'04.08 NAMUGONGO-KIREKA'!H12,'29.07 NAMUGONGO-KIREKA'!H12,'03.08 NAMUGONGO-KIREKA-24h'!H12,'31.07 NAMUGONGO-KIREKA-24h'!H12,'30.07 NAMUGONGO-KIREKA'!H12)</f>
        <v>0</v>
      </c>
      <c r="I12" s="49">
        <f>AVERAGE('01.08 NAMUGONGO-KIREKA'!I12,'02.08 NAMUGONGO-KIREKA'!I12,'04.08 NAMUGONGO-KIREKA'!I12,'29.07 NAMUGONGO-KIREKA'!I12,'03.08 NAMUGONGO-KIREKA-24h'!I12,'31.07 NAMUGONGO-KIREKA-24h'!I12,'30.07 NAMUGONGO-KIREKA'!I12)</f>
        <v>2.8571428571428572</v>
      </c>
      <c r="J12" s="49">
        <f>AVERAGE('01.08 NAMUGONGO-KIREKA'!J12,'02.08 NAMUGONGO-KIREKA'!J12,'04.08 NAMUGONGO-KIREKA'!J12,'29.07 NAMUGONGO-KIREKA'!J12,'03.08 NAMUGONGO-KIREKA-24h'!J12,'31.07 NAMUGONGO-KIREKA-24h'!J12,'30.07 NAMUGONGO-KIREKA'!J12)</f>
        <v>1.2857142857142858</v>
      </c>
      <c r="K12" s="49">
        <f>AVERAGE('01.08 NAMUGONGO-KIREKA'!K12,'02.08 NAMUGONGO-KIREKA'!K12,'04.08 NAMUGONGO-KIREKA'!K12,'29.07 NAMUGONGO-KIREKA'!K12,'03.08 NAMUGONGO-KIREKA-24h'!K12,'31.07 NAMUGONGO-KIREKA-24h'!K12,'30.07 NAMUGONGO-KIREKA'!K12)</f>
        <v>0.5714285714285714</v>
      </c>
      <c r="L12" s="49">
        <f>AVERAGE('01.08 NAMUGONGO-KIREKA'!L12,'02.08 NAMUGONGO-KIREKA'!L12,'04.08 NAMUGONGO-KIREKA'!L12,'29.07 NAMUGONGO-KIREKA'!L12,'03.08 NAMUGONGO-KIREKA-24h'!L12,'31.07 NAMUGONGO-KIREKA-24h'!L12,'30.07 NAMUGONGO-KIREKA'!L12)</f>
        <v>0.2857142857142857</v>
      </c>
      <c r="M12" s="49">
        <f>AVERAGE('01.08 NAMUGONGO-KIREKA'!M12,'02.08 NAMUGONGO-KIREKA'!M12,'04.08 NAMUGONGO-KIREKA'!M12,'29.07 NAMUGONGO-KIREKA'!M12,'03.08 NAMUGONGO-KIREKA-24h'!M12,'31.07 NAMUGONGO-KIREKA-24h'!M12,'30.07 NAMUGONGO-KIREKA'!M12)</f>
        <v>134</v>
      </c>
      <c r="N12" s="49">
        <f>AVERAGE('01.08 NAMUGONGO-KIREKA'!N12,'02.08 NAMUGONGO-KIREKA'!N12,'04.08 NAMUGONGO-KIREKA'!N12,'29.07 NAMUGONGO-KIREKA'!N12,'03.08 NAMUGONGO-KIREKA-24h'!N12,'31.07 NAMUGONGO-KIREKA-24h'!N12,'30.07 NAMUGONGO-KIREKA'!N12)</f>
        <v>0</v>
      </c>
      <c r="O12" s="15">
        <f t="shared" si="0"/>
        <v>121.40476190476191</v>
      </c>
      <c r="P12" s="15">
        <f t="shared" si="1"/>
        <v>255.40476190476193</v>
      </c>
      <c r="R12" s="1" t="s">
        <v>8</v>
      </c>
      <c r="S12" s="17">
        <f t="shared" ref="S12:AF12" si="4">SUM(C18:C21)</f>
        <v>272</v>
      </c>
      <c r="T12" s="17">
        <f t="shared" si="4"/>
        <v>33.428571428571431</v>
      </c>
      <c r="U12" s="17">
        <f t="shared" si="4"/>
        <v>30.142857142857142</v>
      </c>
      <c r="V12" s="17">
        <f t="shared" si="4"/>
        <v>83.142857142857139</v>
      </c>
      <c r="W12" s="17">
        <f t="shared" si="4"/>
        <v>0.99999999999999989</v>
      </c>
      <c r="X12" s="17">
        <f t="shared" si="4"/>
        <v>1.1428571428571428</v>
      </c>
      <c r="Y12" s="17">
        <f t="shared" si="4"/>
        <v>15</v>
      </c>
      <c r="Z12" s="17">
        <f t="shared" si="4"/>
        <v>7.7142857142857144</v>
      </c>
      <c r="AA12" s="17">
        <f t="shared" si="4"/>
        <v>5.2857142857142856</v>
      </c>
      <c r="AB12" s="17">
        <f t="shared" si="4"/>
        <v>1.7142857142857142</v>
      </c>
      <c r="AC12" s="17">
        <f t="shared" si="4"/>
        <v>474.85714285714289</v>
      </c>
      <c r="AD12" s="17">
        <f t="shared" si="4"/>
        <v>0</v>
      </c>
      <c r="AE12" s="31">
        <f t="shared" si="4"/>
        <v>450.57142857142861</v>
      </c>
      <c r="AF12" s="31">
        <f t="shared" si="4"/>
        <v>925.42857142857133</v>
      </c>
    </row>
    <row r="13" spans="2:32" ht="23.1" customHeight="1" x14ac:dyDescent="0.25">
      <c r="B13" s="23" t="s">
        <v>40</v>
      </c>
      <c r="C13" s="49">
        <f>AVERAGE('01.08 NAMUGONGO-KIREKA'!C13,'02.08 NAMUGONGO-KIREKA'!C13,'04.08 NAMUGONGO-KIREKA'!C13,'29.07 NAMUGONGO-KIREKA'!C13,'03.08 NAMUGONGO-KIREKA-24h'!C13,'31.07 NAMUGONGO-KIREKA-24h'!C13,'30.07 NAMUGONGO-KIREKA'!C13)</f>
        <v>74.714285714285708</v>
      </c>
      <c r="D13" s="49">
        <f>AVERAGE('01.08 NAMUGONGO-KIREKA'!D13,'02.08 NAMUGONGO-KIREKA'!D13,'04.08 NAMUGONGO-KIREKA'!D13,'29.07 NAMUGONGO-KIREKA'!D13,'03.08 NAMUGONGO-KIREKA-24h'!D13,'31.07 NAMUGONGO-KIREKA-24h'!D13,'30.07 NAMUGONGO-KIREKA'!D13)</f>
        <v>7.5714285714285712</v>
      </c>
      <c r="E13" s="49">
        <f>AVERAGE('01.08 NAMUGONGO-KIREKA'!E13,'02.08 NAMUGONGO-KIREKA'!E13,'04.08 NAMUGONGO-KIREKA'!E13,'29.07 NAMUGONGO-KIREKA'!E13,'03.08 NAMUGONGO-KIREKA-24h'!E13,'31.07 NAMUGONGO-KIREKA-24h'!E13,'30.07 NAMUGONGO-KIREKA'!E13)</f>
        <v>10.285714285714286</v>
      </c>
      <c r="F13" s="49">
        <f>AVERAGE('01.08 NAMUGONGO-KIREKA'!F13,'02.08 NAMUGONGO-KIREKA'!F13,'04.08 NAMUGONGO-KIREKA'!F13,'29.07 NAMUGONGO-KIREKA'!F13,'03.08 NAMUGONGO-KIREKA-24h'!F13,'31.07 NAMUGONGO-KIREKA-24h'!F13,'30.07 NAMUGONGO-KIREKA'!F13)</f>
        <v>28.571428571428573</v>
      </c>
      <c r="G13" s="49">
        <f>AVERAGE('01.08 NAMUGONGO-KIREKA'!G13,'02.08 NAMUGONGO-KIREKA'!G13,'04.08 NAMUGONGO-KIREKA'!G13,'29.07 NAMUGONGO-KIREKA'!G13,'03.08 NAMUGONGO-KIREKA-24h'!G13,'31.07 NAMUGONGO-KIREKA-24h'!G13,'30.07 NAMUGONGO-KIREKA'!G13)</f>
        <v>0.14285714285714285</v>
      </c>
      <c r="H13" s="49">
        <f>AVERAGE('01.08 NAMUGONGO-KIREKA'!H13,'02.08 NAMUGONGO-KIREKA'!H13,'04.08 NAMUGONGO-KIREKA'!H13,'29.07 NAMUGONGO-KIREKA'!H13,'03.08 NAMUGONGO-KIREKA-24h'!H13,'31.07 NAMUGONGO-KIREKA-24h'!H13,'30.07 NAMUGONGO-KIREKA'!H13)</f>
        <v>0</v>
      </c>
      <c r="I13" s="49">
        <f>AVERAGE('01.08 NAMUGONGO-KIREKA'!I13,'02.08 NAMUGONGO-KIREKA'!I13,'04.08 NAMUGONGO-KIREKA'!I13,'29.07 NAMUGONGO-KIREKA'!I13,'03.08 NAMUGONGO-KIREKA-24h'!I13,'31.07 NAMUGONGO-KIREKA-24h'!I13,'30.07 NAMUGONGO-KIREKA'!I13)</f>
        <v>3.4285714285714284</v>
      </c>
      <c r="J13" s="49">
        <f>AVERAGE('01.08 NAMUGONGO-KIREKA'!J13,'02.08 NAMUGONGO-KIREKA'!J13,'04.08 NAMUGONGO-KIREKA'!J13,'29.07 NAMUGONGO-KIREKA'!J13,'03.08 NAMUGONGO-KIREKA-24h'!J13,'31.07 NAMUGONGO-KIREKA-24h'!J13,'30.07 NAMUGONGO-KIREKA'!J13)</f>
        <v>1.1428571428571428</v>
      </c>
      <c r="K13" s="49">
        <f>AVERAGE('01.08 NAMUGONGO-KIREKA'!K13,'02.08 NAMUGONGO-KIREKA'!K13,'04.08 NAMUGONGO-KIREKA'!K13,'29.07 NAMUGONGO-KIREKA'!K13,'03.08 NAMUGONGO-KIREKA-24h'!K13,'31.07 NAMUGONGO-KIREKA-24h'!K13,'30.07 NAMUGONGO-KIREKA'!K13)</f>
        <v>0.2857142857142857</v>
      </c>
      <c r="L13" s="49">
        <f>AVERAGE('01.08 NAMUGONGO-KIREKA'!L13,'02.08 NAMUGONGO-KIREKA'!L13,'04.08 NAMUGONGO-KIREKA'!L13,'29.07 NAMUGONGO-KIREKA'!L13,'03.08 NAMUGONGO-KIREKA-24h'!L13,'31.07 NAMUGONGO-KIREKA-24h'!L13,'30.07 NAMUGONGO-KIREKA'!L13)</f>
        <v>0.14285714285714285</v>
      </c>
      <c r="M13" s="49">
        <f>AVERAGE('01.08 NAMUGONGO-KIREKA'!M13,'02.08 NAMUGONGO-KIREKA'!M13,'04.08 NAMUGONGO-KIREKA'!M13,'29.07 NAMUGONGO-KIREKA'!M13,'03.08 NAMUGONGO-KIREKA-24h'!M13,'31.07 NAMUGONGO-KIREKA-24h'!M13,'30.07 NAMUGONGO-KIREKA'!M13)</f>
        <v>126.57142857142857</v>
      </c>
      <c r="N13" s="49">
        <f>AVERAGE('01.08 NAMUGONGO-KIREKA'!N13,'02.08 NAMUGONGO-KIREKA'!N13,'04.08 NAMUGONGO-KIREKA'!N13,'29.07 NAMUGONGO-KIREKA'!N13,'03.08 NAMUGONGO-KIREKA-24h'!N13,'31.07 NAMUGONGO-KIREKA-24h'!N13,'30.07 NAMUGONGO-KIREKA'!N13)</f>
        <v>0</v>
      </c>
      <c r="O13" s="15">
        <f t="shared" si="0"/>
        <v>126.28571428571428</v>
      </c>
      <c r="P13" s="15">
        <f t="shared" si="1"/>
        <v>252.85714285714283</v>
      </c>
      <c r="R13" s="1" t="s">
        <v>9</v>
      </c>
      <c r="S13" s="17">
        <f t="shared" ref="S13:AF13" si="5">SUM(C22:C25)</f>
        <v>275.42857142857144</v>
      </c>
      <c r="T13" s="17">
        <f t="shared" si="5"/>
        <v>33.714285714285715</v>
      </c>
      <c r="U13" s="17">
        <f t="shared" si="5"/>
        <v>32.714285714285715</v>
      </c>
      <c r="V13" s="17">
        <f t="shared" si="5"/>
        <v>82.857142857142861</v>
      </c>
      <c r="W13" s="17">
        <f t="shared" si="5"/>
        <v>3</v>
      </c>
      <c r="X13" s="17">
        <f t="shared" si="5"/>
        <v>2.7142857142857144</v>
      </c>
      <c r="Y13" s="17">
        <f t="shared" si="5"/>
        <v>16</v>
      </c>
      <c r="Z13" s="17">
        <f t="shared" si="5"/>
        <v>8.5714285714285712</v>
      </c>
      <c r="AA13" s="17">
        <f t="shared" si="5"/>
        <v>5.8571428571428577</v>
      </c>
      <c r="AB13" s="17">
        <f t="shared" si="5"/>
        <v>2.1428571428571428</v>
      </c>
      <c r="AC13" s="17">
        <f t="shared" si="5"/>
        <v>488</v>
      </c>
      <c r="AD13" s="17">
        <f t="shared" si="5"/>
        <v>0</v>
      </c>
      <c r="AE13" s="31">
        <f t="shared" si="5"/>
        <v>463</v>
      </c>
      <c r="AF13" s="31">
        <f t="shared" si="5"/>
        <v>951</v>
      </c>
    </row>
    <row r="14" spans="2:32" ht="23.1" customHeight="1" x14ac:dyDescent="0.25">
      <c r="B14" s="23" t="s">
        <v>41</v>
      </c>
      <c r="C14" s="49">
        <f>AVERAGE('01.08 NAMUGONGO-KIREKA'!C14,'02.08 NAMUGONGO-KIREKA'!C14,'04.08 NAMUGONGO-KIREKA'!C14,'29.07 NAMUGONGO-KIREKA'!C14,'03.08 NAMUGONGO-KIREKA-24h'!C14,'31.07 NAMUGONGO-KIREKA-24h'!C14,'30.07 NAMUGONGO-KIREKA'!C14)</f>
        <v>78.142857142857139</v>
      </c>
      <c r="D14" s="49">
        <f>AVERAGE('01.08 NAMUGONGO-KIREKA'!D14,'02.08 NAMUGONGO-KIREKA'!D14,'04.08 NAMUGONGO-KIREKA'!D14,'29.07 NAMUGONGO-KIREKA'!D14,'03.08 NAMUGONGO-KIREKA-24h'!D14,'31.07 NAMUGONGO-KIREKA-24h'!D14,'30.07 NAMUGONGO-KIREKA'!D14)</f>
        <v>7.1428571428571432</v>
      </c>
      <c r="E14" s="49">
        <f>AVERAGE('01.08 NAMUGONGO-KIREKA'!E14,'02.08 NAMUGONGO-KIREKA'!E14,'04.08 NAMUGONGO-KIREKA'!E14,'29.07 NAMUGONGO-KIREKA'!E14,'03.08 NAMUGONGO-KIREKA-24h'!E14,'31.07 NAMUGONGO-KIREKA-24h'!E14,'30.07 NAMUGONGO-KIREKA'!E14)</f>
        <v>7.4285714285714288</v>
      </c>
      <c r="F14" s="49">
        <f>AVERAGE('01.08 NAMUGONGO-KIREKA'!F14,'02.08 NAMUGONGO-KIREKA'!F14,'04.08 NAMUGONGO-KIREKA'!F14,'29.07 NAMUGONGO-KIREKA'!F14,'03.08 NAMUGONGO-KIREKA-24h'!F14,'31.07 NAMUGONGO-KIREKA-24h'!F14,'30.07 NAMUGONGO-KIREKA'!F14)</f>
        <v>21.428571428571427</v>
      </c>
      <c r="G14" s="49">
        <f>AVERAGE('01.08 NAMUGONGO-KIREKA'!G14,'02.08 NAMUGONGO-KIREKA'!G14,'04.08 NAMUGONGO-KIREKA'!G14,'29.07 NAMUGONGO-KIREKA'!G14,'03.08 NAMUGONGO-KIREKA-24h'!G14,'31.07 NAMUGONGO-KIREKA-24h'!G14,'30.07 NAMUGONGO-KIREKA'!G14)</f>
        <v>0</v>
      </c>
      <c r="H14" s="49">
        <f>AVERAGE('01.08 NAMUGONGO-KIREKA'!H14,'02.08 NAMUGONGO-KIREKA'!H14,'04.08 NAMUGONGO-KIREKA'!H14,'29.07 NAMUGONGO-KIREKA'!H14,'03.08 NAMUGONGO-KIREKA-24h'!H14,'31.07 NAMUGONGO-KIREKA-24h'!H14,'30.07 NAMUGONGO-KIREKA'!H14)</f>
        <v>0</v>
      </c>
      <c r="I14" s="49">
        <f>AVERAGE('01.08 NAMUGONGO-KIREKA'!I14,'02.08 NAMUGONGO-KIREKA'!I14,'04.08 NAMUGONGO-KIREKA'!I14,'29.07 NAMUGONGO-KIREKA'!I14,'03.08 NAMUGONGO-KIREKA-24h'!I14,'31.07 NAMUGONGO-KIREKA-24h'!I14,'30.07 NAMUGONGO-KIREKA'!I14)</f>
        <v>2.5714285714285716</v>
      </c>
      <c r="J14" s="49">
        <f>AVERAGE('01.08 NAMUGONGO-KIREKA'!J14,'02.08 NAMUGONGO-KIREKA'!J14,'04.08 NAMUGONGO-KIREKA'!J14,'29.07 NAMUGONGO-KIREKA'!J14,'03.08 NAMUGONGO-KIREKA-24h'!J14,'31.07 NAMUGONGO-KIREKA-24h'!J14,'30.07 NAMUGONGO-KIREKA'!J14)</f>
        <v>0.2857142857142857</v>
      </c>
      <c r="K14" s="49">
        <f>AVERAGE('01.08 NAMUGONGO-KIREKA'!K14,'02.08 NAMUGONGO-KIREKA'!K14,'04.08 NAMUGONGO-KIREKA'!K14,'29.07 NAMUGONGO-KIREKA'!K14,'03.08 NAMUGONGO-KIREKA-24h'!K14,'31.07 NAMUGONGO-KIREKA-24h'!K14,'30.07 NAMUGONGO-KIREKA'!K14)</f>
        <v>1.4285714285714286</v>
      </c>
      <c r="L14" s="49">
        <f>AVERAGE('01.08 NAMUGONGO-KIREKA'!L14,'02.08 NAMUGONGO-KIREKA'!L14,'04.08 NAMUGONGO-KIREKA'!L14,'29.07 NAMUGONGO-KIREKA'!L14,'03.08 NAMUGONGO-KIREKA-24h'!L14,'31.07 NAMUGONGO-KIREKA-24h'!L14,'30.07 NAMUGONGO-KIREKA'!L14)</f>
        <v>0.14285714285714285</v>
      </c>
      <c r="M14" s="49">
        <f>AVERAGE('01.08 NAMUGONGO-KIREKA'!M14,'02.08 NAMUGONGO-KIREKA'!M14,'04.08 NAMUGONGO-KIREKA'!M14,'29.07 NAMUGONGO-KIREKA'!M14,'03.08 NAMUGONGO-KIREKA-24h'!M14,'31.07 NAMUGONGO-KIREKA-24h'!M14,'30.07 NAMUGONGO-KIREKA'!M14)</f>
        <v>188.71428571428572</v>
      </c>
      <c r="N14" s="49">
        <f>AVERAGE('01.08 NAMUGONGO-KIREKA'!N14,'02.08 NAMUGONGO-KIREKA'!N14,'04.08 NAMUGONGO-KIREKA'!N14,'29.07 NAMUGONGO-KIREKA'!N14,'03.08 NAMUGONGO-KIREKA-24h'!N14,'31.07 NAMUGONGO-KIREKA-24h'!N14,'30.07 NAMUGONGO-KIREKA'!N14)</f>
        <v>0</v>
      </c>
      <c r="O14" s="15">
        <f t="shared" si="0"/>
        <v>118.57142857142857</v>
      </c>
      <c r="P14" s="15">
        <f t="shared" si="1"/>
        <v>307.28571428571428</v>
      </c>
      <c r="R14" s="1" t="s">
        <v>10</v>
      </c>
      <c r="S14" s="17">
        <f t="shared" ref="S14:AF14" si="6">SUM(C26:C29)</f>
        <v>255.57142857142858</v>
      </c>
      <c r="T14" s="17">
        <f t="shared" si="6"/>
        <v>29.428571428571431</v>
      </c>
      <c r="U14" s="17">
        <f t="shared" si="6"/>
        <v>36.857142857142854</v>
      </c>
      <c r="V14" s="17">
        <f t="shared" si="6"/>
        <v>86.285714285714278</v>
      </c>
      <c r="W14" s="17">
        <f t="shared" si="6"/>
        <v>1.4285714285714286</v>
      </c>
      <c r="X14" s="17">
        <f t="shared" si="6"/>
        <v>1</v>
      </c>
      <c r="Y14" s="17">
        <f t="shared" si="6"/>
        <v>21</v>
      </c>
      <c r="Z14" s="17">
        <f t="shared" si="6"/>
        <v>6.5714285714285712</v>
      </c>
      <c r="AA14" s="17">
        <f t="shared" si="6"/>
        <v>4.7857142857142856</v>
      </c>
      <c r="AB14" s="17">
        <f t="shared" si="6"/>
        <v>1.4285714285714284</v>
      </c>
      <c r="AC14" s="17">
        <f t="shared" si="6"/>
        <v>479.42857142857144</v>
      </c>
      <c r="AD14" s="17">
        <f t="shared" si="6"/>
        <v>0</v>
      </c>
      <c r="AE14" s="31">
        <f t="shared" si="6"/>
        <v>444.35714285714283</v>
      </c>
      <c r="AF14" s="31">
        <f t="shared" si="6"/>
        <v>923.78571428571422</v>
      </c>
    </row>
    <row r="15" spans="2:32" ht="23.1" customHeight="1" x14ac:dyDescent="0.25">
      <c r="B15" s="23" t="s">
        <v>42</v>
      </c>
      <c r="C15" s="49">
        <f>AVERAGE('01.08 NAMUGONGO-KIREKA'!C15,'02.08 NAMUGONGO-KIREKA'!C15,'04.08 NAMUGONGO-KIREKA'!C15,'29.07 NAMUGONGO-KIREKA'!C15,'03.08 NAMUGONGO-KIREKA-24h'!C15,'31.07 NAMUGONGO-KIREKA-24h'!C15,'30.07 NAMUGONGO-KIREKA'!C15)</f>
        <v>78.714285714285708</v>
      </c>
      <c r="D15" s="49">
        <f>AVERAGE('01.08 NAMUGONGO-KIREKA'!D15,'02.08 NAMUGONGO-KIREKA'!D15,'04.08 NAMUGONGO-KIREKA'!D15,'29.07 NAMUGONGO-KIREKA'!D15,'03.08 NAMUGONGO-KIREKA-24h'!D15,'31.07 NAMUGONGO-KIREKA-24h'!D15,'30.07 NAMUGONGO-KIREKA'!D15)</f>
        <v>8.1428571428571423</v>
      </c>
      <c r="E15" s="49">
        <f>AVERAGE('01.08 NAMUGONGO-KIREKA'!E15,'02.08 NAMUGONGO-KIREKA'!E15,'04.08 NAMUGONGO-KIREKA'!E15,'29.07 NAMUGONGO-KIREKA'!E15,'03.08 NAMUGONGO-KIREKA-24h'!E15,'31.07 NAMUGONGO-KIREKA-24h'!E15,'30.07 NAMUGONGO-KIREKA'!E15)</f>
        <v>8</v>
      </c>
      <c r="F15" s="49">
        <f>AVERAGE('01.08 NAMUGONGO-KIREKA'!F15,'02.08 NAMUGONGO-KIREKA'!F15,'04.08 NAMUGONGO-KIREKA'!F15,'29.07 NAMUGONGO-KIREKA'!F15,'03.08 NAMUGONGO-KIREKA-24h'!F15,'31.07 NAMUGONGO-KIREKA-24h'!F15,'30.07 NAMUGONGO-KIREKA'!F15)</f>
        <v>29.714285714285715</v>
      </c>
      <c r="G15" s="49">
        <f>AVERAGE('01.08 NAMUGONGO-KIREKA'!G15,'02.08 NAMUGONGO-KIREKA'!G15,'04.08 NAMUGONGO-KIREKA'!G15,'29.07 NAMUGONGO-KIREKA'!G15,'03.08 NAMUGONGO-KIREKA-24h'!G15,'31.07 NAMUGONGO-KIREKA-24h'!G15,'30.07 NAMUGONGO-KIREKA'!G15)</f>
        <v>0.14285714285714285</v>
      </c>
      <c r="H15" s="49">
        <f>AVERAGE('01.08 NAMUGONGO-KIREKA'!H15,'02.08 NAMUGONGO-KIREKA'!H15,'04.08 NAMUGONGO-KIREKA'!H15,'29.07 NAMUGONGO-KIREKA'!H15,'03.08 NAMUGONGO-KIREKA-24h'!H15,'31.07 NAMUGONGO-KIREKA-24h'!H15,'30.07 NAMUGONGO-KIREKA'!H15)</f>
        <v>0.42857142857142855</v>
      </c>
      <c r="I15" s="49">
        <f>AVERAGE('01.08 NAMUGONGO-KIREKA'!I15,'02.08 NAMUGONGO-KIREKA'!I15,'04.08 NAMUGONGO-KIREKA'!I15,'29.07 NAMUGONGO-KIREKA'!I15,'03.08 NAMUGONGO-KIREKA-24h'!I15,'31.07 NAMUGONGO-KIREKA-24h'!I15,'30.07 NAMUGONGO-KIREKA'!I15)</f>
        <v>3.4285714285714284</v>
      </c>
      <c r="J15" s="49">
        <f>AVERAGE('01.08 NAMUGONGO-KIREKA'!J15,'02.08 NAMUGONGO-KIREKA'!J15,'04.08 NAMUGONGO-KIREKA'!J15,'29.07 NAMUGONGO-KIREKA'!J15,'03.08 NAMUGONGO-KIREKA-24h'!J15,'31.07 NAMUGONGO-KIREKA-24h'!J15,'30.07 NAMUGONGO-KIREKA'!J15)</f>
        <v>1.1428571428571428</v>
      </c>
      <c r="K15" s="49">
        <f>AVERAGE('01.08 NAMUGONGO-KIREKA'!K15,'02.08 NAMUGONGO-KIREKA'!K15,'04.08 NAMUGONGO-KIREKA'!K15,'29.07 NAMUGONGO-KIREKA'!K15,'03.08 NAMUGONGO-KIREKA-24h'!K15,'31.07 NAMUGONGO-KIREKA-24h'!K15,'30.07 NAMUGONGO-KIREKA'!K15)</f>
        <v>1.2857142857142858</v>
      </c>
      <c r="L15" s="49">
        <f>AVERAGE('01.08 NAMUGONGO-KIREKA'!L15,'02.08 NAMUGONGO-KIREKA'!L15,'04.08 NAMUGONGO-KIREKA'!L15,'29.07 NAMUGONGO-KIREKA'!L15,'03.08 NAMUGONGO-KIREKA-24h'!L15,'31.07 NAMUGONGO-KIREKA-24h'!L15,'30.07 NAMUGONGO-KIREKA'!L15)</f>
        <v>0</v>
      </c>
      <c r="M15" s="49">
        <f>AVERAGE('01.08 NAMUGONGO-KIREKA'!M15,'02.08 NAMUGONGO-KIREKA'!M15,'04.08 NAMUGONGO-KIREKA'!M15,'29.07 NAMUGONGO-KIREKA'!M15,'03.08 NAMUGONGO-KIREKA-24h'!M15,'31.07 NAMUGONGO-KIREKA-24h'!M15,'30.07 NAMUGONGO-KIREKA'!M15)</f>
        <v>143.28571428571428</v>
      </c>
      <c r="N15" s="49">
        <f>AVERAGE('01.08 NAMUGONGO-KIREKA'!N15,'02.08 NAMUGONGO-KIREKA'!N15,'04.08 NAMUGONGO-KIREKA'!N15,'29.07 NAMUGONGO-KIREKA'!N15,'03.08 NAMUGONGO-KIREKA-24h'!N15,'31.07 NAMUGONGO-KIREKA-24h'!N15,'30.07 NAMUGONGO-KIREKA'!N15)</f>
        <v>0</v>
      </c>
      <c r="O15" s="15">
        <f t="shared" si="0"/>
        <v>130.99999999999997</v>
      </c>
      <c r="P15" s="15">
        <f t="shared" si="1"/>
        <v>274.28571428571422</v>
      </c>
      <c r="R15" s="1" t="s">
        <v>11</v>
      </c>
      <c r="S15" s="17">
        <f t="shared" ref="S15:AF15" si="7">SUM(C30:C33)</f>
        <v>222.85714285714283</v>
      </c>
      <c r="T15" s="17">
        <f t="shared" si="7"/>
        <v>22.428571428571427</v>
      </c>
      <c r="U15" s="17">
        <f t="shared" si="7"/>
        <v>33.714285714285708</v>
      </c>
      <c r="V15" s="17">
        <f t="shared" si="7"/>
        <v>77.714285714285722</v>
      </c>
      <c r="W15" s="17">
        <f t="shared" si="7"/>
        <v>1.6428571428571428</v>
      </c>
      <c r="X15" s="17">
        <f t="shared" si="7"/>
        <v>3.5714285714285716</v>
      </c>
      <c r="Y15" s="17">
        <f t="shared" si="7"/>
        <v>22.714285714285715</v>
      </c>
      <c r="Z15" s="17">
        <f t="shared" si="7"/>
        <v>6.4285714285714288</v>
      </c>
      <c r="AA15" s="17">
        <f t="shared" si="7"/>
        <v>3.5714285714285712</v>
      </c>
      <c r="AB15" s="17">
        <f t="shared" si="7"/>
        <v>0.2857142857142857</v>
      </c>
      <c r="AC15" s="17">
        <f t="shared" si="7"/>
        <v>442</v>
      </c>
      <c r="AD15" s="17">
        <f t="shared" si="7"/>
        <v>0</v>
      </c>
      <c r="AE15" s="31">
        <f t="shared" si="7"/>
        <v>394.92857142857139</v>
      </c>
      <c r="AF15" s="31">
        <f t="shared" si="7"/>
        <v>836.92857142857144</v>
      </c>
    </row>
    <row r="16" spans="2:32" ht="23.1" customHeight="1" x14ac:dyDescent="0.25">
      <c r="B16" s="23" t="s">
        <v>43</v>
      </c>
      <c r="C16" s="49">
        <f>AVERAGE('01.08 NAMUGONGO-KIREKA'!C16,'02.08 NAMUGONGO-KIREKA'!C16,'04.08 NAMUGONGO-KIREKA'!C16,'29.07 NAMUGONGO-KIREKA'!C16,'03.08 NAMUGONGO-KIREKA-24h'!C16,'31.07 NAMUGONGO-KIREKA-24h'!C16,'30.07 NAMUGONGO-KIREKA'!C16)</f>
        <v>75.714285714285708</v>
      </c>
      <c r="D16" s="49">
        <f>AVERAGE('01.08 NAMUGONGO-KIREKA'!D16,'02.08 NAMUGONGO-KIREKA'!D16,'04.08 NAMUGONGO-KIREKA'!D16,'29.07 NAMUGONGO-KIREKA'!D16,'03.08 NAMUGONGO-KIREKA-24h'!D16,'31.07 NAMUGONGO-KIREKA-24h'!D16,'30.07 NAMUGONGO-KIREKA'!D16)</f>
        <v>6.7142857142857144</v>
      </c>
      <c r="E16" s="49">
        <f>AVERAGE('01.08 NAMUGONGO-KIREKA'!E16,'02.08 NAMUGONGO-KIREKA'!E16,'04.08 NAMUGONGO-KIREKA'!E16,'29.07 NAMUGONGO-KIREKA'!E16,'03.08 NAMUGONGO-KIREKA-24h'!E16,'31.07 NAMUGONGO-KIREKA-24h'!E16,'30.07 NAMUGONGO-KIREKA'!E16)</f>
        <v>9.5714285714285712</v>
      </c>
      <c r="F16" s="49">
        <f>AVERAGE('01.08 NAMUGONGO-KIREKA'!F16,'02.08 NAMUGONGO-KIREKA'!F16,'04.08 NAMUGONGO-KIREKA'!F16,'29.07 NAMUGONGO-KIREKA'!F16,'03.08 NAMUGONGO-KIREKA-24h'!F16,'31.07 NAMUGONGO-KIREKA-24h'!F16,'30.07 NAMUGONGO-KIREKA'!F16)</f>
        <v>21.142857142857142</v>
      </c>
      <c r="G16" s="49">
        <f>AVERAGE('01.08 NAMUGONGO-KIREKA'!G16,'02.08 NAMUGONGO-KIREKA'!G16,'04.08 NAMUGONGO-KIREKA'!G16,'29.07 NAMUGONGO-KIREKA'!G16,'03.08 NAMUGONGO-KIREKA-24h'!G16,'31.07 NAMUGONGO-KIREKA-24h'!G16,'30.07 NAMUGONGO-KIREKA'!G16)</f>
        <v>0.14285714285714285</v>
      </c>
      <c r="H16" s="49">
        <f>AVERAGE('01.08 NAMUGONGO-KIREKA'!H16,'02.08 NAMUGONGO-KIREKA'!H16,'04.08 NAMUGONGO-KIREKA'!H16,'29.07 NAMUGONGO-KIREKA'!H16,'03.08 NAMUGONGO-KIREKA-24h'!H16,'31.07 NAMUGONGO-KIREKA-24h'!H16,'30.07 NAMUGONGO-KIREKA'!H16)</f>
        <v>0.5714285714285714</v>
      </c>
      <c r="I16" s="49">
        <f>AVERAGE('01.08 NAMUGONGO-KIREKA'!I16,'02.08 NAMUGONGO-KIREKA'!I16,'04.08 NAMUGONGO-KIREKA'!I16,'29.07 NAMUGONGO-KIREKA'!I16,'03.08 NAMUGONGO-KIREKA-24h'!I16,'31.07 NAMUGONGO-KIREKA-24h'!I16,'30.07 NAMUGONGO-KIREKA'!I16)</f>
        <v>1.7142857142857142</v>
      </c>
      <c r="J16" s="49">
        <f>AVERAGE('01.08 NAMUGONGO-KIREKA'!J16,'02.08 NAMUGONGO-KIREKA'!J16,'04.08 NAMUGONGO-KIREKA'!J16,'29.07 NAMUGONGO-KIREKA'!J16,'03.08 NAMUGONGO-KIREKA-24h'!J16,'31.07 NAMUGONGO-KIREKA-24h'!J16,'30.07 NAMUGONGO-KIREKA'!J16)</f>
        <v>2.5714285714285716</v>
      </c>
      <c r="K16" s="49">
        <f>AVERAGE('01.08 NAMUGONGO-KIREKA'!K16,'02.08 NAMUGONGO-KIREKA'!K16,'04.08 NAMUGONGO-KIREKA'!K16,'29.07 NAMUGONGO-KIREKA'!K16,'03.08 NAMUGONGO-KIREKA-24h'!K16,'31.07 NAMUGONGO-KIREKA-24h'!K16,'30.07 NAMUGONGO-KIREKA'!K16)</f>
        <v>0.42857142857142855</v>
      </c>
      <c r="L16" s="49">
        <f>AVERAGE('01.08 NAMUGONGO-KIREKA'!L16,'02.08 NAMUGONGO-KIREKA'!L16,'04.08 NAMUGONGO-KIREKA'!L16,'29.07 NAMUGONGO-KIREKA'!L16,'03.08 NAMUGONGO-KIREKA-24h'!L16,'31.07 NAMUGONGO-KIREKA-24h'!L16,'30.07 NAMUGONGO-KIREKA'!L16)</f>
        <v>0.14285714285714285</v>
      </c>
      <c r="M16" s="49">
        <f>AVERAGE('01.08 NAMUGONGO-KIREKA'!M16,'02.08 NAMUGONGO-KIREKA'!M16,'04.08 NAMUGONGO-KIREKA'!M16,'29.07 NAMUGONGO-KIREKA'!M16,'03.08 NAMUGONGO-KIREKA-24h'!M16,'31.07 NAMUGONGO-KIREKA-24h'!M16,'30.07 NAMUGONGO-KIREKA'!M16)</f>
        <v>116</v>
      </c>
      <c r="N16" s="49">
        <f>AVERAGE('01.08 NAMUGONGO-KIREKA'!N16,'02.08 NAMUGONGO-KIREKA'!N16,'04.08 NAMUGONGO-KIREKA'!N16,'29.07 NAMUGONGO-KIREKA'!N16,'03.08 NAMUGONGO-KIREKA-24h'!N16,'31.07 NAMUGONGO-KIREKA-24h'!N16,'30.07 NAMUGONGO-KIREKA'!N16)</f>
        <v>0</v>
      </c>
      <c r="O16" s="15">
        <f t="shared" si="0"/>
        <v>118.71428571428568</v>
      </c>
      <c r="P16" s="15">
        <f t="shared" si="1"/>
        <v>234.71428571428567</v>
      </c>
      <c r="R16" s="1" t="s">
        <v>12</v>
      </c>
      <c r="S16" s="17">
        <f t="shared" ref="S16:AF16" si="8">SUM(C34:C37)</f>
        <v>197.85714285714283</v>
      </c>
      <c r="T16" s="17">
        <f t="shared" si="8"/>
        <v>21.571428571428573</v>
      </c>
      <c r="U16" s="17">
        <f t="shared" si="8"/>
        <v>34.428571428571431</v>
      </c>
      <c r="V16" s="17">
        <f t="shared" si="8"/>
        <v>79.571428571428569</v>
      </c>
      <c r="W16" s="17">
        <f t="shared" si="8"/>
        <v>0.85714285714285698</v>
      </c>
      <c r="X16" s="17">
        <f t="shared" si="8"/>
        <v>1.2857142857142856</v>
      </c>
      <c r="Y16" s="17">
        <f t="shared" si="8"/>
        <v>25.142857142857142</v>
      </c>
      <c r="Z16" s="17">
        <f t="shared" si="8"/>
        <v>6.1428571428571432</v>
      </c>
      <c r="AA16" s="17">
        <f t="shared" si="8"/>
        <v>3.8571428571428568</v>
      </c>
      <c r="AB16" s="17">
        <f t="shared" si="8"/>
        <v>0.71428571428571419</v>
      </c>
      <c r="AC16" s="17">
        <f t="shared" si="8"/>
        <v>396.28571428571428</v>
      </c>
      <c r="AD16" s="17">
        <f t="shared" si="8"/>
        <v>0.14285714285714285</v>
      </c>
      <c r="AE16" s="31">
        <f t="shared" si="8"/>
        <v>371.57142857142856</v>
      </c>
      <c r="AF16" s="31">
        <f t="shared" si="8"/>
        <v>767.85714285714289</v>
      </c>
    </row>
    <row r="17" spans="2:32" ht="23.1" customHeight="1" x14ac:dyDescent="0.25">
      <c r="B17" s="23" t="s">
        <v>44</v>
      </c>
      <c r="C17" s="49">
        <f>AVERAGE('01.08 NAMUGONGO-KIREKA'!C17,'02.08 NAMUGONGO-KIREKA'!C17,'04.08 NAMUGONGO-KIREKA'!C17,'29.07 NAMUGONGO-KIREKA'!C17,'03.08 NAMUGONGO-KIREKA-24h'!C17,'31.07 NAMUGONGO-KIREKA-24h'!C17,'30.07 NAMUGONGO-KIREKA'!C17)</f>
        <v>82</v>
      </c>
      <c r="D17" s="49">
        <f>AVERAGE('01.08 NAMUGONGO-KIREKA'!D17,'02.08 NAMUGONGO-KIREKA'!D17,'04.08 NAMUGONGO-KIREKA'!D17,'29.07 NAMUGONGO-KIREKA'!D17,'03.08 NAMUGONGO-KIREKA-24h'!D17,'31.07 NAMUGONGO-KIREKA-24h'!D17,'30.07 NAMUGONGO-KIREKA'!D17)</f>
        <v>10.571428571428571</v>
      </c>
      <c r="E17" s="49">
        <f>AVERAGE('01.08 NAMUGONGO-KIREKA'!E17,'02.08 NAMUGONGO-KIREKA'!E17,'04.08 NAMUGONGO-KIREKA'!E17,'29.07 NAMUGONGO-KIREKA'!E17,'03.08 NAMUGONGO-KIREKA-24h'!E17,'31.07 NAMUGONGO-KIREKA-24h'!E17,'30.07 NAMUGONGO-KIREKA'!E17)</f>
        <v>9.7142857142857135</v>
      </c>
      <c r="F17" s="49">
        <f>AVERAGE('01.08 NAMUGONGO-KIREKA'!F17,'02.08 NAMUGONGO-KIREKA'!F17,'04.08 NAMUGONGO-KIREKA'!F17,'29.07 NAMUGONGO-KIREKA'!F17,'03.08 NAMUGONGO-KIREKA-24h'!F17,'31.07 NAMUGONGO-KIREKA-24h'!F17,'30.07 NAMUGONGO-KIREKA'!F17)</f>
        <v>22</v>
      </c>
      <c r="G17" s="49">
        <f>AVERAGE('01.08 NAMUGONGO-KIREKA'!G17,'02.08 NAMUGONGO-KIREKA'!G17,'04.08 NAMUGONGO-KIREKA'!G17,'29.07 NAMUGONGO-KIREKA'!G17,'03.08 NAMUGONGO-KIREKA-24h'!G17,'31.07 NAMUGONGO-KIREKA-24h'!G17,'30.07 NAMUGONGO-KIREKA'!G17)</f>
        <v>0.14285714285714285</v>
      </c>
      <c r="H17" s="49">
        <f>AVERAGE('01.08 NAMUGONGO-KIREKA'!H17,'02.08 NAMUGONGO-KIREKA'!H17,'04.08 NAMUGONGO-KIREKA'!H17,'29.07 NAMUGONGO-KIREKA'!H17,'03.08 NAMUGONGO-KIREKA-24h'!H17,'31.07 NAMUGONGO-KIREKA-24h'!H17,'30.07 NAMUGONGO-KIREKA'!H17)</f>
        <v>0</v>
      </c>
      <c r="I17" s="49">
        <f>AVERAGE('01.08 NAMUGONGO-KIREKA'!I17,'02.08 NAMUGONGO-KIREKA'!I17,'04.08 NAMUGONGO-KIREKA'!I17,'29.07 NAMUGONGO-KIREKA'!I17,'03.08 NAMUGONGO-KIREKA-24h'!I17,'31.07 NAMUGONGO-KIREKA-24h'!I17,'30.07 NAMUGONGO-KIREKA'!I17)</f>
        <v>6.2857142857142856</v>
      </c>
      <c r="J17" s="49">
        <f>AVERAGE('01.08 NAMUGONGO-KIREKA'!J17,'02.08 NAMUGONGO-KIREKA'!J17,'04.08 NAMUGONGO-KIREKA'!J17,'29.07 NAMUGONGO-KIREKA'!J17,'03.08 NAMUGONGO-KIREKA-24h'!J17,'31.07 NAMUGONGO-KIREKA-24h'!J17,'30.07 NAMUGONGO-KIREKA'!J17)</f>
        <v>1.2857142857142858</v>
      </c>
      <c r="K17" s="49">
        <f>AVERAGE('01.08 NAMUGONGO-KIREKA'!K17,'02.08 NAMUGONGO-KIREKA'!K17,'04.08 NAMUGONGO-KIREKA'!K17,'29.07 NAMUGONGO-KIREKA'!K17,'03.08 NAMUGONGO-KIREKA-24h'!K17,'31.07 NAMUGONGO-KIREKA-24h'!K17,'30.07 NAMUGONGO-KIREKA'!K17)</f>
        <v>0.5714285714285714</v>
      </c>
      <c r="L17" s="49">
        <f>AVERAGE('01.08 NAMUGONGO-KIREKA'!L17,'02.08 NAMUGONGO-KIREKA'!L17,'04.08 NAMUGONGO-KIREKA'!L17,'29.07 NAMUGONGO-KIREKA'!L17,'03.08 NAMUGONGO-KIREKA-24h'!L17,'31.07 NAMUGONGO-KIREKA-24h'!L17,'30.07 NAMUGONGO-KIREKA'!L17)</f>
        <v>0</v>
      </c>
      <c r="M17" s="49">
        <f>AVERAGE('01.08 NAMUGONGO-KIREKA'!M17,'02.08 NAMUGONGO-KIREKA'!M17,'04.08 NAMUGONGO-KIREKA'!M17,'29.07 NAMUGONGO-KIREKA'!M17,'03.08 NAMUGONGO-KIREKA-24h'!M17,'31.07 NAMUGONGO-KIREKA-24h'!M17,'30.07 NAMUGONGO-KIREKA'!M17)</f>
        <v>124.57142857142857</v>
      </c>
      <c r="N17" s="49">
        <f>AVERAGE('01.08 NAMUGONGO-KIREKA'!N17,'02.08 NAMUGONGO-KIREKA'!N17,'04.08 NAMUGONGO-KIREKA'!N17,'29.07 NAMUGONGO-KIREKA'!N17,'03.08 NAMUGONGO-KIREKA-24h'!N17,'31.07 NAMUGONGO-KIREKA-24h'!N17,'30.07 NAMUGONGO-KIREKA'!N17)</f>
        <v>0</v>
      </c>
      <c r="O17" s="15">
        <f t="shared" si="0"/>
        <v>132.57142857142856</v>
      </c>
      <c r="P17" s="15">
        <f t="shared" si="1"/>
        <v>257.14285714285711</v>
      </c>
      <c r="R17" s="1" t="s">
        <v>13</v>
      </c>
      <c r="S17" s="17">
        <f t="shared" ref="S17:AF17" si="9">SUM(C38:C41)</f>
        <v>202.42857142857142</v>
      </c>
      <c r="T17" s="17">
        <f t="shared" si="9"/>
        <v>21.428571428571427</v>
      </c>
      <c r="U17" s="17">
        <f t="shared" si="9"/>
        <v>26.571428571428569</v>
      </c>
      <c r="V17" s="17">
        <f t="shared" si="9"/>
        <v>83.428571428571431</v>
      </c>
      <c r="W17" s="17">
        <f t="shared" si="9"/>
        <v>1.1428571428571428</v>
      </c>
      <c r="X17" s="17">
        <f t="shared" si="9"/>
        <v>2.1428571428571428</v>
      </c>
      <c r="Y17" s="17">
        <f t="shared" si="9"/>
        <v>19.571428571428569</v>
      </c>
      <c r="Z17" s="17">
        <f t="shared" si="9"/>
        <v>7.5714285714285712</v>
      </c>
      <c r="AA17" s="17">
        <f t="shared" si="9"/>
        <v>3</v>
      </c>
      <c r="AB17" s="17">
        <f t="shared" si="9"/>
        <v>1.1428571428571428</v>
      </c>
      <c r="AC17" s="17">
        <f t="shared" si="9"/>
        <v>471.57142857142856</v>
      </c>
      <c r="AD17" s="17">
        <f t="shared" si="9"/>
        <v>0.14285714285714285</v>
      </c>
      <c r="AE17" s="31">
        <f t="shared" si="9"/>
        <v>368.5714285714285</v>
      </c>
      <c r="AF17" s="31">
        <f t="shared" si="9"/>
        <v>840.14285714285711</v>
      </c>
    </row>
    <row r="18" spans="2:32" ht="23.1" customHeight="1" x14ac:dyDescent="0.25">
      <c r="B18" s="23" t="s">
        <v>45</v>
      </c>
      <c r="C18" s="49">
        <f>AVERAGE('01.08 NAMUGONGO-KIREKA'!C18,'02.08 NAMUGONGO-KIREKA'!C18,'04.08 NAMUGONGO-KIREKA'!C18,'29.07 NAMUGONGO-KIREKA'!C18,'03.08 NAMUGONGO-KIREKA-24h'!C18,'31.07 NAMUGONGO-KIREKA-24h'!C18,'30.07 NAMUGONGO-KIREKA'!C18)</f>
        <v>68</v>
      </c>
      <c r="D18" s="49">
        <f>AVERAGE('01.08 NAMUGONGO-KIREKA'!D18,'02.08 NAMUGONGO-KIREKA'!D18,'04.08 NAMUGONGO-KIREKA'!D18,'29.07 NAMUGONGO-KIREKA'!D18,'03.08 NAMUGONGO-KIREKA-24h'!D18,'31.07 NAMUGONGO-KIREKA-24h'!D18,'30.07 NAMUGONGO-KIREKA'!D18)</f>
        <v>10.714285714285714</v>
      </c>
      <c r="E18" s="49">
        <f>AVERAGE('01.08 NAMUGONGO-KIREKA'!E18,'02.08 NAMUGONGO-KIREKA'!E18,'04.08 NAMUGONGO-KIREKA'!E18,'29.07 NAMUGONGO-KIREKA'!E18,'03.08 NAMUGONGO-KIREKA-24h'!E18,'31.07 NAMUGONGO-KIREKA-24h'!E18,'30.07 NAMUGONGO-KIREKA'!E18)</f>
        <v>9.4285714285714288</v>
      </c>
      <c r="F18" s="49">
        <f>AVERAGE('01.08 NAMUGONGO-KIREKA'!F18,'02.08 NAMUGONGO-KIREKA'!F18,'04.08 NAMUGONGO-KIREKA'!F18,'29.07 NAMUGONGO-KIREKA'!F18,'03.08 NAMUGONGO-KIREKA-24h'!F18,'31.07 NAMUGONGO-KIREKA-24h'!F18,'30.07 NAMUGONGO-KIREKA'!F18)</f>
        <v>22.428571428571427</v>
      </c>
      <c r="G18" s="49">
        <f>AVERAGE('01.08 NAMUGONGO-KIREKA'!G18,'02.08 NAMUGONGO-KIREKA'!G18,'04.08 NAMUGONGO-KIREKA'!G18,'29.07 NAMUGONGO-KIREKA'!G18,'03.08 NAMUGONGO-KIREKA-24h'!G18,'31.07 NAMUGONGO-KIREKA-24h'!G18,'30.07 NAMUGONGO-KIREKA'!G18)</f>
        <v>0.2857142857142857</v>
      </c>
      <c r="H18" s="49">
        <f>AVERAGE('01.08 NAMUGONGO-KIREKA'!H18,'02.08 NAMUGONGO-KIREKA'!H18,'04.08 NAMUGONGO-KIREKA'!H18,'29.07 NAMUGONGO-KIREKA'!H18,'03.08 NAMUGONGO-KIREKA-24h'!H18,'31.07 NAMUGONGO-KIREKA-24h'!H18,'30.07 NAMUGONGO-KIREKA'!H18)</f>
        <v>0</v>
      </c>
      <c r="I18" s="49">
        <f>AVERAGE('01.08 NAMUGONGO-KIREKA'!I18,'02.08 NAMUGONGO-KIREKA'!I18,'04.08 NAMUGONGO-KIREKA'!I18,'29.07 NAMUGONGO-KIREKA'!I18,'03.08 NAMUGONGO-KIREKA-24h'!I18,'31.07 NAMUGONGO-KIREKA-24h'!I18,'30.07 NAMUGONGO-KIREKA'!I18)</f>
        <v>5.8571428571428568</v>
      </c>
      <c r="J18" s="49">
        <f>AVERAGE('01.08 NAMUGONGO-KIREKA'!J18,'02.08 NAMUGONGO-KIREKA'!J18,'04.08 NAMUGONGO-KIREKA'!J18,'29.07 NAMUGONGO-KIREKA'!J18,'03.08 NAMUGONGO-KIREKA-24h'!J18,'31.07 NAMUGONGO-KIREKA-24h'!J18,'30.07 NAMUGONGO-KIREKA'!J18)</f>
        <v>1.8571428571428572</v>
      </c>
      <c r="K18" s="49">
        <f>AVERAGE('01.08 NAMUGONGO-KIREKA'!K18,'02.08 NAMUGONGO-KIREKA'!K18,'04.08 NAMUGONGO-KIREKA'!K18,'29.07 NAMUGONGO-KIREKA'!K18,'03.08 NAMUGONGO-KIREKA-24h'!K18,'31.07 NAMUGONGO-KIREKA-24h'!K18,'30.07 NAMUGONGO-KIREKA'!K18)</f>
        <v>1</v>
      </c>
      <c r="L18" s="49">
        <f>AVERAGE('01.08 NAMUGONGO-KIREKA'!L18,'02.08 NAMUGONGO-KIREKA'!L18,'04.08 NAMUGONGO-KIREKA'!L18,'29.07 NAMUGONGO-KIREKA'!L18,'03.08 NAMUGONGO-KIREKA-24h'!L18,'31.07 NAMUGONGO-KIREKA-24h'!L18,'30.07 NAMUGONGO-KIREKA'!L18)</f>
        <v>0.14285714285714285</v>
      </c>
      <c r="M18" s="49">
        <f>AVERAGE('01.08 NAMUGONGO-KIREKA'!M18,'02.08 NAMUGONGO-KIREKA'!M18,'04.08 NAMUGONGO-KIREKA'!M18,'29.07 NAMUGONGO-KIREKA'!M18,'03.08 NAMUGONGO-KIREKA-24h'!M18,'31.07 NAMUGONGO-KIREKA-24h'!M18,'30.07 NAMUGONGO-KIREKA'!M18)</f>
        <v>122.57142857142857</v>
      </c>
      <c r="N18" s="49">
        <f>AVERAGE('01.08 NAMUGONGO-KIREKA'!N18,'02.08 NAMUGONGO-KIREKA'!N18,'04.08 NAMUGONGO-KIREKA'!N18,'29.07 NAMUGONGO-KIREKA'!N18,'03.08 NAMUGONGO-KIREKA-24h'!N18,'31.07 NAMUGONGO-KIREKA-24h'!N18,'30.07 NAMUGONGO-KIREKA'!N18)</f>
        <v>0</v>
      </c>
      <c r="O18" s="15">
        <f t="shared" si="0"/>
        <v>119.71428571428572</v>
      </c>
      <c r="P18" s="15">
        <f t="shared" si="1"/>
        <v>242.28571428571428</v>
      </c>
      <c r="R18" s="1" t="s">
        <v>14</v>
      </c>
      <c r="S18" s="17">
        <f t="shared" ref="S18:AF18" si="10">SUM(C42:C45)</f>
        <v>191</v>
      </c>
      <c r="T18" s="17">
        <f t="shared" si="10"/>
        <v>24.428571428571427</v>
      </c>
      <c r="U18" s="17">
        <f t="shared" si="10"/>
        <v>34.571428571428569</v>
      </c>
      <c r="V18" s="17">
        <f t="shared" si="10"/>
        <v>66.285714285714278</v>
      </c>
      <c r="W18" s="17">
        <f t="shared" si="10"/>
        <v>2.5714285714285712</v>
      </c>
      <c r="X18" s="17">
        <f t="shared" si="10"/>
        <v>0.71428571428571419</v>
      </c>
      <c r="Y18" s="17">
        <f t="shared" si="10"/>
        <v>21.571428571428573</v>
      </c>
      <c r="Z18" s="17">
        <f t="shared" si="10"/>
        <v>9</v>
      </c>
      <c r="AA18" s="17">
        <f t="shared" si="10"/>
        <v>5.4285714285714288</v>
      </c>
      <c r="AB18" s="17">
        <f t="shared" si="10"/>
        <v>1.8571428571428572</v>
      </c>
      <c r="AC18" s="17">
        <f t="shared" si="10"/>
        <v>435.14285714285717</v>
      </c>
      <c r="AD18" s="17">
        <f t="shared" si="10"/>
        <v>0</v>
      </c>
      <c r="AE18" s="31">
        <f t="shared" si="10"/>
        <v>357.42857142857139</v>
      </c>
      <c r="AF18" s="31">
        <f t="shared" si="10"/>
        <v>792.57142857142844</v>
      </c>
    </row>
    <row r="19" spans="2:32" ht="23.1" customHeight="1" x14ac:dyDescent="0.25">
      <c r="B19" s="23" t="s">
        <v>46</v>
      </c>
      <c r="C19" s="49">
        <f>AVERAGE('01.08 NAMUGONGO-KIREKA'!C19,'02.08 NAMUGONGO-KIREKA'!C19,'04.08 NAMUGONGO-KIREKA'!C19,'29.07 NAMUGONGO-KIREKA'!C19,'03.08 NAMUGONGO-KIREKA-24h'!C19,'31.07 NAMUGONGO-KIREKA-24h'!C19,'30.07 NAMUGONGO-KIREKA'!C19)</f>
        <v>67</v>
      </c>
      <c r="D19" s="49">
        <f>AVERAGE('01.08 NAMUGONGO-KIREKA'!D19,'02.08 NAMUGONGO-KIREKA'!D19,'04.08 NAMUGONGO-KIREKA'!D19,'29.07 NAMUGONGO-KIREKA'!D19,'03.08 NAMUGONGO-KIREKA-24h'!D19,'31.07 NAMUGONGO-KIREKA-24h'!D19,'30.07 NAMUGONGO-KIREKA'!D19)</f>
        <v>7.1428571428571432</v>
      </c>
      <c r="E19" s="49">
        <f>AVERAGE('01.08 NAMUGONGO-KIREKA'!E19,'02.08 NAMUGONGO-KIREKA'!E19,'04.08 NAMUGONGO-KIREKA'!E19,'29.07 NAMUGONGO-KIREKA'!E19,'03.08 NAMUGONGO-KIREKA-24h'!E19,'31.07 NAMUGONGO-KIREKA-24h'!E19,'30.07 NAMUGONGO-KIREKA'!E19)</f>
        <v>7.7142857142857144</v>
      </c>
      <c r="F19" s="49">
        <f>AVERAGE('01.08 NAMUGONGO-KIREKA'!F19,'02.08 NAMUGONGO-KIREKA'!F19,'04.08 NAMUGONGO-KIREKA'!F19,'29.07 NAMUGONGO-KIREKA'!F19,'03.08 NAMUGONGO-KIREKA-24h'!F19,'31.07 NAMUGONGO-KIREKA-24h'!F19,'30.07 NAMUGONGO-KIREKA'!F19)</f>
        <v>20</v>
      </c>
      <c r="G19" s="49">
        <f>AVERAGE('01.08 NAMUGONGO-KIREKA'!G19,'02.08 NAMUGONGO-KIREKA'!G19,'04.08 NAMUGONGO-KIREKA'!G19,'29.07 NAMUGONGO-KIREKA'!G19,'03.08 NAMUGONGO-KIREKA-24h'!G19,'31.07 NAMUGONGO-KIREKA-24h'!G19,'30.07 NAMUGONGO-KIREKA'!G19)</f>
        <v>0.14285714285714285</v>
      </c>
      <c r="H19" s="49">
        <f>AVERAGE('01.08 NAMUGONGO-KIREKA'!H19,'02.08 NAMUGONGO-KIREKA'!H19,'04.08 NAMUGONGO-KIREKA'!H19,'29.07 NAMUGONGO-KIREKA'!H19,'03.08 NAMUGONGO-KIREKA-24h'!H19,'31.07 NAMUGONGO-KIREKA-24h'!H19,'30.07 NAMUGONGO-KIREKA'!H19)</f>
        <v>0.42857142857142855</v>
      </c>
      <c r="I19" s="49">
        <f>AVERAGE('01.08 NAMUGONGO-KIREKA'!I19,'02.08 NAMUGONGO-KIREKA'!I19,'04.08 NAMUGONGO-KIREKA'!I19,'29.07 NAMUGONGO-KIREKA'!I19,'03.08 NAMUGONGO-KIREKA-24h'!I19,'31.07 NAMUGONGO-KIREKA-24h'!I19,'30.07 NAMUGONGO-KIREKA'!I19)</f>
        <v>2.7142857142857144</v>
      </c>
      <c r="J19" s="49">
        <f>AVERAGE('01.08 NAMUGONGO-KIREKA'!J19,'02.08 NAMUGONGO-KIREKA'!J19,'04.08 NAMUGONGO-KIREKA'!J19,'29.07 NAMUGONGO-KIREKA'!J19,'03.08 NAMUGONGO-KIREKA-24h'!J19,'31.07 NAMUGONGO-KIREKA-24h'!J19,'30.07 NAMUGONGO-KIREKA'!J19)</f>
        <v>2.5714285714285716</v>
      </c>
      <c r="K19" s="49">
        <f>AVERAGE('01.08 NAMUGONGO-KIREKA'!K19,'02.08 NAMUGONGO-KIREKA'!K19,'04.08 NAMUGONGO-KIREKA'!K19,'29.07 NAMUGONGO-KIREKA'!K19,'03.08 NAMUGONGO-KIREKA-24h'!K19,'31.07 NAMUGONGO-KIREKA-24h'!K19,'30.07 NAMUGONGO-KIREKA'!K19)</f>
        <v>1.2857142857142858</v>
      </c>
      <c r="L19" s="49">
        <f>AVERAGE('01.08 NAMUGONGO-KIREKA'!L19,'02.08 NAMUGONGO-KIREKA'!L19,'04.08 NAMUGONGO-KIREKA'!L19,'29.07 NAMUGONGO-KIREKA'!L19,'03.08 NAMUGONGO-KIREKA-24h'!L19,'31.07 NAMUGONGO-KIREKA-24h'!L19,'30.07 NAMUGONGO-KIREKA'!L19)</f>
        <v>0.42857142857142855</v>
      </c>
      <c r="M19" s="49">
        <f>AVERAGE('01.08 NAMUGONGO-KIREKA'!M19,'02.08 NAMUGONGO-KIREKA'!M19,'04.08 NAMUGONGO-KIREKA'!M19,'29.07 NAMUGONGO-KIREKA'!M19,'03.08 NAMUGONGO-KIREKA-24h'!M19,'31.07 NAMUGONGO-KIREKA-24h'!M19,'30.07 NAMUGONGO-KIREKA'!M19)</f>
        <v>122.28571428571429</v>
      </c>
      <c r="N19" s="49">
        <f>AVERAGE('01.08 NAMUGONGO-KIREKA'!N19,'02.08 NAMUGONGO-KIREKA'!N19,'04.08 NAMUGONGO-KIREKA'!N19,'29.07 NAMUGONGO-KIREKA'!N19,'03.08 NAMUGONGO-KIREKA-24h'!N19,'31.07 NAMUGONGO-KIREKA-24h'!N19,'30.07 NAMUGONGO-KIREKA'!N19)</f>
        <v>0</v>
      </c>
      <c r="O19" s="15">
        <f t="shared" si="0"/>
        <v>109.42857142857142</v>
      </c>
      <c r="P19" s="15">
        <f t="shared" si="1"/>
        <v>231.71428571428572</v>
      </c>
      <c r="R19" s="1" t="s">
        <v>15</v>
      </c>
      <c r="S19" s="17">
        <f t="shared" ref="S19:AF19" si="11">SUM(C46:C49)</f>
        <v>213.14285714285714</v>
      </c>
      <c r="T19" s="17">
        <f t="shared" si="11"/>
        <v>27.857142857142858</v>
      </c>
      <c r="U19" s="17">
        <f t="shared" si="11"/>
        <v>27.857142857142861</v>
      </c>
      <c r="V19" s="17">
        <f t="shared" si="11"/>
        <v>79.428571428571431</v>
      </c>
      <c r="W19" s="17">
        <f t="shared" si="11"/>
        <v>1.857142857142857</v>
      </c>
      <c r="X19" s="17">
        <f t="shared" si="11"/>
        <v>0.71428571428571419</v>
      </c>
      <c r="Y19" s="17">
        <f t="shared" si="11"/>
        <v>25</v>
      </c>
      <c r="Z19" s="17">
        <f t="shared" si="11"/>
        <v>6</v>
      </c>
      <c r="AA19" s="17">
        <f t="shared" si="11"/>
        <v>2.4285714285714288</v>
      </c>
      <c r="AB19" s="17">
        <f t="shared" si="11"/>
        <v>1.714285714285714</v>
      </c>
      <c r="AC19" s="17">
        <f t="shared" si="11"/>
        <v>468.14285714285711</v>
      </c>
      <c r="AD19" s="17">
        <f t="shared" si="11"/>
        <v>0</v>
      </c>
      <c r="AE19" s="31">
        <f t="shared" si="11"/>
        <v>386</v>
      </c>
      <c r="AF19" s="31">
        <f t="shared" si="11"/>
        <v>854.14285714285711</v>
      </c>
    </row>
    <row r="20" spans="2:32" ht="23.1" customHeight="1" x14ac:dyDescent="0.25">
      <c r="B20" s="23" t="s">
        <v>47</v>
      </c>
      <c r="C20" s="49">
        <f>AVERAGE('01.08 NAMUGONGO-KIREKA'!C20,'02.08 NAMUGONGO-KIREKA'!C20,'04.08 NAMUGONGO-KIREKA'!C20,'29.07 NAMUGONGO-KIREKA'!C20,'03.08 NAMUGONGO-KIREKA-24h'!C20,'31.07 NAMUGONGO-KIREKA-24h'!C20,'30.07 NAMUGONGO-KIREKA'!C20)</f>
        <v>66.142857142857139</v>
      </c>
      <c r="D20" s="49">
        <f>AVERAGE('01.08 NAMUGONGO-KIREKA'!D20,'02.08 NAMUGONGO-KIREKA'!D20,'04.08 NAMUGONGO-KIREKA'!D20,'29.07 NAMUGONGO-KIREKA'!D20,'03.08 NAMUGONGO-KIREKA-24h'!D20,'31.07 NAMUGONGO-KIREKA-24h'!D20,'30.07 NAMUGONGO-KIREKA'!D20)</f>
        <v>7.7142857142857144</v>
      </c>
      <c r="E20" s="49">
        <f>AVERAGE('01.08 NAMUGONGO-KIREKA'!E20,'02.08 NAMUGONGO-KIREKA'!E20,'04.08 NAMUGONGO-KIREKA'!E20,'29.07 NAMUGONGO-KIREKA'!E20,'03.08 NAMUGONGO-KIREKA-24h'!E20,'31.07 NAMUGONGO-KIREKA-24h'!E20,'30.07 NAMUGONGO-KIREKA'!E20)</f>
        <v>6.2857142857142856</v>
      </c>
      <c r="F20" s="49">
        <f>AVERAGE('01.08 NAMUGONGO-KIREKA'!F20,'02.08 NAMUGONGO-KIREKA'!F20,'04.08 NAMUGONGO-KIREKA'!F20,'29.07 NAMUGONGO-KIREKA'!F20,'03.08 NAMUGONGO-KIREKA-24h'!F20,'31.07 NAMUGONGO-KIREKA-24h'!F20,'30.07 NAMUGONGO-KIREKA'!F20)</f>
        <v>20.714285714285715</v>
      </c>
      <c r="G20" s="49">
        <f>AVERAGE('01.08 NAMUGONGO-KIREKA'!G20,'02.08 NAMUGONGO-KIREKA'!G20,'04.08 NAMUGONGO-KIREKA'!G20,'29.07 NAMUGONGO-KIREKA'!G20,'03.08 NAMUGONGO-KIREKA-24h'!G20,'31.07 NAMUGONGO-KIREKA-24h'!G20,'30.07 NAMUGONGO-KIREKA'!G20)</f>
        <v>0.2857142857142857</v>
      </c>
      <c r="H20" s="49">
        <f>AVERAGE('01.08 NAMUGONGO-KIREKA'!H20,'02.08 NAMUGONGO-KIREKA'!H20,'04.08 NAMUGONGO-KIREKA'!H20,'29.07 NAMUGONGO-KIREKA'!H20,'03.08 NAMUGONGO-KIREKA-24h'!H20,'31.07 NAMUGONGO-KIREKA-24h'!H20,'30.07 NAMUGONGO-KIREKA'!H20)</f>
        <v>0.7142857142857143</v>
      </c>
      <c r="I20" s="49">
        <f>AVERAGE('01.08 NAMUGONGO-KIREKA'!I20,'02.08 NAMUGONGO-KIREKA'!I20,'04.08 NAMUGONGO-KIREKA'!I20,'29.07 NAMUGONGO-KIREKA'!I20,'03.08 NAMUGONGO-KIREKA-24h'!I20,'31.07 NAMUGONGO-KIREKA-24h'!I20,'30.07 NAMUGONGO-KIREKA'!I20)</f>
        <v>2.1428571428571428</v>
      </c>
      <c r="J20" s="49">
        <f>AVERAGE('01.08 NAMUGONGO-KIREKA'!J20,'02.08 NAMUGONGO-KIREKA'!J20,'04.08 NAMUGONGO-KIREKA'!J20,'29.07 NAMUGONGO-KIREKA'!J20,'03.08 NAMUGONGO-KIREKA-24h'!J20,'31.07 NAMUGONGO-KIREKA-24h'!J20,'30.07 NAMUGONGO-KIREKA'!J20)</f>
        <v>1.5714285714285714</v>
      </c>
      <c r="K20" s="49">
        <f>AVERAGE('01.08 NAMUGONGO-KIREKA'!K20,'02.08 NAMUGONGO-KIREKA'!K20,'04.08 NAMUGONGO-KIREKA'!K20,'29.07 NAMUGONGO-KIREKA'!K20,'03.08 NAMUGONGO-KIREKA-24h'!K20,'31.07 NAMUGONGO-KIREKA-24h'!K20,'30.07 NAMUGONGO-KIREKA'!K20)</f>
        <v>1.4285714285714286</v>
      </c>
      <c r="L20" s="49">
        <f>AVERAGE('01.08 NAMUGONGO-KIREKA'!L20,'02.08 NAMUGONGO-KIREKA'!L20,'04.08 NAMUGONGO-KIREKA'!L20,'29.07 NAMUGONGO-KIREKA'!L20,'03.08 NAMUGONGO-KIREKA-24h'!L20,'31.07 NAMUGONGO-KIREKA-24h'!L20,'30.07 NAMUGONGO-KIREKA'!L20)</f>
        <v>0.2857142857142857</v>
      </c>
      <c r="M20" s="49">
        <f>AVERAGE('01.08 NAMUGONGO-KIREKA'!M20,'02.08 NAMUGONGO-KIREKA'!M20,'04.08 NAMUGONGO-KIREKA'!M20,'29.07 NAMUGONGO-KIREKA'!M20,'03.08 NAMUGONGO-KIREKA-24h'!M20,'31.07 NAMUGONGO-KIREKA-24h'!M20,'30.07 NAMUGONGO-KIREKA'!M20)</f>
        <v>118</v>
      </c>
      <c r="N20" s="49">
        <f>AVERAGE('01.08 NAMUGONGO-KIREKA'!N20,'02.08 NAMUGONGO-KIREKA'!N20,'04.08 NAMUGONGO-KIREKA'!N20,'29.07 NAMUGONGO-KIREKA'!N20,'03.08 NAMUGONGO-KIREKA-24h'!N20,'31.07 NAMUGONGO-KIREKA-24h'!N20,'30.07 NAMUGONGO-KIREKA'!N20)</f>
        <v>0</v>
      </c>
      <c r="O20" s="15">
        <f t="shared" si="0"/>
        <v>107.28571428571429</v>
      </c>
      <c r="P20" s="15">
        <f t="shared" si="1"/>
        <v>225.28571428571428</v>
      </c>
      <c r="R20" s="1" t="s">
        <v>16</v>
      </c>
      <c r="S20" s="17">
        <f t="shared" ref="S20:AF20" si="12">SUM(C50:C53)</f>
        <v>223.14285714285717</v>
      </c>
      <c r="T20" s="17">
        <f t="shared" si="12"/>
        <v>23.714285714285715</v>
      </c>
      <c r="U20" s="17">
        <f t="shared" si="12"/>
        <v>33</v>
      </c>
      <c r="V20" s="17">
        <f t="shared" si="12"/>
        <v>84.428571428571416</v>
      </c>
      <c r="W20" s="17">
        <f t="shared" si="12"/>
        <v>3.7142857142857144</v>
      </c>
      <c r="X20" s="17">
        <f t="shared" si="12"/>
        <v>0</v>
      </c>
      <c r="Y20" s="17">
        <f t="shared" si="12"/>
        <v>17.714285714285715</v>
      </c>
      <c r="Z20" s="17">
        <f t="shared" si="12"/>
        <v>8.7142857142857153</v>
      </c>
      <c r="AA20" s="17">
        <f t="shared" si="12"/>
        <v>3.8571428571428572</v>
      </c>
      <c r="AB20" s="17">
        <f t="shared" si="12"/>
        <v>1.4285714285714284</v>
      </c>
      <c r="AC20" s="17">
        <f t="shared" si="12"/>
        <v>508.57142857142856</v>
      </c>
      <c r="AD20" s="17">
        <f t="shared" si="12"/>
        <v>0</v>
      </c>
      <c r="AE20" s="31">
        <f t="shared" si="12"/>
        <v>399.71428571428578</v>
      </c>
      <c r="AF20" s="31">
        <f t="shared" si="12"/>
        <v>908.28571428571422</v>
      </c>
    </row>
    <row r="21" spans="2:32" ht="23.1" customHeight="1" x14ac:dyDescent="0.25">
      <c r="B21" s="23" t="s">
        <v>48</v>
      </c>
      <c r="C21" s="49">
        <f>AVERAGE('01.08 NAMUGONGO-KIREKA'!C21,'02.08 NAMUGONGO-KIREKA'!C21,'04.08 NAMUGONGO-KIREKA'!C21,'29.07 NAMUGONGO-KIREKA'!C21,'03.08 NAMUGONGO-KIREKA-24h'!C21,'31.07 NAMUGONGO-KIREKA-24h'!C21,'30.07 NAMUGONGO-KIREKA'!C21)</f>
        <v>70.857142857142861</v>
      </c>
      <c r="D21" s="49">
        <f>AVERAGE('01.08 NAMUGONGO-KIREKA'!D21,'02.08 NAMUGONGO-KIREKA'!D21,'04.08 NAMUGONGO-KIREKA'!D21,'29.07 NAMUGONGO-KIREKA'!D21,'03.08 NAMUGONGO-KIREKA-24h'!D21,'31.07 NAMUGONGO-KIREKA-24h'!D21,'30.07 NAMUGONGO-KIREKA'!D21)</f>
        <v>7.8571428571428568</v>
      </c>
      <c r="E21" s="49">
        <f>AVERAGE('01.08 NAMUGONGO-KIREKA'!E21,'02.08 NAMUGONGO-KIREKA'!E21,'04.08 NAMUGONGO-KIREKA'!E21,'29.07 NAMUGONGO-KIREKA'!E21,'03.08 NAMUGONGO-KIREKA-24h'!E21,'31.07 NAMUGONGO-KIREKA-24h'!E21,'30.07 NAMUGONGO-KIREKA'!E21)</f>
        <v>6.7142857142857144</v>
      </c>
      <c r="F21" s="49">
        <f>AVERAGE('01.08 NAMUGONGO-KIREKA'!F21,'02.08 NAMUGONGO-KIREKA'!F21,'04.08 NAMUGONGO-KIREKA'!F21,'29.07 NAMUGONGO-KIREKA'!F21,'03.08 NAMUGONGO-KIREKA-24h'!F21,'31.07 NAMUGONGO-KIREKA-24h'!F21,'30.07 NAMUGONGO-KIREKA'!F21)</f>
        <v>20</v>
      </c>
      <c r="G21" s="49">
        <f>AVERAGE('01.08 NAMUGONGO-KIREKA'!G21,'02.08 NAMUGONGO-KIREKA'!G21,'04.08 NAMUGONGO-KIREKA'!G21,'29.07 NAMUGONGO-KIREKA'!G21,'03.08 NAMUGONGO-KIREKA-24h'!G21,'31.07 NAMUGONGO-KIREKA-24h'!G21,'30.07 NAMUGONGO-KIREKA'!G21)</f>
        <v>0.2857142857142857</v>
      </c>
      <c r="H21" s="49">
        <f>AVERAGE('01.08 NAMUGONGO-KIREKA'!H21,'02.08 NAMUGONGO-KIREKA'!H21,'04.08 NAMUGONGO-KIREKA'!H21,'29.07 NAMUGONGO-KIREKA'!H21,'03.08 NAMUGONGO-KIREKA-24h'!H21,'31.07 NAMUGONGO-KIREKA-24h'!H21,'30.07 NAMUGONGO-KIREKA'!H21)</f>
        <v>0</v>
      </c>
      <c r="I21" s="49">
        <f>AVERAGE('01.08 NAMUGONGO-KIREKA'!I21,'02.08 NAMUGONGO-KIREKA'!I21,'04.08 NAMUGONGO-KIREKA'!I21,'29.07 NAMUGONGO-KIREKA'!I21,'03.08 NAMUGONGO-KIREKA-24h'!I21,'31.07 NAMUGONGO-KIREKA-24h'!I21,'30.07 NAMUGONGO-KIREKA'!I21)</f>
        <v>4.2857142857142856</v>
      </c>
      <c r="J21" s="49">
        <f>AVERAGE('01.08 NAMUGONGO-KIREKA'!J21,'02.08 NAMUGONGO-KIREKA'!J21,'04.08 NAMUGONGO-KIREKA'!J21,'29.07 NAMUGONGO-KIREKA'!J21,'03.08 NAMUGONGO-KIREKA-24h'!J21,'31.07 NAMUGONGO-KIREKA-24h'!J21,'30.07 NAMUGONGO-KIREKA'!J21)</f>
        <v>1.7142857142857142</v>
      </c>
      <c r="K21" s="49">
        <f>AVERAGE('01.08 NAMUGONGO-KIREKA'!K21,'02.08 NAMUGONGO-KIREKA'!K21,'04.08 NAMUGONGO-KIREKA'!K21,'29.07 NAMUGONGO-KIREKA'!K21,'03.08 NAMUGONGO-KIREKA-24h'!K21,'31.07 NAMUGONGO-KIREKA-24h'!K21,'30.07 NAMUGONGO-KIREKA'!K21)</f>
        <v>1.5714285714285714</v>
      </c>
      <c r="L21" s="49">
        <f>AVERAGE('01.08 NAMUGONGO-KIREKA'!L21,'02.08 NAMUGONGO-KIREKA'!L21,'04.08 NAMUGONGO-KIREKA'!L21,'29.07 NAMUGONGO-KIREKA'!L21,'03.08 NAMUGONGO-KIREKA-24h'!L21,'31.07 NAMUGONGO-KIREKA-24h'!L21,'30.07 NAMUGONGO-KIREKA'!L21)</f>
        <v>0.8571428571428571</v>
      </c>
      <c r="M21" s="49">
        <f>AVERAGE('01.08 NAMUGONGO-KIREKA'!M21,'02.08 NAMUGONGO-KIREKA'!M21,'04.08 NAMUGONGO-KIREKA'!M21,'29.07 NAMUGONGO-KIREKA'!M21,'03.08 NAMUGONGO-KIREKA-24h'!M21,'31.07 NAMUGONGO-KIREKA-24h'!M21,'30.07 NAMUGONGO-KIREKA'!M21)</f>
        <v>112</v>
      </c>
      <c r="N21" s="49">
        <f>AVERAGE('01.08 NAMUGONGO-KIREKA'!N21,'02.08 NAMUGONGO-KIREKA'!N21,'04.08 NAMUGONGO-KIREKA'!N21,'29.07 NAMUGONGO-KIREKA'!N21,'03.08 NAMUGONGO-KIREKA-24h'!N21,'31.07 NAMUGONGO-KIREKA-24h'!N21,'30.07 NAMUGONGO-KIREKA'!N21)</f>
        <v>0</v>
      </c>
      <c r="O21" s="15">
        <f t="shared" si="0"/>
        <v>114.14285714285715</v>
      </c>
      <c r="P21" s="15">
        <f t="shared" si="1"/>
        <v>226.14285714285717</v>
      </c>
      <c r="R21" s="36" t="s">
        <v>20</v>
      </c>
      <c r="S21" s="34">
        <f t="shared" ref="S21:AF21" si="13">SUM(C54:C57)</f>
        <v>195.85714285714283</v>
      </c>
      <c r="T21" s="17">
        <f t="shared" si="13"/>
        <v>27.571428571428573</v>
      </c>
      <c r="U21" s="17">
        <f t="shared" si="13"/>
        <v>34.714285714285715</v>
      </c>
      <c r="V21" s="17">
        <f t="shared" si="13"/>
        <v>86.571428571428569</v>
      </c>
      <c r="W21" s="17">
        <f t="shared" si="13"/>
        <v>3.8571428571428568</v>
      </c>
      <c r="X21" s="17">
        <f t="shared" si="13"/>
        <v>0.71428571428571419</v>
      </c>
      <c r="Y21" s="17">
        <f t="shared" si="13"/>
        <v>14.428571428571431</v>
      </c>
      <c r="Z21" s="17">
        <f t="shared" si="13"/>
        <v>7.2380952380952372</v>
      </c>
      <c r="AA21" s="17">
        <f t="shared" si="13"/>
        <v>2.4285714285714284</v>
      </c>
      <c r="AB21" s="17">
        <f t="shared" si="13"/>
        <v>0.42857142857142855</v>
      </c>
      <c r="AC21" s="17">
        <f t="shared" si="13"/>
        <v>567.42857142857144</v>
      </c>
      <c r="AD21" s="17">
        <f t="shared" si="13"/>
        <v>0</v>
      </c>
      <c r="AE21" s="31">
        <f t="shared" si="13"/>
        <v>373.8095238095238</v>
      </c>
      <c r="AF21" s="31">
        <f t="shared" si="13"/>
        <v>941.2380952380953</v>
      </c>
    </row>
    <row r="22" spans="2:32" ht="23.1" customHeight="1" x14ac:dyDescent="0.25">
      <c r="B22" s="23" t="s">
        <v>49</v>
      </c>
      <c r="C22" s="49">
        <f>AVERAGE('01.08 NAMUGONGO-KIREKA'!C22,'02.08 NAMUGONGO-KIREKA'!C22,'04.08 NAMUGONGO-KIREKA'!C22,'29.07 NAMUGONGO-KIREKA'!C22,'03.08 NAMUGONGO-KIREKA-24h'!C22,'31.07 NAMUGONGO-KIREKA-24h'!C22,'30.07 NAMUGONGO-KIREKA'!C22)</f>
        <v>67.857142857142861</v>
      </c>
      <c r="D22" s="49">
        <f>AVERAGE('01.08 NAMUGONGO-KIREKA'!D22,'02.08 NAMUGONGO-KIREKA'!D22,'04.08 NAMUGONGO-KIREKA'!D22,'29.07 NAMUGONGO-KIREKA'!D22,'03.08 NAMUGONGO-KIREKA-24h'!D22,'31.07 NAMUGONGO-KIREKA-24h'!D22,'30.07 NAMUGONGO-KIREKA'!D22)</f>
        <v>9.8571428571428577</v>
      </c>
      <c r="E22" s="49">
        <f>AVERAGE('01.08 NAMUGONGO-KIREKA'!E22,'02.08 NAMUGONGO-KIREKA'!E22,'04.08 NAMUGONGO-KIREKA'!E22,'29.07 NAMUGONGO-KIREKA'!E22,'03.08 NAMUGONGO-KIREKA-24h'!E22,'31.07 NAMUGONGO-KIREKA-24h'!E22,'30.07 NAMUGONGO-KIREKA'!E22)</f>
        <v>9.1428571428571423</v>
      </c>
      <c r="F22" s="49">
        <f>AVERAGE('01.08 NAMUGONGO-KIREKA'!F22,'02.08 NAMUGONGO-KIREKA'!F22,'04.08 NAMUGONGO-KIREKA'!F22,'29.07 NAMUGONGO-KIREKA'!F22,'03.08 NAMUGONGO-KIREKA-24h'!F22,'31.07 NAMUGONGO-KIREKA-24h'!F22,'30.07 NAMUGONGO-KIREKA'!F22)</f>
        <v>19.571428571428573</v>
      </c>
      <c r="G22" s="49">
        <f>AVERAGE('01.08 NAMUGONGO-KIREKA'!G22,'02.08 NAMUGONGO-KIREKA'!G22,'04.08 NAMUGONGO-KIREKA'!G22,'29.07 NAMUGONGO-KIREKA'!G22,'03.08 NAMUGONGO-KIREKA-24h'!G22,'31.07 NAMUGONGO-KIREKA-24h'!G22,'30.07 NAMUGONGO-KIREKA'!G22)</f>
        <v>0.7142857142857143</v>
      </c>
      <c r="H22" s="49">
        <f>AVERAGE('01.08 NAMUGONGO-KIREKA'!H22,'02.08 NAMUGONGO-KIREKA'!H22,'04.08 NAMUGONGO-KIREKA'!H22,'29.07 NAMUGONGO-KIREKA'!H22,'03.08 NAMUGONGO-KIREKA-24h'!H22,'31.07 NAMUGONGO-KIREKA-24h'!H22,'30.07 NAMUGONGO-KIREKA'!H22)</f>
        <v>0.8571428571428571</v>
      </c>
      <c r="I22" s="49">
        <f>AVERAGE('01.08 NAMUGONGO-KIREKA'!I22,'02.08 NAMUGONGO-KIREKA'!I22,'04.08 NAMUGONGO-KIREKA'!I22,'29.07 NAMUGONGO-KIREKA'!I22,'03.08 NAMUGONGO-KIREKA-24h'!I22,'31.07 NAMUGONGO-KIREKA-24h'!I22,'30.07 NAMUGONGO-KIREKA'!I22)</f>
        <v>2.7142857142857144</v>
      </c>
      <c r="J22" s="49">
        <f>AVERAGE('01.08 NAMUGONGO-KIREKA'!J22,'02.08 NAMUGONGO-KIREKA'!J22,'04.08 NAMUGONGO-KIREKA'!J22,'29.07 NAMUGONGO-KIREKA'!J22,'03.08 NAMUGONGO-KIREKA-24h'!J22,'31.07 NAMUGONGO-KIREKA-24h'!J22,'30.07 NAMUGONGO-KIREKA'!J22)</f>
        <v>1.2857142857142858</v>
      </c>
      <c r="K22" s="49">
        <f>AVERAGE('01.08 NAMUGONGO-KIREKA'!K22,'02.08 NAMUGONGO-KIREKA'!K22,'04.08 NAMUGONGO-KIREKA'!K22,'29.07 NAMUGONGO-KIREKA'!K22,'03.08 NAMUGONGO-KIREKA-24h'!K22,'31.07 NAMUGONGO-KIREKA-24h'!K22,'30.07 NAMUGONGO-KIREKA'!K22)</f>
        <v>1.7142857142857142</v>
      </c>
      <c r="L22" s="49">
        <f>AVERAGE('01.08 NAMUGONGO-KIREKA'!L22,'02.08 NAMUGONGO-KIREKA'!L22,'04.08 NAMUGONGO-KIREKA'!L22,'29.07 NAMUGONGO-KIREKA'!L22,'03.08 NAMUGONGO-KIREKA-24h'!L22,'31.07 NAMUGONGO-KIREKA-24h'!L22,'30.07 NAMUGONGO-KIREKA'!L22)</f>
        <v>0.5714285714285714</v>
      </c>
      <c r="M22" s="49">
        <f>AVERAGE('01.08 NAMUGONGO-KIREKA'!M22,'02.08 NAMUGONGO-KIREKA'!M22,'04.08 NAMUGONGO-KIREKA'!M22,'29.07 NAMUGONGO-KIREKA'!M22,'03.08 NAMUGONGO-KIREKA-24h'!M22,'31.07 NAMUGONGO-KIREKA-24h'!M22,'30.07 NAMUGONGO-KIREKA'!M22)</f>
        <v>121.14285714285714</v>
      </c>
      <c r="N22" s="49">
        <f>AVERAGE('01.08 NAMUGONGO-KIREKA'!N22,'02.08 NAMUGONGO-KIREKA'!N22,'04.08 NAMUGONGO-KIREKA'!N22,'29.07 NAMUGONGO-KIREKA'!N22,'03.08 NAMUGONGO-KIREKA-24h'!N22,'31.07 NAMUGONGO-KIREKA-24h'!N22,'30.07 NAMUGONGO-KIREKA'!N22)</f>
        <v>0</v>
      </c>
      <c r="O22" s="15">
        <f t="shared" si="0"/>
        <v>114.28571428571428</v>
      </c>
      <c r="P22" s="15">
        <f t="shared" si="1"/>
        <v>235.42857142857142</v>
      </c>
      <c r="R22" s="1" t="s">
        <v>146</v>
      </c>
      <c r="S22" s="34">
        <f>SUM(C58:C61)</f>
        <v>129.5</v>
      </c>
      <c r="T22" s="34">
        <f t="shared" ref="T22:AF22" si="14">SUM(D58:D61)</f>
        <v>11.5</v>
      </c>
      <c r="U22" s="34">
        <f t="shared" si="14"/>
        <v>12</v>
      </c>
      <c r="V22" s="34">
        <f t="shared" si="14"/>
        <v>47.5</v>
      </c>
      <c r="W22" s="34">
        <f t="shared" si="14"/>
        <v>1.5</v>
      </c>
      <c r="X22" s="34">
        <f t="shared" si="14"/>
        <v>0</v>
      </c>
      <c r="Y22" s="34">
        <f t="shared" si="14"/>
        <v>4</v>
      </c>
      <c r="Z22" s="34">
        <f t="shared" si="14"/>
        <v>3.5</v>
      </c>
      <c r="AA22" s="34">
        <f t="shared" si="14"/>
        <v>3.5</v>
      </c>
      <c r="AB22" s="34">
        <f t="shared" si="14"/>
        <v>0</v>
      </c>
      <c r="AC22" s="34">
        <f t="shared" si="14"/>
        <v>391.5</v>
      </c>
      <c r="AD22" s="34">
        <f t="shared" si="14"/>
        <v>0</v>
      </c>
      <c r="AE22" s="51">
        <f>SUM(O58:O61)</f>
        <v>213</v>
      </c>
      <c r="AF22" s="51">
        <f t="shared" si="14"/>
        <v>604.5</v>
      </c>
    </row>
    <row r="23" spans="2:32" ht="23.1" customHeight="1" x14ac:dyDescent="0.25">
      <c r="B23" s="23" t="s">
        <v>50</v>
      </c>
      <c r="C23" s="49">
        <f>AVERAGE('01.08 NAMUGONGO-KIREKA'!C23,'02.08 NAMUGONGO-KIREKA'!C23,'04.08 NAMUGONGO-KIREKA'!C23,'29.07 NAMUGONGO-KIREKA'!C23,'03.08 NAMUGONGO-KIREKA-24h'!C23,'31.07 NAMUGONGO-KIREKA-24h'!C23,'30.07 NAMUGONGO-KIREKA'!C23)</f>
        <v>70.285714285714292</v>
      </c>
      <c r="D23" s="49">
        <f>AVERAGE('01.08 NAMUGONGO-KIREKA'!D23,'02.08 NAMUGONGO-KIREKA'!D23,'04.08 NAMUGONGO-KIREKA'!D23,'29.07 NAMUGONGO-KIREKA'!D23,'03.08 NAMUGONGO-KIREKA-24h'!D23,'31.07 NAMUGONGO-KIREKA-24h'!D23,'30.07 NAMUGONGO-KIREKA'!D23)</f>
        <v>8.5714285714285712</v>
      </c>
      <c r="E23" s="49">
        <f>AVERAGE('01.08 NAMUGONGO-KIREKA'!E23,'02.08 NAMUGONGO-KIREKA'!E23,'04.08 NAMUGONGO-KIREKA'!E23,'29.07 NAMUGONGO-KIREKA'!E23,'03.08 NAMUGONGO-KIREKA-24h'!E23,'31.07 NAMUGONGO-KIREKA-24h'!E23,'30.07 NAMUGONGO-KIREKA'!E23)</f>
        <v>9.5714285714285712</v>
      </c>
      <c r="F23" s="49">
        <f>AVERAGE('01.08 NAMUGONGO-KIREKA'!F23,'02.08 NAMUGONGO-KIREKA'!F23,'04.08 NAMUGONGO-KIREKA'!F23,'29.07 NAMUGONGO-KIREKA'!F23,'03.08 NAMUGONGO-KIREKA-24h'!F23,'31.07 NAMUGONGO-KIREKA-24h'!F23,'30.07 NAMUGONGO-KIREKA'!F23)</f>
        <v>23.285714285714285</v>
      </c>
      <c r="G23" s="49">
        <f>AVERAGE('01.08 NAMUGONGO-KIREKA'!G23,'02.08 NAMUGONGO-KIREKA'!G23,'04.08 NAMUGONGO-KIREKA'!G23,'29.07 NAMUGONGO-KIREKA'!G23,'03.08 NAMUGONGO-KIREKA-24h'!G23,'31.07 NAMUGONGO-KIREKA-24h'!G23,'30.07 NAMUGONGO-KIREKA'!G23)</f>
        <v>0.5714285714285714</v>
      </c>
      <c r="H23" s="49">
        <f>AVERAGE('01.08 NAMUGONGO-KIREKA'!H23,'02.08 NAMUGONGO-KIREKA'!H23,'04.08 NAMUGONGO-KIREKA'!H23,'29.07 NAMUGONGO-KIREKA'!H23,'03.08 NAMUGONGO-KIREKA-24h'!H23,'31.07 NAMUGONGO-KIREKA-24h'!H23,'30.07 NAMUGONGO-KIREKA'!H23)</f>
        <v>0.7142857142857143</v>
      </c>
      <c r="I23" s="49">
        <f>AVERAGE('01.08 NAMUGONGO-KIREKA'!I23,'02.08 NAMUGONGO-KIREKA'!I23,'04.08 NAMUGONGO-KIREKA'!I23,'29.07 NAMUGONGO-KIREKA'!I23,'03.08 NAMUGONGO-KIREKA-24h'!I23,'31.07 NAMUGONGO-KIREKA-24h'!I23,'30.07 NAMUGONGO-KIREKA'!I23)</f>
        <v>5.1428571428571432</v>
      </c>
      <c r="J23" s="49">
        <f>AVERAGE('01.08 NAMUGONGO-KIREKA'!J23,'02.08 NAMUGONGO-KIREKA'!J23,'04.08 NAMUGONGO-KIREKA'!J23,'29.07 NAMUGONGO-KIREKA'!J23,'03.08 NAMUGONGO-KIREKA-24h'!J23,'31.07 NAMUGONGO-KIREKA-24h'!J23,'30.07 NAMUGONGO-KIREKA'!J23)</f>
        <v>2.7142857142857144</v>
      </c>
      <c r="K23" s="49">
        <f>AVERAGE('01.08 NAMUGONGO-KIREKA'!K23,'02.08 NAMUGONGO-KIREKA'!K23,'04.08 NAMUGONGO-KIREKA'!K23,'29.07 NAMUGONGO-KIREKA'!K23,'03.08 NAMUGONGO-KIREKA-24h'!K23,'31.07 NAMUGONGO-KIREKA-24h'!K23,'30.07 NAMUGONGO-KIREKA'!K23)</f>
        <v>1</v>
      </c>
      <c r="L23" s="49">
        <f>AVERAGE('01.08 NAMUGONGO-KIREKA'!L23,'02.08 NAMUGONGO-KIREKA'!L23,'04.08 NAMUGONGO-KIREKA'!L23,'29.07 NAMUGONGO-KIREKA'!L23,'03.08 NAMUGONGO-KIREKA-24h'!L23,'31.07 NAMUGONGO-KIREKA-24h'!L23,'30.07 NAMUGONGO-KIREKA'!L23)</f>
        <v>0.2857142857142857</v>
      </c>
      <c r="M23" s="49">
        <f>AVERAGE('01.08 NAMUGONGO-KIREKA'!M23,'02.08 NAMUGONGO-KIREKA'!M23,'04.08 NAMUGONGO-KIREKA'!M23,'29.07 NAMUGONGO-KIREKA'!M23,'03.08 NAMUGONGO-KIREKA-24h'!M23,'31.07 NAMUGONGO-KIREKA-24h'!M23,'30.07 NAMUGONGO-KIREKA'!M23)</f>
        <v>132.14285714285714</v>
      </c>
      <c r="N23" s="49">
        <f>AVERAGE('01.08 NAMUGONGO-KIREKA'!N23,'02.08 NAMUGONGO-KIREKA'!N23,'04.08 NAMUGONGO-KIREKA'!N23,'29.07 NAMUGONGO-KIREKA'!N23,'03.08 NAMUGONGO-KIREKA-24h'!N23,'31.07 NAMUGONGO-KIREKA-24h'!N23,'30.07 NAMUGONGO-KIREKA'!N23)</f>
        <v>0</v>
      </c>
      <c r="O23" s="15">
        <f t="shared" si="0"/>
        <v>122.14285714285714</v>
      </c>
      <c r="P23" s="15">
        <f t="shared" si="1"/>
        <v>254.28571428571428</v>
      </c>
      <c r="R23" s="1" t="s">
        <v>147</v>
      </c>
      <c r="S23" s="34">
        <f>SUM(C62:C65)</f>
        <v>108.5</v>
      </c>
      <c r="T23" s="34">
        <f t="shared" ref="T23:AF23" si="15">SUM(D62:D65)</f>
        <v>4.5</v>
      </c>
      <c r="U23" s="34">
        <f t="shared" si="15"/>
        <v>9</v>
      </c>
      <c r="V23" s="34">
        <f t="shared" si="15"/>
        <v>47.5</v>
      </c>
      <c r="W23" s="34">
        <f t="shared" si="15"/>
        <v>0</v>
      </c>
      <c r="X23" s="34">
        <f t="shared" si="15"/>
        <v>0</v>
      </c>
      <c r="Y23" s="34">
        <f t="shared" si="15"/>
        <v>9</v>
      </c>
      <c r="Z23" s="34">
        <f t="shared" si="15"/>
        <v>2</v>
      </c>
      <c r="AA23" s="34">
        <f t="shared" si="15"/>
        <v>2</v>
      </c>
      <c r="AB23" s="34">
        <f t="shared" si="15"/>
        <v>0</v>
      </c>
      <c r="AC23" s="34">
        <f t="shared" si="15"/>
        <v>257</v>
      </c>
      <c r="AD23" s="34">
        <f t="shared" si="15"/>
        <v>0</v>
      </c>
      <c r="AE23" s="51">
        <f t="shared" si="15"/>
        <v>182.5</v>
      </c>
      <c r="AF23" s="51">
        <f t="shared" si="15"/>
        <v>439.5</v>
      </c>
    </row>
    <row r="24" spans="2:32" ht="23.1" customHeight="1" x14ac:dyDescent="0.25">
      <c r="B24" s="23" t="s">
        <v>51</v>
      </c>
      <c r="C24" s="49">
        <f>AVERAGE('01.08 NAMUGONGO-KIREKA'!C24,'02.08 NAMUGONGO-KIREKA'!C24,'04.08 NAMUGONGO-KIREKA'!C24,'29.07 NAMUGONGO-KIREKA'!C24,'03.08 NAMUGONGO-KIREKA-24h'!C24,'31.07 NAMUGONGO-KIREKA-24h'!C24,'30.07 NAMUGONGO-KIREKA'!C24)</f>
        <v>71.428571428571431</v>
      </c>
      <c r="D24" s="49">
        <f>AVERAGE('01.08 NAMUGONGO-KIREKA'!D24,'02.08 NAMUGONGO-KIREKA'!D24,'04.08 NAMUGONGO-KIREKA'!D24,'29.07 NAMUGONGO-KIREKA'!D24,'03.08 NAMUGONGO-KIREKA-24h'!D24,'31.07 NAMUGONGO-KIREKA-24h'!D24,'30.07 NAMUGONGO-KIREKA'!D24)</f>
        <v>7.7142857142857144</v>
      </c>
      <c r="E24" s="49">
        <f>AVERAGE('01.08 NAMUGONGO-KIREKA'!E24,'02.08 NAMUGONGO-KIREKA'!E24,'04.08 NAMUGONGO-KIREKA'!E24,'29.07 NAMUGONGO-KIREKA'!E24,'03.08 NAMUGONGO-KIREKA-24h'!E24,'31.07 NAMUGONGO-KIREKA-24h'!E24,'30.07 NAMUGONGO-KIREKA'!E24)</f>
        <v>7</v>
      </c>
      <c r="F24" s="49">
        <f>AVERAGE('01.08 NAMUGONGO-KIREKA'!F24,'02.08 NAMUGONGO-KIREKA'!F24,'04.08 NAMUGONGO-KIREKA'!F24,'29.07 NAMUGONGO-KIREKA'!F24,'03.08 NAMUGONGO-KIREKA-24h'!F24,'31.07 NAMUGONGO-KIREKA-24h'!F24,'30.07 NAMUGONGO-KIREKA'!F24)</f>
        <v>18.142857142857142</v>
      </c>
      <c r="G24" s="49">
        <f>AVERAGE('01.08 NAMUGONGO-KIREKA'!G24,'02.08 NAMUGONGO-KIREKA'!G24,'04.08 NAMUGONGO-KIREKA'!G24,'29.07 NAMUGONGO-KIREKA'!G24,'03.08 NAMUGONGO-KIREKA-24h'!G24,'31.07 NAMUGONGO-KIREKA-24h'!G24,'30.07 NAMUGONGO-KIREKA'!G24)</f>
        <v>0.2857142857142857</v>
      </c>
      <c r="H24" s="49">
        <f>AVERAGE('01.08 NAMUGONGO-KIREKA'!H24,'02.08 NAMUGONGO-KIREKA'!H24,'04.08 NAMUGONGO-KIREKA'!H24,'29.07 NAMUGONGO-KIREKA'!H24,'03.08 NAMUGONGO-KIREKA-24h'!H24,'31.07 NAMUGONGO-KIREKA-24h'!H24,'30.07 NAMUGONGO-KIREKA'!H24)</f>
        <v>0</v>
      </c>
      <c r="I24" s="49">
        <f>AVERAGE('01.08 NAMUGONGO-KIREKA'!I24,'02.08 NAMUGONGO-KIREKA'!I24,'04.08 NAMUGONGO-KIREKA'!I24,'29.07 NAMUGONGO-KIREKA'!I24,'03.08 NAMUGONGO-KIREKA-24h'!I24,'31.07 NAMUGONGO-KIREKA-24h'!I24,'30.07 NAMUGONGO-KIREKA'!I24)</f>
        <v>3.4285714285714284</v>
      </c>
      <c r="J24" s="49">
        <f>AVERAGE('01.08 NAMUGONGO-KIREKA'!J24,'02.08 NAMUGONGO-KIREKA'!J24,'04.08 NAMUGONGO-KIREKA'!J24,'29.07 NAMUGONGO-KIREKA'!J24,'03.08 NAMUGONGO-KIREKA-24h'!J24,'31.07 NAMUGONGO-KIREKA-24h'!J24,'30.07 NAMUGONGO-KIREKA'!J24)</f>
        <v>2.8571428571428572</v>
      </c>
      <c r="K24" s="49">
        <f>AVERAGE('01.08 NAMUGONGO-KIREKA'!K24,'02.08 NAMUGONGO-KIREKA'!K24,'04.08 NAMUGONGO-KIREKA'!K24,'29.07 NAMUGONGO-KIREKA'!K24,'03.08 NAMUGONGO-KIREKA-24h'!K24,'31.07 NAMUGONGO-KIREKA-24h'!K24,'30.07 NAMUGONGO-KIREKA'!K24)</f>
        <v>0.8571428571428571</v>
      </c>
      <c r="L24" s="49">
        <f>AVERAGE('01.08 NAMUGONGO-KIREKA'!L24,'02.08 NAMUGONGO-KIREKA'!L24,'04.08 NAMUGONGO-KIREKA'!L24,'29.07 NAMUGONGO-KIREKA'!L24,'03.08 NAMUGONGO-KIREKA-24h'!L24,'31.07 NAMUGONGO-KIREKA-24h'!L24,'30.07 NAMUGONGO-KIREKA'!L24)</f>
        <v>0.8571428571428571</v>
      </c>
      <c r="M24" s="49">
        <f>AVERAGE('01.08 NAMUGONGO-KIREKA'!M24,'02.08 NAMUGONGO-KIREKA'!M24,'04.08 NAMUGONGO-KIREKA'!M24,'29.07 NAMUGONGO-KIREKA'!M24,'03.08 NAMUGONGO-KIREKA-24h'!M24,'31.07 NAMUGONGO-KIREKA-24h'!M24,'30.07 NAMUGONGO-KIREKA'!M24)</f>
        <v>120.42857142857143</v>
      </c>
      <c r="N24" s="49">
        <f>AVERAGE('01.08 NAMUGONGO-KIREKA'!N24,'02.08 NAMUGONGO-KIREKA'!N24,'04.08 NAMUGONGO-KIREKA'!N24,'29.07 NAMUGONGO-KIREKA'!N24,'03.08 NAMUGONGO-KIREKA-24h'!N24,'31.07 NAMUGONGO-KIREKA-24h'!N24,'30.07 NAMUGONGO-KIREKA'!N24)</f>
        <v>0</v>
      </c>
      <c r="O24" s="15">
        <f t="shared" si="0"/>
        <v>112.57142857142858</v>
      </c>
      <c r="P24" s="15">
        <f t="shared" si="1"/>
        <v>233</v>
      </c>
      <c r="R24" s="1" t="s">
        <v>148</v>
      </c>
      <c r="S24" s="34">
        <f>SUM(C66:C69)</f>
        <v>75</v>
      </c>
      <c r="T24" s="34">
        <f t="shared" ref="T24:AF24" si="16">SUM(D66:D69)</f>
        <v>7</v>
      </c>
      <c r="U24" s="34">
        <f t="shared" si="16"/>
        <v>8.5</v>
      </c>
      <c r="V24" s="34">
        <f t="shared" si="16"/>
        <v>32.5</v>
      </c>
      <c r="W24" s="34">
        <f t="shared" si="16"/>
        <v>1</v>
      </c>
      <c r="X24" s="34">
        <f t="shared" si="16"/>
        <v>0</v>
      </c>
      <c r="Y24" s="34">
        <f t="shared" si="16"/>
        <v>6</v>
      </c>
      <c r="Z24" s="34">
        <f t="shared" si="16"/>
        <v>2.5</v>
      </c>
      <c r="AA24" s="34">
        <f t="shared" si="16"/>
        <v>1</v>
      </c>
      <c r="AB24" s="34">
        <f t="shared" si="16"/>
        <v>0</v>
      </c>
      <c r="AC24" s="34">
        <f t="shared" si="16"/>
        <v>147.5</v>
      </c>
      <c r="AD24" s="34">
        <f t="shared" si="16"/>
        <v>0</v>
      </c>
      <c r="AE24" s="51">
        <f t="shared" si="16"/>
        <v>133.5</v>
      </c>
      <c r="AF24" s="51">
        <f t="shared" si="16"/>
        <v>281</v>
      </c>
    </row>
    <row r="25" spans="2:32" ht="23.1" customHeight="1" x14ac:dyDescent="0.25">
      <c r="B25" s="23" t="s">
        <v>52</v>
      </c>
      <c r="C25" s="49">
        <f>AVERAGE('01.08 NAMUGONGO-KIREKA'!C25,'02.08 NAMUGONGO-KIREKA'!C25,'04.08 NAMUGONGO-KIREKA'!C25,'29.07 NAMUGONGO-KIREKA'!C25,'03.08 NAMUGONGO-KIREKA-24h'!C25,'31.07 NAMUGONGO-KIREKA-24h'!C25,'30.07 NAMUGONGO-KIREKA'!C25)</f>
        <v>65.857142857142861</v>
      </c>
      <c r="D25" s="49">
        <f>AVERAGE('01.08 NAMUGONGO-KIREKA'!D25,'02.08 NAMUGONGO-KIREKA'!D25,'04.08 NAMUGONGO-KIREKA'!D25,'29.07 NAMUGONGO-KIREKA'!D25,'03.08 NAMUGONGO-KIREKA-24h'!D25,'31.07 NAMUGONGO-KIREKA-24h'!D25,'30.07 NAMUGONGO-KIREKA'!D25)</f>
        <v>7.5714285714285712</v>
      </c>
      <c r="E25" s="49">
        <f>AVERAGE('01.08 NAMUGONGO-KIREKA'!E25,'02.08 NAMUGONGO-KIREKA'!E25,'04.08 NAMUGONGO-KIREKA'!E25,'29.07 NAMUGONGO-KIREKA'!E25,'03.08 NAMUGONGO-KIREKA-24h'!E25,'31.07 NAMUGONGO-KIREKA-24h'!E25,'30.07 NAMUGONGO-KIREKA'!E25)</f>
        <v>7</v>
      </c>
      <c r="F25" s="49">
        <f>AVERAGE('01.08 NAMUGONGO-KIREKA'!F25,'02.08 NAMUGONGO-KIREKA'!F25,'04.08 NAMUGONGO-KIREKA'!F25,'29.07 NAMUGONGO-KIREKA'!F25,'03.08 NAMUGONGO-KIREKA-24h'!F25,'31.07 NAMUGONGO-KIREKA-24h'!F25,'30.07 NAMUGONGO-KIREKA'!F25)</f>
        <v>21.857142857142858</v>
      </c>
      <c r="G25" s="49">
        <f>AVERAGE('01.08 NAMUGONGO-KIREKA'!G25,'02.08 NAMUGONGO-KIREKA'!G25,'04.08 NAMUGONGO-KIREKA'!G25,'29.07 NAMUGONGO-KIREKA'!G25,'03.08 NAMUGONGO-KIREKA-24h'!G25,'31.07 NAMUGONGO-KIREKA-24h'!G25,'30.07 NAMUGONGO-KIREKA'!G25)</f>
        <v>1.4285714285714286</v>
      </c>
      <c r="H25" s="49">
        <f>AVERAGE('01.08 NAMUGONGO-KIREKA'!H25,'02.08 NAMUGONGO-KIREKA'!H25,'04.08 NAMUGONGO-KIREKA'!H25,'29.07 NAMUGONGO-KIREKA'!H25,'03.08 NAMUGONGO-KIREKA-24h'!H25,'31.07 NAMUGONGO-KIREKA-24h'!H25,'30.07 NAMUGONGO-KIREKA'!H25)</f>
        <v>1.1428571428571428</v>
      </c>
      <c r="I25" s="49">
        <f>AVERAGE('01.08 NAMUGONGO-KIREKA'!I25,'02.08 NAMUGONGO-KIREKA'!I25,'04.08 NAMUGONGO-KIREKA'!I25,'29.07 NAMUGONGO-KIREKA'!I25,'03.08 NAMUGONGO-KIREKA-24h'!I25,'31.07 NAMUGONGO-KIREKA-24h'!I25,'30.07 NAMUGONGO-KIREKA'!I25)</f>
        <v>4.7142857142857144</v>
      </c>
      <c r="J25" s="49">
        <f>AVERAGE('01.08 NAMUGONGO-KIREKA'!J25,'02.08 NAMUGONGO-KIREKA'!J25,'04.08 NAMUGONGO-KIREKA'!J25,'29.07 NAMUGONGO-KIREKA'!J25,'03.08 NAMUGONGO-KIREKA-24h'!J25,'31.07 NAMUGONGO-KIREKA-24h'!J25,'30.07 NAMUGONGO-KIREKA'!J25)</f>
        <v>1.7142857142857142</v>
      </c>
      <c r="K25" s="49">
        <f>AVERAGE('01.08 NAMUGONGO-KIREKA'!K25,'02.08 NAMUGONGO-KIREKA'!K25,'04.08 NAMUGONGO-KIREKA'!K25,'29.07 NAMUGONGO-KIREKA'!K25,'03.08 NAMUGONGO-KIREKA-24h'!K25,'31.07 NAMUGONGO-KIREKA-24h'!K25,'30.07 NAMUGONGO-KIREKA'!K25)</f>
        <v>2.2857142857142856</v>
      </c>
      <c r="L25" s="49">
        <f>AVERAGE('01.08 NAMUGONGO-KIREKA'!L25,'02.08 NAMUGONGO-KIREKA'!L25,'04.08 NAMUGONGO-KIREKA'!L25,'29.07 NAMUGONGO-KIREKA'!L25,'03.08 NAMUGONGO-KIREKA-24h'!L25,'31.07 NAMUGONGO-KIREKA-24h'!L25,'30.07 NAMUGONGO-KIREKA'!L25)</f>
        <v>0.42857142857142855</v>
      </c>
      <c r="M25" s="49">
        <f>AVERAGE('01.08 NAMUGONGO-KIREKA'!M25,'02.08 NAMUGONGO-KIREKA'!M25,'04.08 NAMUGONGO-KIREKA'!M25,'29.07 NAMUGONGO-KIREKA'!M25,'03.08 NAMUGONGO-KIREKA-24h'!M25,'31.07 NAMUGONGO-KIREKA-24h'!M25,'30.07 NAMUGONGO-KIREKA'!M25)</f>
        <v>114.28571428571429</v>
      </c>
      <c r="N25" s="49">
        <f>AVERAGE('01.08 NAMUGONGO-KIREKA'!N25,'02.08 NAMUGONGO-KIREKA'!N25,'04.08 NAMUGONGO-KIREKA'!N25,'29.07 NAMUGONGO-KIREKA'!N25,'03.08 NAMUGONGO-KIREKA-24h'!N25,'31.07 NAMUGONGO-KIREKA-24h'!N25,'30.07 NAMUGONGO-KIREKA'!N25)</f>
        <v>0</v>
      </c>
      <c r="O25" s="15">
        <f t="shared" si="0"/>
        <v>114</v>
      </c>
      <c r="P25" s="15">
        <f t="shared" si="1"/>
        <v>228.28571428571428</v>
      </c>
      <c r="R25" s="1" t="s">
        <v>149</v>
      </c>
      <c r="S25" s="34">
        <f>SUM(C70:C73)</f>
        <v>100.5</v>
      </c>
      <c r="T25" s="34">
        <f t="shared" ref="T25:AF25" si="17">SUM(D70:D73)</f>
        <v>4</v>
      </c>
      <c r="U25" s="34">
        <f t="shared" si="17"/>
        <v>7</v>
      </c>
      <c r="V25" s="34">
        <f t="shared" si="17"/>
        <v>25</v>
      </c>
      <c r="W25" s="34">
        <f t="shared" si="17"/>
        <v>1</v>
      </c>
      <c r="X25" s="34">
        <f t="shared" si="17"/>
        <v>0</v>
      </c>
      <c r="Y25" s="34">
        <f t="shared" si="17"/>
        <v>3.5</v>
      </c>
      <c r="Z25" s="34">
        <f t="shared" si="17"/>
        <v>2</v>
      </c>
      <c r="AA25" s="34">
        <f t="shared" si="17"/>
        <v>1</v>
      </c>
      <c r="AB25" s="34">
        <f t="shared" si="17"/>
        <v>0</v>
      </c>
      <c r="AC25" s="34">
        <f t="shared" si="17"/>
        <v>100.5</v>
      </c>
      <c r="AD25" s="34">
        <f t="shared" si="17"/>
        <v>0</v>
      </c>
      <c r="AE25" s="51">
        <f t="shared" si="17"/>
        <v>144</v>
      </c>
      <c r="AF25" s="51">
        <f t="shared" si="17"/>
        <v>244.5</v>
      </c>
    </row>
    <row r="26" spans="2:32" ht="23.1" customHeight="1" x14ac:dyDescent="0.25">
      <c r="B26" s="23" t="s">
        <v>53</v>
      </c>
      <c r="C26" s="49">
        <f>AVERAGE('01.08 NAMUGONGO-KIREKA'!C26,'02.08 NAMUGONGO-KIREKA'!C26,'04.08 NAMUGONGO-KIREKA'!C26,'29.07 NAMUGONGO-KIREKA'!C26,'03.08 NAMUGONGO-KIREKA-24h'!C26,'31.07 NAMUGONGO-KIREKA-24h'!C26,'30.07 NAMUGONGO-KIREKA'!C26)</f>
        <v>67.428571428571431</v>
      </c>
      <c r="D26" s="49">
        <f>AVERAGE('01.08 NAMUGONGO-KIREKA'!D26,'02.08 NAMUGONGO-KIREKA'!D26,'04.08 NAMUGONGO-KIREKA'!D26,'29.07 NAMUGONGO-KIREKA'!D26,'03.08 NAMUGONGO-KIREKA-24h'!D26,'31.07 NAMUGONGO-KIREKA-24h'!D26,'30.07 NAMUGONGO-KIREKA'!D26)</f>
        <v>7.1428571428571432</v>
      </c>
      <c r="E26" s="49">
        <f>AVERAGE('01.08 NAMUGONGO-KIREKA'!E26,'02.08 NAMUGONGO-KIREKA'!E26,'04.08 NAMUGONGO-KIREKA'!E26,'29.07 NAMUGONGO-KIREKA'!E26,'03.08 NAMUGONGO-KIREKA-24h'!E26,'31.07 NAMUGONGO-KIREKA-24h'!E26,'30.07 NAMUGONGO-KIREKA'!E26)</f>
        <v>9.2857142857142865</v>
      </c>
      <c r="F26" s="49">
        <f>AVERAGE('01.08 NAMUGONGO-KIREKA'!F26,'02.08 NAMUGONGO-KIREKA'!F26,'04.08 NAMUGONGO-KIREKA'!F26,'29.07 NAMUGONGO-KIREKA'!F26,'03.08 NAMUGONGO-KIREKA-24h'!F26,'31.07 NAMUGONGO-KIREKA-24h'!F26,'30.07 NAMUGONGO-KIREKA'!F26)</f>
        <v>18.285714285714285</v>
      </c>
      <c r="G26" s="49">
        <f>AVERAGE('01.08 NAMUGONGO-KIREKA'!G26,'02.08 NAMUGONGO-KIREKA'!G26,'04.08 NAMUGONGO-KIREKA'!G26,'29.07 NAMUGONGO-KIREKA'!G26,'03.08 NAMUGONGO-KIREKA-24h'!G26,'31.07 NAMUGONGO-KIREKA-24h'!G26,'30.07 NAMUGONGO-KIREKA'!G26)</f>
        <v>0.2857142857142857</v>
      </c>
      <c r="H26" s="49">
        <f>AVERAGE('01.08 NAMUGONGO-KIREKA'!H26,'02.08 NAMUGONGO-KIREKA'!H26,'04.08 NAMUGONGO-KIREKA'!H26,'29.07 NAMUGONGO-KIREKA'!H26,'03.08 NAMUGONGO-KIREKA-24h'!H26,'31.07 NAMUGONGO-KIREKA-24h'!H26,'30.07 NAMUGONGO-KIREKA'!H26)</f>
        <v>1</v>
      </c>
      <c r="I26" s="49">
        <f>AVERAGE('01.08 NAMUGONGO-KIREKA'!I26,'02.08 NAMUGONGO-KIREKA'!I26,'04.08 NAMUGONGO-KIREKA'!I26,'29.07 NAMUGONGO-KIREKA'!I26,'03.08 NAMUGONGO-KIREKA-24h'!I26,'31.07 NAMUGONGO-KIREKA-24h'!I26,'30.07 NAMUGONGO-KIREKA'!I26)</f>
        <v>3.5714285714285716</v>
      </c>
      <c r="J26" s="49">
        <f>AVERAGE('01.08 NAMUGONGO-KIREKA'!J26,'02.08 NAMUGONGO-KIREKA'!J26,'04.08 NAMUGONGO-KIREKA'!J26,'29.07 NAMUGONGO-KIREKA'!J26,'03.08 NAMUGONGO-KIREKA-24h'!J26,'31.07 NAMUGONGO-KIREKA-24h'!J26,'30.07 NAMUGONGO-KIREKA'!J26)</f>
        <v>1.7142857142857142</v>
      </c>
      <c r="K26" s="49">
        <f>AVERAGE('01.08 NAMUGONGO-KIREKA'!K26,'02.08 NAMUGONGO-KIREKA'!K26,'04.08 NAMUGONGO-KIREKA'!K26,'29.07 NAMUGONGO-KIREKA'!K26,'03.08 NAMUGONGO-KIREKA-24h'!K26,'31.07 NAMUGONGO-KIREKA-24h'!K26,'30.07 NAMUGONGO-KIREKA'!K26)</f>
        <v>1.7142857142857142</v>
      </c>
      <c r="L26" s="49">
        <f>AVERAGE('01.08 NAMUGONGO-KIREKA'!L26,'02.08 NAMUGONGO-KIREKA'!L26,'04.08 NAMUGONGO-KIREKA'!L26,'29.07 NAMUGONGO-KIREKA'!L26,'03.08 NAMUGONGO-KIREKA-24h'!L26,'31.07 NAMUGONGO-KIREKA-24h'!L26,'30.07 NAMUGONGO-KIREKA'!L26)</f>
        <v>0.42857142857142855</v>
      </c>
      <c r="M26" s="49">
        <f>AVERAGE('01.08 NAMUGONGO-KIREKA'!M26,'02.08 NAMUGONGO-KIREKA'!M26,'04.08 NAMUGONGO-KIREKA'!M26,'29.07 NAMUGONGO-KIREKA'!M26,'03.08 NAMUGONGO-KIREKA-24h'!M26,'31.07 NAMUGONGO-KIREKA-24h'!M26,'30.07 NAMUGONGO-KIREKA'!M26)</f>
        <v>120.28571428571429</v>
      </c>
      <c r="N26" s="49">
        <f>AVERAGE('01.08 NAMUGONGO-KIREKA'!N26,'02.08 NAMUGONGO-KIREKA'!N26,'04.08 NAMUGONGO-KIREKA'!N26,'29.07 NAMUGONGO-KIREKA'!N26,'03.08 NAMUGONGO-KIREKA-24h'!N26,'31.07 NAMUGONGO-KIREKA-24h'!N26,'30.07 NAMUGONGO-KIREKA'!N26)</f>
        <v>0</v>
      </c>
      <c r="O26" s="15">
        <f t="shared" si="0"/>
        <v>110.85714285714285</v>
      </c>
      <c r="P26" s="15">
        <f t="shared" si="1"/>
        <v>231.14285714285714</v>
      </c>
      <c r="R26" s="1" t="s">
        <v>150</v>
      </c>
      <c r="S26" s="34">
        <f>SUM(C74:C77)</f>
        <v>97.5</v>
      </c>
      <c r="T26" s="34">
        <f t="shared" ref="T26:AF26" si="18">SUM(D74:D77)</f>
        <v>2</v>
      </c>
      <c r="U26" s="34">
        <f t="shared" si="18"/>
        <v>4.5</v>
      </c>
      <c r="V26" s="34">
        <f t="shared" si="18"/>
        <v>24</v>
      </c>
      <c r="W26" s="34">
        <f t="shared" si="18"/>
        <v>0.5</v>
      </c>
      <c r="X26" s="34">
        <f t="shared" si="18"/>
        <v>1.5</v>
      </c>
      <c r="Y26" s="34">
        <f t="shared" si="18"/>
        <v>4</v>
      </c>
      <c r="Z26" s="34">
        <f t="shared" si="18"/>
        <v>1</v>
      </c>
      <c r="AA26" s="34">
        <f t="shared" si="18"/>
        <v>0.5</v>
      </c>
      <c r="AB26" s="34">
        <f t="shared" si="18"/>
        <v>0</v>
      </c>
      <c r="AC26" s="34">
        <f t="shared" si="18"/>
        <v>120.5</v>
      </c>
      <c r="AD26" s="34">
        <f t="shared" si="18"/>
        <v>0</v>
      </c>
      <c r="AE26" s="51">
        <f t="shared" si="18"/>
        <v>135.5</v>
      </c>
      <c r="AF26" s="51">
        <f t="shared" si="18"/>
        <v>256</v>
      </c>
    </row>
    <row r="27" spans="2:32" ht="23.1" customHeight="1" x14ac:dyDescent="0.25">
      <c r="B27" s="23" t="s">
        <v>54</v>
      </c>
      <c r="C27" s="49">
        <f>AVERAGE('01.08 NAMUGONGO-KIREKA'!C27,'02.08 NAMUGONGO-KIREKA'!C27,'04.08 NAMUGONGO-KIREKA'!C27,'29.07 NAMUGONGO-KIREKA'!C27,'03.08 NAMUGONGO-KIREKA-24h'!C27,'31.07 NAMUGONGO-KIREKA-24h'!C27,'30.07 NAMUGONGO-KIREKA'!C27)</f>
        <v>75.428571428571431</v>
      </c>
      <c r="D27" s="49">
        <f>AVERAGE('01.08 NAMUGONGO-KIREKA'!D27,'02.08 NAMUGONGO-KIREKA'!D27,'04.08 NAMUGONGO-KIREKA'!D27,'29.07 NAMUGONGO-KIREKA'!D27,'03.08 NAMUGONGO-KIREKA-24h'!D27,'31.07 NAMUGONGO-KIREKA-24h'!D27,'30.07 NAMUGONGO-KIREKA'!D27)</f>
        <v>8.7142857142857135</v>
      </c>
      <c r="E27" s="49">
        <f>AVERAGE('01.08 NAMUGONGO-KIREKA'!E27,'02.08 NAMUGONGO-KIREKA'!E27,'04.08 NAMUGONGO-KIREKA'!E27,'29.07 NAMUGONGO-KIREKA'!E27,'03.08 NAMUGONGO-KIREKA-24h'!E27,'31.07 NAMUGONGO-KIREKA-24h'!E27,'30.07 NAMUGONGO-KIREKA'!E27)</f>
        <v>9.4285714285714288</v>
      </c>
      <c r="F27" s="49">
        <f>AVERAGE('01.08 NAMUGONGO-KIREKA'!F27,'02.08 NAMUGONGO-KIREKA'!F27,'04.08 NAMUGONGO-KIREKA'!F27,'29.07 NAMUGONGO-KIREKA'!F27,'03.08 NAMUGONGO-KIREKA-24h'!F27,'31.07 NAMUGONGO-KIREKA-24h'!F27,'30.07 NAMUGONGO-KIREKA'!F27)</f>
        <v>23</v>
      </c>
      <c r="G27" s="49">
        <f>AVERAGE('01.08 NAMUGONGO-KIREKA'!G27,'02.08 NAMUGONGO-KIREKA'!G27,'04.08 NAMUGONGO-KIREKA'!G27,'29.07 NAMUGONGO-KIREKA'!G27,'03.08 NAMUGONGO-KIREKA-24h'!G27,'31.07 NAMUGONGO-KIREKA-24h'!G27,'30.07 NAMUGONGO-KIREKA'!G27)</f>
        <v>0.2857142857142857</v>
      </c>
      <c r="H27" s="49">
        <f>AVERAGE('01.08 NAMUGONGO-KIREKA'!H27,'02.08 NAMUGONGO-KIREKA'!H27,'04.08 NAMUGONGO-KIREKA'!H27,'29.07 NAMUGONGO-KIREKA'!H27,'03.08 NAMUGONGO-KIREKA-24h'!H27,'31.07 NAMUGONGO-KIREKA-24h'!H27,'30.07 NAMUGONGO-KIREKA'!H27)</f>
        <v>0</v>
      </c>
      <c r="I27" s="49">
        <f>AVERAGE('01.08 NAMUGONGO-KIREKA'!I27,'02.08 NAMUGONGO-KIREKA'!I27,'04.08 NAMUGONGO-KIREKA'!I27,'29.07 NAMUGONGO-KIREKA'!I27,'03.08 NAMUGONGO-KIREKA-24h'!I27,'31.07 NAMUGONGO-KIREKA-24h'!I27,'30.07 NAMUGONGO-KIREKA'!I27)</f>
        <v>4.7142857142857144</v>
      </c>
      <c r="J27" s="49">
        <f>AVERAGE('01.08 NAMUGONGO-KIREKA'!J27,'02.08 NAMUGONGO-KIREKA'!J27,'04.08 NAMUGONGO-KIREKA'!J27,'29.07 NAMUGONGO-KIREKA'!J27,'03.08 NAMUGONGO-KIREKA-24h'!J27,'31.07 NAMUGONGO-KIREKA-24h'!J27,'30.07 NAMUGONGO-KIREKA'!J27)</f>
        <v>2.2857142857142856</v>
      </c>
      <c r="K27" s="49">
        <f>AVERAGE('01.08 NAMUGONGO-KIREKA'!K27,'02.08 NAMUGONGO-KIREKA'!K27,'04.08 NAMUGONGO-KIREKA'!K27,'29.07 NAMUGONGO-KIREKA'!K27,'03.08 NAMUGONGO-KIREKA-24h'!K27,'31.07 NAMUGONGO-KIREKA-24h'!K27,'30.07 NAMUGONGO-KIREKA'!K27)</f>
        <v>0.5</v>
      </c>
      <c r="L27" s="49">
        <f>AVERAGE('01.08 NAMUGONGO-KIREKA'!L27,'02.08 NAMUGONGO-KIREKA'!L27,'04.08 NAMUGONGO-KIREKA'!L27,'29.07 NAMUGONGO-KIREKA'!L27,'03.08 NAMUGONGO-KIREKA-24h'!L27,'31.07 NAMUGONGO-KIREKA-24h'!L27,'30.07 NAMUGONGO-KIREKA'!L27)</f>
        <v>0.5714285714285714</v>
      </c>
      <c r="M27" s="49">
        <f>AVERAGE('01.08 NAMUGONGO-KIREKA'!M27,'02.08 NAMUGONGO-KIREKA'!M27,'04.08 NAMUGONGO-KIREKA'!M27,'29.07 NAMUGONGO-KIREKA'!M27,'03.08 NAMUGONGO-KIREKA-24h'!M27,'31.07 NAMUGONGO-KIREKA-24h'!M27,'30.07 NAMUGONGO-KIREKA'!M27)</f>
        <v>123.14285714285714</v>
      </c>
      <c r="N27" s="49">
        <f>AVERAGE('01.08 NAMUGONGO-KIREKA'!N27,'02.08 NAMUGONGO-KIREKA'!N27,'04.08 NAMUGONGO-KIREKA'!N27,'29.07 NAMUGONGO-KIREKA'!N27,'03.08 NAMUGONGO-KIREKA-24h'!N27,'31.07 NAMUGONGO-KIREKA-24h'!N27,'30.07 NAMUGONGO-KIREKA'!N27)</f>
        <v>0</v>
      </c>
      <c r="O27" s="15">
        <f t="shared" si="0"/>
        <v>124.92857142857143</v>
      </c>
      <c r="P27" s="15">
        <f t="shared" si="1"/>
        <v>248.07142857142856</v>
      </c>
      <c r="R27" s="1" t="s">
        <v>151</v>
      </c>
      <c r="S27" s="34">
        <f>SUM(C78:C81)</f>
        <v>59.5</v>
      </c>
      <c r="T27" s="34">
        <f t="shared" ref="T27:AF27" si="19">SUM(D78:D81)</f>
        <v>3</v>
      </c>
      <c r="U27" s="34">
        <f t="shared" si="19"/>
        <v>4</v>
      </c>
      <c r="V27" s="34">
        <f t="shared" si="19"/>
        <v>36</v>
      </c>
      <c r="W27" s="34">
        <f t="shared" si="19"/>
        <v>0</v>
      </c>
      <c r="X27" s="34">
        <f t="shared" si="19"/>
        <v>0</v>
      </c>
      <c r="Y27" s="34">
        <f t="shared" si="19"/>
        <v>1.5</v>
      </c>
      <c r="Z27" s="34">
        <f t="shared" si="19"/>
        <v>1</v>
      </c>
      <c r="AA27" s="34">
        <f t="shared" si="19"/>
        <v>0</v>
      </c>
      <c r="AB27" s="34">
        <f t="shared" si="19"/>
        <v>0</v>
      </c>
      <c r="AC27" s="34">
        <f t="shared" si="19"/>
        <v>78.5</v>
      </c>
      <c r="AD27" s="34">
        <f t="shared" si="19"/>
        <v>0</v>
      </c>
      <c r="AE27" s="51">
        <f t="shared" si="19"/>
        <v>105</v>
      </c>
      <c r="AF27" s="51">
        <f t="shared" si="19"/>
        <v>183.5</v>
      </c>
    </row>
    <row r="28" spans="2:32" ht="23.1" customHeight="1" x14ac:dyDescent="0.25">
      <c r="B28" s="23" t="s">
        <v>55</v>
      </c>
      <c r="C28" s="49">
        <f>AVERAGE('01.08 NAMUGONGO-KIREKA'!C28,'02.08 NAMUGONGO-KIREKA'!C28,'04.08 NAMUGONGO-KIREKA'!C28,'29.07 NAMUGONGO-KIREKA'!C28,'03.08 NAMUGONGO-KIREKA-24h'!C28,'31.07 NAMUGONGO-KIREKA-24h'!C28,'30.07 NAMUGONGO-KIREKA'!C28)</f>
        <v>62</v>
      </c>
      <c r="D28" s="49">
        <f>AVERAGE('01.08 NAMUGONGO-KIREKA'!D28,'02.08 NAMUGONGO-KIREKA'!D28,'04.08 NAMUGONGO-KIREKA'!D28,'29.07 NAMUGONGO-KIREKA'!D28,'03.08 NAMUGONGO-KIREKA-24h'!D28,'31.07 NAMUGONGO-KIREKA-24h'!D28,'30.07 NAMUGONGO-KIREKA'!D28)</f>
        <v>7.7142857142857144</v>
      </c>
      <c r="E28" s="49">
        <f>AVERAGE('01.08 NAMUGONGO-KIREKA'!E28,'02.08 NAMUGONGO-KIREKA'!E28,'04.08 NAMUGONGO-KIREKA'!E28,'29.07 NAMUGONGO-KIREKA'!E28,'03.08 NAMUGONGO-KIREKA-24h'!E28,'31.07 NAMUGONGO-KIREKA-24h'!E28,'30.07 NAMUGONGO-KIREKA'!E28)</f>
        <v>10.285714285714286</v>
      </c>
      <c r="F28" s="49">
        <f>AVERAGE('01.08 NAMUGONGO-KIREKA'!F28,'02.08 NAMUGONGO-KIREKA'!F28,'04.08 NAMUGONGO-KIREKA'!F28,'29.07 NAMUGONGO-KIREKA'!F28,'03.08 NAMUGONGO-KIREKA-24h'!F28,'31.07 NAMUGONGO-KIREKA-24h'!F28,'30.07 NAMUGONGO-KIREKA'!F28)</f>
        <v>22.285714285714285</v>
      </c>
      <c r="G28" s="49">
        <f>AVERAGE('01.08 NAMUGONGO-KIREKA'!G28,'02.08 NAMUGONGO-KIREKA'!G28,'04.08 NAMUGONGO-KIREKA'!G28,'29.07 NAMUGONGO-KIREKA'!G28,'03.08 NAMUGONGO-KIREKA-24h'!G28,'31.07 NAMUGONGO-KIREKA-24h'!G28,'30.07 NAMUGONGO-KIREKA'!G28)</f>
        <v>0.42857142857142855</v>
      </c>
      <c r="H28" s="49">
        <f>AVERAGE('01.08 NAMUGONGO-KIREKA'!H28,'02.08 NAMUGONGO-KIREKA'!H28,'04.08 NAMUGONGO-KIREKA'!H28,'29.07 NAMUGONGO-KIREKA'!H28,'03.08 NAMUGONGO-KIREKA-24h'!H28,'31.07 NAMUGONGO-KIREKA-24h'!H28,'30.07 NAMUGONGO-KIREKA'!H28)</f>
        <v>0</v>
      </c>
      <c r="I28" s="49">
        <f>AVERAGE('01.08 NAMUGONGO-KIREKA'!I28,'02.08 NAMUGONGO-KIREKA'!I28,'04.08 NAMUGONGO-KIREKA'!I28,'29.07 NAMUGONGO-KIREKA'!I28,'03.08 NAMUGONGO-KIREKA-24h'!I28,'31.07 NAMUGONGO-KIREKA-24h'!I28,'30.07 NAMUGONGO-KIREKA'!I28)</f>
        <v>6.2857142857142856</v>
      </c>
      <c r="J28" s="49">
        <f>AVERAGE('01.08 NAMUGONGO-KIREKA'!J28,'02.08 NAMUGONGO-KIREKA'!J28,'04.08 NAMUGONGO-KIREKA'!J28,'29.07 NAMUGONGO-KIREKA'!J28,'03.08 NAMUGONGO-KIREKA-24h'!J28,'31.07 NAMUGONGO-KIREKA-24h'!J28,'30.07 NAMUGONGO-KIREKA'!J28)</f>
        <v>1.2857142857142858</v>
      </c>
      <c r="K28" s="49">
        <f>AVERAGE('01.08 NAMUGONGO-KIREKA'!K28,'02.08 NAMUGONGO-KIREKA'!K28,'04.08 NAMUGONGO-KIREKA'!K28,'29.07 NAMUGONGO-KIREKA'!K28,'03.08 NAMUGONGO-KIREKA-24h'!K28,'31.07 NAMUGONGO-KIREKA-24h'!K28,'30.07 NAMUGONGO-KIREKA'!K28)</f>
        <v>1.1428571428571428</v>
      </c>
      <c r="L28" s="49">
        <f>AVERAGE('01.08 NAMUGONGO-KIREKA'!L28,'02.08 NAMUGONGO-KIREKA'!L28,'04.08 NAMUGONGO-KIREKA'!L28,'29.07 NAMUGONGO-KIREKA'!L28,'03.08 NAMUGONGO-KIREKA-24h'!L28,'31.07 NAMUGONGO-KIREKA-24h'!L28,'30.07 NAMUGONGO-KIREKA'!L28)</f>
        <v>0.14285714285714285</v>
      </c>
      <c r="M28" s="49">
        <f>AVERAGE('01.08 NAMUGONGO-KIREKA'!M28,'02.08 NAMUGONGO-KIREKA'!M28,'04.08 NAMUGONGO-KIREKA'!M28,'29.07 NAMUGONGO-KIREKA'!M28,'03.08 NAMUGONGO-KIREKA-24h'!M28,'31.07 NAMUGONGO-KIREKA-24h'!M28,'30.07 NAMUGONGO-KIREKA'!M28)</f>
        <v>122.42857142857143</v>
      </c>
      <c r="N28" s="49">
        <f>AVERAGE('01.08 NAMUGONGO-KIREKA'!N28,'02.08 NAMUGONGO-KIREKA'!N28,'04.08 NAMUGONGO-KIREKA'!N28,'29.07 NAMUGONGO-KIREKA'!N28,'03.08 NAMUGONGO-KIREKA-24h'!N28,'31.07 NAMUGONGO-KIREKA-24h'!N28,'30.07 NAMUGONGO-KIREKA'!N28)</f>
        <v>0</v>
      </c>
      <c r="O28" s="15">
        <f t="shared" si="0"/>
        <v>111.57142857142857</v>
      </c>
      <c r="P28" s="15">
        <f t="shared" si="1"/>
        <v>234</v>
      </c>
      <c r="R28" s="1" t="s">
        <v>152</v>
      </c>
      <c r="S28" s="34">
        <f>SUM(C82:C85)</f>
        <v>36.5</v>
      </c>
      <c r="T28" s="34">
        <f t="shared" ref="T28:AF28" si="20">SUM(D82:D85)</f>
        <v>1</v>
      </c>
      <c r="U28" s="34">
        <f t="shared" si="20"/>
        <v>3</v>
      </c>
      <c r="V28" s="34">
        <f t="shared" si="20"/>
        <v>3.5</v>
      </c>
      <c r="W28" s="34">
        <f t="shared" si="20"/>
        <v>0</v>
      </c>
      <c r="X28" s="34">
        <f t="shared" si="20"/>
        <v>0</v>
      </c>
      <c r="Y28" s="34">
        <f t="shared" si="20"/>
        <v>1</v>
      </c>
      <c r="Z28" s="34">
        <f t="shared" si="20"/>
        <v>2</v>
      </c>
      <c r="AA28" s="34">
        <f t="shared" si="20"/>
        <v>0</v>
      </c>
      <c r="AB28" s="34">
        <f t="shared" si="20"/>
        <v>0</v>
      </c>
      <c r="AC28" s="34">
        <f t="shared" si="20"/>
        <v>58.5</v>
      </c>
      <c r="AD28" s="34">
        <f t="shared" si="20"/>
        <v>0</v>
      </c>
      <c r="AE28" s="51">
        <f t="shared" si="20"/>
        <v>47</v>
      </c>
      <c r="AF28" s="51">
        <f t="shared" si="20"/>
        <v>105.5</v>
      </c>
    </row>
    <row r="29" spans="2:32" ht="23.1" customHeight="1" x14ac:dyDescent="0.25">
      <c r="B29" s="23" t="s">
        <v>56</v>
      </c>
      <c r="C29" s="49">
        <f>AVERAGE('01.08 NAMUGONGO-KIREKA'!C29,'02.08 NAMUGONGO-KIREKA'!C29,'04.08 NAMUGONGO-KIREKA'!C29,'29.07 NAMUGONGO-KIREKA'!C29,'03.08 NAMUGONGO-KIREKA-24h'!C29,'31.07 NAMUGONGO-KIREKA-24h'!C29,'30.07 NAMUGONGO-KIREKA'!C29)</f>
        <v>50.714285714285715</v>
      </c>
      <c r="D29" s="49">
        <f>AVERAGE('01.08 NAMUGONGO-KIREKA'!D29,'02.08 NAMUGONGO-KIREKA'!D29,'04.08 NAMUGONGO-KIREKA'!D29,'29.07 NAMUGONGO-KIREKA'!D29,'03.08 NAMUGONGO-KIREKA-24h'!D29,'31.07 NAMUGONGO-KIREKA-24h'!D29,'30.07 NAMUGONGO-KIREKA'!D29)</f>
        <v>5.8571428571428568</v>
      </c>
      <c r="E29" s="49">
        <f>AVERAGE('01.08 NAMUGONGO-KIREKA'!E29,'02.08 NAMUGONGO-KIREKA'!E29,'04.08 NAMUGONGO-KIREKA'!E29,'29.07 NAMUGONGO-KIREKA'!E29,'03.08 NAMUGONGO-KIREKA-24h'!E29,'31.07 NAMUGONGO-KIREKA-24h'!E29,'30.07 NAMUGONGO-KIREKA'!E29)</f>
        <v>7.8571428571428568</v>
      </c>
      <c r="F29" s="49">
        <f>AVERAGE('01.08 NAMUGONGO-KIREKA'!F29,'02.08 NAMUGONGO-KIREKA'!F29,'04.08 NAMUGONGO-KIREKA'!F29,'29.07 NAMUGONGO-KIREKA'!F29,'03.08 NAMUGONGO-KIREKA-24h'!F29,'31.07 NAMUGONGO-KIREKA-24h'!F29,'30.07 NAMUGONGO-KIREKA'!F29)</f>
        <v>22.714285714285715</v>
      </c>
      <c r="G29" s="49">
        <f>AVERAGE('01.08 NAMUGONGO-KIREKA'!G29,'02.08 NAMUGONGO-KIREKA'!G29,'04.08 NAMUGONGO-KIREKA'!G29,'29.07 NAMUGONGO-KIREKA'!G29,'03.08 NAMUGONGO-KIREKA-24h'!G29,'31.07 NAMUGONGO-KIREKA-24h'!G29,'30.07 NAMUGONGO-KIREKA'!G29)</f>
        <v>0.42857142857142855</v>
      </c>
      <c r="H29" s="49">
        <f>AVERAGE('01.08 NAMUGONGO-KIREKA'!H29,'02.08 NAMUGONGO-KIREKA'!H29,'04.08 NAMUGONGO-KIREKA'!H29,'29.07 NAMUGONGO-KIREKA'!H29,'03.08 NAMUGONGO-KIREKA-24h'!H29,'31.07 NAMUGONGO-KIREKA-24h'!H29,'30.07 NAMUGONGO-KIREKA'!H29)</f>
        <v>0</v>
      </c>
      <c r="I29" s="49">
        <f>AVERAGE('01.08 NAMUGONGO-KIREKA'!I29,'02.08 NAMUGONGO-KIREKA'!I29,'04.08 NAMUGONGO-KIREKA'!I29,'29.07 NAMUGONGO-KIREKA'!I29,'03.08 NAMUGONGO-KIREKA-24h'!I29,'31.07 NAMUGONGO-KIREKA-24h'!I29,'30.07 NAMUGONGO-KIREKA'!I29)</f>
        <v>6.4285714285714288</v>
      </c>
      <c r="J29" s="49">
        <f>AVERAGE('01.08 NAMUGONGO-KIREKA'!J29,'02.08 NAMUGONGO-KIREKA'!J29,'04.08 NAMUGONGO-KIREKA'!J29,'29.07 NAMUGONGO-KIREKA'!J29,'03.08 NAMUGONGO-KIREKA-24h'!J29,'31.07 NAMUGONGO-KIREKA-24h'!J29,'30.07 NAMUGONGO-KIREKA'!J29)</f>
        <v>1.2857142857142858</v>
      </c>
      <c r="K29" s="49">
        <f>AVERAGE('01.08 NAMUGONGO-KIREKA'!K29,'02.08 NAMUGONGO-KIREKA'!K29,'04.08 NAMUGONGO-KIREKA'!K29,'29.07 NAMUGONGO-KIREKA'!K29,'03.08 NAMUGONGO-KIREKA-24h'!K29,'31.07 NAMUGONGO-KIREKA-24h'!K29,'30.07 NAMUGONGO-KIREKA'!K29)</f>
        <v>1.4285714285714286</v>
      </c>
      <c r="L29" s="49">
        <f>AVERAGE('01.08 NAMUGONGO-KIREKA'!L29,'02.08 NAMUGONGO-KIREKA'!L29,'04.08 NAMUGONGO-KIREKA'!L29,'29.07 NAMUGONGO-KIREKA'!L29,'03.08 NAMUGONGO-KIREKA-24h'!L29,'31.07 NAMUGONGO-KIREKA-24h'!L29,'30.07 NAMUGONGO-KIREKA'!L29)</f>
        <v>0.2857142857142857</v>
      </c>
      <c r="M29" s="49">
        <f>AVERAGE('01.08 NAMUGONGO-KIREKA'!M29,'02.08 NAMUGONGO-KIREKA'!M29,'04.08 NAMUGONGO-KIREKA'!M29,'29.07 NAMUGONGO-KIREKA'!M29,'03.08 NAMUGONGO-KIREKA-24h'!M29,'31.07 NAMUGONGO-KIREKA-24h'!M29,'30.07 NAMUGONGO-KIREKA'!M29)</f>
        <v>113.57142857142857</v>
      </c>
      <c r="N29" s="49">
        <f>AVERAGE('01.08 NAMUGONGO-KIREKA'!N29,'02.08 NAMUGONGO-KIREKA'!N29,'04.08 NAMUGONGO-KIREKA'!N29,'29.07 NAMUGONGO-KIREKA'!N29,'03.08 NAMUGONGO-KIREKA-24h'!N29,'31.07 NAMUGONGO-KIREKA-24h'!N29,'30.07 NAMUGONGO-KIREKA'!N29)</f>
        <v>0</v>
      </c>
      <c r="O29" s="15">
        <f t="shared" si="0"/>
        <v>97.000000000000014</v>
      </c>
      <c r="P29" s="15">
        <f t="shared" si="1"/>
        <v>210.57142857142858</v>
      </c>
      <c r="R29" s="1" t="s">
        <v>153</v>
      </c>
      <c r="S29" s="34">
        <f>SUM(C86:C89)</f>
        <v>21.5</v>
      </c>
      <c r="T29" s="34">
        <f t="shared" ref="T29:AF29" si="21">SUM(D86:D89)</f>
        <v>1</v>
      </c>
      <c r="U29" s="34">
        <f t="shared" si="21"/>
        <v>2</v>
      </c>
      <c r="V29" s="34">
        <f t="shared" si="21"/>
        <v>5</v>
      </c>
      <c r="W29" s="34">
        <f t="shared" si="21"/>
        <v>0</v>
      </c>
      <c r="X29" s="34">
        <f t="shared" si="21"/>
        <v>0</v>
      </c>
      <c r="Y29" s="34">
        <f t="shared" si="21"/>
        <v>1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43</v>
      </c>
      <c r="AD29" s="34">
        <f t="shared" si="21"/>
        <v>0</v>
      </c>
      <c r="AE29" s="51">
        <f t="shared" si="21"/>
        <v>30.5</v>
      </c>
      <c r="AF29" s="51">
        <f t="shared" si="21"/>
        <v>73.5</v>
      </c>
    </row>
    <row r="30" spans="2:32" ht="23.1" customHeight="1" x14ac:dyDescent="0.25">
      <c r="B30" s="23" t="s">
        <v>57</v>
      </c>
      <c r="C30" s="49">
        <f>AVERAGE('01.08 NAMUGONGO-KIREKA'!C30,'02.08 NAMUGONGO-KIREKA'!C30,'04.08 NAMUGONGO-KIREKA'!C30,'29.07 NAMUGONGO-KIREKA'!C30,'03.08 NAMUGONGO-KIREKA-24h'!C30,'31.07 NAMUGONGO-KIREKA-24h'!C30,'30.07 NAMUGONGO-KIREKA'!C30)</f>
        <v>53.714285714285715</v>
      </c>
      <c r="D30" s="49">
        <f>AVERAGE('01.08 NAMUGONGO-KIREKA'!D30,'02.08 NAMUGONGO-KIREKA'!D30,'04.08 NAMUGONGO-KIREKA'!D30,'29.07 NAMUGONGO-KIREKA'!D30,'03.08 NAMUGONGO-KIREKA-24h'!D30,'31.07 NAMUGONGO-KIREKA-24h'!D30,'30.07 NAMUGONGO-KIREKA'!D30)</f>
        <v>6.2857142857142856</v>
      </c>
      <c r="E30" s="49">
        <f>AVERAGE('01.08 NAMUGONGO-KIREKA'!E30,'02.08 NAMUGONGO-KIREKA'!E30,'04.08 NAMUGONGO-KIREKA'!E30,'29.07 NAMUGONGO-KIREKA'!E30,'03.08 NAMUGONGO-KIREKA-24h'!E30,'31.07 NAMUGONGO-KIREKA-24h'!E30,'30.07 NAMUGONGO-KIREKA'!E30)</f>
        <v>7.7142857142857144</v>
      </c>
      <c r="F30" s="49">
        <f>AVERAGE('01.08 NAMUGONGO-KIREKA'!F30,'02.08 NAMUGONGO-KIREKA'!F30,'04.08 NAMUGONGO-KIREKA'!F30,'29.07 NAMUGONGO-KIREKA'!F30,'03.08 NAMUGONGO-KIREKA-24h'!F30,'31.07 NAMUGONGO-KIREKA-24h'!F30,'30.07 NAMUGONGO-KIREKA'!F30)</f>
        <v>21.571428571428573</v>
      </c>
      <c r="G30" s="49">
        <f>AVERAGE('01.08 NAMUGONGO-KIREKA'!G30,'02.08 NAMUGONGO-KIREKA'!G30,'04.08 NAMUGONGO-KIREKA'!G30,'29.07 NAMUGONGO-KIREKA'!G30,'03.08 NAMUGONGO-KIREKA-24h'!G30,'31.07 NAMUGONGO-KIREKA-24h'!G30,'30.07 NAMUGONGO-KIREKA'!G30)</f>
        <v>0</v>
      </c>
      <c r="H30" s="49">
        <f>AVERAGE('01.08 NAMUGONGO-KIREKA'!H30,'02.08 NAMUGONGO-KIREKA'!H30,'04.08 NAMUGONGO-KIREKA'!H30,'29.07 NAMUGONGO-KIREKA'!H30,'03.08 NAMUGONGO-KIREKA-24h'!H30,'31.07 NAMUGONGO-KIREKA-24h'!H30,'30.07 NAMUGONGO-KIREKA'!H30)</f>
        <v>1.7142857142857142</v>
      </c>
      <c r="I30" s="49">
        <f>AVERAGE('01.08 NAMUGONGO-KIREKA'!I30,'02.08 NAMUGONGO-KIREKA'!I30,'04.08 NAMUGONGO-KIREKA'!I30,'29.07 NAMUGONGO-KIREKA'!I30,'03.08 NAMUGONGO-KIREKA-24h'!I30,'31.07 NAMUGONGO-KIREKA-24h'!I30,'30.07 NAMUGONGO-KIREKA'!I30)</f>
        <v>4.8571428571428568</v>
      </c>
      <c r="J30" s="49">
        <f>AVERAGE('01.08 NAMUGONGO-KIREKA'!J30,'02.08 NAMUGONGO-KIREKA'!J30,'04.08 NAMUGONGO-KIREKA'!J30,'29.07 NAMUGONGO-KIREKA'!J30,'03.08 NAMUGONGO-KIREKA-24h'!J30,'31.07 NAMUGONGO-KIREKA-24h'!J30,'30.07 NAMUGONGO-KIREKA'!J30)</f>
        <v>1.7142857142857142</v>
      </c>
      <c r="K30" s="49">
        <f>AVERAGE('01.08 NAMUGONGO-KIREKA'!K30,'02.08 NAMUGONGO-KIREKA'!K30,'04.08 NAMUGONGO-KIREKA'!K30,'29.07 NAMUGONGO-KIREKA'!K30,'03.08 NAMUGONGO-KIREKA-24h'!K30,'31.07 NAMUGONGO-KIREKA-24h'!K30,'30.07 NAMUGONGO-KIREKA'!K30)</f>
        <v>0.5714285714285714</v>
      </c>
      <c r="L30" s="49">
        <f>AVERAGE('01.08 NAMUGONGO-KIREKA'!L30,'02.08 NAMUGONGO-KIREKA'!L30,'04.08 NAMUGONGO-KIREKA'!L30,'29.07 NAMUGONGO-KIREKA'!L30,'03.08 NAMUGONGO-KIREKA-24h'!L30,'31.07 NAMUGONGO-KIREKA-24h'!L30,'30.07 NAMUGONGO-KIREKA'!L30)</f>
        <v>0</v>
      </c>
      <c r="M30" s="49">
        <f>AVERAGE('01.08 NAMUGONGO-KIREKA'!M30,'02.08 NAMUGONGO-KIREKA'!M30,'04.08 NAMUGONGO-KIREKA'!M30,'29.07 NAMUGONGO-KIREKA'!M30,'03.08 NAMUGONGO-KIREKA-24h'!M30,'31.07 NAMUGONGO-KIREKA-24h'!M30,'30.07 NAMUGONGO-KIREKA'!M30)</f>
        <v>113.57142857142857</v>
      </c>
      <c r="N30" s="49">
        <f>AVERAGE('01.08 NAMUGONGO-KIREKA'!N30,'02.08 NAMUGONGO-KIREKA'!N30,'04.08 NAMUGONGO-KIREKA'!N30,'29.07 NAMUGONGO-KIREKA'!N30,'03.08 NAMUGONGO-KIREKA-24h'!N30,'31.07 NAMUGONGO-KIREKA-24h'!N30,'30.07 NAMUGONGO-KIREKA'!N30)</f>
        <v>0</v>
      </c>
      <c r="O30" s="15">
        <f t="shared" si="0"/>
        <v>98.142857142857125</v>
      </c>
      <c r="P30" s="15">
        <f t="shared" si="1"/>
        <v>211.71428571428569</v>
      </c>
      <c r="R30" s="1" t="s">
        <v>154</v>
      </c>
      <c r="S30" s="34">
        <f>SUM(C90:C93)</f>
        <v>14.5</v>
      </c>
      <c r="T30" s="34">
        <f t="shared" ref="T30:AF30" si="22">SUM(D90:D93)</f>
        <v>1</v>
      </c>
      <c r="U30" s="34">
        <f t="shared" si="22"/>
        <v>1</v>
      </c>
      <c r="V30" s="34">
        <f t="shared" si="22"/>
        <v>0.5</v>
      </c>
      <c r="W30" s="34">
        <f t="shared" si="22"/>
        <v>0</v>
      </c>
      <c r="X30" s="34">
        <f t="shared" si="22"/>
        <v>0</v>
      </c>
      <c r="Y30" s="34">
        <f t="shared" si="22"/>
        <v>1.5</v>
      </c>
      <c r="Z30" s="34">
        <f t="shared" si="22"/>
        <v>1.5</v>
      </c>
      <c r="AA30" s="34">
        <f t="shared" si="22"/>
        <v>0.5</v>
      </c>
      <c r="AB30" s="34">
        <f t="shared" si="22"/>
        <v>0</v>
      </c>
      <c r="AC30" s="34">
        <f t="shared" si="22"/>
        <v>33</v>
      </c>
      <c r="AD30" s="34">
        <f t="shared" si="22"/>
        <v>0</v>
      </c>
      <c r="AE30" s="51">
        <f t="shared" si="22"/>
        <v>20.5</v>
      </c>
      <c r="AF30" s="51">
        <f t="shared" si="22"/>
        <v>53.5</v>
      </c>
    </row>
    <row r="31" spans="2:32" ht="23.1" customHeight="1" x14ac:dyDescent="0.25">
      <c r="B31" s="24" t="s">
        <v>58</v>
      </c>
      <c r="C31" s="49">
        <f>AVERAGE('01.08 NAMUGONGO-KIREKA'!C31,'02.08 NAMUGONGO-KIREKA'!C31,'04.08 NAMUGONGO-KIREKA'!C31,'29.07 NAMUGONGO-KIREKA'!C31,'03.08 NAMUGONGO-KIREKA-24h'!C31,'31.07 NAMUGONGO-KIREKA-24h'!C31,'30.07 NAMUGONGO-KIREKA'!C31)</f>
        <v>58.857142857142854</v>
      </c>
      <c r="D31" s="49">
        <f>AVERAGE('01.08 NAMUGONGO-KIREKA'!D31,'02.08 NAMUGONGO-KIREKA'!D31,'04.08 NAMUGONGO-KIREKA'!D31,'29.07 NAMUGONGO-KIREKA'!D31,'03.08 NAMUGONGO-KIREKA-24h'!D31,'31.07 NAMUGONGO-KIREKA-24h'!D31,'30.07 NAMUGONGO-KIREKA'!D31)</f>
        <v>6</v>
      </c>
      <c r="E31" s="49">
        <f>AVERAGE('01.08 NAMUGONGO-KIREKA'!E31,'02.08 NAMUGONGO-KIREKA'!E31,'04.08 NAMUGONGO-KIREKA'!E31,'29.07 NAMUGONGO-KIREKA'!E31,'03.08 NAMUGONGO-KIREKA-24h'!E31,'31.07 NAMUGONGO-KIREKA-24h'!E31,'30.07 NAMUGONGO-KIREKA'!E31)</f>
        <v>8.5714285714285712</v>
      </c>
      <c r="F31" s="49">
        <f>AVERAGE('01.08 NAMUGONGO-KIREKA'!F31,'02.08 NAMUGONGO-KIREKA'!F31,'04.08 NAMUGONGO-KIREKA'!F31,'29.07 NAMUGONGO-KIREKA'!F31,'03.08 NAMUGONGO-KIREKA-24h'!F31,'31.07 NAMUGONGO-KIREKA-24h'!F31,'30.07 NAMUGONGO-KIREKA'!F31)</f>
        <v>16.857142857142858</v>
      </c>
      <c r="G31" s="49">
        <f>AVERAGE('01.08 NAMUGONGO-KIREKA'!G31,'02.08 NAMUGONGO-KIREKA'!G31,'04.08 NAMUGONGO-KIREKA'!G31,'29.07 NAMUGONGO-KIREKA'!G31,'03.08 NAMUGONGO-KIREKA-24h'!G31,'31.07 NAMUGONGO-KIREKA-24h'!G31,'30.07 NAMUGONGO-KIREKA'!G31)</f>
        <v>0.5714285714285714</v>
      </c>
      <c r="H31" s="49">
        <f>AVERAGE('01.08 NAMUGONGO-KIREKA'!H31,'02.08 NAMUGONGO-KIREKA'!H31,'04.08 NAMUGONGO-KIREKA'!H31,'29.07 NAMUGONGO-KIREKA'!H31,'03.08 NAMUGONGO-KIREKA-24h'!H31,'31.07 NAMUGONGO-KIREKA-24h'!H31,'30.07 NAMUGONGO-KIREKA'!H31)</f>
        <v>0.42857142857142855</v>
      </c>
      <c r="I31" s="49">
        <f>AVERAGE('01.08 NAMUGONGO-KIREKA'!I31,'02.08 NAMUGONGO-KIREKA'!I31,'04.08 NAMUGONGO-KIREKA'!I31,'29.07 NAMUGONGO-KIREKA'!I31,'03.08 NAMUGONGO-KIREKA-24h'!I31,'31.07 NAMUGONGO-KIREKA-24h'!I31,'30.07 NAMUGONGO-KIREKA'!I31)</f>
        <v>6.8571428571428568</v>
      </c>
      <c r="J31" s="49">
        <f>AVERAGE('01.08 NAMUGONGO-KIREKA'!J31,'02.08 NAMUGONGO-KIREKA'!J31,'04.08 NAMUGONGO-KIREKA'!J31,'29.07 NAMUGONGO-KIREKA'!J31,'03.08 NAMUGONGO-KIREKA-24h'!J31,'31.07 NAMUGONGO-KIREKA-24h'!J31,'30.07 NAMUGONGO-KIREKA'!J31)</f>
        <v>1.4285714285714286</v>
      </c>
      <c r="K31" s="49">
        <f>AVERAGE('01.08 NAMUGONGO-KIREKA'!K31,'02.08 NAMUGONGO-KIREKA'!K31,'04.08 NAMUGONGO-KIREKA'!K31,'29.07 NAMUGONGO-KIREKA'!K31,'03.08 NAMUGONGO-KIREKA-24h'!K31,'31.07 NAMUGONGO-KIREKA-24h'!K31,'30.07 NAMUGONGO-KIREKA'!K31)</f>
        <v>0.8571428571428571</v>
      </c>
      <c r="L31" s="49">
        <f>AVERAGE('01.08 NAMUGONGO-KIREKA'!L31,'02.08 NAMUGONGO-KIREKA'!L31,'04.08 NAMUGONGO-KIREKA'!L31,'29.07 NAMUGONGO-KIREKA'!L31,'03.08 NAMUGONGO-KIREKA-24h'!L31,'31.07 NAMUGONGO-KIREKA-24h'!L31,'30.07 NAMUGONGO-KIREKA'!L31)</f>
        <v>0.14285714285714285</v>
      </c>
      <c r="M31" s="49">
        <f>AVERAGE('01.08 NAMUGONGO-KIREKA'!M31,'02.08 NAMUGONGO-KIREKA'!M31,'04.08 NAMUGONGO-KIREKA'!M31,'29.07 NAMUGONGO-KIREKA'!M31,'03.08 NAMUGONGO-KIREKA-24h'!M31,'31.07 NAMUGONGO-KIREKA-24h'!M31,'30.07 NAMUGONGO-KIREKA'!M31)</f>
        <v>111.28571428571429</v>
      </c>
      <c r="N31" s="49">
        <f>AVERAGE('01.08 NAMUGONGO-KIREKA'!N31,'02.08 NAMUGONGO-KIREKA'!N31,'04.08 NAMUGONGO-KIREKA'!N31,'29.07 NAMUGONGO-KIREKA'!N31,'03.08 NAMUGONGO-KIREKA-24h'!N31,'31.07 NAMUGONGO-KIREKA-24h'!N31,'30.07 NAMUGONGO-KIREKA'!N31)</f>
        <v>0</v>
      </c>
      <c r="O31" s="15">
        <f t="shared" si="0"/>
        <v>100.57142857142858</v>
      </c>
      <c r="P31" s="15">
        <f t="shared" si="1"/>
        <v>211.85714285714289</v>
      </c>
      <c r="R31" s="1" t="s">
        <v>155</v>
      </c>
      <c r="S31" s="34">
        <f>SUM(C94:C97)</f>
        <v>15.5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0.5</v>
      </c>
      <c r="W31" s="34">
        <f t="shared" si="23"/>
        <v>0</v>
      </c>
      <c r="X31" s="34">
        <f t="shared" si="23"/>
        <v>0</v>
      </c>
      <c r="Y31" s="34">
        <f t="shared" si="23"/>
        <v>0.5</v>
      </c>
      <c r="Z31" s="34">
        <f t="shared" si="23"/>
        <v>2</v>
      </c>
      <c r="AA31" s="34">
        <f t="shared" si="23"/>
        <v>0</v>
      </c>
      <c r="AB31" s="34">
        <f t="shared" si="23"/>
        <v>0.5</v>
      </c>
      <c r="AC31" s="34">
        <f t="shared" si="23"/>
        <v>30.5</v>
      </c>
      <c r="AD31" s="34">
        <f t="shared" si="23"/>
        <v>0</v>
      </c>
      <c r="AE31" s="51">
        <f t="shared" si="23"/>
        <v>19</v>
      </c>
      <c r="AF31" s="51">
        <f t="shared" si="23"/>
        <v>49.5</v>
      </c>
    </row>
    <row r="32" spans="2:32" ht="23.1" customHeight="1" x14ac:dyDescent="0.25">
      <c r="B32" s="24" t="s">
        <v>59</v>
      </c>
      <c r="C32" s="49">
        <f>AVERAGE('01.08 NAMUGONGO-KIREKA'!C32,'02.08 NAMUGONGO-KIREKA'!C32,'04.08 NAMUGONGO-KIREKA'!C32,'29.07 NAMUGONGO-KIREKA'!C32,'03.08 NAMUGONGO-KIREKA-24h'!C32,'31.07 NAMUGONGO-KIREKA-24h'!C32,'30.07 NAMUGONGO-KIREKA'!C32)</f>
        <v>57.714285714285715</v>
      </c>
      <c r="D32" s="49">
        <f>AVERAGE('01.08 NAMUGONGO-KIREKA'!D32,'02.08 NAMUGONGO-KIREKA'!D32,'04.08 NAMUGONGO-KIREKA'!D32,'29.07 NAMUGONGO-KIREKA'!D32,'03.08 NAMUGONGO-KIREKA-24h'!D32,'31.07 NAMUGONGO-KIREKA-24h'!D32,'30.07 NAMUGONGO-KIREKA'!D32)</f>
        <v>5.2857142857142856</v>
      </c>
      <c r="E32" s="49">
        <f>AVERAGE('01.08 NAMUGONGO-KIREKA'!E32,'02.08 NAMUGONGO-KIREKA'!E32,'04.08 NAMUGONGO-KIREKA'!E32,'29.07 NAMUGONGO-KIREKA'!E32,'03.08 NAMUGONGO-KIREKA-24h'!E32,'31.07 NAMUGONGO-KIREKA-24h'!E32,'30.07 NAMUGONGO-KIREKA'!E32)</f>
        <v>8.2857142857142865</v>
      </c>
      <c r="F32" s="49">
        <f>AVERAGE('01.08 NAMUGONGO-KIREKA'!F32,'02.08 NAMUGONGO-KIREKA'!F32,'04.08 NAMUGONGO-KIREKA'!F32,'29.07 NAMUGONGO-KIREKA'!F32,'03.08 NAMUGONGO-KIREKA-24h'!F32,'31.07 NAMUGONGO-KIREKA-24h'!F32,'30.07 NAMUGONGO-KIREKA'!F32)</f>
        <v>21.285714285714285</v>
      </c>
      <c r="G32" s="49">
        <f>AVERAGE('01.08 NAMUGONGO-KIREKA'!G32,'02.08 NAMUGONGO-KIREKA'!G32,'04.08 NAMUGONGO-KIREKA'!G32,'29.07 NAMUGONGO-KIREKA'!G32,'03.08 NAMUGONGO-KIREKA-24h'!G32,'31.07 NAMUGONGO-KIREKA-24h'!G32,'30.07 NAMUGONGO-KIREKA'!G32)</f>
        <v>0.5714285714285714</v>
      </c>
      <c r="H32" s="49">
        <f>AVERAGE('01.08 NAMUGONGO-KIREKA'!H32,'02.08 NAMUGONGO-KIREKA'!H32,'04.08 NAMUGONGO-KIREKA'!H32,'29.07 NAMUGONGO-KIREKA'!H32,'03.08 NAMUGONGO-KIREKA-24h'!H32,'31.07 NAMUGONGO-KIREKA-24h'!H32,'30.07 NAMUGONGO-KIREKA'!H32)</f>
        <v>0.7142857142857143</v>
      </c>
      <c r="I32" s="49">
        <f>AVERAGE('01.08 NAMUGONGO-KIREKA'!I32,'02.08 NAMUGONGO-KIREKA'!I32,'04.08 NAMUGONGO-KIREKA'!I32,'29.07 NAMUGONGO-KIREKA'!I32,'03.08 NAMUGONGO-KIREKA-24h'!I32,'31.07 NAMUGONGO-KIREKA-24h'!I32,'30.07 NAMUGONGO-KIREKA'!I32)</f>
        <v>6.2857142857142856</v>
      </c>
      <c r="J32" s="49">
        <f>AVERAGE('01.08 NAMUGONGO-KIREKA'!J32,'02.08 NAMUGONGO-KIREKA'!J32,'04.08 NAMUGONGO-KIREKA'!J32,'29.07 NAMUGONGO-KIREKA'!J32,'03.08 NAMUGONGO-KIREKA-24h'!J32,'31.07 NAMUGONGO-KIREKA-24h'!J32,'30.07 NAMUGONGO-KIREKA'!J32)</f>
        <v>1.5714285714285714</v>
      </c>
      <c r="K32" s="49">
        <f>AVERAGE('01.08 NAMUGONGO-KIREKA'!K32,'02.08 NAMUGONGO-KIREKA'!K32,'04.08 NAMUGONGO-KIREKA'!K32,'29.07 NAMUGONGO-KIREKA'!K32,'03.08 NAMUGONGO-KIREKA-24h'!K32,'31.07 NAMUGONGO-KIREKA-24h'!K32,'30.07 NAMUGONGO-KIREKA'!K32)</f>
        <v>1</v>
      </c>
      <c r="L32" s="49">
        <f>AVERAGE('01.08 NAMUGONGO-KIREKA'!L32,'02.08 NAMUGONGO-KIREKA'!L32,'04.08 NAMUGONGO-KIREKA'!L32,'29.07 NAMUGONGO-KIREKA'!L32,'03.08 NAMUGONGO-KIREKA-24h'!L32,'31.07 NAMUGONGO-KIREKA-24h'!L32,'30.07 NAMUGONGO-KIREKA'!L32)</f>
        <v>0.14285714285714285</v>
      </c>
      <c r="M32" s="49">
        <f>AVERAGE('01.08 NAMUGONGO-KIREKA'!M32,'02.08 NAMUGONGO-KIREKA'!M32,'04.08 NAMUGONGO-KIREKA'!M32,'29.07 NAMUGONGO-KIREKA'!M32,'03.08 NAMUGONGO-KIREKA-24h'!M32,'31.07 NAMUGONGO-KIREKA-24h'!M32,'30.07 NAMUGONGO-KIREKA'!M32)</f>
        <v>103.42857142857143</v>
      </c>
      <c r="N32" s="49">
        <f>AVERAGE('01.08 NAMUGONGO-KIREKA'!N32,'02.08 NAMUGONGO-KIREKA'!N32,'04.08 NAMUGONGO-KIREKA'!N32,'29.07 NAMUGONGO-KIREKA'!N32,'03.08 NAMUGONGO-KIREKA-24h'!N32,'31.07 NAMUGONGO-KIREKA-24h'!N32,'30.07 NAMUGONGO-KIREKA'!N32)</f>
        <v>0</v>
      </c>
      <c r="O32" s="15">
        <f t="shared" si="0"/>
        <v>102.85714285714286</v>
      </c>
      <c r="P32" s="15">
        <f t="shared" si="1"/>
        <v>206.28571428571428</v>
      </c>
      <c r="R32" s="1" t="s">
        <v>156</v>
      </c>
      <c r="S32" s="34">
        <f>SUM(C98:C101)</f>
        <v>15</v>
      </c>
      <c r="T32" s="34">
        <f t="shared" ref="T32:AF32" si="24">SUM(D98:D101)</f>
        <v>1</v>
      </c>
      <c r="U32" s="34">
        <f t="shared" si="24"/>
        <v>2.5</v>
      </c>
      <c r="V32" s="34">
        <f t="shared" si="24"/>
        <v>5</v>
      </c>
      <c r="W32" s="34">
        <f t="shared" si="24"/>
        <v>0</v>
      </c>
      <c r="X32" s="34">
        <f t="shared" si="24"/>
        <v>0</v>
      </c>
      <c r="Y32" s="34">
        <f t="shared" si="24"/>
        <v>0.5</v>
      </c>
      <c r="Z32" s="34">
        <f t="shared" si="24"/>
        <v>0.5</v>
      </c>
      <c r="AA32" s="34">
        <f t="shared" si="24"/>
        <v>0</v>
      </c>
      <c r="AB32" s="34">
        <f t="shared" si="24"/>
        <v>0</v>
      </c>
      <c r="AC32" s="34">
        <f t="shared" si="24"/>
        <v>39.5</v>
      </c>
      <c r="AD32" s="34">
        <f t="shared" si="24"/>
        <v>0</v>
      </c>
      <c r="AE32" s="51">
        <f t="shared" si="24"/>
        <v>24.5</v>
      </c>
      <c r="AF32" s="51">
        <f t="shared" si="24"/>
        <v>64</v>
      </c>
    </row>
    <row r="33" spans="2:32" ht="23.1" customHeight="1" x14ac:dyDescent="0.25">
      <c r="B33" s="23" t="s">
        <v>60</v>
      </c>
      <c r="C33" s="49">
        <f>AVERAGE('01.08 NAMUGONGO-KIREKA'!C33,'02.08 NAMUGONGO-KIREKA'!C33,'04.08 NAMUGONGO-KIREKA'!C33,'29.07 NAMUGONGO-KIREKA'!C33,'03.08 NAMUGONGO-KIREKA-24h'!C33,'31.07 NAMUGONGO-KIREKA-24h'!C33,'30.07 NAMUGONGO-KIREKA'!C33)</f>
        <v>52.571428571428569</v>
      </c>
      <c r="D33" s="49">
        <f>AVERAGE('01.08 NAMUGONGO-KIREKA'!D33,'02.08 NAMUGONGO-KIREKA'!D33,'04.08 NAMUGONGO-KIREKA'!D33,'29.07 NAMUGONGO-KIREKA'!D33,'03.08 NAMUGONGO-KIREKA-24h'!D33,'31.07 NAMUGONGO-KIREKA-24h'!D33,'30.07 NAMUGONGO-KIREKA'!D33)</f>
        <v>4.8571428571428568</v>
      </c>
      <c r="E33" s="49">
        <f>AVERAGE('01.08 NAMUGONGO-KIREKA'!E33,'02.08 NAMUGONGO-KIREKA'!E33,'04.08 NAMUGONGO-KIREKA'!E33,'29.07 NAMUGONGO-KIREKA'!E33,'03.08 NAMUGONGO-KIREKA-24h'!E33,'31.07 NAMUGONGO-KIREKA-24h'!E33,'30.07 NAMUGONGO-KIREKA'!E33)</f>
        <v>9.1428571428571423</v>
      </c>
      <c r="F33" s="49">
        <f>AVERAGE('01.08 NAMUGONGO-KIREKA'!F33,'02.08 NAMUGONGO-KIREKA'!F33,'04.08 NAMUGONGO-KIREKA'!F33,'29.07 NAMUGONGO-KIREKA'!F33,'03.08 NAMUGONGO-KIREKA-24h'!F33,'31.07 NAMUGONGO-KIREKA-24h'!F33,'30.07 NAMUGONGO-KIREKA'!F33)</f>
        <v>18</v>
      </c>
      <c r="G33" s="49">
        <f>AVERAGE('01.08 NAMUGONGO-KIREKA'!G33,'02.08 NAMUGONGO-KIREKA'!G33,'04.08 NAMUGONGO-KIREKA'!G33,'29.07 NAMUGONGO-KIREKA'!G33,'03.08 NAMUGONGO-KIREKA-24h'!G33,'31.07 NAMUGONGO-KIREKA-24h'!G33,'30.07 NAMUGONGO-KIREKA'!G33)</f>
        <v>0.5</v>
      </c>
      <c r="H33" s="49">
        <f>AVERAGE('01.08 NAMUGONGO-KIREKA'!H33,'02.08 NAMUGONGO-KIREKA'!H33,'04.08 NAMUGONGO-KIREKA'!H33,'29.07 NAMUGONGO-KIREKA'!H33,'03.08 NAMUGONGO-KIREKA-24h'!H33,'31.07 NAMUGONGO-KIREKA-24h'!H33,'30.07 NAMUGONGO-KIREKA'!H33)</f>
        <v>0.7142857142857143</v>
      </c>
      <c r="I33" s="49">
        <f>AVERAGE('01.08 NAMUGONGO-KIREKA'!I33,'02.08 NAMUGONGO-KIREKA'!I33,'04.08 NAMUGONGO-KIREKA'!I33,'29.07 NAMUGONGO-KIREKA'!I33,'03.08 NAMUGONGO-KIREKA-24h'!I33,'31.07 NAMUGONGO-KIREKA-24h'!I33,'30.07 NAMUGONGO-KIREKA'!I33)</f>
        <v>4.7142857142857144</v>
      </c>
      <c r="J33" s="49">
        <f>AVERAGE('01.08 NAMUGONGO-KIREKA'!J33,'02.08 NAMUGONGO-KIREKA'!J33,'04.08 NAMUGONGO-KIREKA'!J33,'29.07 NAMUGONGO-KIREKA'!J33,'03.08 NAMUGONGO-KIREKA-24h'!J33,'31.07 NAMUGONGO-KIREKA-24h'!J33,'30.07 NAMUGONGO-KIREKA'!J33)</f>
        <v>1.7142857142857142</v>
      </c>
      <c r="K33" s="49">
        <f>AVERAGE('01.08 NAMUGONGO-KIREKA'!K33,'02.08 NAMUGONGO-KIREKA'!K33,'04.08 NAMUGONGO-KIREKA'!K33,'29.07 NAMUGONGO-KIREKA'!K33,'03.08 NAMUGONGO-KIREKA-24h'!K33,'31.07 NAMUGONGO-KIREKA-24h'!K33,'30.07 NAMUGONGO-KIREKA'!K33)</f>
        <v>1.1428571428571428</v>
      </c>
      <c r="L33" s="49">
        <f>AVERAGE('01.08 NAMUGONGO-KIREKA'!L33,'02.08 NAMUGONGO-KIREKA'!L33,'04.08 NAMUGONGO-KIREKA'!L33,'29.07 NAMUGONGO-KIREKA'!L33,'03.08 NAMUGONGO-KIREKA-24h'!L33,'31.07 NAMUGONGO-KIREKA-24h'!L33,'30.07 NAMUGONGO-KIREKA'!L33)</f>
        <v>0</v>
      </c>
      <c r="M33" s="49">
        <f>AVERAGE('01.08 NAMUGONGO-KIREKA'!M33,'02.08 NAMUGONGO-KIREKA'!M33,'04.08 NAMUGONGO-KIREKA'!M33,'29.07 NAMUGONGO-KIREKA'!M33,'03.08 NAMUGONGO-KIREKA-24h'!M33,'31.07 NAMUGONGO-KIREKA-24h'!M33,'30.07 NAMUGONGO-KIREKA'!M33)</f>
        <v>113.71428571428571</v>
      </c>
      <c r="N33" s="49">
        <f>AVERAGE('01.08 NAMUGONGO-KIREKA'!N33,'02.08 NAMUGONGO-KIREKA'!N33,'04.08 NAMUGONGO-KIREKA'!N33,'29.07 NAMUGONGO-KIREKA'!N33,'03.08 NAMUGONGO-KIREKA-24h'!N33,'31.07 NAMUGONGO-KIREKA-24h'!N33,'30.07 NAMUGONGO-KIREKA'!N33)</f>
        <v>0</v>
      </c>
      <c r="O33" s="15">
        <f t="shared" si="0"/>
        <v>93.357142857142833</v>
      </c>
      <c r="P33" s="15">
        <f t="shared" si="1"/>
        <v>207.07142857142856</v>
      </c>
      <c r="R33" s="1" t="s">
        <v>157</v>
      </c>
      <c r="S33" s="34">
        <f>SUM(C102:C105)</f>
        <v>18.5</v>
      </c>
      <c r="T33" s="34">
        <f t="shared" ref="T33:AF33" si="25">SUM(D102:D105)</f>
        <v>2</v>
      </c>
      <c r="U33" s="34">
        <f t="shared" si="25"/>
        <v>6</v>
      </c>
      <c r="V33" s="34">
        <f t="shared" si="25"/>
        <v>24</v>
      </c>
      <c r="W33" s="34">
        <f t="shared" si="25"/>
        <v>0</v>
      </c>
      <c r="X33" s="34">
        <f t="shared" si="25"/>
        <v>0</v>
      </c>
      <c r="Y33" s="34">
        <f t="shared" si="25"/>
        <v>1.5</v>
      </c>
      <c r="Z33" s="34">
        <f t="shared" si="25"/>
        <v>2.5</v>
      </c>
      <c r="AA33" s="34">
        <f t="shared" si="25"/>
        <v>1.5</v>
      </c>
      <c r="AB33" s="34">
        <f t="shared" si="25"/>
        <v>0</v>
      </c>
      <c r="AC33" s="34">
        <f t="shared" si="25"/>
        <v>63.5</v>
      </c>
      <c r="AD33" s="34">
        <f t="shared" si="25"/>
        <v>0</v>
      </c>
      <c r="AE33" s="51">
        <f t="shared" si="25"/>
        <v>56</v>
      </c>
      <c r="AF33" s="51">
        <f t="shared" si="25"/>
        <v>119.5</v>
      </c>
    </row>
    <row r="34" spans="2:32" ht="23.1" customHeight="1" x14ac:dyDescent="0.25">
      <c r="B34" s="24" t="s">
        <v>61</v>
      </c>
      <c r="C34" s="49">
        <f>AVERAGE('01.08 NAMUGONGO-KIREKA'!C34,'02.08 NAMUGONGO-KIREKA'!C34,'04.08 NAMUGONGO-KIREKA'!C34,'29.07 NAMUGONGO-KIREKA'!C34,'03.08 NAMUGONGO-KIREKA-24h'!C34,'31.07 NAMUGONGO-KIREKA-24h'!C34,'30.07 NAMUGONGO-KIREKA'!C34)</f>
        <v>49.142857142857146</v>
      </c>
      <c r="D34" s="49">
        <f>AVERAGE('01.08 NAMUGONGO-KIREKA'!D34,'02.08 NAMUGONGO-KIREKA'!D34,'04.08 NAMUGONGO-KIREKA'!D34,'29.07 NAMUGONGO-KIREKA'!D34,'03.08 NAMUGONGO-KIREKA-24h'!D34,'31.07 NAMUGONGO-KIREKA-24h'!D34,'30.07 NAMUGONGO-KIREKA'!D34)</f>
        <v>7.1428571428571432</v>
      </c>
      <c r="E34" s="49">
        <f>AVERAGE('01.08 NAMUGONGO-KIREKA'!E34,'02.08 NAMUGONGO-KIREKA'!E34,'04.08 NAMUGONGO-KIREKA'!E34,'29.07 NAMUGONGO-KIREKA'!E34,'03.08 NAMUGONGO-KIREKA-24h'!E34,'31.07 NAMUGONGO-KIREKA-24h'!E34,'30.07 NAMUGONGO-KIREKA'!E34)</f>
        <v>8</v>
      </c>
      <c r="F34" s="49">
        <f>AVERAGE('01.08 NAMUGONGO-KIREKA'!F34,'02.08 NAMUGONGO-KIREKA'!F34,'04.08 NAMUGONGO-KIREKA'!F34,'29.07 NAMUGONGO-KIREKA'!F34,'03.08 NAMUGONGO-KIREKA-24h'!F34,'31.07 NAMUGONGO-KIREKA-24h'!F34,'30.07 NAMUGONGO-KIREKA'!F34)</f>
        <v>20.285714285714285</v>
      </c>
      <c r="G34" s="49">
        <f>AVERAGE('01.08 NAMUGONGO-KIREKA'!G34,'02.08 NAMUGONGO-KIREKA'!G34,'04.08 NAMUGONGO-KIREKA'!G34,'29.07 NAMUGONGO-KIREKA'!G34,'03.08 NAMUGONGO-KIREKA-24h'!G34,'31.07 NAMUGONGO-KIREKA-24h'!G34,'30.07 NAMUGONGO-KIREKA'!G34)</f>
        <v>0.42857142857142855</v>
      </c>
      <c r="H34" s="49">
        <f>AVERAGE('01.08 NAMUGONGO-KIREKA'!H34,'02.08 NAMUGONGO-KIREKA'!H34,'04.08 NAMUGONGO-KIREKA'!H34,'29.07 NAMUGONGO-KIREKA'!H34,'03.08 NAMUGONGO-KIREKA-24h'!H34,'31.07 NAMUGONGO-KIREKA-24h'!H34,'30.07 NAMUGONGO-KIREKA'!H34)</f>
        <v>1.1428571428571428</v>
      </c>
      <c r="I34" s="49">
        <f>AVERAGE('01.08 NAMUGONGO-KIREKA'!I34,'02.08 NAMUGONGO-KIREKA'!I34,'04.08 NAMUGONGO-KIREKA'!I34,'29.07 NAMUGONGO-KIREKA'!I34,'03.08 NAMUGONGO-KIREKA-24h'!I34,'31.07 NAMUGONGO-KIREKA-24h'!I34,'30.07 NAMUGONGO-KIREKA'!I34)</f>
        <v>6.4285714285714288</v>
      </c>
      <c r="J34" s="49">
        <f>AVERAGE('01.08 NAMUGONGO-KIREKA'!J34,'02.08 NAMUGONGO-KIREKA'!J34,'04.08 NAMUGONGO-KIREKA'!J34,'29.07 NAMUGONGO-KIREKA'!J34,'03.08 NAMUGONGO-KIREKA-24h'!J34,'31.07 NAMUGONGO-KIREKA-24h'!J34,'30.07 NAMUGONGO-KIREKA'!J34)</f>
        <v>1.8571428571428572</v>
      </c>
      <c r="K34" s="49">
        <f>AVERAGE('01.08 NAMUGONGO-KIREKA'!K34,'02.08 NAMUGONGO-KIREKA'!K34,'04.08 NAMUGONGO-KIREKA'!K34,'29.07 NAMUGONGO-KIREKA'!K34,'03.08 NAMUGONGO-KIREKA-24h'!K34,'31.07 NAMUGONGO-KIREKA-24h'!K34,'30.07 NAMUGONGO-KIREKA'!K34)</f>
        <v>0.42857142857142855</v>
      </c>
      <c r="L34" s="49">
        <f>AVERAGE('01.08 NAMUGONGO-KIREKA'!L34,'02.08 NAMUGONGO-KIREKA'!L34,'04.08 NAMUGONGO-KIREKA'!L34,'29.07 NAMUGONGO-KIREKA'!L34,'03.08 NAMUGONGO-KIREKA-24h'!L34,'31.07 NAMUGONGO-KIREKA-24h'!L34,'30.07 NAMUGONGO-KIREKA'!L34)</f>
        <v>0</v>
      </c>
      <c r="M34" s="49">
        <f>AVERAGE('01.08 NAMUGONGO-KIREKA'!M34,'02.08 NAMUGONGO-KIREKA'!M34,'04.08 NAMUGONGO-KIREKA'!M34,'29.07 NAMUGONGO-KIREKA'!M34,'03.08 NAMUGONGO-KIREKA-24h'!M34,'31.07 NAMUGONGO-KIREKA-24h'!M34,'30.07 NAMUGONGO-KIREKA'!M34)</f>
        <v>107.57142857142857</v>
      </c>
      <c r="N34" s="49">
        <f>AVERAGE('01.08 NAMUGONGO-KIREKA'!N34,'02.08 NAMUGONGO-KIREKA'!N34,'04.08 NAMUGONGO-KIREKA'!N34,'29.07 NAMUGONGO-KIREKA'!N34,'03.08 NAMUGONGO-KIREKA-24h'!N34,'31.07 NAMUGONGO-KIREKA-24h'!N34,'30.07 NAMUGONGO-KIREKA'!N34)</f>
        <v>0.14285714285714285</v>
      </c>
      <c r="O34" s="15">
        <f t="shared" si="0"/>
        <v>95.000000000000014</v>
      </c>
      <c r="P34" s="15">
        <f t="shared" si="1"/>
        <v>202.57142857142858</v>
      </c>
      <c r="R34" s="38" t="s">
        <v>90</v>
      </c>
      <c r="S34" s="39">
        <f t="shared" ref="S34:AF34" si="26">MAX(S10:S12)</f>
        <v>314.57142857142856</v>
      </c>
      <c r="T34" s="39">
        <f t="shared" si="26"/>
        <v>33.428571428571431</v>
      </c>
      <c r="U34" s="39">
        <f t="shared" si="26"/>
        <v>34.714285714285715</v>
      </c>
      <c r="V34" s="39">
        <f t="shared" si="26"/>
        <v>98</v>
      </c>
      <c r="W34" s="39">
        <f t="shared" si="26"/>
        <v>2.6904761904761907</v>
      </c>
      <c r="X34" s="39">
        <f t="shared" si="26"/>
        <v>1.1428571428571428</v>
      </c>
      <c r="Y34" s="39">
        <f t="shared" si="26"/>
        <v>15</v>
      </c>
      <c r="Z34" s="39">
        <f t="shared" si="26"/>
        <v>7.7142857142857144</v>
      </c>
      <c r="AA34" s="39">
        <f t="shared" si="26"/>
        <v>5.2857142857142856</v>
      </c>
      <c r="AB34" s="39">
        <f t="shared" si="26"/>
        <v>1.7142857142857142</v>
      </c>
      <c r="AC34" s="39">
        <f t="shared" si="26"/>
        <v>572.57142857142856</v>
      </c>
      <c r="AD34" s="39">
        <f t="shared" si="26"/>
        <v>0</v>
      </c>
      <c r="AE34" s="40">
        <f t="shared" si="26"/>
        <v>500.85714285714278</v>
      </c>
      <c r="AF34" s="40">
        <f t="shared" si="26"/>
        <v>1073.4285714285711</v>
      </c>
    </row>
    <row r="35" spans="2:32" ht="23.1" customHeight="1" x14ac:dyDescent="0.25">
      <c r="B35" s="24" t="s">
        <v>62</v>
      </c>
      <c r="C35" s="49">
        <f>AVERAGE('01.08 NAMUGONGO-KIREKA'!C35,'02.08 NAMUGONGO-KIREKA'!C35,'04.08 NAMUGONGO-KIREKA'!C35,'29.07 NAMUGONGO-KIREKA'!C35,'03.08 NAMUGONGO-KIREKA-24h'!C35,'31.07 NAMUGONGO-KIREKA-24h'!C35,'30.07 NAMUGONGO-KIREKA'!C35)</f>
        <v>48</v>
      </c>
      <c r="D35" s="49">
        <f>AVERAGE('01.08 NAMUGONGO-KIREKA'!D35,'02.08 NAMUGONGO-KIREKA'!D35,'04.08 NAMUGONGO-KIREKA'!D35,'29.07 NAMUGONGO-KIREKA'!D35,'03.08 NAMUGONGO-KIREKA-24h'!D35,'31.07 NAMUGONGO-KIREKA-24h'!D35,'30.07 NAMUGONGO-KIREKA'!D35)</f>
        <v>6.1428571428571432</v>
      </c>
      <c r="E35" s="49">
        <f>AVERAGE('01.08 NAMUGONGO-KIREKA'!E35,'02.08 NAMUGONGO-KIREKA'!E35,'04.08 NAMUGONGO-KIREKA'!E35,'29.07 NAMUGONGO-KIREKA'!E35,'03.08 NAMUGONGO-KIREKA-24h'!E35,'31.07 NAMUGONGO-KIREKA-24h'!E35,'30.07 NAMUGONGO-KIREKA'!E35)</f>
        <v>5.5714285714285712</v>
      </c>
      <c r="F35" s="49">
        <f>AVERAGE('01.08 NAMUGONGO-KIREKA'!F35,'02.08 NAMUGONGO-KIREKA'!F35,'04.08 NAMUGONGO-KIREKA'!F35,'29.07 NAMUGONGO-KIREKA'!F35,'03.08 NAMUGONGO-KIREKA-24h'!F35,'31.07 NAMUGONGO-KIREKA-24h'!F35,'30.07 NAMUGONGO-KIREKA'!F35)</f>
        <v>22</v>
      </c>
      <c r="G35" s="49">
        <f>AVERAGE('01.08 NAMUGONGO-KIREKA'!G35,'02.08 NAMUGONGO-KIREKA'!G35,'04.08 NAMUGONGO-KIREKA'!G35,'29.07 NAMUGONGO-KIREKA'!G35,'03.08 NAMUGONGO-KIREKA-24h'!G35,'31.07 NAMUGONGO-KIREKA-24h'!G35,'30.07 NAMUGONGO-KIREKA'!G35)</f>
        <v>0.2857142857142857</v>
      </c>
      <c r="H35" s="49">
        <f>AVERAGE('01.08 NAMUGONGO-KIREKA'!H35,'02.08 NAMUGONGO-KIREKA'!H35,'04.08 NAMUGONGO-KIREKA'!H35,'29.07 NAMUGONGO-KIREKA'!H35,'03.08 NAMUGONGO-KIREKA-24h'!H35,'31.07 NAMUGONGO-KIREKA-24h'!H35,'30.07 NAMUGONGO-KIREKA'!H35)</f>
        <v>0</v>
      </c>
      <c r="I35" s="49">
        <f>AVERAGE('01.08 NAMUGONGO-KIREKA'!I35,'02.08 NAMUGONGO-KIREKA'!I35,'04.08 NAMUGONGO-KIREKA'!I35,'29.07 NAMUGONGO-KIREKA'!I35,'03.08 NAMUGONGO-KIREKA-24h'!I35,'31.07 NAMUGONGO-KIREKA-24h'!I35,'30.07 NAMUGONGO-KIREKA'!I35)</f>
        <v>6.1428571428571432</v>
      </c>
      <c r="J35" s="49">
        <f>AVERAGE('01.08 NAMUGONGO-KIREKA'!J35,'02.08 NAMUGONGO-KIREKA'!J35,'04.08 NAMUGONGO-KIREKA'!J35,'29.07 NAMUGONGO-KIREKA'!J35,'03.08 NAMUGONGO-KIREKA-24h'!J35,'31.07 NAMUGONGO-KIREKA-24h'!J35,'30.07 NAMUGONGO-KIREKA'!J35)</f>
        <v>0.7142857142857143</v>
      </c>
      <c r="K35" s="49">
        <f>AVERAGE('01.08 NAMUGONGO-KIREKA'!K35,'02.08 NAMUGONGO-KIREKA'!K35,'04.08 NAMUGONGO-KIREKA'!K35,'29.07 NAMUGONGO-KIREKA'!K35,'03.08 NAMUGONGO-KIREKA-24h'!K35,'31.07 NAMUGONGO-KIREKA-24h'!K35,'30.07 NAMUGONGO-KIREKA'!K35)</f>
        <v>0.7142857142857143</v>
      </c>
      <c r="L35" s="49">
        <f>AVERAGE('01.08 NAMUGONGO-KIREKA'!L35,'02.08 NAMUGONGO-KIREKA'!L35,'04.08 NAMUGONGO-KIREKA'!L35,'29.07 NAMUGONGO-KIREKA'!L35,'03.08 NAMUGONGO-KIREKA-24h'!L35,'31.07 NAMUGONGO-KIREKA-24h'!L35,'30.07 NAMUGONGO-KIREKA'!L35)</f>
        <v>0.14285714285714285</v>
      </c>
      <c r="M35" s="49">
        <f>AVERAGE('01.08 NAMUGONGO-KIREKA'!M35,'02.08 NAMUGONGO-KIREKA'!M35,'04.08 NAMUGONGO-KIREKA'!M35,'29.07 NAMUGONGO-KIREKA'!M35,'03.08 NAMUGONGO-KIREKA-24h'!M35,'31.07 NAMUGONGO-KIREKA-24h'!M35,'30.07 NAMUGONGO-KIREKA'!M35)</f>
        <v>98.428571428571431</v>
      </c>
      <c r="N35" s="49">
        <f>AVERAGE('01.08 NAMUGONGO-KIREKA'!N35,'02.08 NAMUGONGO-KIREKA'!N35,'04.08 NAMUGONGO-KIREKA'!N35,'29.07 NAMUGONGO-KIREKA'!N35,'03.08 NAMUGONGO-KIREKA-24h'!N35,'31.07 NAMUGONGO-KIREKA-24h'!N35,'30.07 NAMUGONGO-KIREKA'!N35)</f>
        <v>0</v>
      </c>
      <c r="O35" s="15">
        <f t="shared" si="0"/>
        <v>89.714285714285708</v>
      </c>
      <c r="P35" s="15">
        <f t="shared" si="1"/>
        <v>188.14285714285714</v>
      </c>
      <c r="R35" s="38" t="s">
        <v>91</v>
      </c>
      <c r="S35" s="39">
        <f t="shared" ref="S35:AF35" si="27">MAX(S13:S18)</f>
        <v>275.42857142857144</v>
      </c>
      <c r="T35" s="39">
        <f t="shared" si="27"/>
        <v>33.714285714285715</v>
      </c>
      <c r="U35" s="39">
        <f t="shared" si="27"/>
        <v>36.857142857142854</v>
      </c>
      <c r="V35" s="39">
        <f t="shared" si="27"/>
        <v>86.285714285714278</v>
      </c>
      <c r="W35" s="39">
        <f t="shared" si="27"/>
        <v>3</v>
      </c>
      <c r="X35" s="39">
        <f t="shared" si="27"/>
        <v>3.5714285714285716</v>
      </c>
      <c r="Y35" s="39">
        <f t="shared" si="27"/>
        <v>25.142857142857142</v>
      </c>
      <c r="Z35" s="39">
        <f t="shared" si="27"/>
        <v>9</v>
      </c>
      <c r="AA35" s="39">
        <f t="shared" si="27"/>
        <v>5.8571428571428577</v>
      </c>
      <c r="AB35" s="39">
        <f t="shared" si="27"/>
        <v>2.1428571428571428</v>
      </c>
      <c r="AC35" s="39">
        <f t="shared" si="27"/>
        <v>488</v>
      </c>
      <c r="AD35" s="39">
        <f t="shared" si="27"/>
        <v>0.14285714285714285</v>
      </c>
      <c r="AE35" s="40">
        <f t="shared" si="27"/>
        <v>463</v>
      </c>
      <c r="AF35" s="40">
        <f t="shared" si="27"/>
        <v>951</v>
      </c>
    </row>
    <row r="36" spans="2:32" ht="23.1" customHeight="1" x14ac:dyDescent="0.25">
      <c r="B36" s="24" t="s">
        <v>63</v>
      </c>
      <c r="C36" s="49">
        <f>AVERAGE('01.08 NAMUGONGO-KIREKA'!C36,'02.08 NAMUGONGO-KIREKA'!C36,'04.08 NAMUGONGO-KIREKA'!C36,'29.07 NAMUGONGO-KIREKA'!C36,'03.08 NAMUGONGO-KIREKA-24h'!C36,'31.07 NAMUGONGO-KIREKA-24h'!C36,'30.07 NAMUGONGO-KIREKA'!C36)</f>
        <v>50.428571428571431</v>
      </c>
      <c r="D36" s="49">
        <f>AVERAGE('01.08 NAMUGONGO-KIREKA'!D36,'02.08 NAMUGONGO-KIREKA'!D36,'04.08 NAMUGONGO-KIREKA'!D36,'29.07 NAMUGONGO-KIREKA'!D36,'03.08 NAMUGONGO-KIREKA-24h'!D36,'31.07 NAMUGONGO-KIREKA-24h'!D36,'30.07 NAMUGONGO-KIREKA'!D36)</f>
        <v>3.2857142857142856</v>
      </c>
      <c r="E36" s="49">
        <f>AVERAGE('01.08 NAMUGONGO-KIREKA'!E36,'02.08 NAMUGONGO-KIREKA'!E36,'04.08 NAMUGONGO-KIREKA'!E36,'29.07 NAMUGONGO-KIREKA'!E36,'03.08 NAMUGONGO-KIREKA-24h'!E36,'31.07 NAMUGONGO-KIREKA-24h'!E36,'30.07 NAMUGONGO-KIREKA'!E36)</f>
        <v>7.4285714285714288</v>
      </c>
      <c r="F36" s="49">
        <f>AVERAGE('01.08 NAMUGONGO-KIREKA'!F36,'02.08 NAMUGONGO-KIREKA'!F36,'04.08 NAMUGONGO-KIREKA'!F36,'29.07 NAMUGONGO-KIREKA'!F36,'03.08 NAMUGONGO-KIREKA-24h'!F36,'31.07 NAMUGONGO-KIREKA-24h'!F36,'30.07 NAMUGONGO-KIREKA'!F36)</f>
        <v>18.285714285714285</v>
      </c>
      <c r="G36" s="49">
        <f>AVERAGE('01.08 NAMUGONGO-KIREKA'!G36,'02.08 NAMUGONGO-KIREKA'!G36,'04.08 NAMUGONGO-KIREKA'!G36,'29.07 NAMUGONGO-KIREKA'!G36,'03.08 NAMUGONGO-KIREKA-24h'!G36,'31.07 NAMUGONGO-KIREKA-24h'!G36,'30.07 NAMUGONGO-KIREKA'!G36)</f>
        <v>0</v>
      </c>
      <c r="H36" s="49">
        <f>AVERAGE('01.08 NAMUGONGO-KIREKA'!H36,'02.08 NAMUGONGO-KIREKA'!H36,'04.08 NAMUGONGO-KIREKA'!H36,'29.07 NAMUGONGO-KIREKA'!H36,'03.08 NAMUGONGO-KIREKA-24h'!H36,'31.07 NAMUGONGO-KIREKA-24h'!H36,'30.07 NAMUGONGO-KIREKA'!H36)</f>
        <v>0.14285714285714285</v>
      </c>
      <c r="I36" s="49">
        <f>AVERAGE('01.08 NAMUGONGO-KIREKA'!I36,'02.08 NAMUGONGO-KIREKA'!I36,'04.08 NAMUGONGO-KIREKA'!I36,'29.07 NAMUGONGO-KIREKA'!I36,'03.08 NAMUGONGO-KIREKA-24h'!I36,'31.07 NAMUGONGO-KIREKA-24h'!I36,'30.07 NAMUGONGO-KIREKA'!I36)</f>
        <v>6.2857142857142856</v>
      </c>
      <c r="J36" s="49">
        <f>AVERAGE('01.08 NAMUGONGO-KIREKA'!J36,'02.08 NAMUGONGO-KIREKA'!J36,'04.08 NAMUGONGO-KIREKA'!J36,'29.07 NAMUGONGO-KIREKA'!J36,'03.08 NAMUGONGO-KIREKA-24h'!J36,'31.07 NAMUGONGO-KIREKA-24h'!J36,'30.07 NAMUGONGO-KIREKA'!J36)</f>
        <v>2.1428571428571428</v>
      </c>
      <c r="K36" s="49">
        <f>AVERAGE('01.08 NAMUGONGO-KIREKA'!K36,'02.08 NAMUGONGO-KIREKA'!K36,'04.08 NAMUGONGO-KIREKA'!K36,'29.07 NAMUGONGO-KIREKA'!K36,'03.08 NAMUGONGO-KIREKA-24h'!K36,'31.07 NAMUGONGO-KIREKA-24h'!K36,'30.07 NAMUGONGO-KIREKA'!K36)</f>
        <v>1.7142857142857142</v>
      </c>
      <c r="L36" s="49">
        <f>AVERAGE('01.08 NAMUGONGO-KIREKA'!L36,'02.08 NAMUGONGO-KIREKA'!L36,'04.08 NAMUGONGO-KIREKA'!L36,'29.07 NAMUGONGO-KIREKA'!L36,'03.08 NAMUGONGO-KIREKA-24h'!L36,'31.07 NAMUGONGO-KIREKA-24h'!L36,'30.07 NAMUGONGO-KIREKA'!L36)</f>
        <v>0.14285714285714285</v>
      </c>
      <c r="M36" s="49">
        <f>AVERAGE('01.08 NAMUGONGO-KIREKA'!M36,'02.08 NAMUGONGO-KIREKA'!M36,'04.08 NAMUGONGO-KIREKA'!M36,'29.07 NAMUGONGO-KIREKA'!M36,'03.08 NAMUGONGO-KIREKA-24h'!M36,'31.07 NAMUGONGO-KIREKA-24h'!M36,'30.07 NAMUGONGO-KIREKA'!M36)</f>
        <v>95</v>
      </c>
      <c r="N36" s="49">
        <f>AVERAGE('01.08 NAMUGONGO-KIREKA'!N36,'02.08 NAMUGONGO-KIREKA'!N36,'04.08 NAMUGONGO-KIREKA'!N36,'29.07 NAMUGONGO-KIREKA'!N36,'03.08 NAMUGONGO-KIREKA-24h'!N36,'31.07 NAMUGONGO-KIREKA-24h'!N36,'30.07 NAMUGONGO-KIREKA'!N36)</f>
        <v>0</v>
      </c>
      <c r="O36" s="15">
        <f t="shared" si="0"/>
        <v>89.857142857142847</v>
      </c>
      <c r="P36" s="15">
        <f t="shared" si="1"/>
        <v>184.85714285714283</v>
      </c>
      <c r="R36" s="38" t="s">
        <v>92</v>
      </c>
      <c r="S36" s="39">
        <f t="shared" ref="S36:AF36" si="28">MAX(S19:S21)</f>
        <v>223.14285714285717</v>
      </c>
      <c r="T36" s="39">
        <f t="shared" si="28"/>
        <v>27.857142857142858</v>
      </c>
      <c r="U36" s="39">
        <f t="shared" si="28"/>
        <v>34.714285714285715</v>
      </c>
      <c r="V36" s="39">
        <f t="shared" si="28"/>
        <v>86.571428571428569</v>
      </c>
      <c r="W36" s="39">
        <f t="shared" si="28"/>
        <v>3.8571428571428568</v>
      </c>
      <c r="X36" s="39">
        <f t="shared" si="28"/>
        <v>0.71428571428571419</v>
      </c>
      <c r="Y36" s="39">
        <f t="shared" si="28"/>
        <v>25</v>
      </c>
      <c r="Z36" s="39">
        <f t="shared" si="28"/>
        <v>8.7142857142857153</v>
      </c>
      <c r="AA36" s="39">
        <f t="shared" si="28"/>
        <v>3.8571428571428572</v>
      </c>
      <c r="AB36" s="39">
        <f t="shared" si="28"/>
        <v>1.714285714285714</v>
      </c>
      <c r="AC36" s="39">
        <f t="shared" si="28"/>
        <v>567.42857142857144</v>
      </c>
      <c r="AD36" s="39">
        <f t="shared" si="28"/>
        <v>0</v>
      </c>
      <c r="AE36" s="40">
        <f t="shared" si="28"/>
        <v>399.71428571428578</v>
      </c>
      <c r="AF36" s="40">
        <f t="shared" si="28"/>
        <v>941.2380952380953</v>
      </c>
    </row>
    <row r="37" spans="2:32" ht="23.1" customHeight="1" x14ac:dyDescent="0.25">
      <c r="B37" s="23" t="s">
        <v>64</v>
      </c>
      <c r="C37" s="49">
        <f>AVERAGE('01.08 NAMUGONGO-KIREKA'!C37,'02.08 NAMUGONGO-KIREKA'!C37,'04.08 NAMUGONGO-KIREKA'!C37,'29.07 NAMUGONGO-KIREKA'!C37,'03.08 NAMUGONGO-KIREKA-24h'!C37,'31.07 NAMUGONGO-KIREKA-24h'!C37,'30.07 NAMUGONGO-KIREKA'!C37)</f>
        <v>50.285714285714285</v>
      </c>
      <c r="D37" s="49">
        <f>AVERAGE('01.08 NAMUGONGO-KIREKA'!D37,'02.08 NAMUGONGO-KIREKA'!D37,'04.08 NAMUGONGO-KIREKA'!D37,'29.07 NAMUGONGO-KIREKA'!D37,'03.08 NAMUGONGO-KIREKA-24h'!D37,'31.07 NAMUGONGO-KIREKA-24h'!D37,'30.07 NAMUGONGO-KIREKA'!D37)</f>
        <v>5</v>
      </c>
      <c r="E37" s="49">
        <f>AVERAGE('01.08 NAMUGONGO-KIREKA'!E37,'02.08 NAMUGONGO-KIREKA'!E37,'04.08 NAMUGONGO-KIREKA'!E37,'29.07 NAMUGONGO-KIREKA'!E37,'03.08 NAMUGONGO-KIREKA-24h'!E37,'31.07 NAMUGONGO-KIREKA-24h'!E37,'30.07 NAMUGONGO-KIREKA'!E37)</f>
        <v>13.428571428571429</v>
      </c>
      <c r="F37" s="49">
        <f>AVERAGE('01.08 NAMUGONGO-KIREKA'!F37,'02.08 NAMUGONGO-KIREKA'!F37,'04.08 NAMUGONGO-KIREKA'!F37,'29.07 NAMUGONGO-KIREKA'!F37,'03.08 NAMUGONGO-KIREKA-24h'!F37,'31.07 NAMUGONGO-KIREKA-24h'!F37,'30.07 NAMUGONGO-KIREKA'!F37)</f>
        <v>19</v>
      </c>
      <c r="G37" s="49">
        <f>AVERAGE('01.08 NAMUGONGO-KIREKA'!G37,'02.08 NAMUGONGO-KIREKA'!G37,'04.08 NAMUGONGO-KIREKA'!G37,'29.07 NAMUGONGO-KIREKA'!G37,'03.08 NAMUGONGO-KIREKA-24h'!G37,'31.07 NAMUGONGO-KIREKA-24h'!G37,'30.07 NAMUGONGO-KIREKA'!G37)</f>
        <v>0.14285714285714285</v>
      </c>
      <c r="H37" s="49">
        <f>AVERAGE('01.08 NAMUGONGO-KIREKA'!H37,'02.08 NAMUGONGO-KIREKA'!H37,'04.08 NAMUGONGO-KIREKA'!H37,'29.07 NAMUGONGO-KIREKA'!H37,'03.08 NAMUGONGO-KIREKA-24h'!H37,'31.07 NAMUGONGO-KIREKA-24h'!H37,'30.07 NAMUGONGO-KIREKA'!H37)</f>
        <v>0</v>
      </c>
      <c r="I37" s="49">
        <f>AVERAGE('01.08 NAMUGONGO-KIREKA'!I37,'02.08 NAMUGONGO-KIREKA'!I37,'04.08 NAMUGONGO-KIREKA'!I37,'29.07 NAMUGONGO-KIREKA'!I37,'03.08 NAMUGONGO-KIREKA-24h'!I37,'31.07 NAMUGONGO-KIREKA-24h'!I37,'30.07 NAMUGONGO-KIREKA'!I37)</f>
        <v>6.2857142857142856</v>
      </c>
      <c r="J37" s="49">
        <f>AVERAGE('01.08 NAMUGONGO-KIREKA'!J37,'02.08 NAMUGONGO-KIREKA'!J37,'04.08 NAMUGONGO-KIREKA'!J37,'29.07 NAMUGONGO-KIREKA'!J37,'03.08 NAMUGONGO-KIREKA-24h'!J37,'31.07 NAMUGONGO-KIREKA-24h'!J37,'30.07 NAMUGONGO-KIREKA'!J37)</f>
        <v>1.4285714285714286</v>
      </c>
      <c r="K37" s="49">
        <f>AVERAGE('01.08 NAMUGONGO-KIREKA'!K37,'02.08 NAMUGONGO-KIREKA'!K37,'04.08 NAMUGONGO-KIREKA'!K37,'29.07 NAMUGONGO-KIREKA'!K37,'03.08 NAMUGONGO-KIREKA-24h'!K37,'31.07 NAMUGONGO-KIREKA-24h'!K37,'30.07 NAMUGONGO-KIREKA'!K37)</f>
        <v>1</v>
      </c>
      <c r="L37" s="49">
        <f>AVERAGE('01.08 NAMUGONGO-KIREKA'!L37,'02.08 NAMUGONGO-KIREKA'!L37,'04.08 NAMUGONGO-KIREKA'!L37,'29.07 NAMUGONGO-KIREKA'!L37,'03.08 NAMUGONGO-KIREKA-24h'!L37,'31.07 NAMUGONGO-KIREKA-24h'!L37,'30.07 NAMUGONGO-KIREKA'!L37)</f>
        <v>0.42857142857142855</v>
      </c>
      <c r="M37" s="49">
        <f>AVERAGE('01.08 NAMUGONGO-KIREKA'!M37,'02.08 NAMUGONGO-KIREKA'!M37,'04.08 NAMUGONGO-KIREKA'!M37,'29.07 NAMUGONGO-KIREKA'!M37,'03.08 NAMUGONGO-KIREKA-24h'!M37,'31.07 NAMUGONGO-KIREKA-24h'!M37,'30.07 NAMUGONGO-KIREKA'!M37)</f>
        <v>95.285714285714292</v>
      </c>
      <c r="N37" s="49">
        <f>AVERAGE('01.08 NAMUGONGO-KIREKA'!N37,'02.08 NAMUGONGO-KIREKA'!N37,'04.08 NAMUGONGO-KIREKA'!N37,'29.07 NAMUGONGO-KIREKA'!N37,'03.08 NAMUGONGO-KIREKA-24h'!N37,'31.07 NAMUGONGO-KIREKA-24h'!N37,'30.07 NAMUGONGO-KIREKA'!N37)</f>
        <v>0</v>
      </c>
      <c r="O37" s="15">
        <f t="shared" si="0"/>
        <v>97</v>
      </c>
      <c r="P37" s="15">
        <f t="shared" si="1"/>
        <v>192.28571428571428</v>
      </c>
      <c r="R37" s="37" t="s">
        <v>85</v>
      </c>
      <c r="S37" s="35">
        <f t="shared" ref="S37:AF37" si="29">SUM(S10:S12)</f>
        <v>873</v>
      </c>
      <c r="T37" s="16">
        <f t="shared" si="29"/>
        <v>93.428571428571431</v>
      </c>
      <c r="U37" s="16">
        <f t="shared" si="29"/>
        <v>95</v>
      </c>
      <c r="V37" s="16">
        <f t="shared" si="29"/>
        <v>275.42857142857144</v>
      </c>
      <c r="W37" s="16">
        <f t="shared" si="29"/>
        <v>4.1190476190476186</v>
      </c>
      <c r="X37" s="16">
        <f t="shared" si="29"/>
        <v>2.1428571428571428</v>
      </c>
      <c r="Y37" s="16">
        <f t="shared" si="29"/>
        <v>39.285714285714285</v>
      </c>
      <c r="Z37" s="16">
        <f t="shared" si="29"/>
        <v>16.285714285714285</v>
      </c>
      <c r="AA37" s="16">
        <f t="shared" si="29"/>
        <v>10.285714285714285</v>
      </c>
      <c r="AB37" s="16">
        <f t="shared" si="29"/>
        <v>2.714285714285714</v>
      </c>
      <c r="AC37" s="16">
        <f t="shared" si="29"/>
        <v>1482.8571428571429</v>
      </c>
      <c r="AD37" s="16">
        <f t="shared" si="29"/>
        <v>0</v>
      </c>
      <c r="AE37" s="32">
        <f t="shared" si="29"/>
        <v>1411.6904761904761</v>
      </c>
      <c r="AF37" s="32">
        <f t="shared" si="29"/>
        <v>2894.5476190476184</v>
      </c>
    </row>
    <row r="38" spans="2:32" ht="23.1" customHeight="1" x14ac:dyDescent="0.25">
      <c r="B38" s="24" t="s">
        <v>65</v>
      </c>
      <c r="C38" s="49">
        <f>AVERAGE('01.08 NAMUGONGO-KIREKA'!C38,'02.08 NAMUGONGO-KIREKA'!C38,'04.08 NAMUGONGO-KIREKA'!C38,'29.07 NAMUGONGO-KIREKA'!C38,'03.08 NAMUGONGO-KIREKA-24h'!C38,'31.07 NAMUGONGO-KIREKA-24h'!C38,'30.07 NAMUGONGO-KIREKA'!C38)</f>
        <v>50.571428571428569</v>
      </c>
      <c r="D38" s="49">
        <f>AVERAGE('01.08 NAMUGONGO-KIREKA'!D38,'02.08 NAMUGONGO-KIREKA'!D38,'04.08 NAMUGONGO-KIREKA'!D38,'29.07 NAMUGONGO-KIREKA'!D38,'03.08 NAMUGONGO-KIREKA-24h'!D38,'31.07 NAMUGONGO-KIREKA-24h'!D38,'30.07 NAMUGONGO-KIREKA'!D38)</f>
        <v>7.7142857142857144</v>
      </c>
      <c r="E38" s="49">
        <f>AVERAGE('01.08 NAMUGONGO-KIREKA'!E38,'02.08 NAMUGONGO-KIREKA'!E38,'04.08 NAMUGONGO-KIREKA'!E38,'29.07 NAMUGONGO-KIREKA'!E38,'03.08 NAMUGONGO-KIREKA-24h'!E38,'31.07 NAMUGONGO-KIREKA-24h'!E38,'30.07 NAMUGONGO-KIREKA'!E38)</f>
        <v>6.4285714285714288</v>
      </c>
      <c r="F38" s="49">
        <f>AVERAGE('01.08 NAMUGONGO-KIREKA'!F38,'02.08 NAMUGONGO-KIREKA'!F38,'04.08 NAMUGONGO-KIREKA'!F38,'29.07 NAMUGONGO-KIREKA'!F38,'03.08 NAMUGONGO-KIREKA-24h'!F38,'31.07 NAMUGONGO-KIREKA-24h'!F38,'30.07 NAMUGONGO-KIREKA'!F38)</f>
        <v>18.857142857142858</v>
      </c>
      <c r="G38" s="49">
        <f>AVERAGE('01.08 NAMUGONGO-KIREKA'!G38,'02.08 NAMUGONGO-KIREKA'!G38,'04.08 NAMUGONGO-KIREKA'!G38,'29.07 NAMUGONGO-KIREKA'!G38,'03.08 NAMUGONGO-KIREKA-24h'!G38,'31.07 NAMUGONGO-KIREKA-24h'!G38,'30.07 NAMUGONGO-KIREKA'!G38)</f>
        <v>0.14285714285714285</v>
      </c>
      <c r="H38" s="49">
        <f>AVERAGE('01.08 NAMUGONGO-KIREKA'!H38,'02.08 NAMUGONGO-KIREKA'!H38,'04.08 NAMUGONGO-KIREKA'!H38,'29.07 NAMUGONGO-KIREKA'!H38,'03.08 NAMUGONGO-KIREKA-24h'!H38,'31.07 NAMUGONGO-KIREKA-24h'!H38,'30.07 NAMUGONGO-KIREKA'!H38)</f>
        <v>1.7142857142857142</v>
      </c>
      <c r="I38" s="49">
        <f>AVERAGE('01.08 NAMUGONGO-KIREKA'!I38,'02.08 NAMUGONGO-KIREKA'!I38,'04.08 NAMUGONGO-KIREKA'!I38,'29.07 NAMUGONGO-KIREKA'!I38,'03.08 NAMUGONGO-KIREKA-24h'!I38,'31.07 NAMUGONGO-KIREKA-24h'!I38,'30.07 NAMUGONGO-KIREKA'!I38)</f>
        <v>3.7142857142857144</v>
      </c>
      <c r="J38" s="49">
        <f>AVERAGE('01.08 NAMUGONGO-KIREKA'!J38,'02.08 NAMUGONGO-KIREKA'!J38,'04.08 NAMUGONGO-KIREKA'!J38,'29.07 NAMUGONGO-KIREKA'!J38,'03.08 NAMUGONGO-KIREKA-24h'!J38,'31.07 NAMUGONGO-KIREKA-24h'!J38,'30.07 NAMUGONGO-KIREKA'!J38)</f>
        <v>0.7142857142857143</v>
      </c>
      <c r="K38" s="49">
        <f>AVERAGE('01.08 NAMUGONGO-KIREKA'!K38,'02.08 NAMUGONGO-KIREKA'!K38,'04.08 NAMUGONGO-KIREKA'!K38,'29.07 NAMUGONGO-KIREKA'!K38,'03.08 NAMUGONGO-KIREKA-24h'!K38,'31.07 NAMUGONGO-KIREKA-24h'!K38,'30.07 NAMUGONGO-KIREKA'!K38)</f>
        <v>0.5714285714285714</v>
      </c>
      <c r="L38" s="49">
        <f>AVERAGE('01.08 NAMUGONGO-KIREKA'!L38,'02.08 NAMUGONGO-KIREKA'!L38,'04.08 NAMUGONGO-KIREKA'!L38,'29.07 NAMUGONGO-KIREKA'!L38,'03.08 NAMUGONGO-KIREKA-24h'!L38,'31.07 NAMUGONGO-KIREKA-24h'!L38,'30.07 NAMUGONGO-KIREKA'!L38)</f>
        <v>0.14285714285714285</v>
      </c>
      <c r="M38" s="49">
        <f>AVERAGE('01.08 NAMUGONGO-KIREKA'!M38,'02.08 NAMUGONGO-KIREKA'!M38,'04.08 NAMUGONGO-KIREKA'!M38,'29.07 NAMUGONGO-KIREKA'!M38,'03.08 NAMUGONGO-KIREKA-24h'!M38,'31.07 NAMUGONGO-KIREKA-24h'!M38,'30.07 NAMUGONGO-KIREKA'!M38)</f>
        <v>103.42857142857143</v>
      </c>
      <c r="N38" s="49">
        <f>AVERAGE('01.08 NAMUGONGO-KIREKA'!N38,'02.08 NAMUGONGO-KIREKA'!N38,'04.08 NAMUGONGO-KIREKA'!N38,'29.07 NAMUGONGO-KIREKA'!N38,'03.08 NAMUGONGO-KIREKA-24h'!N38,'31.07 NAMUGONGO-KIREKA-24h'!N38,'30.07 NAMUGONGO-KIREKA'!N38)</f>
        <v>0</v>
      </c>
      <c r="O38" s="15">
        <f t="shared" si="0"/>
        <v>90.571428571428541</v>
      </c>
      <c r="P38" s="15">
        <f t="shared" si="1"/>
        <v>193.99999999999997</v>
      </c>
      <c r="R38" s="28" t="s">
        <v>86</v>
      </c>
      <c r="S38" s="16">
        <f t="shared" ref="S38:AF38" si="30">SUM(S13:S18)</f>
        <v>1345.1428571428571</v>
      </c>
      <c r="T38" s="16">
        <f t="shared" si="30"/>
        <v>152.99999999999997</v>
      </c>
      <c r="U38" s="16">
        <f t="shared" si="30"/>
        <v>198.85714285714283</v>
      </c>
      <c r="V38" s="16">
        <f t="shared" si="30"/>
        <v>476.14285714285717</v>
      </c>
      <c r="W38" s="16">
        <f t="shared" si="30"/>
        <v>10.642857142857142</v>
      </c>
      <c r="X38" s="16">
        <f t="shared" si="30"/>
        <v>11.428571428571429</v>
      </c>
      <c r="Y38" s="16">
        <f t="shared" si="30"/>
        <v>126</v>
      </c>
      <c r="Z38" s="16">
        <f t="shared" si="30"/>
        <v>44.285714285714285</v>
      </c>
      <c r="AA38" s="16">
        <f t="shared" si="30"/>
        <v>26.5</v>
      </c>
      <c r="AB38" s="16">
        <f t="shared" si="30"/>
        <v>7.5714285714285712</v>
      </c>
      <c r="AC38" s="16">
        <f t="shared" si="30"/>
        <v>2712.4285714285716</v>
      </c>
      <c r="AD38" s="16">
        <f t="shared" si="30"/>
        <v>0.2857142857142857</v>
      </c>
      <c r="AE38" s="32">
        <f t="shared" si="30"/>
        <v>2399.8571428571427</v>
      </c>
      <c r="AF38" s="32">
        <f t="shared" si="30"/>
        <v>5112.2857142857138</v>
      </c>
    </row>
    <row r="39" spans="2:32" ht="23.1" customHeight="1" x14ac:dyDescent="0.25">
      <c r="B39" s="24" t="s">
        <v>66</v>
      </c>
      <c r="C39" s="49">
        <f>AVERAGE('01.08 NAMUGONGO-KIREKA'!C39,'02.08 NAMUGONGO-KIREKA'!C39,'04.08 NAMUGONGO-KIREKA'!C39,'29.07 NAMUGONGO-KIREKA'!C39,'03.08 NAMUGONGO-KIREKA-24h'!C39,'31.07 NAMUGONGO-KIREKA-24h'!C39,'30.07 NAMUGONGO-KIREKA'!C39)</f>
        <v>53.857142857142854</v>
      </c>
      <c r="D39" s="49">
        <f>AVERAGE('01.08 NAMUGONGO-KIREKA'!D39,'02.08 NAMUGONGO-KIREKA'!D39,'04.08 NAMUGONGO-KIREKA'!D39,'29.07 NAMUGONGO-KIREKA'!D39,'03.08 NAMUGONGO-KIREKA-24h'!D39,'31.07 NAMUGONGO-KIREKA-24h'!D39,'30.07 NAMUGONGO-KIREKA'!D39)</f>
        <v>5.8571428571428568</v>
      </c>
      <c r="E39" s="49">
        <f>AVERAGE('01.08 NAMUGONGO-KIREKA'!E39,'02.08 NAMUGONGO-KIREKA'!E39,'04.08 NAMUGONGO-KIREKA'!E39,'29.07 NAMUGONGO-KIREKA'!E39,'03.08 NAMUGONGO-KIREKA-24h'!E39,'31.07 NAMUGONGO-KIREKA-24h'!E39,'30.07 NAMUGONGO-KIREKA'!E39)</f>
        <v>8.1428571428571423</v>
      </c>
      <c r="F39" s="49">
        <f>AVERAGE('01.08 NAMUGONGO-KIREKA'!F39,'02.08 NAMUGONGO-KIREKA'!F39,'04.08 NAMUGONGO-KIREKA'!F39,'29.07 NAMUGONGO-KIREKA'!F39,'03.08 NAMUGONGO-KIREKA-24h'!F39,'31.07 NAMUGONGO-KIREKA-24h'!F39,'30.07 NAMUGONGO-KIREKA'!F39)</f>
        <v>20.142857142857142</v>
      </c>
      <c r="G39" s="49">
        <f>AVERAGE('01.08 NAMUGONGO-KIREKA'!G39,'02.08 NAMUGONGO-KIREKA'!G39,'04.08 NAMUGONGO-KIREKA'!G39,'29.07 NAMUGONGO-KIREKA'!G39,'03.08 NAMUGONGO-KIREKA-24h'!G39,'31.07 NAMUGONGO-KIREKA-24h'!G39,'30.07 NAMUGONGO-KIREKA'!G39)</f>
        <v>0.14285714285714285</v>
      </c>
      <c r="H39" s="49">
        <f>AVERAGE('01.08 NAMUGONGO-KIREKA'!H39,'02.08 NAMUGONGO-KIREKA'!H39,'04.08 NAMUGONGO-KIREKA'!H39,'29.07 NAMUGONGO-KIREKA'!H39,'03.08 NAMUGONGO-KIREKA-24h'!H39,'31.07 NAMUGONGO-KIREKA-24h'!H39,'30.07 NAMUGONGO-KIREKA'!H39)</f>
        <v>0.42857142857142855</v>
      </c>
      <c r="I39" s="49">
        <f>AVERAGE('01.08 NAMUGONGO-KIREKA'!I39,'02.08 NAMUGONGO-KIREKA'!I39,'04.08 NAMUGONGO-KIREKA'!I39,'29.07 NAMUGONGO-KIREKA'!I39,'03.08 NAMUGONGO-KIREKA-24h'!I39,'31.07 NAMUGONGO-KIREKA-24h'!I39,'30.07 NAMUGONGO-KIREKA'!I39)</f>
        <v>5.8571428571428568</v>
      </c>
      <c r="J39" s="49">
        <f>AVERAGE('01.08 NAMUGONGO-KIREKA'!J39,'02.08 NAMUGONGO-KIREKA'!J39,'04.08 NAMUGONGO-KIREKA'!J39,'29.07 NAMUGONGO-KIREKA'!J39,'03.08 NAMUGONGO-KIREKA-24h'!J39,'31.07 NAMUGONGO-KIREKA-24h'!J39,'30.07 NAMUGONGO-KIREKA'!J39)</f>
        <v>1.4285714285714286</v>
      </c>
      <c r="K39" s="49">
        <f>AVERAGE('01.08 NAMUGONGO-KIREKA'!K39,'02.08 NAMUGONGO-KIREKA'!K39,'04.08 NAMUGONGO-KIREKA'!K39,'29.07 NAMUGONGO-KIREKA'!K39,'03.08 NAMUGONGO-KIREKA-24h'!K39,'31.07 NAMUGONGO-KIREKA-24h'!K39,'30.07 NAMUGONGO-KIREKA'!K39)</f>
        <v>0.8571428571428571</v>
      </c>
      <c r="L39" s="49">
        <f>AVERAGE('01.08 NAMUGONGO-KIREKA'!L39,'02.08 NAMUGONGO-KIREKA'!L39,'04.08 NAMUGONGO-KIREKA'!L39,'29.07 NAMUGONGO-KIREKA'!L39,'03.08 NAMUGONGO-KIREKA-24h'!L39,'31.07 NAMUGONGO-KIREKA-24h'!L39,'30.07 NAMUGONGO-KIREKA'!L39)</f>
        <v>0.14285714285714285</v>
      </c>
      <c r="M39" s="49">
        <f>AVERAGE('01.08 NAMUGONGO-KIREKA'!M39,'02.08 NAMUGONGO-KIREKA'!M39,'04.08 NAMUGONGO-KIREKA'!M39,'29.07 NAMUGONGO-KIREKA'!M39,'03.08 NAMUGONGO-KIREKA-24h'!M39,'31.07 NAMUGONGO-KIREKA-24h'!M39,'30.07 NAMUGONGO-KIREKA'!M39)</f>
        <v>109.71428571428571</v>
      </c>
      <c r="N39" s="49">
        <f>AVERAGE('01.08 NAMUGONGO-KIREKA'!N39,'02.08 NAMUGONGO-KIREKA'!N39,'04.08 NAMUGONGO-KIREKA'!N39,'29.07 NAMUGONGO-KIREKA'!N39,'03.08 NAMUGONGO-KIREKA-24h'!N39,'31.07 NAMUGONGO-KIREKA-24h'!N39,'30.07 NAMUGONGO-KIREKA'!N39)</f>
        <v>0</v>
      </c>
      <c r="O39" s="15">
        <f t="shared" si="0"/>
        <v>96.857142857142847</v>
      </c>
      <c r="P39" s="15">
        <f t="shared" si="1"/>
        <v>206.57142857142856</v>
      </c>
      <c r="R39" s="29" t="s">
        <v>87</v>
      </c>
      <c r="S39" s="16">
        <f t="shared" ref="S39:AF39" si="31">SUM(S19:S21)</f>
        <v>632.14285714285711</v>
      </c>
      <c r="T39" s="16">
        <f t="shared" si="31"/>
        <v>79.142857142857139</v>
      </c>
      <c r="U39" s="16">
        <f t="shared" si="31"/>
        <v>95.571428571428584</v>
      </c>
      <c r="V39" s="16">
        <f t="shared" si="31"/>
        <v>250.42857142857139</v>
      </c>
      <c r="W39" s="16">
        <f t="shared" si="31"/>
        <v>9.428571428571427</v>
      </c>
      <c r="X39" s="16">
        <f t="shared" si="31"/>
        <v>1.4285714285714284</v>
      </c>
      <c r="Y39" s="16">
        <f t="shared" si="31"/>
        <v>57.142857142857146</v>
      </c>
      <c r="Z39" s="16">
        <f t="shared" si="31"/>
        <v>21.952380952380953</v>
      </c>
      <c r="AA39" s="16">
        <f t="shared" si="31"/>
        <v>8.7142857142857153</v>
      </c>
      <c r="AB39" s="16">
        <f t="shared" si="31"/>
        <v>3.5714285714285707</v>
      </c>
      <c r="AC39" s="16">
        <f t="shared" si="31"/>
        <v>1544.1428571428571</v>
      </c>
      <c r="AD39" s="16">
        <f t="shared" si="31"/>
        <v>0</v>
      </c>
      <c r="AE39" s="32">
        <f t="shared" si="31"/>
        <v>1159.5238095238096</v>
      </c>
      <c r="AF39" s="32">
        <f t="shared" si="31"/>
        <v>2703.6666666666665</v>
      </c>
    </row>
    <row r="40" spans="2:32" ht="23.1" customHeight="1" x14ac:dyDescent="0.25">
      <c r="B40" s="24" t="s">
        <v>67</v>
      </c>
      <c r="C40" s="49">
        <f>AVERAGE('01.08 NAMUGONGO-KIREKA'!C40,'02.08 NAMUGONGO-KIREKA'!C40,'04.08 NAMUGONGO-KIREKA'!C40,'29.07 NAMUGONGO-KIREKA'!C40,'03.08 NAMUGONGO-KIREKA-24h'!C40,'31.07 NAMUGONGO-KIREKA-24h'!C40,'30.07 NAMUGONGO-KIREKA'!C40)</f>
        <v>49</v>
      </c>
      <c r="D40" s="49">
        <f>AVERAGE('01.08 NAMUGONGO-KIREKA'!D40,'02.08 NAMUGONGO-KIREKA'!D40,'04.08 NAMUGONGO-KIREKA'!D40,'29.07 NAMUGONGO-KIREKA'!D40,'03.08 NAMUGONGO-KIREKA-24h'!D40,'31.07 NAMUGONGO-KIREKA-24h'!D40,'30.07 NAMUGONGO-KIREKA'!D40)</f>
        <v>3.8571428571428572</v>
      </c>
      <c r="E40" s="49">
        <f>AVERAGE('01.08 NAMUGONGO-KIREKA'!E40,'02.08 NAMUGONGO-KIREKA'!E40,'04.08 NAMUGONGO-KIREKA'!E40,'29.07 NAMUGONGO-KIREKA'!E40,'03.08 NAMUGONGO-KIREKA-24h'!E40,'31.07 NAMUGONGO-KIREKA-24h'!E40,'30.07 NAMUGONGO-KIREKA'!E40)</f>
        <v>6</v>
      </c>
      <c r="F40" s="49">
        <f>AVERAGE('01.08 NAMUGONGO-KIREKA'!F40,'02.08 NAMUGONGO-KIREKA'!F40,'04.08 NAMUGONGO-KIREKA'!F40,'29.07 NAMUGONGO-KIREKA'!F40,'03.08 NAMUGONGO-KIREKA-24h'!F40,'31.07 NAMUGONGO-KIREKA-24h'!F40,'30.07 NAMUGONGO-KIREKA'!F40)</f>
        <v>16.857142857142858</v>
      </c>
      <c r="G40" s="49">
        <f>AVERAGE('01.08 NAMUGONGO-KIREKA'!G40,'02.08 NAMUGONGO-KIREKA'!G40,'04.08 NAMUGONGO-KIREKA'!G40,'29.07 NAMUGONGO-KIREKA'!G40,'03.08 NAMUGONGO-KIREKA-24h'!G40,'31.07 NAMUGONGO-KIREKA-24h'!G40,'30.07 NAMUGONGO-KIREKA'!G40)</f>
        <v>0.14285714285714285</v>
      </c>
      <c r="H40" s="49">
        <f>AVERAGE('01.08 NAMUGONGO-KIREKA'!H40,'02.08 NAMUGONGO-KIREKA'!H40,'04.08 NAMUGONGO-KIREKA'!H40,'29.07 NAMUGONGO-KIREKA'!H40,'03.08 NAMUGONGO-KIREKA-24h'!H40,'31.07 NAMUGONGO-KIREKA-24h'!H40,'30.07 NAMUGONGO-KIREKA'!H40)</f>
        <v>0</v>
      </c>
      <c r="I40" s="49">
        <f>AVERAGE('01.08 NAMUGONGO-KIREKA'!I40,'02.08 NAMUGONGO-KIREKA'!I40,'04.08 NAMUGONGO-KIREKA'!I40,'29.07 NAMUGONGO-KIREKA'!I40,'03.08 NAMUGONGO-KIREKA-24h'!I40,'31.07 NAMUGONGO-KIREKA-24h'!I40,'30.07 NAMUGONGO-KIREKA'!I40)</f>
        <v>5</v>
      </c>
      <c r="J40" s="49">
        <f>AVERAGE('01.08 NAMUGONGO-KIREKA'!J40,'02.08 NAMUGONGO-KIREKA'!J40,'04.08 NAMUGONGO-KIREKA'!J40,'29.07 NAMUGONGO-KIREKA'!J40,'03.08 NAMUGONGO-KIREKA-24h'!J40,'31.07 NAMUGONGO-KIREKA-24h'!J40,'30.07 NAMUGONGO-KIREKA'!J40)</f>
        <v>3</v>
      </c>
      <c r="K40" s="49">
        <f>AVERAGE('01.08 NAMUGONGO-KIREKA'!K40,'02.08 NAMUGONGO-KIREKA'!K40,'04.08 NAMUGONGO-KIREKA'!K40,'29.07 NAMUGONGO-KIREKA'!K40,'03.08 NAMUGONGO-KIREKA-24h'!K40,'31.07 NAMUGONGO-KIREKA-24h'!K40,'30.07 NAMUGONGO-KIREKA'!K40)</f>
        <v>1</v>
      </c>
      <c r="L40" s="49">
        <f>AVERAGE('01.08 NAMUGONGO-KIREKA'!L40,'02.08 NAMUGONGO-KIREKA'!L40,'04.08 NAMUGONGO-KIREKA'!L40,'29.07 NAMUGONGO-KIREKA'!L40,'03.08 NAMUGONGO-KIREKA-24h'!L40,'31.07 NAMUGONGO-KIREKA-24h'!L40,'30.07 NAMUGONGO-KIREKA'!L40)</f>
        <v>0.42857142857142855</v>
      </c>
      <c r="M40" s="49">
        <f>AVERAGE('01.08 NAMUGONGO-KIREKA'!M40,'02.08 NAMUGONGO-KIREKA'!M40,'04.08 NAMUGONGO-KIREKA'!M40,'29.07 NAMUGONGO-KIREKA'!M40,'03.08 NAMUGONGO-KIREKA-24h'!M40,'31.07 NAMUGONGO-KIREKA-24h'!M40,'30.07 NAMUGONGO-KIREKA'!M40)</f>
        <v>149.14285714285714</v>
      </c>
      <c r="N40" s="49">
        <f>AVERAGE('01.08 NAMUGONGO-KIREKA'!N40,'02.08 NAMUGONGO-KIREKA'!N40,'04.08 NAMUGONGO-KIREKA'!N40,'29.07 NAMUGONGO-KIREKA'!N40,'03.08 NAMUGONGO-KIREKA-24h'!N40,'31.07 NAMUGONGO-KIREKA-24h'!N40,'30.07 NAMUGONGO-KIREKA'!N40)</f>
        <v>0.14285714285714285</v>
      </c>
      <c r="O40" s="15">
        <f t="shared" si="0"/>
        <v>85.428571428571416</v>
      </c>
      <c r="P40" s="15">
        <f t="shared" si="1"/>
        <v>234.57142857142856</v>
      </c>
      <c r="R40" s="5" t="s">
        <v>17</v>
      </c>
      <c r="S40" s="16">
        <f t="shared" ref="S40:AF40" si="32">SUM(S10:S21)</f>
        <v>2850.2857142857147</v>
      </c>
      <c r="T40" s="16">
        <f t="shared" si="32"/>
        <v>325.5714285714285</v>
      </c>
      <c r="U40" s="16">
        <f t="shared" si="32"/>
        <v>389.42857142857139</v>
      </c>
      <c r="V40" s="16">
        <f t="shared" si="32"/>
        <v>1002.0000000000001</v>
      </c>
      <c r="W40" s="16">
        <f t="shared" si="32"/>
        <v>24.19047619047619</v>
      </c>
      <c r="X40" s="16">
        <f t="shared" si="32"/>
        <v>14.999999999999998</v>
      </c>
      <c r="Y40" s="16">
        <f t="shared" si="32"/>
        <v>222.42857142857144</v>
      </c>
      <c r="Z40" s="16">
        <f t="shared" si="32"/>
        <v>82.523809523809518</v>
      </c>
      <c r="AA40" s="16">
        <f t="shared" si="32"/>
        <v>45.5</v>
      </c>
      <c r="AB40" s="16">
        <f t="shared" si="32"/>
        <v>13.857142857142856</v>
      </c>
      <c r="AC40" s="16">
        <f t="shared" si="32"/>
        <v>5739.4285714285706</v>
      </c>
      <c r="AD40" s="16">
        <f t="shared" si="32"/>
        <v>0.2857142857142857</v>
      </c>
      <c r="AE40" s="32">
        <f t="shared" si="32"/>
        <v>4971.0714285714284</v>
      </c>
      <c r="AF40" s="32">
        <f t="shared" si="32"/>
        <v>10710.499999999998</v>
      </c>
    </row>
    <row r="41" spans="2:32" ht="23.1" customHeight="1" x14ac:dyDescent="0.25">
      <c r="B41" s="23" t="s">
        <v>68</v>
      </c>
      <c r="C41" s="49">
        <f>AVERAGE('01.08 NAMUGONGO-KIREKA'!C41,'02.08 NAMUGONGO-KIREKA'!C41,'04.08 NAMUGONGO-KIREKA'!C41,'29.07 NAMUGONGO-KIREKA'!C41,'03.08 NAMUGONGO-KIREKA-24h'!C41,'31.07 NAMUGONGO-KIREKA-24h'!C41,'30.07 NAMUGONGO-KIREKA'!C41)</f>
        <v>49</v>
      </c>
      <c r="D41" s="49">
        <f>AVERAGE('01.08 NAMUGONGO-KIREKA'!D41,'02.08 NAMUGONGO-KIREKA'!D41,'04.08 NAMUGONGO-KIREKA'!D41,'29.07 NAMUGONGO-KIREKA'!D41,'03.08 NAMUGONGO-KIREKA-24h'!D41,'31.07 NAMUGONGO-KIREKA-24h'!D41,'30.07 NAMUGONGO-KIREKA'!D41)</f>
        <v>4</v>
      </c>
      <c r="E41" s="49">
        <f>AVERAGE('01.08 NAMUGONGO-KIREKA'!E41,'02.08 NAMUGONGO-KIREKA'!E41,'04.08 NAMUGONGO-KIREKA'!E41,'29.07 NAMUGONGO-KIREKA'!E41,'03.08 NAMUGONGO-KIREKA-24h'!E41,'31.07 NAMUGONGO-KIREKA-24h'!E41,'30.07 NAMUGONGO-KIREKA'!E41)</f>
        <v>6</v>
      </c>
      <c r="F41" s="49">
        <f>AVERAGE('01.08 NAMUGONGO-KIREKA'!F41,'02.08 NAMUGONGO-KIREKA'!F41,'04.08 NAMUGONGO-KIREKA'!F41,'29.07 NAMUGONGO-KIREKA'!F41,'03.08 NAMUGONGO-KIREKA-24h'!F41,'31.07 NAMUGONGO-KIREKA-24h'!F41,'30.07 NAMUGONGO-KIREKA'!F41)</f>
        <v>27.571428571428573</v>
      </c>
      <c r="G41" s="49">
        <f>AVERAGE('01.08 NAMUGONGO-KIREKA'!G41,'02.08 NAMUGONGO-KIREKA'!G41,'04.08 NAMUGONGO-KIREKA'!G41,'29.07 NAMUGONGO-KIREKA'!G41,'03.08 NAMUGONGO-KIREKA-24h'!G41,'31.07 NAMUGONGO-KIREKA-24h'!G41,'30.07 NAMUGONGO-KIREKA'!G41)</f>
        <v>0.7142857142857143</v>
      </c>
      <c r="H41" s="49">
        <f>AVERAGE('01.08 NAMUGONGO-KIREKA'!H41,'02.08 NAMUGONGO-KIREKA'!H41,'04.08 NAMUGONGO-KIREKA'!H41,'29.07 NAMUGONGO-KIREKA'!H41,'03.08 NAMUGONGO-KIREKA-24h'!H41,'31.07 NAMUGONGO-KIREKA-24h'!H41,'30.07 NAMUGONGO-KIREKA'!H41)</f>
        <v>0</v>
      </c>
      <c r="I41" s="49">
        <f>AVERAGE('01.08 NAMUGONGO-KIREKA'!I41,'02.08 NAMUGONGO-KIREKA'!I41,'04.08 NAMUGONGO-KIREKA'!I41,'29.07 NAMUGONGO-KIREKA'!I41,'03.08 NAMUGONGO-KIREKA-24h'!I41,'31.07 NAMUGONGO-KIREKA-24h'!I41,'30.07 NAMUGONGO-KIREKA'!I41)</f>
        <v>5</v>
      </c>
      <c r="J41" s="49">
        <f>AVERAGE('01.08 NAMUGONGO-KIREKA'!J41,'02.08 NAMUGONGO-KIREKA'!J41,'04.08 NAMUGONGO-KIREKA'!J41,'29.07 NAMUGONGO-KIREKA'!J41,'03.08 NAMUGONGO-KIREKA-24h'!J41,'31.07 NAMUGONGO-KIREKA-24h'!J41,'30.07 NAMUGONGO-KIREKA'!J41)</f>
        <v>2.4285714285714284</v>
      </c>
      <c r="K41" s="49">
        <f>AVERAGE('01.08 NAMUGONGO-KIREKA'!K41,'02.08 NAMUGONGO-KIREKA'!K41,'04.08 NAMUGONGO-KIREKA'!K41,'29.07 NAMUGONGO-KIREKA'!K41,'03.08 NAMUGONGO-KIREKA-24h'!K41,'31.07 NAMUGONGO-KIREKA-24h'!K41,'30.07 NAMUGONGO-KIREKA'!K41)</f>
        <v>0.5714285714285714</v>
      </c>
      <c r="L41" s="49">
        <f>AVERAGE('01.08 NAMUGONGO-KIREKA'!L41,'02.08 NAMUGONGO-KIREKA'!L41,'04.08 NAMUGONGO-KIREKA'!L41,'29.07 NAMUGONGO-KIREKA'!L41,'03.08 NAMUGONGO-KIREKA-24h'!L41,'31.07 NAMUGONGO-KIREKA-24h'!L41,'30.07 NAMUGONGO-KIREKA'!L41)</f>
        <v>0.42857142857142855</v>
      </c>
      <c r="M41" s="49">
        <f>AVERAGE('01.08 NAMUGONGO-KIREKA'!M41,'02.08 NAMUGONGO-KIREKA'!M41,'04.08 NAMUGONGO-KIREKA'!M41,'29.07 NAMUGONGO-KIREKA'!M41,'03.08 NAMUGONGO-KIREKA-24h'!M41,'31.07 NAMUGONGO-KIREKA-24h'!M41,'30.07 NAMUGONGO-KIREKA'!M41)</f>
        <v>109.28571428571429</v>
      </c>
      <c r="N41" s="49">
        <f>AVERAGE('01.08 NAMUGONGO-KIREKA'!N41,'02.08 NAMUGONGO-KIREKA'!N41,'04.08 NAMUGONGO-KIREKA'!N41,'29.07 NAMUGONGO-KIREKA'!N41,'03.08 NAMUGONGO-KIREKA-24h'!N41,'31.07 NAMUGONGO-KIREKA-24h'!N41,'30.07 NAMUGONGO-KIREKA'!N41)</f>
        <v>0</v>
      </c>
      <c r="O41" s="15">
        <f t="shared" si="0"/>
        <v>95.714285714285708</v>
      </c>
      <c r="P41" s="15">
        <f t="shared" si="1"/>
        <v>205</v>
      </c>
      <c r="R41" s="5" t="s">
        <v>179</v>
      </c>
      <c r="S41" s="16">
        <f>SUM(S10:S33)</f>
        <v>3542.2857142857147</v>
      </c>
      <c r="T41" s="16">
        <f t="shared" ref="T41:AD41" si="33">SUM(T10:T33)</f>
        <v>363.5714285714285</v>
      </c>
      <c r="U41" s="16">
        <f t="shared" si="33"/>
        <v>448.92857142857139</v>
      </c>
      <c r="V41" s="16">
        <f t="shared" si="33"/>
        <v>1253</v>
      </c>
      <c r="W41" s="16">
        <f t="shared" si="33"/>
        <v>28.19047619047619</v>
      </c>
      <c r="X41" s="16">
        <f t="shared" si="33"/>
        <v>16.5</v>
      </c>
      <c r="Y41" s="16">
        <f t="shared" si="33"/>
        <v>256.42857142857144</v>
      </c>
      <c r="Z41" s="16">
        <f t="shared" si="33"/>
        <v>103.02380952380952</v>
      </c>
      <c r="AA41" s="16">
        <f t="shared" si="33"/>
        <v>55.5</v>
      </c>
      <c r="AB41" s="16">
        <f t="shared" si="33"/>
        <v>14.357142857142856</v>
      </c>
      <c r="AC41" s="16">
        <f t="shared" si="33"/>
        <v>7102.9285714285706</v>
      </c>
      <c r="AD41" s="16">
        <f t="shared" si="33"/>
        <v>0.2857142857142857</v>
      </c>
      <c r="AE41" s="32">
        <f>SUM(AE10:AE33)</f>
        <v>6082.0714285714284</v>
      </c>
      <c r="AF41" s="32">
        <f>SUM(AF10:AF33)</f>
        <v>13184.999999999998</v>
      </c>
    </row>
    <row r="42" spans="2:32" ht="23.1" customHeight="1" x14ac:dyDescent="0.25">
      <c r="B42" s="24" t="s">
        <v>69</v>
      </c>
      <c r="C42" s="49">
        <f>AVERAGE('01.08 NAMUGONGO-KIREKA'!C42,'02.08 NAMUGONGO-KIREKA'!C42,'04.08 NAMUGONGO-KIREKA'!C42,'29.07 NAMUGONGO-KIREKA'!C42,'03.08 NAMUGONGO-KIREKA-24h'!C42,'31.07 NAMUGONGO-KIREKA-24h'!C42,'30.07 NAMUGONGO-KIREKA'!C42)</f>
        <v>48.571428571428569</v>
      </c>
      <c r="D42" s="49">
        <f>AVERAGE('01.08 NAMUGONGO-KIREKA'!D42,'02.08 NAMUGONGO-KIREKA'!D42,'04.08 NAMUGONGO-KIREKA'!D42,'29.07 NAMUGONGO-KIREKA'!D42,'03.08 NAMUGONGO-KIREKA-24h'!D42,'31.07 NAMUGONGO-KIREKA-24h'!D42,'30.07 NAMUGONGO-KIREKA'!D42)</f>
        <v>5.5714285714285712</v>
      </c>
      <c r="E42" s="49">
        <f>AVERAGE('01.08 NAMUGONGO-KIREKA'!E42,'02.08 NAMUGONGO-KIREKA'!E42,'04.08 NAMUGONGO-KIREKA'!E42,'29.07 NAMUGONGO-KIREKA'!E42,'03.08 NAMUGONGO-KIREKA-24h'!E42,'31.07 NAMUGONGO-KIREKA-24h'!E42,'30.07 NAMUGONGO-KIREKA'!E42)</f>
        <v>10.714285714285714</v>
      </c>
      <c r="F42" s="49">
        <f>AVERAGE('01.08 NAMUGONGO-KIREKA'!F42,'02.08 NAMUGONGO-KIREKA'!F42,'04.08 NAMUGONGO-KIREKA'!F42,'29.07 NAMUGONGO-KIREKA'!F42,'03.08 NAMUGONGO-KIREKA-24h'!F42,'31.07 NAMUGONGO-KIREKA-24h'!F42,'30.07 NAMUGONGO-KIREKA'!F42)</f>
        <v>13.857142857142858</v>
      </c>
      <c r="G42" s="49">
        <f>AVERAGE('01.08 NAMUGONGO-KIREKA'!G42,'02.08 NAMUGONGO-KIREKA'!G42,'04.08 NAMUGONGO-KIREKA'!G42,'29.07 NAMUGONGO-KIREKA'!G42,'03.08 NAMUGONGO-KIREKA-24h'!G42,'31.07 NAMUGONGO-KIREKA-24h'!G42,'30.07 NAMUGONGO-KIREKA'!G42)</f>
        <v>1.7142857142857142</v>
      </c>
      <c r="H42" s="49">
        <f>AVERAGE('01.08 NAMUGONGO-KIREKA'!H42,'02.08 NAMUGONGO-KIREKA'!H42,'04.08 NAMUGONGO-KIREKA'!H42,'29.07 NAMUGONGO-KIREKA'!H42,'03.08 NAMUGONGO-KIREKA-24h'!H42,'31.07 NAMUGONGO-KIREKA-24h'!H42,'30.07 NAMUGONGO-KIREKA'!H42)</f>
        <v>0.42857142857142855</v>
      </c>
      <c r="I42" s="49">
        <f>AVERAGE('01.08 NAMUGONGO-KIREKA'!I42,'02.08 NAMUGONGO-KIREKA'!I42,'04.08 NAMUGONGO-KIREKA'!I42,'29.07 NAMUGONGO-KIREKA'!I42,'03.08 NAMUGONGO-KIREKA-24h'!I42,'31.07 NAMUGONGO-KIREKA-24h'!I42,'30.07 NAMUGONGO-KIREKA'!I42)</f>
        <v>4.4285714285714288</v>
      </c>
      <c r="J42" s="49">
        <f>AVERAGE('01.08 NAMUGONGO-KIREKA'!J42,'02.08 NAMUGONGO-KIREKA'!J42,'04.08 NAMUGONGO-KIREKA'!J42,'29.07 NAMUGONGO-KIREKA'!J42,'03.08 NAMUGONGO-KIREKA-24h'!J42,'31.07 NAMUGONGO-KIREKA-24h'!J42,'30.07 NAMUGONGO-KIREKA'!J42)</f>
        <v>3</v>
      </c>
      <c r="K42" s="49">
        <f>AVERAGE('01.08 NAMUGONGO-KIREKA'!K42,'02.08 NAMUGONGO-KIREKA'!K42,'04.08 NAMUGONGO-KIREKA'!K42,'29.07 NAMUGONGO-KIREKA'!K42,'03.08 NAMUGONGO-KIREKA-24h'!K42,'31.07 NAMUGONGO-KIREKA-24h'!K42,'30.07 NAMUGONGO-KIREKA'!K42)</f>
        <v>0.7142857142857143</v>
      </c>
      <c r="L42" s="49">
        <f>AVERAGE('01.08 NAMUGONGO-KIREKA'!L42,'02.08 NAMUGONGO-KIREKA'!L42,'04.08 NAMUGONGO-KIREKA'!L42,'29.07 NAMUGONGO-KIREKA'!L42,'03.08 NAMUGONGO-KIREKA-24h'!L42,'31.07 NAMUGONGO-KIREKA-24h'!L42,'30.07 NAMUGONGO-KIREKA'!L42)</f>
        <v>0.2857142857142857</v>
      </c>
      <c r="M42" s="49">
        <f>AVERAGE('01.08 NAMUGONGO-KIREKA'!M42,'02.08 NAMUGONGO-KIREKA'!M42,'04.08 NAMUGONGO-KIREKA'!M42,'29.07 NAMUGONGO-KIREKA'!M42,'03.08 NAMUGONGO-KIREKA-24h'!M42,'31.07 NAMUGONGO-KIREKA-24h'!M42,'30.07 NAMUGONGO-KIREKA'!M42)</f>
        <v>105.14285714285714</v>
      </c>
      <c r="N42" s="49">
        <f>AVERAGE('01.08 NAMUGONGO-KIREKA'!N42,'02.08 NAMUGONGO-KIREKA'!N42,'04.08 NAMUGONGO-KIREKA'!N42,'29.07 NAMUGONGO-KIREKA'!N42,'03.08 NAMUGONGO-KIREKA-24h'!N42,'31.07 NAMUGONGO-KIREKA-24h'!N42,'30.07 NAMUGONGO-KIREKA'!N42)</f>
        <v>0</v>
      </c>
      <c r="O42" s="15">
        <f t="shared" si="0"/>
        <v>89.285714285714278</v>
      </c>
      <c r="P42" s="15">
        <f t="shared" si="1"/>
        <v>194.42857142857142</v>
      </c>
      <c r="R42" s="5" t="s">
        <v>160</v>
      </c>
      <c r="S42" s="48">
        <f>S41/S40</f>
        <v>1.2427826784282276</v>
      </c>
      <c r="T42" s="48">
        <f t="shared" ref="T42:AF42" si="34">T41/T40</f>
        <v>1.1167178587099604</v>
      </c>
      <c r="U42" s="48">
        <f t="shared" si="34"/>
        <v>1.1527879677182686</v>
      </c>
      <c r="V42" s="48">
        <f t="shared" si="34"/>
        <v>1.2504990019960078</v>
      </c>
      <c r="W42" s="48">
        <f t="shared" si="34"/>
        <v>1.1653543307086613</v>
      </c>
      <c r="X42" s="48">
        <f t="shared" si="34"/>
        <v>1.1000000000000001</v>
      </c>
      <c r="Y42" s="48">
        <f t="shared" si="34"/>
        <v>1.1528580603725112</v>
      </c>
      <c r="Z42" s="48">
        <f t="shared" si="34"/>
        <v>1.2484131563762262</v>
      </c>
      <c r="AA42" s="48">
        <f t="shared" si="34"/>
        <v>1.2197802197802199</v>
      </c>
      <c r="AB42" s="48">
        <f t="shared" si="34"/>
        <v>1.0360824742268042</v>
      </c>
      <c r="AC42" s="48">
        <f t="shared" si="34"/>
        <v>1.2375672043010753</v>
      </c>
      <c r="AD42" s="48">
        <f t="shared" si="34"/>
        <v>1</v>
      </c>
      <c r="AE42" s="52">
        <f t="shared" si="34"/>
        <v>1.2234930670306774</v>
      </c>
      <c r="AF42" s="52">
        <f t="shared" si="34"/>
        <v>1.2310349656878765</v>
      </c>
    </row>
    <row r="43" spans="2:32" ht="23.1" customHeight="1" x14ac:dyDescent="0.25">
      <c r="B43" s="23" t="s">
        <v>70</v>
      </c>
      <c r="C43" s="49">
        <f>AVERAGE('01.08 NAMUGONGO-KIREKA'!C43,'02.08 NAMUGONGO-KIREKA'!C43,'04.08 NAMUGONGO-KIREKA'!C43,'29.07 NAMUGONGO-KIREKA'!C43,'03.08 NAMUGONGO-KIREKA-24h'!C43,'31.07 NAMUGONGO-KIREKA-24h'!C43,'30.07 NAMUGONGO-KIREKA'!C43)</f>
        <v>49.857142857142854</v>
      </c>
      <c r="D43" s="49">
        <f>AVERAGE('01.08 NAMUGONGO-KIREKA'!D43,'02.08 NAMUGONGO-KIREKA'!D43,'04.08 NAMUGONGO-KIREKA'!D43,'29.07 NAMUGONGO-KIREKA'!D43,'03.08 NAMUGONGO-KIREKA-24h'!D43,'31.07 NAMUGONGO-KIREKA-24h'!D43,'30.07 NAMUGONGO-KIREKA'!D43)</f>
        <v>6.5714285714285712</v>
      </c>
      <c r="E43" s="49">
        <f>AVERAGE('01.08 NAMUGONGO-KIREKA'!E43,'02.08 NAMUGONGO-KIREKA'!E43,'04.08 NAMUGONGO-KIREKA'!E43,'29.07 NAMUGONGO-KIREKA'!E43,'03.08 NAMUGONGO-KIREKA-24h'!E43,'31.07 NAMUGONGO-KIREKA-24h'!E43,'30.07 NAMUGONGO-KIREKA'!E43)</f>
        <v>8.8571428571428577</v>
      </c>
      <c r="F43" s="49">
        <f>AVERAGE('01.08 NAMUGONGO-KIREKA'!F43,'02.08 NAMUGONGO-KIREKA'!F43,'04.08 NAMUGONGO-KIREKA'!F43,'29.07 NAMUGONGO-KIREKA'!F43,'03.08 NAMUGONGO-KIREKA-24h'!F43,'31.07 NAMUGONGO-KIREKA-24h'!F43,'30.07 NAMUGONGO-KIREKA'!F43)</f>
        <v>18.714285714285715</v>
      </c>
      <c r="G43" s="49">
        <f>AVERAGE('01.08 NAMUGONGO-KIREKA'!G43,'02.08 NAMUGONGO-KIREKA'!G43,'04.08 NAMUGONGO-KIREKA'!G43,'29.07 NAMUGONGO-KIREKA'!G43,'03.08 NAMUGONGO-KIREKA-24h'!G43,'31.07 NAMUGONGO-KIREKA-24h'!G43,'30.07 NAMUGONGO-KIREKA'!G43)</f>
        <v>0.2857142857142857</v>
      </c>
      <c r="H43" s="49">
        <f>AVERAGE('01.08 NAMUGONGO-KIREKA'!H43,'02.08 NAMUGONGO-KIREKA'!H43,'04.08 NAMUGONGO-KIREKA'!H43,'29.07 NAMUGONGO-KIREKA'!H43,'03.08 NAMUGONGO-KIREKA-24h'!H43,'31.07 NAMUGONGO-KIREKA-24h'!H43,'30.07 NAMUGONGO-KIREKA'!H43)</f>
        <v>0.14285714285714285</v>
      </c>
      <c r="I43" s="49">
        <f>AVERAGE('01.08 NAMUGONGO-KIREKA'!I43,'02.08 NAMUGONGO-KIREKA'!I43,'04.08 NAMUGONGO-KIREKA'!I43,'29.07 NAMUGONGO-KIREKA'!I43,'03.08 NAMUGONGO-KIREKA-24h'!I43,'31.07 NAMUGONGO-KIREKA-24h'!I43,'30.07 NAMUGONGO-KIREKA'!I43)</f>
        <v>6.1428571428571432</v>
      </c>
      <c r="J43" s="49">
        <f>AVERAGE('01.08 NAMUGONGO-KIREKA'!J43,'02.08 NAMUGONGO-KIREKA'!J43,'04.08 NAMUGONGO-KIREKA'!J43,'29.07 NAMUGONGO-KIREKA'!J43,'03.08 NAMUGONGO-KIREKA-24h'!J43,'31.07 NAMUGONGO-KIREKA-24h'!J43,'30.07 NAMUGONGO-KIREKA'!J43)</f>
        <v>2.5714285714285716</v>
      </c>
      <c r="K43" s="49">
        <f>AVERAGE('01.08 NAMUGONGO-KIREKA'!K43,'02.08 NAMUGONGO-KIREKA'!K43,'04.08 NAMUGONGO-KIREKA'!K43,'29.07 NAMUGONGO-KIREKA'!K43,'03.08 NAMUGONGO-KIREKA-24h'!K43,'31.07 NAMUGONGO-KIREKA-24h'!K43,'30.07 NAMUGONGO-KIREKA'!K43)</f>
        <v>1.5714285714285714</v>
      </c>
      <c r="L43" s="49">
        <f>AVERAGE('01.08 NAMUGONGO-KIREKA'!L43,'02.08 NAMUGONGO-KIREKA'!L43,'04.08 NAMUGONGO-KIREKA'!L43,'29.07 NAMUGONGO-KIREKA'!L43,'03.08 NAMUGONGO-KIREKA-24h'!L43,'31.07 NAMUGONGO-KIREKA-24h'!L43,'30.07 NAMUGONGO-KIREKA'!L43)</f>
        <v>0.7142857142857143</v>
      </c>
      <c r="M43" s="49">
        <f>AVERAGE('01.08 NAMUGONGO-KIREKA'!M43,'02.08 NAMUGONGO-KIREKA'!M43,'04.08 NAMUGONGO-KIREKA'!M43,'29.07 NAMUGONGO-KIREKA'!M43,'03.08 NAMUGONGO-KIREKA-24h'!M43,'31.07 NAMUGONGO-KIREKA-24h'!M43,'30.07 NAMUGONGO-KIREKA'!M43)</f>
        <v>111.28571428571429</v>
      </c>
      <c r="N43" s="49">
        <f>AVERAGE('01.08 NAMUGONGO-KIREKA'!N43,'02.08 NAMUGONGO-KIREKA'!N43,'04.08 NAMUGONGO-KIREKA'!N43,'29.07 NAMUGONGO-KIREKA'!N43,'03.08 NAMUGONGO-KIREKA-24h'!N43,'31.07 NAMUGONGO-KIREKA-24h'!N43,'30.07 NAMUGONGO-KIREKA'!N43)</f>
        <v>0</v>
      </c>
      <c r="O43" s="15">
        <f t="shared" si="0"/>
        <v>95.428571428571416</v>
      </c>
      <c r="P43" s="15">
        <f t="shared" si="1"/>
        <v>206.71428571428572</v>
      </c>
    </row>
    <row r="44" spans="2:32" ht="23.1" customHeight="1" x14ac:dyDescent="0.25">
      <c r="B44" s="25" t="s">
        <v>71</v>
      </c>
      <c r="C44" s="49">
        <f>AVERAGE('01.08 NAMUGONGO-KIREKA'!C44,'02.08 NAMUGONGO-KIREKA'!C44,'04.08 NAMUGONGO-KIREKA'!C44,'29.07 NAMUGONGO-KIREKA'!C44,'03.08 NAMUGONGO-KIREKA-24h'!C44,'31.07 NAMUGONGO-KIREKA-24h'!C44,'30.07 NAMUGONGO-KIREKA'!C44)</f>
        <v>48.857142857142854</v>
      </c>
      <c r="D44" s="49">
        <f>AVERAGE('01.08 NAMUGONGO-KIREKA'!D44,'02.08 NAMUGONGO-KIREKA'!D44,'04.08 NAMUGONGO-KIREKA'!D44,'29.07 NAMUGONGO-KIREKA'!D44,'03.08 NAMUGONGO-KIREKA-24h'!D44,'31.07 NAMUGONGO-KIREKA-24h'!D44,'30.07 NAMUGONGO-KIREKA'!D44)</f>
        <v>6.4285714285714288</v>
      </c>
      <c r="E44" s="49">
        <f>AVERAGE('01.08 NAMUGONGO-KIREKA'!E44,'02.08 NAMUGONGO-KIREKA'!E44,'04.08 NAMUGONGO-KIREKA'!E44,'29.07 NAMUGONGO-KIREKA'!E44,'03.08 NAMUGONGO-KIREKA-24h'!E44,'31.07 NAMUGONGO-KIREKA-24h'!E44,'30.07 NAMUGONGO-KIREKA'!E44)</f>
        <v>6.8571428571428568</v>
      </c>
      <c r="F44" s="49">
        <f>AVERAGE('01.08 NAMUGONGO-KIREKA'!F44,'02.08 NAMUGONGO-KIREKA'!F44,'04.08 NAMUGONGO-KIREKA'!F44,'29.07 NAMUGONGO-KIREKA'!F44,'03.08 NAMUGONGO-KIREKA-24h'!F44,'31.07 NAMUGONGO-KIREKA-24h'!F44,'30.07 NAMUGONGO-KIREKA'!F44)</f>
        <v>16.571428571428573</v>
      </c>
      <c r="G44" s="49">
        <f>AVERAGE('01.08 NAMUGONGO-KIREKA'!G44,'02.08 NAMUGONGO-KIREKA'!G44,'04.08 NAMUGONGO-KIREKA'!G44,'29.07 NAMUGONGO-KIREKA'!G44,'03.08 NAMUGONGO-KIREKA-24h'!G44,'31.07 NAMUGONGO-KIREKA-24h'!G44,'30.07 NAMUGONGO-KIREKA'!G44)</f>
        <v>0.42857142857142855</v>
      </c>
      <c r="H44" s="49">
        <f>AVERAGE('01.08 NAMUGONGO-KIREKA'!H44,'02.08 NAMUGONGO-KIREKA'!H44,'04.08 NAMUGONGO-KIREKA'!H44,'29.07 NAMUGONGO-KIREKA'!H44,'03.08 NAMUGONGO-KIREKA-24h'!H44,'31.07 NAMUGONGO-KIREKA-24h'!H44,'30.07 NAMUGONGO-KIREKA'!H44)</f>
        <v>0</v>
      </c>
      <c r="I44" s="49">
        <f>AVERAGE('01.08 NAMUGONGO-KIREKA'!I44,'02.08 NAMUGONGO-KIREKA'!I44,'04.08 NAMUGONGO-KIREKA'!I44,'29.07 NAMUGONGO-KIREKA'!I44,'03.08 NAMUGONGO-KIREKA-24h'!I44,'31.07 NAMUGONGO-KIREKA-24h'!I44,'30.07 NAMUGONGO-KIREKA'!I44)</f>
        <v>5.7142857142857144</v>
      </c>
      <c r="J44" s="49">
        <f>AVERAGE('01.08 NAMUGONGO-KIREKA'!J44,'02.08 NAMUGONGO-KIREKA'!J44,'04.08 NAMUGONGO-KIREKA'!J44,'29.07 NAMUGONGO-KIREKA'!J44,'03.08 NAMUGONGO-KIREKA-24h'!J44,'31.07 NAMUGONGO-KIREKA-24h'!J44,'30.07 NAMUGONGO-KIREKA'!J44)</f>
        <v>2.2857142857142856</v>
      </c>
      <c r="K44" s="49">
        <f>AVERAGE('01.08 NAMUGONGO-KIREKA'!K44,'02.08 NAMUGONGO-KIREKA'!K44,'04.08 NAMUGONGO-KIREKA'!K44,'29.07 NAMUGONGO-KIREKA'!K44,'03.08 NAMUGONGO-KIREKA-24h'!K44,'31.07 NAMUGONGO-KIREKA-24h'!K44,'30.07 NAMUGONGO-KIREKA'!K44)</f>
        <v>2.1428571428571428</v>
      </c>
      <c r="L44" s="49">
        <f>AVERAGE('01.08 NAMUGONGO-KIREKA'!L44,'02.08 NAMUGONGO-KIREKA'!L44,'04.08 NAMUGONGO-KIREKA'!L44,'29.07 NAMUGONGO-KIREKA'!L44,'03.08 NAMUGONGO-KIREKA-24h'!L44,'31.07 NAMUGONGO-KIREKA-24h'!L44,'30.07 NAMUGONGO-KIREKA'!L44)</f>
        <v>0.42857142857142855</v>
      </c>
      <c r="M44" s="49">
        <f>AVERAGE('01.08 NAMUGONGO-KIREKA'!M44,'02.08 NAMUGONGO-KIREKA'!M44,'04.08 NAMUGONGO-KIREKA'!M44,'29.07 NAMUGONGO-KIREKA'!M44,'03.08 NAMUGONGO-KIREKA-24h'!M44,'31.07 NAMUGONGO-KIREKA-24h'!M44,'30.07 NAMUGONGO-KIREKA'!M44)</f>
        <v>114.42857142857143</v>
      </c>
      <c r="N44" s="49">
        <f>AVERAGE('01.08 NAMUGONGO-KIREKA'!N44,'02.08 NAMUGONGO-KIREKA'!N44,'04.08 NAMUGONGO-KIREKA'!N44,'29.07 NAMUGONGO-KIREKA'!N44,'03.08 NAMUGONGO-KIREKA-24h'!N44,'31.07 NAMUGONGO-KIREKA-24h'!N44,'30.07 NAMUGONGO-KIREKA'!N44)</f>
        <v>0</v>
      </c>
      <c r="O44" s="15">
        <f t="shared" si="0"/>
        <v>89.714285714285708</v>
      </c>
      <c r="P44" s="15">
        <f t="shared" si="1"/>
        <v>204.14285714285714</v>
      </c>
    </row>
    <row r="45" spans="2:32" ht="23.1" customHeight="1" x14ac:dyDescent="0.25">
      <c r="B45" s="23" t="s">
        <v>72</v>
      </c>
      <c r="C45" s="49">
        <f>AVERAGE('01.08 NAMUGONGO-KIREKA'!C45,'02.08 NAMUGONGO-KIREKA'!C45,'04.08 NAMUGONGO-KIREKA'!C45,'29.07 NAMUGONGO-KIREKA'!C45,'03.08 NAMUGONGO-KIREKA-24h'!C45,'31.07 NAMUGONGO-KIREKA-24h'!C45,'30.07 NAMUGONGO-KIREKA'!C45)</f>
        <v>43.714285714285715</v>
      </c>
      <c r="D45" s="49">
        <f>AVERAGE('01.08 NAMUGONGO-KIREKA'!D45,'02.08 NAMUGONGO-KIREKA'!D45,'04.08 NAMUGONGO-KIREKA'!D45,'29.07 NAMUGONGO-KIREKA'!D45,'03.08 NAMUGONGO-KIREKA-24h'!D45,'31.07 NAMUGONGO-KIREKA-24h'!D45,'30.07 NAMUGONGO-KIREKA'!D45)</f>
        <v>5.8571428571428568</v>
      </c>
      <c r="E45" s="49">
        <f>AVERAGE('01.08 NAMUGONGO-KIREKA'!E45,'02.08 NAMUGONGO-KIREKA'!E45,'04.08 NAMUGONGO-KIREKA'!E45,'29.07 NAMUGONGO-KIREKA'!E45,'03.08 NAMUGONGO-KIREKA-24h'!E45,'31.07 NAMUGONGO-KIREKA-24h'!E45,'30.07 NAMUGONGO-KIREKA'!E45)</f>
        <v>8.1428571428571423</v>
      </c>
      <c r="F45" s="49">
        <f>AVERAGE('01.08 NAMUGONGO-KIREKA'!F45,'02.08 NAMUGONGO-KIREKA'!F45,'04.08 NAMUGONGO-KIREKA'!F45,'29.07 NAMUGONGO-KIREKA'!F45,'03.08 NAMUGONGO-KIREKA-24h'!F45,'31.07 NAMUGONGO-KIREKA-24h'!F45,'30.07 NAMUGONGO-KIREKA'!F45)</f>
        <v>17.142857142857142</v>
      </c>
      <c r="G45" s="49">
        <f>AVERAGE('01.08 NAMUGONGO-KIREKA'!G45,'02.08 NAMUGONGO-KIREKA'!G45,'04.08 NAMUGONGO-KIREKA'!G45,'29.07 NAMUGONGO-KIREKA'!G45,'03.08 NAMUGONGO-KIREKA-24h'!G45,'31.07 NAMUGONGO-KIREKA-24h'!G45,'30.07 NAMUGONGO-KIREKA'!G45)</f>
        <v>0.14285714285714285</v>
      </c>
      <c r="H45" s="49">
        <f>AVERAGE('01.08 NAMUGONGO-KIREKA'!H45,'02.08 NAMUGONGO-KIREKA'!H45,'04.08 NAMUGONGO-KIREKA'!H45,'29.07 NAMUGONGO-KIREKA'!H45,'03.08 NAMUGONGO-KIREKA-24h'!H45,'31.07 NAMUGONGO-KIREKA-24h'!H45,'30.07 NAMUGONGO-KIREKA'!H45)</f>
        <v>0.14285714285714285</v>
      </c>
      <c r="I45" s="49">
        <f>AVERAGE('01.08 NAMUGONGO-KIREKA'!I45,'02.08 NAMUGONGO-KIREKA'!I45,'04.08 NAMUGONGO-KIREKA'!I45,'29.07 NAMUGONGO-KIREKA'!I45,'03.08 NAMUGONGO-KIREKA-24h'!I45,'31.07 NAMUGONGO-KIREKA-24h'!I45,'30.07 NAMUGONGO-KIREKA'!I45)</f>
        <v>5.2857142857142856</v>
      </c>
      <c r="J45" s="49">
        <f>AVERAGE('01.08 NAMUGONGO-KIREKA'!J45,'02.08 NAMUGONGO-KIREKA'!J45,'04.08 NAMUGONGO-KIREKA'!J45,'29.07 NAMUGONGO-KIREKA'!J45,'03.08 NAMUGONGO-KIREKA-24h'!J45,'31.07 NAMUGONGO-KIREKA-24h'!J45,'30.07 NAMUGONGO-KIREKA'!J45)</f>
        <v>1.1428571428571428</v>
      </c>
      <c r="K45" s="49">
        <f>AVERAGE('01.08 NAMUGONGO-KIREKA'!K45,'02.08 NAMUGONGO-KIREKA'!K45,'04.08 NAMUGONGO-KIREKA'!K45,'29.07 NAMUGONGO-KIREKA'!K45,'03.08 NAMUGONGO-KIREKA-24h'!K45,'31.07 NAMUGONGO-KIREKA-24h'!K45,'30.07 NAMUGONGO-KIREKA'!K45)</f>
        <v>1</v>
      </c>
      <c r="L45" s="49">
        <f>AVERAGE('01.08 NAMUGONGO-KIREKA'!L45,'02.08 NAMUGONGO-KIREKA'!L45,'04.08 NAMUGONGO-KIREKA'!L45,'29.07 NAMUGONGO-KIREKA'!L45,'03.08 NAMUGONGO-KIREKA-24h'!L45,'31.07 NAMUGONGO-KIREKA-24h'!L45,'30.07 NAMUGONGO-KIREKA'!L45)</f>
        <v>0.42857142857142855</v>
      </c>
      <c r="M45" s="49">
        <f>AVERAGE('01.08 NAMUGONGO-KIREKA'!M45,'02.08 NAMUGONGO-KIREKA'!M45,'04.08 NAMUGONGO-KIREKA'!M45,'29.07 NAMUGONGO-KIREKA'!M45,'03.08 NAMUGONGO-KIREKA-24h'!M45,'31.07 NAMUGONGO-KIREKA-24h'!M45,'30.07 NAMUGONGO-KIREKA'!M45)</f>
        <v>104.28571428571429</v>
      </c>
      <c r="N45" s="49">
        <f>AVERAGE('01.08 NAMUGONGO-KIREKA'!N45,'02.08 NAMUGONGO-KIREKA'!N45,'04.08 NAMUGONGO-KIREKA'!N45,'29.07 NAMUGONGO-KIREKA'!N45,'03.08 NAMUGONGO-KIREKA-24h'!N45,'31.07 NAMUGONGO-KIREKA-24h'!N45,'30.07 NAMUGONGO-KIREKA'!N45)</f>
        <v>0</v>
      </c>
      <c r="O45" s="15">
        <f t="shared" si="0"/>
        <v>82.999999999999986</v>
      </c>
      <c r="P45" s="15">
        <f t="shared" si="1"/>
        <v>187.28571428571428</v>
      </c>
    </row>
    <row r="46" spans="2:32" ht="23.1" customHeight="1" x14ac:dyDescent="0.25">
      <c r="B46" s="24" t="s">
        <v>73</v>
      </c>
      <c r="C46" s="49">
        <f>AVERAGE('01.08 NAMUGONGO-KIREKA'!C46,'02.08 NAMUGONGO-KIREKA'!C46,'04.08 NAMUGONGO-KIREKA'!C46,'29.07 NAMUGONGO-KIREKA'!C46,'03.08 NAMUGONGO-KIREKA-24h'!C46,'31.07 NAMUGONGO-KIREKA-24h'!C46,'30.07 NAMUGONGO-KIREKA'!C46)</f>
        <v>61.428571428571431</v>
      </c>
      <c r="D46" s="49">
        <f>AVERAGE('01.08 NAMUGONGO-KIREKA'!D46,'02.08 NAMUGONGO-KIREKA'!D46,'04.08 NAMUGONGO-KIREKA'!D46,'29.07 NAMUGONGO-KIREKA'!D46,'03.08 NAMUGONGO-KIREKA-24h'!D46,'31.07 NAMUGONGO-KIREKA-24h'!D46,'30.07 NAMUGONGO-KIREKA'!D46)</f>
        <v>8.1428571428571423</v>
      </c>
      <c r="E46" s="49">
        <f>AVERAGE('01.08 NAMUGONGO-KIREKA'!E46,'02.08 NAMUGONGO-KIREKA'!E46,'04.08 NAMUGONGO-KIREKA'!E46,'29.07 NAMUGONGO-KIREKA'!E46,'03.08 NAMUGONGO-KIREKA-24h'!E46,'31.07 NAMUGONGO-KIREKA-24h'!E46,'30.07 NAMUGONGO-KIREKA'!E46)</f>
        <v>7.4285714285714288</v>
      </c>
      <c r="F46" s="49">
        <f>AVERAGE('01.08 NAMUGONGO-KIREKA'!F46,'02.08 NAMUGONGO-KIREKA'!F46,'04.08 NAMUGONGO-KIREKA'!F46,'29.07 NAMUGONGO-KIREKA'!F46,'03.08 NAMUGONGO-KIREKA-24h'!F46,'31.07 NAMUGONGO-KIREKA-24h'!F46,'30.07 NAMUGONGO-KIREKA'!F46)</f>
        <v>23.571428571428573</v>
      </c>
      <c r="G46" s="49">
        <f>AVERAGE('01.08 NAMUGONGO-KIREKA'!G46,'02.08 NAMUGONGO-KIREKA'!G46,'04.08 NAMUGONGO-KIREKA'!G46,'29.07 NAMUGONGO-KIREKA'!G46,'03.08 NAMUGONGO-KIREKA-24h'!G46,'31.07 NAMUGONGO-KIREKA-24h'!G46,'30.07 NAMUGONGO-KIREKA'!G46)</f>
        <v>0</v>
      </c>
      <c r="H46" s="49">
        <f>AVERAGE('01.08 NAMUGONGO-KIREKA'!H46,'02.08 NAMUGONGO-KIREKA'!H46,'04.08 NAMUGONGO-KIREKA'!H46,'29.07 NAMUGONGO-KIREKA'!H46,'03.08 NAMUGONGO-KIREKA-24h'!H46,'31.07 NAMUGONGO-KIREKA-24h'!H46,'30.07 NAMUGONGO-KIREKA'!H46)</f>
        <v>0.5714285714285714</v>
      </c>
      <c r="I46" s="49">
        <f>AVERAGE('01.08 NAMUGONGO-KIREKA'!I46,'02.08 NAMUGONGO-KIREKA'!I46,'04.08 NAMUGONGO-KIREKA'!I46,'29.07 NAMUGONGO-KIREKA'!I46,'03.08 NAMUGONGO-KIREKA-24h'!I46,'31.07 NAMUGONGO-KIREKA-24h'!I46,'30.07 NAMUGONGO-KIREKA'!I46)</f>
        <v>6.8571428571428568</v>
      </c>
      <c r="J46" s="49">
        <f>AVERAGE('01.08 NAMUGONGO-KIREKA'!J46,'02.08 NAMUGONGO-KIREKA'!J46,'04.08 NAMUGONGO-KIREKA'!J46,'29.07 NAMUGONGO-KIREKA'!J46,'03.08 NAMUGONGO-KIREKA-24h'!J46,'31.07 NAMUGONGO-KIREKA-24h'!J46,'30.07 NAMUGONGO-KIREKA'!J46)</f>
        <v>1.5714285714285714</v>
      </c>
      <c r="K46" s="49">
        <f>AVERAGE('01.08 NAMUGONGO-KIREKA'!K46,'02.08 NAMUGONGO-KIREKA'!K46,'04.08 NAMUGONGO-KIREKA'!K46,'29.07 NAMUGONGO-KIREKA'!K46,'03.08 NAMUGONGO-KIREKA-24h'!K46,'31.07 NAMUGONGO-KIREKA-24h'!K46,'30.07 NAMUGONGO-KIREKA'!K46)</f>
        <v>0.5714285714285714</v>
      </c>
      <c r="L46" s="49">
        <f>AVERAGE('01.08 NAMUGONGO-KIREKA'!L46,'02.08 NAMUGONGO-KIREKA'!L46,'04.08 NAMUGONGO-KIREKA'!L46,'29.07 NAMUGONGO-KIREKA'!L46,'03.08 NAMUGONGO-KIREKA-24h'!L46,'31.07 NAMUGONGO-KIREKA-24h'!L46,'30.07 NAMUGONGO-KIREKA'!L46)</f>
        <v>0.42857142857142855</v>
      </c>
      <c r="M46" s="49">
        <f>AVERAGE('01.08 NAMUGONGO-KIREKA'!M46,'02.08 NAMUGONGO-KIREKA'!M46,'04.08 NAMUGONGO-KIREKA'!M46,'29.07 NAMUGONGO-KIREKA'!M46,'03.08 NAMUGONGO-KIREKA-24h'!M46,'31.07 NAMUGONGO-KIREKA-24h'!M46,'30.07 NAMUGONGO-KIREKA'!M46)</f>
        <v>113.71428571428571</v>
      </c>
      <c r="N46" s="49">
        <f>AVERAGE('01.08 NAMUGONGO-KIREKA'!N46,'02.08 NAMUGONGO-KIREKA'!N46,'04.08 NAMUGONGO-KIREKA'!N46,'29.07 NAMUGONGO-KIREKA'!N46,'03.08 NAMUGONGO-KIREKA-24h'!N46,'31.07 NAMUGONGO-KIREKA-24h'!N46,'30.07 NAMUGONGO-KIREKA'!N46)</f>
        <v>0</v>
      </c>
      <c r="O46" s="15">
        <f t="shared" si="0"/>
        <v>110.57142857142857</v>
      </c>
      <c r="P46" s="15">
        <f t="shared" si="1"/>
        <v>224.28571428571428</v>
      </c>
    </row>
    <row r="47" spans="2:32" ht="23.1" customHeight="1" x14ac:dyDescent="0.25">
      <c r="B47" s="24" t="s">
        <v>74</v>
      </c>
      <c r="C47" s="49">
        <f>AVERAGE('01.08 NAMUGONGO-KIREKA'!C47,'02.08 NAMUGONGO-KIREKA'!C47,'04.08 NAMUGONGO-KIREKA'!C47,'29.07 NAMUGONGO-KIREKA'!C47,'03.08 NAMUGONGO-KIREKA-24h'!C47,'31.07 NAMUGONGO-KIREKA-24h'!C47,'30.07 NAMUGONGO-KIREKA'!C47)</f>
        <v>44.857142857142854</v>
      </c>
      <c r="D47" s="49">
        <f>AVERAGE('01.08 NAMUGONGO-KIREKA'!D47,'02.08 NAMUGONGO-KIREKA'!D47,'04.08 NAMUGONGO-KIREKA'!D47,'29.07 NAMUGONGO-KIREKA'!D47,'03.08 NAMUGONGO-KIREKA-24h'!D47,'31.07 NAMUGONGO-KIREKA-24h'!D47,'30.07 NAMUGONGO-KIREKA'!D47)</f>
        <v>7.8571428571428568</v>
      </c>
      <c r="E47" s="49">
        <f>AVERAGE('01.08 NAMUGONGO-KIREKA'!E47,'02.08 NAMUGONGO-KIREKA'!E47,'04.08 NAMUGONGO-KIREKA'!E47,'29.07 NAMUGONGO-KIREKA'!E47,'03.08 NAMUGONGO-KIREKA-24h'!E47,'31.07 NAMUGONGO-KIREKA-24h'!E47,'30.07 NAMUGONGO-KIREKA'!E47)</f>
        <v>7.1428571428571432</v>
      </c>
      <c r="F47" s="49">
        <f>AVERAGE('01.08 NAMUGONGO-KIREKA'!F47,'02.08 NAMUGONGO-KIREKA'!F47,'04.08 NAMUGONGO-KIREKA'!F47,'29.07 NAMUGONGO-KIREKA'!F47,'03.08 NAMUGONGO-KIREKA-24h'!F47,'31.07 NAMUGONGO-KIREKA-24h'!F47,'30.07 NAMUGONGO-KIREKA'!F47)</f>
        <v>19.428571428571427</v>
      </c>
      <c r="G47" s="49">
        <f>AVERAGE('01.08 NAMUGONGO-KIREKA'!G47,'02.08 NAMUGONGO-KIREKA'!G47,'04.08 NAMUGONGO-KIREKA'!G47,'29.07 NAMUGONGO-KIREKA'!G47,'03.08 NAMUGONGO-KIREKA-24h'!G47,'31.07 NAMUGONGO-KIREKA-24h'!G47,'30.07 NAMUGONGO-KIREKA'!G47)</f>
        <v>1</v>
      </c>
      <c r="H47" s="49">
        <f>AVERAGE('01.08 NAMUGONGO-KIREKA'!H47,'02.08 NAMUGONGO-KIREKA'!H47,'04.08 NAMUGONGO-KIREKA'!H47,'29.07 NAMUGONGO-KIREKA'!H47,'03.08 NAMUGONGO-KIREKA-24h'!H47,'31.07 NAMUGONGO-KIREKA-24h'!H47,'30.07 NAMUGONGO-KIREKA'!H47)</f>
        <v>0</v>
      </c>
      <c r="I47" s="49">
        <f>AVERAGE('01.08 NAMUGONGO-KIREKA'!I47,'02.08 NAMUGONGO-KIREKA'!I47,'04.08 NAMUGONGO-KIREKA'!I47,'29.07 NAMUGONGO-KIREKA'!I47,'03.08 NAMUGONGO-KIREKA-24h'!I47,'31.07 NAMUGONGO-KIREKA-24h'!I47,'30.07 NAMUGONGO-KIREKA'!I47)</f>
        <v>6.1428571428571432</v>
      </c>
      <c r="J47" s="49">
        <f>AVERAGE('01.08 NAMUGONGO-KIREKA'!J47,'02.08 NAMUGONGO-KIREKA'!J47,'04.08 NAMUGONGO-KIREKA'!J47,'29.07 NAMUGONGO-KIREKA'!J47,'03.08 NAMUGONGO-KIREKA-24h'!J47,'31.07 NAMUGONGO-KIREKA-24h'!J47,'30.07 NAMUGONGO-KIREKA'!J47)</f>
        <v>1.4285714285714286</v>
      </c>
      <c r="K47" s="49">
        <f>AVERAGE('01.08 NAMUGONGO-KIREKA'!K47,'02.08 NAMUGONGO-KIREKA'!K47,'04.08 NAMUGONGO-KIREKA'!K47,'29.07 NAMUGONGO-KIREKA'!K47,'03.08 NAMUGONGO-KIREKA-24h'!K47,'31.07 NAMUGONGO-KIREKA-24h'!K47,'30.07 NAMUGONGO-KIREKA'!K47)</f>
        <v>0.2857142857142857</v>
      </c>
      <c r="L47" s="49">
        <f>AVERAGE('01.08 NAMUGONGO-KIREKA'!L47,'02.08 NAMUGONGO-KIREKA'!L47,'04.08 NAMUGONGO-KIREKA'!L47,'29.07 NAMUGONGO-KIREKA'!L47,'03.08 NAMUGONGO-KIREKA-24h'!L47,'31.07 NAMUGONGO-KIREKA-24h'!L47,'30.07 NAMUGONGO-KIREKA'!L47)</f>
        <v>0.2857142857142857</v>
      </c>
      <c r="M47" s="49">
        <f>AVERAGE('01.08 NAMUGONGO-KIREKA'!M47,'02.08 NAMUGONGO-KIREKA'!M47,'04.08 NAMUGONGO-KIREKA'!M47,'29.07 NAMUGONGO-KIREKA'!M47,'03.08 NAMUGONGO-KIREKA-24h'!M47,'31.07 NAMUGONGO-KIREKA-24h'!M47,'30.07 NAMUGONGO-KIREKA'!M47)</f>
        <v>110.14285714285714</v>
      </c>
      <c r="N47" s="49">
        <f>AVERAGE('01.08 NAMUGONGO-KIREKA'!N47,'02.08 NAMUGONGO-KIREKA'!N47,'04.08 NAMUGONGO-KIREKA'!N47,'29.07 NAMUGONGO-KIREKA'!N47,'03.08 NAMUGONGO-KIREKA-24h'!N47,'31.07 NAMUGONGO-KIREKA-24h'!N47,'30.07 NAMUGONGO-KIREKA'!N47)</f>
        <v>0</v>
      </c>
      <c r="O47" s="15">
        <f t="shared" si="0"/>
        <v>88.428571428571431</v>
      </c>
      <c r="P47" s="15">
        <f t="shared" si="1"/>
        <v>198.57142857142856</v>
      </c>
      <c r="R47" s="8"/>
      <c r="T47"/>
    </row>
    <row r="48" spans="2:32" ht="23.1" customHeight="1" x14ac:dyDescent="0.25">
      <c r="B48" s="24" t="s">
        <v>75</v>
      </c>
      <c r="C48" s="49">
        <f>AVERAGE('01.08 NAMUGONGO-KIREKA'!C48,'02.08 NAMUGONGO-KIREKA'!C48,'04.08 NAMUGONGO-KIREKA'!C48,'29.07 NAMUGONGO-KIREKA'!C48,'03.08 NAMUGONGO-KIREKA-24h'!C48,'31.07 NAMUGONGO-KIREKA-24h'!C48,'30.07 NAMUGONGO-KIREKA'!C48)</f>
        <v>50.714285714285715</v>
      </c>
      <c r="D48" s="49">
        <f>AVERAGE('01.08 NAMUGONGO-KIREKA'!D48,'02.08 NAMUGONGO-KIREKA'!D48,'04.08 NAMUGONGO-KIREKA'!D48,'29.07 NAMUGONGO-KIREKA'!D48,'03.08 NAMUGONGO-KIREKA-24h'!D48,'31.07 NAMUGONGO-KIREKA-24h'!D48,'30.07 NAMUGONGO-KIREKA'!D48)</f>
        <v>5</v>
      </c>
      <c r="E48" s="49">
        <f>AVERAGE('01.08 NAMUGONGO-KIREKA'!E48,'02.08 NAMUGONGO-KIREKA'!E48,'04.08 NAMUGONGO-KIREKA'!E48,'29.07 NAMUGONGO-KIREKA'!E48,'03.08 NAMUGONGO-KIREKA-24h'!E48,'31.07 NAMUGONGO-KIREKA-24h'!E48,'30.07 NAMUGONGO-KIREKA'!E48)</f>
        <v>5.8571428571428568</v>
      </c>
      <c r="F48" s="49">
        <f>AVERAGE('01.08 NAMUGONGO-KIREKA'!F48,'02.08 NAMUGONGO-KIREKA'!F48,'04.08 NAMUGONGO-KIREKA'!F48,'29.07 NAMUGONGO-KIREKA'!F48,'03.08 NAMUGONGO-KIREKA-24h'!F48,'31.07 NAMUGONGO-KIREKA-24h'!F48,'30.07 NAMUGONGO-KIREKA'!F48)</f>
        <v>18.428571428571427</v>
      </c>
      <c r="G48" s="49">
        <f>AVERAGE('01.08 NAMUGONGO-KIREKA'!G48,'02.08 NAMUGONGO-KIREKA'!G48,'04.08 NAMUGONGO-KIREKA'!G48,'29.07 NAMUGONGO-KIREKA'!G48,'03.08 NAMUGONGO-KIREKA-24h'!G48,'31.07 NAMUGONGO-KIREKA-24h'!G48,'30.07 NAMUGONGO-KIREKA'!G48)</f>
        <v>0.2857142857142857</v>
      </c>
      <c r="H48" s="49">
        <f>AVERAGE('01.08 NAMUGONGO-KIREKA'!H48,'02.08 NAMUGONGO-KIREKA'!H48,'04.08 NAMUGONGO-KIREKA'!H48,'29.07 NAMUGONGO-KIREKA'!H48,'03.08 NAMUGONGO-KIREKA-24h'!H48,'31.07 NAMUGONGO-KIREKA-24h'!H48,'30.07 NAMUGONGO-KIREKA'!H48)</f>
        <v>0</v>
      </c>
      <c r="I48" s="49">
        <f>AVERAGE('01.08 NAMUGONGO-KIREKA'!I48,'02.08 NAMUGONGO-KIREKA'!I48,'04.08 NAMUGONGO-KIREKA'!I48,'29.07 NAMUGONGO-KIREKA'!I48,'03.08 NAMUGONGO-KIREKA-24h'!I48,'31.07 NAMUGONGO-KIREKA-24h'!I48,'30.07 NAMUGONGO-KIREKA'!I48)</f>
        <v>4.1428571428571432</v>
      </c>
      <c r="J48" s="49">
        <f>AVERAGE('01.08 NAMUGONGO-KIREKA'!J48,'02.08 NAMUGONGO-KIREKA'!J48,'04.08 NAMUGONGO-KIREKA'!J48,'29.07 NAMUGONGO-KIREKA'!J48,'03.08 NAMUGONGO-KIREKA-24h'!J48,'31.07 NAMUGONGO-KIREKA-24h'!J48,'30.07 NAMUGONGO-KIREKA'!J48)</f>
        <v>0.8571428571428571</v>
      </c>
      <c r="K48" s="49">
        <f>AVERAGE('01.08 NAMUGONGO-KIREKA'!K48,'02.08 NAMUGONGO-KIREKA'!K48,'04.08 NAMUGONGO-KIREKA'!K48,'29.07 NAMUGONGO-KIREKA'!K48,'03.08 NAMUGONGO-KIREKA-24h'!K48,'31.07 NAMUGONGO-KIREKA-24h'!K48,'30.07 NAMUGONGO-KIREKA'!K48)</f>
        <v>1</v>
      </c>
      <c r="L48" s="49">
        <f>AVERAGE('01.08 NAMUGONGO-KIREKA'!L48,'02.08 NAMUGONGO-KIREKA'!L48,'04.08 NAMUGONGO-KIREKA'!L48,'29.07 NAMUGONGO-KIREKA'!L48,'03.08 NAMUGONGO-KIREKA-24h'!L48,'31.07 NAMUGONGO-KIREKA-24h'!L48,'30.07 NAMUGONGO-KIREKA'!L48)</f>
        <v>0.7142857142857143</v>
      </c>
      <c r="M48" s="49">
        <f>AVERAGE('01.08 NAMUGONGO-KIREKA'!M48,'02.08 NAMUGONGO-KIREKA'!M48,'04.08 NAMUGONGO-KIREKA'!M48,'29.07 NAMUGONGO-KIREKA'!M48,'03.08 NAMUGONGO-KIREKA-24h'!M48,'31.07 NAMUGONGO-KIREKA-24h'!M48,'30.07 NAMUGONGO-KIREKA'!M48)</f>
        <v>122.71428571428571</v>
      </c>
      <c r="N48" s="49">
        <f>AVERAGE('01.08 NAMUGONGO-KIREKA'!N48,'02.08 NAMUGONGO-KIREKA'!N48,'04.08 NAMUGONGO-KIREKA'!N48,'29.07 NAMUGONGO-KIREKA'!N48,'03.08 NAMUGONGO-KIREKA-24h'!N48,'31.07 NAMUGONGO-KIREKA-24h'!N48,'30.07 NAMUGONGO-KIREKA'!N48)</f>
        <v>0</v>
      </c>
      <c r="O48" s="15">
        <f t="shared" si="0"/>
        <v>87</v>
      </c>
      <c r="P48" s="15">
        <f t="shared" si="1"/>
        <v>209.71428571428572</v>
      </c>
      <c r="R48" s="8"/>
      <c r="T48"/>
    </row>
    <row r="49" spans="2:20" ht="23.1" customHeight="1" x14ac:dyDescent="0.25">
      <c r="B49" s="23" t="s">
        <v>76</v>
      </c>
      <c r="C49" s="49">
        <f>AVERAGE('01.08 NAMUGONGO-KIREKA'!C49,'02.08 NAMUGONGO-KIREKA'!C49,'04.08 NAMUGONGO-KIREKA'!C49,'29.07 NAMUGONGO-KIREKA'!C49,'03.08 NAMUGONGO-KIREKA-24h'!C49,'31.07 NAMUGONGO-KIREKA-24h'!C49,'30.07 NAMUGONGO-KIREKA'!C49)</f>
        <v>56.142857142857146</v>
      </c>
      <c r="D49" s="49">
        <f>AVERAGE('01.08 NAMUGONGO-KIREKA'!D49,'02.08 NAMUGONGO-KIREKA'!D49,'04.08 NAMUGONGO-KIREKA'!D49,'29.07 NAMUGONGO-KIREKA'!D49,'03.08 NAMUGONGO-KIREKA-24h'!D49,'31.07 NAMUGONGO-KIREKA-24h'!D49,'30.07 NAMUGONGO-KIREKA'!D49)</f>
        <v>6.8571428571428568</v>
      </c>
      <c r="E49" s="49">
        <f>AVERAGE('01.08 NAMUGONGO-KIREKA'!E49,'02.08 NAMUGONGO-KIREKA'!E49,'04.08 NAMUGONGO-KIREKA'!E49,'29.07 NAMUGONGO-KIREKA'!E49,'03.08 NAMUGONGO-KIREKA-24h'!E49,'31.07 NAMUGONGO-KIREKA-24h'!E49,'30.07 NAMUGONGO-KIREKA'!E49)</f>
        <v>7.4285714285714288</v>
      </c>
      <c r="F49" s="49">
        <f>AVERAGE('01.08 NAMUGONGO-KIREKA'!F49,'02.08 NAMUGONGO-KIREKA'!F49,'04.08 NAMUGONGO-KIREKA'!F49,'29.07 NAMUGONGO-KIREKA'!F49,'03.08 NAMUGONGO-KIREKA-24h'!F49,'31.07 NAMUGONGO-KIREKA-24h'!F49,'30.07 NAMUGONGO-KIREKA'!F49)</f>
        <v>18</v>
      </c>
      <c r="G49" s="49">
        <f>AVERAGE('01.08 NAMUGONGO-KIREKA'!G49,'02.08 NAMUGONGO-KIREKA'!G49,'04.08 NAMUGONGO-KIREKA'!G49,'29.07 NAMUGONGO-KIREKA'!G49,'03.08 NAMUGONGO-KIREKA-24h'!G49,'31.07 NAMUGONGO-KIREKA-24h'!G49,'30.07 NAMUGONGO-KIREKA'!G49)</f>
        <v>0.5714285714285714</v>
      </c>
      <c r="H49" s="49">
        <f>AVERAGE('01.08 NAMUGONGO-KIREKA'!H49,'02.08 NAMUGONGO-KIREKA'!H49,'04.08 NAMUGONGO-KIREKA'!H49,'29.07 NAMUGONGO-KIREKA'!H49,'03.08 NAMUGONGO-KIREKA-24h'!H49,'31.07 NAMUGONGO-KIREKA-24h'!H49,'30.07 NAMUGONGO-KIREKA'!H49)</f>
        <v>0.14285714285714285</v>
      </c>
      <c r="I49" s="49">
        <f>AVERAGE('01.08 NAMUGONGO-KIREKA'!I49,'02.08 NAMUGONGO-KIREKA'!I49,'04.08 NAMUGONGO-KIREKA'!I49,'29.07 NAMUGONGO-KIREKA'!I49,'03.08 NAMUGONGO-KIREKA-24h'!I49,'31.07 NAMUGONGO-KIREKA-24h'!I49,'30.07 NAMUGONGO-KIREKA'!I49)</f>
        <v>7.8571428571428568</v>
      </c>
      <c r="J49" s="49">
        <f>AVERAGE('01.08 NAMUGONGO-KIREKA'!J49,'02.08 NAMUGONGO-KIREKA'!J49,'04.08 NAMUGONGO-KIREKA'!J49,'29.07 NAMUGONGO-KIREKA'!J49,'03.08 NAMUGONGO-KIREKA-24h'!J49,'31.07 NAMUGONGO-KIREKA-24h'!J49,'30.07 NAMUGONGO-KIREKA'!J49)</f>
        <v>2.1428571428571428</v>
      </c>
      <c r="K49" s="49">
        <f>AVERAGE('01.08 NAMUGONGO-KIREKA'!K49,'02.08 NAMUGONGO-KIREKA'!K49,'04.08 NAMUGONGO-KIREKA'!K49,'29.07 NAMUGONGO-KIREKA'!K49,'03.08 NAMUGONGO-KIREKA-24h'!K49,'31.07 NAMUGONGO-KIREKA-24h'!K49,'30.07 NAMUGONGO-KIREKA'!K49)</f>
        <v>0.5714285714285714</v>
      </c>
      <c r="L49" s="49">
        <f>AVERAGE('01.08 NAMUGONGO-KIREKA'!L49,'02.08 NAMUGONGO-KIREKA'!L49,'04.08 NAMUGONGO-KIREKA'!L49,'29.07 NAMUGONGO-KIREKA'!L49,'03.08 NAMUGONGO-KIREKA-24h'!L49,'31.07 NAMUGONGO-KIREKA-24h'!L49,'30.07 NAMUGONGO-KIREKA'!L49)</f>
        <v>0.2857142857142857</v>
      </c>
      <c r="M49" s="49">
        <f>AVERAGE('01.08 NAMUGONGO-KIREKA'!M49,'02.08 NAMUGONGO-KIREKA'!M49,'04.08 NAMUGONGO-KIREKA'!M49,'29.07 NAMUGONGO-KIREKA'!M49,'03.08 NAMUGONGO-KIREKA-24h'!M49,'31.07 NAMUGONGO-KIREKA-24h'!M49,'30.07 NAMUGONGO-KIREKA'!M49)</f>
        <v>121.57142857142857</v>
      </c>
      <c r="N49" s="49">
        <f>AVERAGE('01.08 NAMUGONGO-KIREKA'!N49,'02.08 NAMUGONGO-KIREKA'!N49,'04.08 NAMUGONGO-KIREKA'!N49,'29.07 NAMUGONGO-KIREKA'!N49,'03.08 NAMUGONGO-KIREKA-24h'!N49,'31.07 NAMUGONGO-KIREKA-24h'!N49,'30.07 NAMUGONGO-KIREKA'!N49)</f>
        <v>0</v>
      </c>
      <c r="O49" s="15">
        <f t="shared" si="0"/>
        <v>100</v>
      </c>
      <c r="P49" s="15">
        <f t="shared" si="1"/>
        <v>221.57142857142856</v>
      </c>
      <c r="R49" s="8"/>
      <c r="T49"/>
    </row>
    <row r="50" spans="2:20" ht="23.1" customHeight="1" x14ac:dyDescent="0.25">
      <c r="B50" s="24" t="s">
        <v>77</v>
      </c>
      <c r="C50" s="49">
        <f>AVERAGE('01.08 NAMUGONGO-KIREKA'!C50,'02.08 NAMUGONGO-KIREKA'!C50,'04.08 NAMUGONGO-KIREKA'!C50,'29.07 NAMUGONGO-KIREKA'!C50,'03.08 NAMUGONGO-KIREKA-24h'!C50,'31.07 NAMUGONGO-KIREKA-24h'!C50,'30.07 NAMUGONGO-KIREKA'!C50)</f>
        <v>58.285714285714285</v>
      </c>
      <c r="D50" s="49">
        <f>AVERAGE('01.08 NAMUGONGO-KIREKA'!D50,'02.08 NAMUGONGO-KIREKA'!D50,'04.08 NAMUGONGO-KIREKA'!D50,'29.07 NAMUGONGO-KIREKA'!D50,'03.08 NAMUGONGO-KIREKA-24h'!D50,'31.07 NAMUGONGO-KIREKA-24h'!D50,'30.07 NAMUGONGO-KIREKA'!D50)</f>
        <v>6.1428571428571432</v>
      </c>
      <c r="E50" s="49">
        <f>AVERAGE('01.08 NAMUGONGO-KIREKA'!E50,'02.08 NAMUGONGO-KIREKA'!E50,'04.08 NAMUGONGO-KIREKA'!E50,'29.07 NAMUGONGO-KIREKA'!E50,'03.08 NAMUGONGO-KIREKA-24h'!E50,'31.07 NAMUGONGO-KIREKA-24h'!E50,'30.07 NAMUGONGO-KIREKA'!E50)</f>
        <v>8.8571428571428577</v>
      </c>
      <c r="F50" s="49">
        <f>AVERAGE('01.08 NAMUGONGO-KIREKA'!F50,'02.08 NAMUGONGO-KIREKA'!F50,'04.08 NAMUGONGO-KIREKA'!F50,'29.07 NAMUGONGO-KIREKA'!F50,'03.08 NAMUGONGO-KIREKA-24h'!F50,'31.07 NAMUGONGO-KIREKA-24h'!F50,'30.07 NAMUGONGO-KIREKA'!F50)</f>
        <v>19.428571428571427</v>
      </c>
      <c r="G50" s="49">
        <f>AVERAGE('01.08 NAMUGONGO-KIREKA'!G50,'02.08 NAMUGONGO-KIREKA'!G50,'04.08 NAMUGONGO-KIREKA'!G50,'29.07 NAMUGONGO-KIREKA'!G50,'03.08 NAMUGONGO-KIREKA-24h'!G50,'31.07 NAMUGONGO-KIREKA-24h'!G50,'30.07 NAMUGONGO-KIREKA'!G50)</f>
        <v>0.7142857142857143</v>
      </c>
      <c r="H50" s="49">
        <f>AVERAGE('01.08 NAMUGONGO-KIREKA'!H50,'02.08 NAMUGONGO-KIREKA'!H50,'04.08 NAMUGONGO-KIREKA'!H50,'29.07 NAMUGONGO-KIREKA'!H50,'03.08 NAMUGONGO-KIREKA-24h'!H50,'31.07 NAMUGONGO-KIREKA-24h'!H50,'30.07 NAMUGONGO-KIREKA'!H50)</f>
        <v>0</v>
      </c>
      <c r="I50" s="49">
        <f>AVERAGE('01.08 NAMUGONGO-KIREKA'!I50,'02.08 NAMUGONGO-KIREKA'!I50,'04.08 NAMUGONGO-KIREKA'!I50,'29.07 NAMUGONGO-KIREKA'!I50,'03.08 NAMUGONGO-KIREKA-24h'!I50,'31.07 NAMUGONGO-KIREKA-24h'!I50,'30.07 NAMUGONGO-KIREKA'!I50)</f>
        <v>5.2857142857142856</v>
      </c>
      <c r="J50" s="49">
        <f>AVERAGE('01.08 NAMUGONGO-KIREKA'!J50,'02.08 NAMUGONGO-KIREKA'!J50,'04.08 NAMUGONGO-KIREKA'!J50,'29.07 NAMUGONGO-KIREKA'!J50,'03.08 NAMUGONGO-KIREKA-24h'!J50,'31.07 NAMUGONGO-KIREKA-24h'!J50,'30.07 NAMUGONGO-KIREKA'!J50)</f>
        <v>2.4285714285714284</v>
      </c>
      <c r="K50" s="49">
        <f>AVERAGE('01.08 NAMUGONGO-KIREKA'!K50,'02.08 NAMUGONGO-KIREKA'!K50,'04.08 NAMUGONGO-KIREKA'!K50,'29.07 NAMUGONGO-KIREKA'!K50,'03.08 NAMUGONGO-KIREKA-24h'!K50,'31.07 NAMUGONGO-KIREKA-24h'!K50,'30.07 NAMUGONGO-KIREKA'!K50)</f>
        <v>1</v>
      </c>
      <c r="L50" s="49">
        <f>AVERAGE('01.08 NAMUGONGO-KIREKA'!L50,'02.08 NAMUGONGO-KIREKA'!L50,'04.08 NAMUGONGO-KIREKA'!L50,'29.07 NAMUGONGO-KIREKA'!L50,'03.08 NAMUGONGO-KIREKA-24h'!L50,'31.07 NAMUGONGO-KIREKA-24h'!L50,'30.07 NAMUGONGO-KIREKA'!L50)</f>
        <v>0.5714285714285714</v>
      </c>
      <c r="M50" s="49">
        <f>AVERAGE('01.08 NAMUGONGO-KIREKA'!M50,'02.08 NAMUGONGO-KIREKA'!M50,'04.08 NAMUGONGO-KIREKA'!M50,'29.07 NAMUGONGO-KIREKA'!M50,'03.08 NAMUGONGO-KIREKA-24h'!M50,'31.07 NAMUGONGO-KIREKA-24h'!M50,'30.07 NAMUGONGO-KIREKA'!M50)</f>
        <v>118.85714285714286</v>
      </c>
      <c r="N50" s="49">
        <f>AVERAGE('01.08 NAMUGONGO-KIREKA'!N50,'02.08 NAMUGONGO-KIREKA'!N50,'04.08 NAMUGONGO-KIREKA'!N50,'29.07 NAMUGONGO-KIREKA'!N50,'03.08 NAMUGONGO-KIREKA-24h'!N50,'31.07 NAMUGONGO-KIREKA-24h'!N50,'30.07 NAMUGONGO-KIREKA'!N50)</f>
        <v>0</v>
      </c>
      <c r="O50" s="15">
        <f t="shared" si="0"/>
        <v>102.71428571428572</v>
      </c>
      <c r="P50" s="15">
        <f t="shared" si="1"/>
        <v>221.57142857142858</v>
      </c>
      <c r="R50" s="8"/>
      <c r="T50"/>
    </row>
    <row r="51" spans="2:20" ht="23.1" customHeight="1" x14ac:dyDescent="0.25">
      <c r="B51" s="24" t="s">
        <v>78</v>
      </c>
      <c r="C51" s="49">
        <f>AVERAGE('01.08 NAMUGONGO-KIREKA'!C51,'02.08 NAMUGONGO-KIREKA'!C51,'04.08 NAMUGONGO-KIREKA'!C51,'29.07 NAMUGONGO-KIREKA'!C51,'03.08 NAMUGONGO-KIREKA-24h'!C51,'31.07 NAMUGONGO-KIREKA-24h'!C51,'30.07 NAMUGONGO-KIREKA'!C51)</f>
        <v>51.428571428571431</v>
      </c>
      <c r="D51" s="49">
        <f>AVERAGE('01.08 NAMUGONGO-KIREKA'!D51,'02.08 NAMUGONGO-KIREKA'!D51,'04.08 NAMUGONGO-KIREKA'!D51,'29.07 NAMUGONGO-KIREKA'!D51,'03.08 NAMUGONGO-KIREKA-24h'!D51,'31.07 NAMUGONGO-KIREKA-24h'!D51,'30.07 NAMUGONGO-KIREKA'!D51)</f>
        <v>6.1428571428571432</v>
      </c>
      <c r="E51" s="49">
        <f>AVERAGE('01.08 NAMUGONGO-KIREKA'!E51,'02.08 NAMUGONGO-KIREKA'!E51,'04.08 NAMUGONGO-KIREKA'!E51,'29.07 NAMUGONGO-KIREKA'!E51,'03.08 NAMUGONGO-KIREKA-24h'!E51,'31.07 NAMUGONGO-KIREKA-24h'!E51,'30.07 NAMUGONGO-KIREKA'!E51)</f>
        <v>7.4285714285714288</v>
      </c>
      <c r="F51" s="49">
        <f>AVERAGE('01.08 NAMUGONGO-KIREKA'!F51,'02.08 NAMUGONGO-KIREKA'!F51,'04.08 NAMUGONGO-KIREKA'!F51,'29.07 NAMUGONGO-KIREKA'!F51,'03.08 NAMUGONGO-KIREKA-24h'!F51,'31.07 NAMUGONGO-KIREKA-24h'!F51,'30.07 NAMUGONGO-KIREKA'!F51)</f>
        <v>23.142857142857142</v>
      </c>
      <c r="G51" s="49">
        <f>AVERAGE('01.08 NAMUGONGO-KIREKA'!G51,'02.08 NAMUGONGO-KIREKA'!G51,'04.08 NAMUGONGO-KIREKA'!G51,'29.07 NAMUGONGO-KIREKA'!G51,'03.08 NAMUGONGO-KIREKA-24h'!G51,'31.07 NAMUGONGO-KIREKA-24h'!G51,'30.07 NAMUGONGO-KIREKA'!G51)</f>
        <v>1.2857142857142858</v>
      </c>
      <c r="H51" s="49">
        <f>AVERAGE('01.08 NAMUGONGO-KIREKA'!H51,'02.08 NAMUGONGO-KIREKA'!H51,'04.08 NAMUGONGO-KIREKA'!H51,'29.07 NAMUGONGO-KIREKA'!H51,'03.08 NAMUGONGO-KIREKA-24h'!H51,'31.07 NAMUGONGO-KIREKA-24h'!H51,'30.07 NAMUGONGO-KIREKA'!H51)</f>
        <v>0</v>
      </c>
      <c r="I51" s="49">
        <f>AVERAGE('01.08 NAMUGONGO-KIREKA'!I51,'02.08 NAMUGONGO-KIREKA'!I51,'04.08 NAMUGONGO-KIREKA'!I51,'29.07 NAMUGONGO-KIREKA'!I51,'03.08 NAMUGONGO-KIREKA-24h'!I51,'31.07 NAMUGONGO-KIREKA-24h'!I51,'30.07 NAMUGONGO-KIREKA'!I51)</f>
        <v>4.7142857142857144</v>
      </c>
      <c r="J51" s="49">
        <f>AVERAGE('01.08 NAMUGONGO-KIREKA'!J51,'02.08 NAMUGONGO-KIREKA'!J51,'04.08 NAMUGONGO-KIREKA'!J51,'29.07 NAMUGONGO-KIREKA'!J51,'03.08 NAMUGONGO-KIREKA-24h'!J51,'31.07 NAMUGONGO-KIREKA-24h'!J51,'30.07 NAMUGONGO-KIREKA'!J51)</f>
        <v>1.1428571428571428</v>
      </c>
      <c r="K51" s="49">
        <f>AVERAGE('01.08 NAMUGONGO-KIREKA'!K51,'02.08 NAMUGONGO-KIREKA'!K51,'04.08 NAMUGONGO-KIREKA'!K51,'29.07 NAMUGONGO-KIREKA'!K51,'03.08 NAMUGONGO-KIREKA-24h'!K51,'31.07 NAMUGONGO-KIREKA-24h'!K51,'30.07 NAMUGONGO-KIREKA'!K51)</f>
        <v>0.8571428571428571</v>
      </c>
      <c r="L51" s="49">
        <f>AVERAGE('01.08 NAMUGONGO-KIREKA'!L51,'02.08 NAMUGONGO-KIREKA'!L51,'04.08 NAMUGONGO-KIREKA'!L51,'29.07 NAMUGONGO-KIREKA'!L51,'03.08 NAMUGONGO-KIREKA-24h'!L51,'31.07 NAMUGONGO-KIREKA-24h'!L51,'30.07 NAMUGONGO-KIREKA'!L51)</f>
        <v>0</v>
      </c>
      <c r="M51" s="49">
        <f>AVERAGE('01.08 NAMUGONGO-KIREKA'!M51,'02.08 NAMUGONGO-KIREKA'!M51,'04.08 NAMUGONGO-KIREKA'!M51,'29.07 NAMUGONGO-KIREKA'!M51,'03.08 NAMUGONGO-KIREKA-24h'!M51,'31.07 NAMUGONGO-KIREKA-24h'!M51,'30.07 NAMUGONGO-KIREKA'!M51)</f>
        <v>123</v>
      </c>
      <c r="N51" s="49">
        <f>AVERAGE('01.08 NAMUGONGO-KIREKA'!N51,'02.08 NAMUGONGO-KIREKA'!N51,'04.08 NAMUGONGO-KIREKA'!N51,'29.07 NAMUGONGO-KIREKA'!N51,'03.08 NAMUGONGO-KIREKA-24h'!N51,'31.07 NAMUGONGO-KIREKA-24h'!N51,'30.07 NAMUGONGO-KIREKA'!N51)</f>
        <v>0</v>
      </c>
      <c r="O51" s="15">
        <f t="shared" si="0"/>
        <v>96.142857142857139</v>
      </c>
      <c r="P51" s="15">
        <f t="shared" si="1"/>
        <v>219.14285714285714</v>
      </c>
      <c r="R51" s="8"/>
      <c r="T51"/>
    </row>
    <row r="52" spans="2:20" ht="23.1" customHeight="1" x14ac:dyDescent="0.25">
      <c r="B52" s="24" t="s">
        <v>79</v>
      </c>
      <c r="C52" s="49">
        <f>AVERAGE('01.08 NAMUGONGO-KIREKA'!C52,'02.08 NAMUGONGO-KIREKA'!C52,'04.08 NAMUGONGO-KIREKA'!C52,'29.07 NAMUGONGO-KIREKA'!C52,'03.08 NAMUGONGO-KIREKA-24h'!C52,'31.07 NAMUGONGO-KIREKA-24h'!C52,'30.07 NAMUGONGO-KIREKA'!C52)</f>
        <v>54.428571428571431</v>
      </c>
      <c r="D52" s="49">
        <f>AVERAGE('01.08 NAMUGONGO-KIREKA'!D52,'02.08 NAMUGONGO-KIREKA'!D52,'04.08 NAMUGONGO-KIREKA'!D52,'29.07 NAMUGONGO-KIREKA'!D52,'03.08 NAMUGONGO-KIREKA-24h'!D52,'31.07 NAMUGONGO-KIREKA-24h'!D52,'30.07 NAMUGONGO-KIREKA'!D52)</f>
        <v>5.8571428571428568</v>
      </c>
      <c r="E52" s="49">
        <f>AVERAGE('01.08 NAMUGONGO-KIREKA'!E52,'02.08 NAMUGONGO-KIREKA'!E52,'04.08 NAMUGONGO-KIREKA'!E52,'29.07 NAMUGONGO-KIREKA'!E52,'03.08 NAMUGONGO-KIREKA-24h'!E52,'31.07 NAMUGONGO-KIREKA-24h'!E52,'30.07 NAMUGONGO-KIREKA'!E52)</f>
        <v>8</v>
      </c>
      <c r="F52" s="49">
        <f>AVERAGE('01.08 NAMUGONGO-KIREKA'!F52,'02.08 NAMUGONGO-KIREKA'!F52,'04.08 NAMUGONGO-KIREKA'!F52,'29.07 NAMUGONGO-KIREKA'!F52,'03.08 NAMUGONGO-KIREKA-24h'!F52,'31.07 NAMUGONGO-KIREKA-24h'!F52,'30.07 NAMUGONGO-KIREKA'!F52)</f>
        <v>22.714285714285715</v>
      </c>
      <c r="G52" s="49">
        <f>AVERAGE('01.08 NAMUGONGO-KIREKA'!G52,'02.08 NAMUGONGO-KIREKA'!G52,'04.08 NAMUGONGO-KIREKA'!G52,'29.07 NAMUGONGO-KIREKA'!G52,'03.08 NAMUGONGO-KIREKA-24h'!G52,'31.07 NAMUGONGO-KIREKA-24h'!G52,'30.07 NAMUGONGO-KIREKA'!G52)</f>
        <v>0.7142857142857143</v>
      </c>
      <c r="H52" s="49">
        <f>AVERAGE('01.08 NAMUGONGO-KIREKA'!H52,'02.08 NAMUGONGO-KIREKA'!H52,'04.08 NAMUGONGO-KIREKA'!H52,'29.07 NAMUGONGO-KIREKA'!H52,'03.08 NAMUGONGO-KIREKA-24h'!H52,'31.07 NAMUGONGO-KIREKA-24h'!H52,'30.07 NAMUGONGO-KIREKA'!H52)</f>
        <v>0</v>
      </c>
      <c r="I52" s="49">
        <f>AVERAGE('01.08 NAMUGONGO-KIREKA'!I52,'02.08 NAMUGONGO-KIREKA'!I52,'04.08 NAMUGONGO-KIREKA'!I52,'29.07 NAMUGONGO-KIREKA'!I52,'03.08 NAMUGONGO-KIREKA-24h'!I52,'31.07 NAMUGONGO-KIREKA-24h'!I52,'30.07 NAMUGONGO-KIREKA'!I52)</f>
        <v>2.8571428571428572</v>
      </c>
      <c r="J52" s="49">
        <f>AVERAGE('01.08 NAMUGONGO-KIREKA'!J52,'02.08 NAMUGONGO-KIREKA'!J52,'04.08 NAMUGONGO-KIREKA'!J52,'29.07 NAMUGONGO-KIREKA'!J52,'03.08 NAMUGONGO-KIREKA-24h'!J52,'31.07 NAMUGONGO-KIREKA-24h'!J52,'30.07 NAMUGONGO-KIREKA'!J52)</f>
        <v>2.8571428571428572</v>
      </c>
      <c r="K52" s="49">
        <f>AVERAGE('01.08 NAMUGONGO-KIREKA'!K52,'02.08 NAMUGONGO-KIREKA'!K52,'04.08 NAMUGONGO-KIREKA'!K52,'29.07 NAMUGONGO-KIREKA'!K52,'03.08 NAMUGONGO-KIREKA-24h'!K52,'31.07 NAMUGONGO-KIREKA-24h'!K52,'30.07 NAMUGONGO-KIREKA'!K52)</f>
        <v>1</v>
      </c>
      <c r="L52" s="49">
        <f>AVERAGE('01.08 NAMUGONGO-KIREKA'!L52,'02.08 NAMUGONGO-KIREKA'!L52,'04.08 NAMUGONGO-KIREKA'!L52,'29.07 NAMUGONGO-KIREKA'!L52,'03.08 NAMUGONGO-KIREKA-24h'!L52,'31.07 NAMUGONGO-KIREKA-24h'!L52,'30.07 NAMUGONGO-KIREKA'!L52)</f>
        <v>0.5714285714285714</v>
      </c>
      <c r="M52" s="49">
        <f>AVERAGE('01.08 NAMUGONGO-KIREKA'!M52,'02.08 NAMUGONGO-KIREKA'!M52,'04.08 NAMUGONGO-KIREKA'!M52,'29.07 NAMUGONGO-KIREKA'!M52,'03.08 NAMUGONGO-KIREKA-24h'!M52,'31.07 NAMUGONGO-KIREKA-24h'!M52,'30.07 NAMUGONGO-KIREKA'!M52)</f>
        <v>127.85714285714286</v>
      </c>
      <c r="N52" s="49">
        <f>AVERAGE('01.08 NAMUGONGO-KIREKA'!N52,'02.08 NAMUGONGO-KIREKA'!N52,'04.08 NAMUGONGO-KIREKA'!N52,'29.07 NAMUGONGO-KIREKA'!N52,'03.08 NAMUGONGO-KIREKA-24h'!N52,'31.07 NAMUGONGO-KIREKA-24h'!N52,'30.07 NAMUGONGO-KIREKA'!N52)</f>
        <v>0</v>
      </c>
      <c r="O52" s="15">
        <f t="shared" si="0"/>
        <v>99</v>
      </c>
      <c r="P52" s="15">
        <f t="shared" si="1"/>
        <v>226.85714285714286</v>
      </c>
      <c r="R52" s="8"/>
      <c r="T52"/>
    </row>
    <row r="53" spans="2:20" ht="23.1" customHeight="1" x14ac:dyDescent="0.25">
      <c r="B53" s="23" t="s">
        <v>80</v>
      </c>
      <c r="C53" s="49">
        <f>AVERAGE('01.08 NAMUGONGO-KIREKA'!C53,'02.08 NAMUGONGO-KIREKA'!C53,'04.08 NAMUGONGO-KIREKA'!C53,'29.07 NAMUGONGO-KIREKA'!C53,'03.08 NAMUGONGO-KIREKA-24h'!C53,'31.07 NAMUGONGO-KIREKA-24h'!C53,'30.07 NAMUGONGO-KIREKA'!C53)</f>
        <v>59</v>
      </c>
      <c r="D53" s="49">
        <f>AVERAGE('01.08 NAMUGONGO-KIREKA'!D53,'02.08 NAMUGONGO-KIREKA'!D53,'04.08 NAMUGONGO-KIREKA'!D53,'29.07 NAMUGONGO-KIREKA'!D53,'03.08 NAMUGONGO-KIREKA-24h'!D53,'31.07 NAMUGONGO-KIREKA-24h'!D53,'30.07 NAMUGONGO-KIREKA'!D53)</f>
        <v>5.5714285714285712</v>
      </c>
      <c r="E53" s="49">
        <f>AVERAGE('01.08 NAMUGONGO-KIREKA'!E53,'02.08 NAMUGONGO-KIREKA'!E53,'04.08 NAMUGONGO-KIREKA'!E53,'29.07 NAMUGONGO-KIREKA'!E53,'03.08 NAMUGONGO-KIREKA-24h'!E53,'31.07 NAMUGONGO-KIREKA-24h'!E53,'30.07 NAMUGONGO-KIREKA'!E53)</f>
        <v>8.7142857142857135</v>
      </c>
      <c r="F53" s="49">
        <f>AVERAGE('01.08 NAMUGONGO-KIREKA'!F53,'02.08 NAMUGONGO-KIREKA'!F53,'04.08 NAMUGONGO-KIREKA'!F53,'29.07 NAMUGONGO-KIREKA'!F53,'03.08 NAMUGONGO-KIREKA-24h'!F53,'31.07 NAMUGONGO-KIREKA-24h'!F53,'30.07 NAMUGONGO-KIREKA'!F53)</f>
        <v>19.142857142857142</v>
      </c>
      <c r="G53" s="49">
        <f>AVERAGE('01.08 NAMUGONGO-KIREKA'!G53,'02.08 NAMUGONGO-KIREKA'!G53,'04.08 NAMUGONGO-KIREKA'!G53,'29.07 NAMUGONGO-KIREKA'!G53,'03.08 NAMUGONGO-KIREKA-24h'!G53,'31.07 NAMUGONGO-KIREKA-24h'!G53,'30.07 NAMUGONGO-KIREKA'!G53)</f>
        <v>1</v>
      </c>
      <c r="H53" s="49">
        <f>AVERAGE('01.08 NAMUGONGO-KIREKA'!H53,'02.08 NAMUGONGO-KIREKA'!H53,'04.08 NAMUGONGO-KIREKA'!H53,'29.07 NAMUGONGO-KIREKA'!H53,'03.08 NAMUGONGO-KIREKA-24h'!H53,'31.07 NAMUGONGO-KIREKA-24h'!H53,'30.07 NAMUGONGO-KIREKA'!H53)</f>
        <v>0</v>
      </c>
      <c r="I53" s="49">
        <f>AVERAGE('01.08 NAMUGONGO-KIREKA'!I53,'02.08 NAMUGONGO-KIREKA'!I53,'04.08 NAMUGONGO-KIREKA'!I53,'29.07 NAMUGONGO-KIREKA'!I53,'03.08 NAMUGONGO-KIREKA-24h'!I53,'31.07 NAMUGONGO-KIREKA-24h'!I53,'30.07 NAMUGONGO-KIREKA'!I53)</f>
        <v>4.8571428571428568</v>
      </c>
      <c r="J53" s="49">
        <f>AVERAGE('01.08 NAMUGONGO-KIREKA'!J53,'02.08 NAMUGONGO-KIREKA'!J53,'04.08 NAMUGONGO-KIREKA'!J53,'29.07 NAMUGONGO-KIREKA'!J53,'03.08 NAMUGONGO-KIREKA-24h'!J53,'31.07 NAMUGONGO-KIREKA-24h'!J53,'30.07 NAMUGONGO-KIREKA'!J53)</f>
        <v>2.2857142857142856</v>
      </c>
      <c r="K53" s="49">
        <f>AVERAGE('01.08 NAMUGONGO-KIREKA'!K53,'02.08 NAMUGONGO-KIREKA'!K53,'04.08 NAMUGONGO-KIREKA'!K53,'29.07 NAMUGONGO-KIREKA'!K53,'03.08 NAMUGONGO-KIREKA-24h'!K53,'31.07 NAMUGONGO-KIREKA-24h'!K53,'30.07 NAMUGONGO-KIREKA'!K53)</f>
        <v>1</v>
      </c>
      <c r="L53" s="49">
        <f>AVERAGE('01.08 NAMUGONGO-KIREKA'!L53,'02.08 NAMUGONGO-KIREKA'!L53,'04.08 NAMUGONGO-KIREKA'!L53,'29.07 NAMUGONGO-KIREKA'!L53,'03.08 NAMUGONGO-KIREKA-24h'!L53,'31.07 NAMUGONGO-KIREKA-24h'!L53,'30.07 NAMUGONGO-KIREKA'!L53)</f>
        <v>0.2857142857142857</v>
      </c>
      <c r="M53" s="49">
        <f>AVERAGE('01.08 NAMUGONGO-KIREKA'!M53,'02.08 NAMUGONGO-KIREKA'!M53,'04.08 NAMUGONGO-KIREKA'!M53,'29.07 NAMUGONGO-KIREKA'!M53,'03.08 NAMUGONGO-KIREKA-24h'!M53,'31.07 NAMUGONGO-KIREKA-24h'!M53,'30.07 NAMUGONGO-KIREKA'!M53)</f>
        <v>138.85714285714286</v>
      </c>
      <c r="N53" s="49">
        <f>AVERAGE('01.08 NAMUGONGO-KIREKA'!N53,'02.08 NAMUGONGO-KIREKA'!N53,'04.08 NAMUGONGO-KIREKA'!N53,'29.07 NAMUGONGO-KIREKA'!N53,'03.08 NAMUGONGO-KIREKA-24h'!N53,'31.07 NAMUGONGO-KIREKA-24h'!N53,'30.07 NAMUGONGO-KIREKA'!N53)</f>
        <v>0</v>
      </c>
      <c r="O53" s="15">
        <f t="shared" si="0"/>
        <v>101.85714285714286</v>
      </c>
      <c r="P53" s="15">
        <f t="shared" si="1"/>
        <v>240.71428571428572</v>
      </c>
      <c r="R53" s="8"/>
      <c r="T53"/>
    </row>
    <row r="54" spans="2:20" ht="23.1" customHeight="1" x14ac:dyDescent="0.25">
      <c r="B54" s="23" t="s">
        <v>81</v>
      </c>
      <c r="C54" s="49">
        <f>AVERAGE('01.08 NAMUGONGO-KIREKA'!C54,'02.08 NAMUGONGO-KIREKA'!C54,'04.08 NAMUGONGO-KIREKA'!C54,'29.07 NAMUGONGO-KIREKA'!C54,'03.08 NAMUGONGO-KIREKA-24h'!C54,'31.07 NAMUGONGO-KIREKA-24h'!C54,'30.07 NAMUGONGO-KIREKA'!C54)</f>
        <v>56.142857142857146</v>
      </c>
      <c r="D54" s="49">
        <f>AVERAGE('01.08 NAMUGONGO-KIREKA'!D54,'02.08 NAMUGONGO-KIREKA'!D54,'04.08 NAMUGONGO-KIREKA'!D54,'29.07 NAMUGONGO-KIREKA'!D54,'03.08 NAMUGONGO-KIREKA-24h'!D54,'31.07 NAMUGONGO-KIREKA-24h'!D54,'30.07 NAMUGONGO-KIREKA'!D54)</f>
        <v>6.1428571428571432</v>
      </c>
      <c r="E54" s="49">
        <f>AVERAGE('01.08 NAMUGONGO-KIREKA'!E54,'02.08 NAMUGONGO-KIREKA'!E54,'04.08 NAMUGONGO-KIREKA'!E54,'29.07 NAMUGONGO-KIREKA'!E54,'03.08 NAMUGONGO-KIREKA-24h'!E54,'31.07 NAMUGONGO-KIREKA-24h'!E54,'30.07 NAMUGONGO-KIREKA'!E54)</f>
        <v>9.1428571428571423</v>
      </c>
      <c r="F54" s="49">
        <f>AVERAGE('01.08 NAMUGONGO-KIREKA'!F54,'02.08 NAMUGONGO-KIREKA'!F54,'04.08 NAMUGONGO-KIREKA'!F54,'29.07 NAMUGONGO-KIREKA'!F54,'03.08 NAMUGONGO-KIREKA-24h'!F54,'31.07 NAMUGONGO-KIREKA-24h'!F54,'30.07 NAMUGONGO-KIREKA'!F54)</f>
        <v>24.142857142857142</v>
      </c>
      <c r="G54" s="49">
        <f>AVERAGE('01.08 NAMUGONGO-KIREKA'!G54,'02.08 NAMUGONGO-KIREKA'!G54,'04.08 NAMUGONGO-KIREKA'!G54,'29.07 NAMUGONGO-KIREKA'!G54,'03.08 NAMUGONGO-KIREKA-24h'!G54,'31.07 NAMUGONGO-KIREKA-24h'!G54,'30.07 NAMUGONGO-KIREKA'!G54)</f>
        <v>1.5714285714285714</v>
      </c>
      <c r="H54" s="49">
        <f>AVERAGE('01.08 NAMUGONGO-KIREKA'!H54,'02.08 NAMUGONGO-KIREKA'!H54,'04.08 NAMUGONGO-KIREKA'!H54,'29.07 NAMUGONGO-KIREKA'!H54,'03.08 NAMUGONGO-KIREKA-24h'!H54,'31.07 NAMUGONGO-KIREKA-24h'!H54,'30.07 NAMUGONGO-KIREKA'!H54)</f>
        <v>0</v>
      </c>
      <c r="I54" s="49">
        <f>AVERAGE('01.08 NAMUGONGO-KIREKA'!I54,'02.08 NAMUGONGO-KIREKA'!I54,'04.08 NAMUGONGO-KIREKA'!I54,'29.07 NAMUGONGO-KIREKA'!I54,'03.08 NAMUGONGO-KIREKA-24h'!I54,'31.07 NAMUGONGO-KIREKA-24h'!I54,'30.07 NAMUGONGO-KIREKA'!I54)</f>
        <v>5.4285714285714288</v>
      </c>
      <c r="J54" s="49">
        <f>AVERAGE('01.08 NAMUGONGO-KIREKA'!J54,'02.08 NAMUGONGO-KIREKA'!J54,'04.08 NAMUGONGO-KIREKA'!J54,'29.07 NAMUGONGO-KIREKA'!J54,'03.08 NAMUGONGO-KIREKA-24h'!J54,'31.07 NAMUGONGO-KIREKA-24h'!J54,'30.07 NAMUGONGO-KIREKA'!J54)</f>
        <v>2</v>
      </c>
      <c r="K54" s="49">
        <f>AVERAGE('01.08 NAMUGONGO-KIREKA'!K54,'02.08 NAMUGONGO-KIREKA'!K54,'04.08 NAMUGONGO-KIREKA'!K54,'29.07 NAMUGONGO-KIREKA'!K54,'03.08 NAMUGONGO-KIREKA-24h'!K54,'31.07 NAMUGONGO-KIREKA-24h'!K54,'30.07 NAMUGONGO-KIREKA'!K54)</f>
        <v>0.7142857142857143</v>
      </c>
      <c r="L54" s="49">
        <f>AVERAGE('01.08 NAMUGONGO-KIREKA'!L54,'02.08 NAMUGONGO-KIREKA'!L54,'04.08 NAMUGONGO-KIREKA'!L54,'29.07 NAMUGONGO-KIREKA'!L54,'03.08 NAMUGONGO-KIREKA-24h'!L54,'31.07 NAMUGONGO-KIREKA-24h'!L54,'30.07 NAMUGONGO-KIREKA'!L54)</f>
        <v>0.14285714285714285</v>
      </c>
      <c r="M54" s="49">
        <f>AVERAGE('01.08 NAMUGONGO-KIREKA'!M54,'02.08 NAMUGONGO-KIREKA'!M54,'04.08 NAMUGONGO-KIREKA'!M54,'29.07 NAMUGONGO-KIREKA'!M54,'03.08 NAMUGONGO-KIREKA-24h'!M54,'31.07 NAMUGONGO-KIREKA-24h'!M54,'30.07 NAMUGONGO-KIREKA'!M54)</f>
        <v>135</v>
      </c>
      <c r="N54" s="49">
        <f>AVERAGE('01.08 NAMUGONGO-KIREKA'!N54,'02.08 NAMUGONGO-KIREKA'!N54,'04.08 NAMUGONGO-KIREKA'!N54,'29.07 NAMUGONGO-KIREKA'!N54,'03.08 NAMUGONGO-KIREKA-24h'!N54,'31.07 NAMUGONGO-KIREKA-24h'!N54,'30.07 NAMUGONGO-KIREKA'!N54)</f>
        <v>0</v>
      </c>
      <c r="O54" s="15">
        <f t="shared" si="0"/>
        <v>105.42857142857142</v>
      </c>
      <c r="P54" s="15">
        <f t="shared" si="1"/>
        <v>240.42857142857142</v>
      </c>
      <c r="R54" s="8"/>
      <c r="T54"/>
    </row>
    <row r="55" spans="2:20" ht="23.1" customHeight="1" x14ac:dyDescent="0.25">
      <c r="B55" s="23" t="s">
        <v>82</v>
      </c>
      <c r="C55" s="49">
        <f>AVERAGE('01.08 NAMUGONGO-KIREKA'!C55,'02.08 NAMUGONGO-KIREKA'!C55,'04.08 NAMUGONGO-KIREKA'!C55,'29.07 NAMUGONGO-KIREKA'!C55,'03.08 NAMUGONGO-KIREKA-24h'!C55,'31.07 NAMUGONGO-KIREKA-24h'!C55,'30.07 NAMUGONGO-KIREKA'!C55)</f>
        <v>48.285714285714285</v>
      </c>
      <c r="D55" s="49">
        <f>AVERAGE('01.08 NAMUGONGO-KIREKA'!D55,'02.08 NAMUGONGO-KIREKA'!D55,'04.08 NAMUGONGO-KIREKA'!D55,'29.07 NAMUGONGO-KIREKA'!D55,'03.08 NAMUGONGO-KIREKA-24h'!D55,'31.07 NAMUGONGO-KIREKA-24h'!D55,'30.07 NAMUGONGO-KIREKA'!D55)</f>
        <v>6.4285714285714288</v>
      </c>
      <c r="E55" s="49">
        <f>AVERAGE('01.08 NAMUGONGO-KIREKA'!E55,'02.08 NAMUGONGO-KIREKA'!E55,'04.08 NAMUGONGO-KIREKA'!E55,'29.07 NAMUGONGO-KIREKA'!E55,'03.08 NAMUGONGO-KIREKA-24h'!E55,'31.07 NAMUGONGO-KIREKA-24h'!E55,'30.07 NAMUGONGO-KIREKA'!E55)</f>
        <v>9</v>
      </c>
      <c r="F55" s="49">
        <f>AVERAGE('01.08 NAMUGONGO-KIREKA'!F55,'02.08 NAMUGONGO-KIREKA'!F55,'04.08 NAMUGONGO-KIREKA'!F55,'29.07 NAMUGONGO-KIREKA'!F55,'03.08 NAMUGONGO-KIREKA-24h'!F55,'31.07 NAMUGONGO-KIREKA-24h'!F55,'30.07 NAMUGONGO-KIREKA'!F55)</f>
        <v>19.571428571428573</v>
      </c>
      <c r="G55" s="49">
        <f>AVERAGE('01.08 NAMUGONGO-KIREKA'!G55,'02.08 NAMUGONGO-KIREKA'!G55,'04.08 NAMUGONGO-KIREKA'!G55,'29.07 NAMUGONGO-KIREKA'!G55,'03.08 NAMUGONGO-KIREKA-24h'!G55,'31.07 NAMUGONGO-KIREKA-24h'!G55,'30.07 NAMUGONGO-KIREKA'!G55)</f>
        <v>1</v>
      </c>
      <c r="H55" s="49">
        <f>AVERAGE('01.08 NAMUGONGO-KIREKA'!H55,'02.08 NAMUGONGO-KIREKA'!H55,'04.08 NAMUGONGO-KIREKA'!H55,'29.07 NAMUGONGO-KIREKA'!H55,'03.08 NAMUGONGO-KIREKA-24h'!H55,'31.07 NAMUGONGO-KIREKA-24h'!H55,'30.07 NAMUGONGO-KIREKA'!H55)</f>
        <v>0.42857142857142855</v>
      </c>
      <c r="I55" s="49">
        <f>AVERAGE('01.08 NAMUGONGO-KIREKA'!I55,'02.08 NAMUGONGO-KIREKA'!I55,'04.08 NAMUGONGO-KIREKA'!I55,'29.07 NAMUGONGO-KIREKA'!I55,'03.08 NAMUGONGO-KIREKA-24h'!I55,'31.07 NAMUGONGO-KIREKA-24h'!I55,'30.07 NAMUGONGO-KIREKA'!I55)</f>
        <v>3.2857142857142856</v>
      </c>
      <c r="J55" s="49">
        <f>AVERAGE('01.08 NAMUGONGO-KIREKA'!J55,'02.08 NAMUGONGO-KIREKA'!J55,'04.08 NAMUGONGO-KIREKA'!J55,'29.07 NAMUGONGO-KIREKA'!J55,'03.08 NAMUGONGO-KIREKA-24h'!J55,'31.07 NAMUGONGO-KIREKA-24h'!J55,'30.07 NAMUGONGO-KIREKA'!J55)</f>
        <v>1.2857142857142858</v>
      </c>
      <c r="K55" s="49">
        <f>AVERAGE('01.08 NAMUGONGO-KIREKA'!K55,'02.08 NAMUGONGO-KIREKA'!K55,'04.08 NAMUGONGO-KIREKA'!K55,'29.07 NAMUGONGO-KIREKA'!K55,'03.08 NAMUGONGO-KIREKA-24h'!K55,'31.07 NAMUGONGO-KIREKA-24h'!K55,'30.07 NAMUGONGO-KIREKA'!K55)</f>
        <v>1</v>
      </c>
      <c r="L55" s="49">
        <f>AVERAGE('01.08 NAMUGONGO-KIREKA'!L55,'02.08 NAMUGONGO-KIREKA'!L55,'04.08 NAMUGONGO-KIREKA'!L55,'29.07 NAMUGONGO-KIREKA'!L55,'03.08 NAMUGONGO-KIREKA-24h'!L55,'31.07 NAMUGONGO-KIREKA-24h'!L55,'30.07 NAMUGONGO-KIREKA'!L55)</f>
        <v>0.14285714285714285</v>
      </c>
      <c r="M55" s="49">
        <f>AVERAGE('01.08 NAMUGONGO-KIREKA'!M55,'02.08 NAMUGONGO-KIREKA'!M55,'04.08 NAMUGONGO-KIREKA'!M55,'29.07 NAMUGONGO-KIREKA'!M55,'03.08 NAMUGONGO-KIREKA-24h'!M55,'31.07 NAMUGONGO-KIREKA-24h'!M55,'30.07 NAMUGONGO-KIREKA'!M55)</f>
        <v>150.42857142857142</v>
      </c>
      <c r="N55" s="49">
        <f>AVERAGE('01.08 NAMUGONGO-KIREKA'!N55,'02.08 NAMUGONGO-KIREKA'!N55,'04.08 NAMUGONGO-KIREKA'!N55,'29.07 NAMUGONGO-KIREKA'!N55,'03.08 NAMUGONGO-KIREKA-24h'!N55,'31.07 NAMUGONGO-KIREKA-24h'!N55,'30.07 NAMUGONGO-KIREKA'!N55)</f>
        <v>0</v>
      </c>
      <c r="O55" s="15">
        <f t="shared" si="0"/>
        <v>90.428571428571445</v>
      </c>
      <c r="P55" s="15">
        <f t="shared" si="1"/>
        <v>240.85714285714286</v>
      </c>
      <c r="R55" s="8"/>
      <c r="T55"/>
    </row>
    <row r="56" spans="2:20" ht="23.1" customHeight="1" x14ac:dyDescent="0.25">
      <c r="B56" s="23" t="s">
        <v>83</v>
      </c>
      <c r="C56" s="49">
        <f>AVERAGE('01.08 NAMUGONGO-KIREKA'!C56,'02.08 NAMUGONGO-KIREKA'!C56,'04.08 NAMUGONGO-KIREKA'!C56,'29.07 NAMUGONGO-KIREKA'!C56,'03.08 NAMUGONGO-KIREKA-24h'!C56,'31.07 NAMUGONGO-KIREKA-24h'!C56,'30.07 NAMUGONGO-KIREKA'!C56)</f>
        <v>43.857142857142854</v>
      </c>
      <c r="D56" s="49">
        <f>AVERAGE('01.08 NAMUGONGO-KIREKA'!D56,'02.08 NAMUGONGO-KIREKA'!D56,'04.08 NAMUGONGO-KIREKA'!D56,'29.07 NAMUGONGO-KIREKA'!D56,'03.08 NAMUGONGO-KIREKA-24h'!D56,'31.07 NAMUGONGO-KIREKA-24h'!D56,'30.07 NAMUGONGO-KIREKA'!D56)</f>
        <v>7</v>
      </c>
      <c r="E56" s="49">
        <f>AVERAGE('01.08 NAMUGONGO-KIREKA'!E56,'02.08 NAMUGONGO-KIREKA'!E56,'04.08 NAMUGONGO-KIREKA'!E56,'29.07 NAMUGONGO-KIREKA'!E56,'03.08 NAMUGONGO-KIREKA-24h'!E56,'31.07 NAMUGONGO-KIREKA-24h'!E56,'30.07 NAMUGONGO-KIREKA'!E56)</f>
        <v>7.2857142857142856</v>
      </c>
      <c r="F56" s="49">
        <f>AVERAGE('01.08 NAMUGONGO-KIREKA'!F56,'02.08 NAMUGONGO-KIREKA'!F56,'04.08 NAMUGONGO-KIREKA'!F56,'29.07 NAMUGONGO-KIREKA'!F56,'03.08 NAMUGONGO-KIREKA-24h'!F56,'31.07 NAMUGONGO-KIREKA-24h'!F56,'30.07 NAMUGONGO-KIREKA'!F56)</f>
        <v>19.285714285714285</v>
      </c>
      <c r="G56" s="49">
        <f>AVERAGE('01.08 NAMUGONGO-KIREKA'!G56,'02.08 NAMUGONGO-KIREKA'!G56,'04.08 NAMUGONGO-KIREKA'!G56,'29.07 NAMUGONGO-KIREKA'!G56,'03.08 NAMUGONGO-KIREKA-24h'!G56,'31.07 NAMUGONGO-KIREKA-24h'!G56,'30.07 NAMUGONGO-KIREKA'!G56)</f>
        <v>0.5714285714285714</v>
      </c>
      <c r="H56" s="49">
        <f>AVERAGE('01.08 NAMUGONGO-KIREKA'!H56,'02.08 NAMUGONGO-KIREKA'!H56,'04.08 NAMUGONGO-KIREKA'!H56,'29.07 NAMUGONGO-KIREKA'!H56,'03.08 NAMUGONGO-KIREKA-24h'!H56,'31.07 NAMUGONGO-KIREKA-24h'!H56,'30.07 NAMUGONGO-KIREKA'!H56)</f>
        <v>0.2857142857142857</v>
      </c>
      <c r="I56" s="49">
        <f>AVERAGE('01.08 NAMUGONGO-KIREKA'!I56,'02.08 NAMUGONGO-KIREKA'!I56,'04.08 NAMUGONGO-KIREKA'!I56,'29.07 NAMUGONGO-KIREKA'!I56,'03.08 NAMUGONGO-KIREKA-24h'!I56,'31.07 NAMUGONGO-KIREKA-24h'!I56,'30.07 NAMUGONGO-KIREKA'!I56)</f>
        <v>2.7142857142857144</v>
      </c>
      <c r="J56" s="49">
        <f>AVERAGE('01.08 NAMUGONGO-KIREKA'!J56,'02.08 NAMUGONGO-KIREKA'!J56,'04.08 NAMUGONGO-KIREKA'!J56,'29.07 NAMUGONGO-KIREKA'!J56,'03.08 NAMUGONGO-KIREKA-24h'!J56,'31.07 NAMUGONGO-KIREKA-24h'!J56,'30.07 NAMUGONGO-KIREKA'!J56)</f>
        <v>1.2857142857142858</v>
      </c>
      <c r="K56" s="49">
        <f>AVERAGE('01.08 NAMUGONGO-KIREKA'!K56,'02.08 NAMUGONGO-KIREKA'!K56,'04.08 NAMUGONGO-KIREKA'!K56,'29.07 NAMUGONGO-KIREKA'!K56,'03.08 NAMUGONGO-KIREKA-24h'!K56,'31.07 NAMUGONGO-KIREKA-24h'!K56,'30.07 NAMUGONGO-KIREKA'!K56)</f>
        <v>0.2857142857142857</v>
      </c>
      <c r="L56" s="49">
        <f>AVERAGE('01.08 NAMUGONGO-KIREKA'!L56,'02.08 NAMUGONGO-KIREKA'!L56,'04.08 NAMUGONGO-KIREKA'!L56,'29.07 NAMUGONGO-KIREKA'!L56,'03.08 NAMUGONGO-KIREKA-24h'!L56,'31.07 NAMUGONGO-KIREKA-24h'!L56,'30.07 NAMUGONGO-KIREKA'!L56)</f>
        <v>0.14285714285714285</v>
      </c>
      <c r="M56" s="49">
        <f>AVERAGE('01.08 NAMUGONGO-KIREKA'!M56,'02.08 NAMUGONGO-KIREKA'!M56,'04.08 NAMUGONGO-KIREKA'!M56,'29.07 NAMUGONGO-KIREKA'!M56,'03.08 NAMUGONGO-KIREKA-24h'!M56,'31.07 NAMUGONGO-KIREKA-24h'!M56,'30.07 NAMUGONGO-KIREKA'!M56)</f>
        <v>138.85714285714286</v>
      </c>
      <c r="N56" s="49">
        <f>AVERAGE('01.08 NAMUGONGO-KIREKA'!N56,'02.08 NAMUGONGO-KIREKA'!N56,'04.08 NAMUGONGO-KIREKA'!N56,'29.07 NAMUGONGO-KIREKA'!N56,'03.08 NAMUGONGO-KIREKA-24h'!N56,'31.07 NAMUGONGO-KIREKA-24h'!N56,'30.07 NAMUGONGO-KIREKA'!N56)</f>
        <v>0</v>
      </c>
      <c r="O56" s="15">
        <f t="shared" si="0"/>
        <v>82.714285714285708</v>
      </c>
      <c r="P56" s="15">
        <f t="shared" si="1"/>
        <v>221.57142857142856</v>
      </c>
      <c r="R56" s="8"/>
      <c r="T56"/>
    </row>
    <row r="57" spans="2:20" ht="23.1" customHeight="1" x14ac:dyDescent="0.25">
      <c r="B57" s="23" t="s">
        <v>84</v>
      </c>
      <c r="C57" s="49">
        <f>AVERAGE('01.08 NAMUGONGO-KIREKA'!C57,'02.08 NAMUGONGO-KIREKA'!C57,'04.08 NAMUGONGO-KIREKA'!C57,'29.07 NAMUGONGO-KIREKA'!C57,'03.08 NAMUGONGO-KIREKA-24h'!C57,'31.07 NAMUGONGO-KIREKA-24h'!C57,'30.07 NAMUGONGO-KIREKA'!C57)</f>
        <v>47.571428571428569</v>
      </c>
      <c r="D57" s="49">
        <f>AVERAGE('01.08 NAMUGONGO-KIREKA'!D57,'02.08 NAMUGONGO-KIREKA'!D57,'04.08 NAMUGONGO-KIREKA'!D57,'29.07 NAMUGONGO-KIREKA'!D57,'03.08 NAMUGONGO-KIREKA-24h'!D57,'31.07 NAMUGONGO-KIREKA-24h'!D57,'30.07 NAMUGONGO-KIREKA'!D57)</f>
        <v>8</v>
      </c>
      <c r="E57" s="49">
        <f>AVERAGE('01.08 NAMUGONGO-KIREKA'!E57,'02.08 NAMUGONGO-KIREKA'!E57,'04.08 NAMUGONGO-KIREKA'!E57,'29.07 NAMUGONGO-KIREKA'!E57,'03.08 NAMUGONGO-KIREKA-24h'!E57,'31.07 NAMUGONGO-KIREKA-24h'!E57,'30.07 NAMUGONGO-KIREKA'!E57)</f>
        <v>9.2857142857142865</v>
      </c>
      <c r="F57" s="49">
        <f>AVERAGE('01.08 NAMUGONGO-KIREKA'!F57,'02.08 NAMUGONGO-KIREKA'!F57,'04.08 NAMUGONGO-KIREKA'!F57,'29.07 NAMUGONGO-KIREKA'!F57,'03.08 NAMUGONGO-KIREKA-24h'!F57,'31.07 NAMUGONGO-KIREKA-24h'!F57,'30.07 NAMUGONGO-KIREKA'!F57)</f>
        <v>23.571428571428573</v>
      </c>
      <c r="G57" s="49">
        <f>AVERAGE('01.08 NAMUGONGO-KIREKA'!G57,'02.08 NAMUGONGO-KIREKA'!G57,'04.08 NAMUGONGO-KIREKA'!G57,'29.07 NAMUGONGO-KIREKA'!G57,'03.08 NAMUGONGO-KIREKA-24h'!G57,'31.07 NAMUGONGO-KIREKA-24h'!G57,'30.07 NAMUGONGO-KIREKA'!G57)</f>
        <v>0.7142857142857143</v>
      </c>
      <c r="H57" s="49">
        <f>AVERAGE('01.08 NAMUGONGO-KIREKA'!H57,'02.08 NAMUGONGO-KIREKA'!H57,'04.08 NAMUGONGO-KIREKA'!H57,'29.07 NAMUGONGO-KIREKA'!H57,'03.08 NAMUGONGO-KIREKA-24h'!H57,'31.07 NAMUGONGO-KIREKA-24h'!H57,'30.07 NAMUGONGO-KIREKA'!H57)</f>
        <v>0</v>
      </c>
      <c r="I57" s="49">
        <f>AVERAGE('01.08 NAMUGONGO-KIREKA'!I57,'02.08 NAMUGONGO-KIREKA'!I57,'04.08 NAMUGONGO-KIREKA'!I57,'29.07 NAMUGONGO-KIREKA'!I57,'03.08 NAMUGONGO-KIREKA-24h'!I57,'31.07 NAMUGONGO-KIREKA-24h'!I57,'30.07 NAMUGONGO-KIREKA'!I57)</f>
        <v>3</v>
      </c>
      <c r="J57" s="49">
        <f>AVERAGE('01.08 NAMUGONGO-KIREKA'!J57,'02.08 NAMUGONGO-KIREKA'!J57,'04.08 NAMUGONGO-KIREKA'!J57,'29.07 NAMUGONGO-KIREKA'!J57,'03.08 NAMUGONGO-KIREKA-24h'!J57,'31.07 NAMUGONGO-KIREKA-24h'!J57,'30.07 NAMUGONGO-KIREKA'!J57)</f>
        <v>2.6666666666666665</v>
      </c>
      <c r="K57" s="49">
        <f>AVERAGE('01.08 NAMUGONGO-KIREKA'!K57,'02.08 NAMUGONGO-KIREKA'!K57,'04.08 NAMUGONGO-KIREKA'!K57,'29.07 NAMUGONGO-KIREKA'!K57,'03.08 NAMUGONGO-KIREKA-24h'!K57,'31.07 NAMUGONGO-KIREKA-24h'!K57,'30.07 NAMUGONGO-KIREKA'!K57)</f>
        <v>0.42857142857142855</v>
      </c>
      <c r="L57" s="49">
        <f>AVERAGE('01.08 NAMUGONGO-KIREKA'!L57,'02.08 NAMUGONGO-KIREKA'!L57,'04.08 NAMUGONGO-KIREKA'!L57,'29.07 NAMUGONGO-KIREKA'!L57,'03.08 NAMUGONGO-KIREKA-24h'!L57,'31.07 NAMUGONGO-KIREKA-24h'!L57,'30.07 NAMUGONGO-KIREKA'!L57)</f>
        <v>0</v>
      </c>
      <c r="M57" s="49">
        <f>AVERAGE('01.08 NAMUGONGO-KIREKA'!M57,'02.08 NAMUGONGO-KIREKA'!M57,'04.08 NAMUGONGO-KIREKA'!M57,'29.07 NAMUGONGO-KIREKA'!M57,'03.08 NAMUGONGO-KIREKA-24h'!M57,'31.07 NAMUGONGO-KIREKA-24h'!M57,'30.07 NAMUGONGO-KIREKA'!M57)</f>
        <v>143.14285714285714</v>
      </c>
      <c r="N57" s="49">
        <f>AVERAGE('01.08 NAMUGONGO-KIREKA'!N57,'02.08 NAMUGONGO-KIREKA'!N57,'04.08 NAMUGONGO-KIREKA'!N57,'29.07 NAMUGONGO-KIREKA'!N57,'03.08 NAMUGONGO-KIREKA-24h'!N57,'31.07 NAMUGONGO-KIREKA-24h'!N57,'30.07 NAMUGONGO-KIREKA'!N57)</f>
        <v>0</v>
      </c>
      <c r="O57" s="15">
        <f t="shared" si="0"/>
        <v>95.238095238095241</v>
      </c>
      <c r="P57" s="15">
        <f t="shared" si="1"/>
        <v>238.38095238095238</v>
      </c>
      <c r="R57" s="8"/>
      <c r="T57"/>
    </row>
    <row r="58" spans="2:20" ht="23.1" customHeight="1" x14ac:dyDescent="0.25">
      <c r="B58" s="23" t="s">
        <v>99</v>
      </c>
      <c r="C58" s="49">
        <f>AVERAGE('31.07 NAMUGONGO-KIREKA-24h'!C58,'03.08 NAMUGONGO-KIREKA-24h'!C58)</f>
        <v>30</v>
      </c>
      <c r="D58" s="49">
        <f>AVERAGE('31.07 NAMUGONGO-KIREKA-24h'!D58,'03.08 NAMUGONGO-KIREKA-24h'!D58)</f>
        <v>5</v>
      </c>
      <c r="E58" s="49">
        <f>AVERAGE('31.07 NAMUGONGO-KIREKA-24h'!E58,'03.08 NAMUGONGO-KIREKA-24h'!E58)</f>
        <v>1.5</v>
      </c>
      <c r="F58" s="49">
        <f>AVERAGE('31.07 NAMUGONGO-KIREKA-24h'!F58,'03.08 NAMUGONGO-KIREKA-24h'!F58)</f>
        <v>14</v>
      </c>
      <c r="G58" s="49">
        <f>AVERAGE('31.07 NAMUGONGO-KIREKA-24h'!G58,'03.08 NAMUGONGO-KIREKA-24h'!G58)</f>
        <v>0.5</v>
      </c>
      <c r="H58" s="49">
        <f>AVERAGE('31.07 NAMUGONGO-KIREKA-24h'!H58,'03.08 NAMUGONGO-KIREKA-24h'!H58)</f>
        <v>0</v>
      </c>
      <c r="I58" s="49">
        <f>AVERAGE('31.07 NAMUGONGO-KIREKA-24h'!I58,'03.08 NAMUGONGO-KIREKA-24h'!I58)</f>
        <v>1.5</v>
      </c>
      <c r="J58" s="49">
        <f>AVERAGE('31.07 NAMUGONGO-KIREKA-24h'!J58,'03.08 NAMUGONGO-KIREKA-24h'!J58)</f>
        <v>0.5</v>
      </c>
      <c r="K58" s="49">
        <f>AVERAGE('31.07 NAMUGONGO-KIREKA-24h'!K58,'03.08 NAMUGONGO-KIREKA-24h'!K58)</f>
        <v>0</v>
      </c>
      <c r="L58" s="49">
        <f>AVERAGE('31.07 NAMUGONGO-KIREKA-24h'!L58,'03.08 NAMUGONGO-KIREKA-24h'!L58)</f>
        <v>0</v>
      </c>
      <c r="M58" s="49">
        <f>AVERAGE('31.07 NAMUGONGO-KIREKA-24h'!M58,'03.08 NAMUGONGO-KIREKA-24h'!M58)</f>
        <v>46.5</v>
      </c>
      <c r="N58" s="49">
        <f>AVERAGE('31.07 NAMUGONGO-KIREKA-24h'!N58,'03.08 NAMUGONGO-KIREKA-24h'!N58)</f>
        <v>0</v>
      </c>
      <c r="O58" s="15">
        <f t="shared" si="0"/>
        <v>53</v>
      </c>
      <c r="P58" s="15">
        <f t="shared" si="1"/>
        <v>99.5</v>
      </c>
      <c r="R58" s="8"/>
      <c r="T58"/>
    </row>
    <row r="59" spans="2:20" ht="23.1" customHeight="1" x14ac:dyDescent="0.25">
      <c r="B59" s="23" t="s">
        <v>100</v>
      </c>
      <c r="C59" s="49">
        <f>AVERAGE('31.07 NAMUGONGO-KIREKA-24h'!C59,'03.08 NAMUGONGO-KIREKA-24h'!C59)</f>
        <v>32</v>
      </c>
      <c r="D59" s="49">
        <f>AVERAGE('31.07 NAMUGONGO-KIREKA-24h'!D59,'03.08 NAMUGONGO-KIREKA-24h'!D59)</f>
        <v>2</v>
      </c>
      <c r="E59" s="49">
        <f>AVERAGE('31.07 NAMUGONGO-KIREKA-24h'!E59,'03.08 NAMUGONGO-KIREKA-24h'!E59)</f>
        <v>4</v>
      </c>
      <c r="F59" s="49">
        <f>AVERAGE('31.07 NAMUGONGO-KIREKA-24h'!F59,'03.08 NAMUGONGO-KIREKA-24h'!F59)</f>
        <v>11.5</v>
      </c>
      <c r="G59" s="49">
        <f>AVERAGE('31.07 NAMUGONGO-KIREKA-24h'!G59,'03.08 NAMUGONGO-KIREKA-24h'!G59)</f>
        <v>1</v>
      </c>
      <c r="H59" s="49">
        <f>AVERAGE('31.07 NAMUGONGO-KIREKA-24h'!H59,'03.08 NAMUGONGO-KIREKA-24h'!H59)</f>
        <v>0</v>
      </c>
      <c r="I59" s="49">
        <f>AVERAGE('31.07 NAMUGONGO-KIREKA-24h'!I59,'03.08 NAMUGONGO-KIREKA-24h'!I59)</f>
        <v>0</v>
      </c>
      <c r="J59" s="49">
        <f>AVERAGE('31.07 NAMUGONGO-KIREKA-24h'!J59,'03.08 NAMUGONGO-KIREKA-24h'!J59)</f>
        <v>1.5</v>
      </c>
      <c r="K59" s="49">
        <f>AVERAGE('31.07 NAMUGONGO-KIREKA-24h'!K59,'03.08 NAMUGONGO-KIREKA-24h'!K59)</f>
        <v>3.5</v>
      </c>
      <c r="L59" s="49">
        <f>AVERAGE('31.07 NAMUGONGO-KIREKA-24h'!L59,'03.08 NAMUGONGO-KIREKA-24h'!L59)</f>
        <v>0</v>
      </c>
      <c r="M59" s="49">
        <f>AVERAGE('31.07 NAMUGONGO-KIREKA-24h'!M59,'03.08 NAMUGONGO-KIREKA-24h'!M59)</f>
        <v>51.5</v>
      </c>
      <c r="N59" s="49">
        <f>AVERAGE('31.07 NAMUGONGO-KIREKA-24h'!N59,'03.08 NAMUGONGO-KIREKA-24h'!N59)</f>
        <v>0</v>
      </c>
      <c r="O59" s="15">
        <f t="shared" ref="O59:O105" si="35">SUM(C59:L59,N59)</f>
        <v>55.5</v>
      </c>
      <c r="P59" s="15">
        <f t="shared" ref="P59:P105" si="36">SUM(C59:N59)</f>
        <v>107</v>
      </c>
      <c r="R59" s="8"/>
      <c r="T59"/>
    </row>
    <row r="60" spans="2:20" ht="23.1" customHeight="1" x14ac:dyDescent="0.25">
      <c r="B60" s="23" t="s">
        <v>101</v>
      </c>
      <c r="C60" s="49">
        <f>AVERAGE('31.07 NAMUGONGO-KIREKA-24h'!C60,'03.08 NAMUGONGO-KIREKA-24h'!C60)</f>
        <v>37.5</v>
      </c>
      <c r="D60" s="49">
        <f>AVERAGE('31.07 NAMUGONGO-KIREKA-24h'!D60,'03.08 NAMUGONGO-KIREKA-24h'!D60)</f>
        <v>4</v>
      </c>
      <c r="E60" s="49">
        <f>AVERAGE('31.07 NAMUGONGO-KIREKA-24h'!E60,'03.08 NAMUGONGO-KIREKA-24h'!E60)</f>
        <v>3</v>
      </c>
      <c r="F60" s="49">
        <f>AVERAGE('31.07 NAMUGONGO-KIREKA-24h'!F60,'03.08 NAMUGONGO-KIREKA-24h'!F60)</f>
        <v>8.5</v>
      </c>
      <c r="G60" s="49">
        <f>AVERAGE('31.07 NAMUGONGO-KIREKA-24h'!G60,'03.08 NAMUGONGO-KIREKA-24h'!G60)</f>
        <v>0</v>
      </c>
      <c r="H60" s="49">
        <f>AVERAGE('31.07 NAMUGONGO-KIREKA-24h'!H60,'03.08 NAMUGONGO-KIREKA-24h'!H60)</f>
        <v>0</v>
      </c>
      <c r="I60" s="49">
        <f>AVERAGE('31.07 NAMUGONGO-KIREKA-24h'!I60,'03.08 NAMUGONGO-KIREKA-24h'!I60)</f>
        <v>0.5</v>
      </c>
      <c r="J60" s="49">
        <f>AVERAGE('31.07 NAMUGONGO-KIREKA-24h'!J60,'03.08 NAMUGONGO-KIREKA-24h'!J60)</f>
        <v>1</v>
      </c>
      <c r="K60" s="49">
        <f>AVERAGE('31.07 NAMUGONGO-KIREKA-24h'!K60,'03.08 NAMUGONGO-KIREKA-24h'!K60)</f>
        <v>0</v>
      </c>
      <c r="L60" s="49">
        <f>AVERAGE('31.07 NAMUGONGO-KIREKA-24h'!L60,'03.08 NAMUGONGO-KIREKA-24h'!L60)</f>
        <v>0</v>
      </c>
      <c r="M60" s="49">
        <f>AVERAGE('31.07 NAMUGONGO-KIREKA-24h'!M60,'03.08 NAMUGONGO-KIREKA-24h'!M60)</f>
        <v>210.5</v>
      </c>
      <c r="N60" s="49">
        <f>AVERAGE('31.07 NAMUGONGO-KIREKA-24h'!N60,'03.08 NAMUGONGO-KIREKA-24h'!N60)</f>
        <v>0</v>
      </c>
      <c r="O60" s="15">
        <f t="shared" si="35"/>
        <v>54.5</v>
      </c>
      <c r="P60" s="15">
        <f t="shared" si="36"/>
        <v>265</v>
      </c>
      <c r="R60" s="8"/>
      <c r="T60"/>
    </row>
    <row r="61" spans="2:20" ht="23.1" customHeight="1" x14ac:dyDescent="0.25">
      <c r="B61" s="23" t="s">
        <v>102</v>
      </c>
      <c r="C61" s="49">
        <f>AVERAGE('31.07 NAMUGONGO-KIREKA-24h'!C61,'03.08 NAMUGONGO-KIREKA-24h'!C61)</f>
        <v>30</v>
      </c>
      <c r="D61" s="49">
        <f>AVERAGE('31.07 NAMUGONGO-KIREKA-24h'!D61,'03.08 NAMUGONGO-KIREKA-24h'!D61)</f>
        <v>0.5</v>
      </c>
      <c r="E61" s="49">
        <f>AVERAGE('31.07 NAMUGONGO-KIREKA-24h'!E61,'03.08 NAMUGONGO-KIREKA-24h'!E61)</f>
        <v>3.5</v>
      </c>
      <c r="F61" s="49">
        <f>AVERAGE('31.07 NAMUGONGO-KIREKA-24h'!F61,'03.08 NAMUGONGO-KIREKA-24h'!F61)</f>
        <v>13.5</v>
      </c>
      <c r="G61" s="49">
        <f>AVERAGE('31.07 NAMUGONGO-KIREKA-24h'!G61,'03.08 NAMUGONGO-KIREKA-24h'!G61)</f>
        <v>0</v>
      </c>
      <c r="H61" s="49">
        <f>AVERAGE('31.07 NAMUGONGO-KIREKA-24h'!H61,'03.08 NAMUGONGO-KIREKA-24h'!H61)</f>
        <v>0</v>
      </c>
      <c r="I61" s="49">
        <f>AVERAGE('31.07 NAMUGONGO-KIREKA-24h'!I61,'03.08 NAMUGONGO-KIREKA-24h'!I61)</f>
        <v>2</v>
      </c>
      <c r="J61" s="49">
        <f>AVERAGE('31.07 NAMUGONGO-KIREKA-24h'!J61,'03.08 NAMUGONGO-KIREKA-24h'!J61)</f>
        <v>0.5</v>
      </c>
      <c r="K61" s="49">
        <f>AVERAGE('31.07 NAMUGONGO-KIREKA-24h'!K61,'03.08 NAMUGONGO-KIREKA-24h'!K61)</f>
        <v>0</v>
      </c>
      <c r="L61" s="49">
        <f>AVERAGE('31.07 NAMUGONGO-KIREKA-24h'!L61,'03.08 NAMUGONGO-KIREKA-24h'!L61)</f>
        <v>0</v>
      </c>
      <c r="M61" s="49">
        <f>AVERAGE('31.07 NAMUGONGO-KIREKA-24h'!M61,'03.08 NAMUGONGO-KIREKA-24h'!M61)</f>
        <v>83</v>
      </c>
      <c r="N61" s="49">
        <f>AVERAGE('31.07 NAMUGONGO-KIREKA-24h'!N61,'03.08 NAMUGONGO-KIREKA-24h'!N61)</f>
        <v>0</v>
      </c>
      <c r="O61" s="15">
        <f t="shared" si="35"/>
        <v>50</v>
      </c>
      <c r="P61" s="15">
        <f t="shared" si="36"/>
        <v>133</v>
      </c>
      <c r="R61" s="8"/>
      <c r="T61"/>
    </row>
    <row r="62" spans="2:20" ht="23.1" customHeight="1" x14ac:dyDescent="0.25">
      <c r="B62" s="23" t="s">
        <v>107</v>
      </c>
      <c r="C62" s="49">
        <f>AVERAGE('31.07 NAMUGONGO-KIREKA-24h'!C62,'03.08 NAMUGONGO-KIREKA-24h'!C62)</f>
        <v>17.5</v>
      </c>
      <c r="D62" s="49">
        <f>AVERAGE('31.07 NAMUGONGO-KIREKA-24h'!D62,'03.08 NAMUGONGO-KIREKA-24h'!D62)</f>
        <v>1.5</v>
      </c>
      <c r="E62" s="49">
        <f>AVERAGE('31.07 NAMUGONGO-KIREKA-24h'!E62,'03.08 NAMUGONGO-KIREKA-24h'!E62)</f>
        <v>2</v>
      </c>
      <c r="F62" s="49">
        <f>AVERAGE('31.07 NAMUGONGO-KIREKA-24h'!F62,'03.08 NAMUGONGO-KIREKA-24h'!F62)</f>
        <v>7</v>
      </c>
      <c r="G62" s="49">
        <f>AVERAGE('31.07 NAMUGONGO-KIREKA-24h'!G62,'03.08 NAMUGONGO-KIREKA-24h'!G62)</f>
        <v>0</v>
      </c>
      <c r="H62" s="49">
        <f>AVERAGE('31.07 NAMUGONGO-KIREKA-24h'!H62,'03.08 NAMUGONGO-KIREKA-24h'!H62)</f>
        <v>0</v>
      </c>
      <c r="I62" s="49">
        <f>AVERAGE('31.07 NAMUGONGO-KIREKA-24h'!I62,'03.08 NAMUGONGO-KIREKA-24h'!I62)</f>
        <v>2</v>
      </c>
      <c r="J62" s="49">
        <f>AVERAGE('31.07 NAMUGONGO-KIREKA-24h'!J62,'03.08 NAMUGONGO-KIREKA-24h'!J62)</f>
        <v>0</v>
      </c>
      <c r="K62" s="49">
        <f>AVERAGE('31.07 NAMUGONGO-KIREKA-24h'!K62,'03.08 NAMUGONGO-KIREKA-24h'!K62)</f>
        <v>0.5</v>
      </c>
      <c r="L62" s="49">
        <f>AVERAGE('31.07 NAMUGONGO-KIREKA-24h'!L62,'03.08 NAMUGONGO-KIREKA-24h'!L62)</f>
        <v>0</v>
      </c>
      <c r="M62" s="49">
        <f>AVERAGE('31.07 NAMUGONGO-KIREKA-24h'!M62,'03.08 NAMUGONGO-KIREKA-24h'!M62)</f>
        <v>68</v>
      </c>
      <c r="N62" s="49">
        <f>AVERAGE('31.07 NAMUGONGO-KIREKA-24h'!N62,'03.08 NAMUGONGO-KIREKA-24h'!N62)</f>
        <v>0</v>
      </c>
      <c r="O62" s="15">
        <f t="shared" si="35"/>
        <v>30.5</v>
      </c>
      <c r="P62" s="15">
        <f t="shared" si="36"/>
        <v>98.5</v>
      </c>
      <c r="R62" s="8"/>
      <c r="T62"/>
    </row>
    <row r="63" spans="2:20" ht="23.1" customHeight="1" x14ac:dyDescent="0.25">
      <c r="B63" s="23" t="s">
        <v>108</v>
      </c>
      <c r="C63" s="49">
        <f>AVERAGE('31.07 NAMUGONGO-KIREKA-24h'!C63,'03.08 NAMUGONGO-KIREKA-24h'!C63)</f>
        <v>30</v>
      </c>
      <c r="D63" s="49">
        <f>AVERAGE('31.07 NAMUGONGO-KIREKA-24h'!D63,'03.08 NAMUGONGO-KIREKA-24h'!D63)</f>
        <v>1.5</v>
      </c>
      <c r="E63" s="49">
        <f>AVERAGE('31.07 NAMUGONGO-KIREKA-24h'!E63,'03.08 NAMUGONGO-KIREKA-24h'!E63)</f>
        <v>3.5</v>
      </c>
      <c r="F63" s="49">
        <f>AVERAGE('31.07 NAMUGONGO-KIREKA-24h'!F63,'03.08 NAMUGONGO-KIREKA-24h'!F63)</f>
        <v>15</v>
      </c>
      <c r="G63" s="49">
        <f>AVERAGE('31.07 NAMUGONGO-KIREKA-24h'!G63,'03.08 NAMUGONGO-KIREKA-24h'!G63)</f>
        <v>0</v>
      </c>
      <c r="H63" s="49">
        <f>AVERAGE('31.07 NAMUGONGO-KIREKA-24h'!H63,'03.08 NAMUGONGO-KIREKA-24h'!H63)</f>
        <v>0</v>
      </c>
      <c r="I63" s="49">
        <f>AVERAGE('31.07 NAMUGONGO-KIREKA-24h'!I63,'03.08 NAMUGONGO-KIREKA-24h'!I63)</f>
        <v>2.5</v>
      </c>
      <c r="J63" s="49">
        <f>AVERAGE('31.07 NAMUGONGO-KIREKA-24h'!J63,'03.08 NAMUGONGO-KIREKA-24h'!J63)</f>
        <v>1</v>
      </c>
      <c r="K63" s="49">
        <f>AVERAGE('31.07 NAMUGONGO-KIREKA-24h'!K63,'03.08 NAMUGONGO-KIREKA-24h'!K63)</f>
        <v>0.5</v>
      </c>
      <c r="L63" s="49">
        <f>AVERAGE('31.07 NAMUGONGO-KIREKA-24h'!L63,'03.08 NAMUGONGO-KIREKA-24h'!L63)</f>
        <v>0</v>
      </c>
      <c r="M63" s="49">
        <f>AVERAGE('31.07 NAMUGONGO-KIREKA-24h'!M63,'03.08 NAMUGONGO-KIREKA-24h'!M63)</f>
        <v>58.5</v>
      </c>
      <c r="N63" s="49">
        <f>AVERAGE('31.07 NAMUGONGO-KIREKA-24h'!N63,'03.08 NAMUGONGO-KIREKA-24h'!N63)</f>
        <v>0</v>
      </c>
      <c r="O63" s="15">
        <f t="shared" si="35"/>
        <v>54</v>
      </c>
      <c r="P63" s="15">
        <f t="shared" si="36"/>
        <v>112.5</v>
      </c>
      <c r="R63" s="8"/>
      <c r="T63"/>
    </row>
    <row r="64" spans="2:20" ht="23.1" customHeight="1" x14ac:dyDescent="0.25">
      <c r="B64" s="23" t="s">
        <v>109</v>
      </c>
      <c r="C64" s="49">
        <f>AVERAGE('31.07 NAMUGONGO-KIREKA-24h'!C64,'03.08 NAMUGONGO-KIREKA-24h'!C64)</f>
        <v>28.5</v>
      </c>
      <c r="D64" s="49">
        <f>AVERAGE('31.07 NAMUGONGO-KIREKA-24h'!D64,'03.08 NAMUGONGO-KIREKA-24h'!D64)</f>
        <v>0.5</v>
      </c>
      <c r="E64" s="49">
        <f>AVERAGE('31.07 NAMUGONGO-KIREKA-24h'!E64,'03.08 NAMUGONGO-KIREKA-24h'!E64)</f>
        <v>2</v>
      </c>
      <c r="F64" s="49">
        <f>AVERAGE('31.07 NAMUGONGO-KIREKA-24h'!F64,'03.08 NAMUGONGO-KIREKA-24h'!F64)</f>
        <v>16.5</v>
      </c>
      <c r="G64" s="49">
        <f>AVERAGE('31.07 NAMUGONGO-KIREKA-24h'!G64,'03.08 NAMUGONGO-KIREKA-24h'!G64)</f>
        <v>0</v>
      </c>
      <c r="H64" s="49">
        <f>AVERAGE('31.07 NAMUGONGO-KIREKA-24h'!H64,'03.08 NAMUGONGO-KIREKA-24h'!H64)</f>
        <v>0</v>
      </c>
      <c r="I64" s="49">
        <f>AVERAGE('31.07 NAMUGONGO-KIREKA-24h'!I64,'03.08 NAMUGONGO-KIREKA-24h'!I64)</f>
        <v>2.5</v>
      </c>
      <c r="J64" s="49">
        <f>AVERAGE('31.07 NAMUGONGO-KIREKA-24h'!J64,'03.08 NAMUGONGO-KIREKA-24h'!J64)</f>
        <v>1</v>
      </c>
      <c r="K64" s="49">
        <f>AVERAGE('31.07 NAMUGONGO-KIREKA-24h'!K64,'03.08 NAMUGONGO-KIREKA-24h'!K64)</f>
        <v>0.5</v>
      </c>
      <c r="L64" s="49">
        <f>AVERAGE('31.07 NAMUGONGO-KIREKA-24h'!L64,'03.08 NAMUGONGO-KIREKA-24h'!L64)</f>
        <v>0</v>
      </c>
      <c r="M64" s="49">
        <f>AVERAGE('31.07 NAMUGONGO-KIREKA-24h'!M64,'03.08 NAMUGONGO-KIREKA-24h'!M64)</f>
        <v>62.5</v>
      </c>
      <c r="N64" s="49">
        <f>AVERAGE('31.07 NAMUGONGO-KIREKA-24h'!N64,'03.08 NAMUGONGO-KIREKA-24h'!N64)</f>
        <v>0</v>
      </c>
      <c r="O64" s="15">
        <f t="shared" si="35"/>
        <v>51.5</v>
      </c>
      <c r="P64" s="15">
        <f t="shared" si="36"/>
        <v>114</v>
      </c>
      <c r="R64" s="8"/>
      <c r="T64"/>
    </row>
    <row r="65" spans="2:20" ht="23.1" customHeight="1" x14ac:dyDescent="0.25">
      <c r="B65" s="23" t="s">
        <v>158</v>
      </c>
      <c r="C65" s="49">
        <f>AVERAGE('31.07 NAMUGONGO-KIREKA-24h'!C65,'03.08 NAMUGONGO-KIREKA-24h'!C65)</f>
        <v>32.5</v>
      </c>
      <c r="D65" s="49">
        <f>AVERAGE('31.07 NAMUGONGO-KIREKA-24h'!D65,'03.08 NAMUGONGO-KIREKA-24h'!D65)</f>
        <v>1</v>
      </c>
      <c r="E65" s="49">
        <f>AVERAGE('31.07 NAMUGONGO-KIREKA-24h'!E65,'03.08 NAMUGONGO-KIREKA-24h'!E65)</f>
        <v>1.5</v>
      </c>
      <c r="F65" s="49">
        <f>AVERAGE('31.07 NAMUGONGO-KIREKA-24h'!F65,'03.08 NAMUGONGO-KIREKA-24h'!F65)</f>
        <v>9</v>
      </c>
      <c r="G65" s="49">
        <f>AVERAGE('31.07 NAMUGONGO-KIREKA-24h'!G65,'03.08 NAMUGONGO-KIREKA-24h'!G65)</f>
        <v>0</v>
      </c>
      <c r="H65" s="49">
        <f>AVERAGE('31.07 NAMUGONGO-KIREKA-24h'!H65,'03.08 NAMUGONGO-KIREKA-24h'!H65)</f>
        <v>0</v>
      </c>
      <c r="I65" s="49">
        <f>AVERAGE('31.07 NAMUGONGO-KIREKA-24h'!I65,'03.08 NAMUGONGO-KIREKA-24h'!I65)</f>
        <v>2</v>
      </c>
      <c r="J65" s="49">
        <f>AVERAGE('31.07 NAMUGONGO-KIREKA-24h'!J65,'03.08 NAMUGONGO-KIREKA-24h'!J65)</f>
        <v>0</v>
      </c>
      <c r="K65" s="49">
        <f>AVERAGE('31.07 NAMUGONGO-KIREKA-24h'!K65,'03.08 NAMUGONGO-KIREKA-24h'!K65)</f>
        <v>0.5</v>
      </c>
      <c r="L65" s="49">
        <f>AVERAGE('31.07 NAMUGONGO-KIREKA-24h'!L65,'03.08 NAMUGONGO-KIREKA-24h'!L65)</f>
        <v>0</v>
      </c>
      <c r="M65" s="49">
        <f>AVERAGE('31.07 NAMUGONGO-KIREKA-24h'!M65,'03.08 NAMUGONGO-KIREKA-24h'!M65)</f>
        <v>68</v>
      </c>
      <c r="N65" s="49">
        <f>AVERAGE('31.07 NAMUGONGO-KIREKA-24h'!N65,'03.08 NAMUGONGO-KIREKA-24h'!N65)</f>
        <v>0</v>
      </c>
      <c r="O65" s="15">
        <f t="shared" si="35"/>
        <v>46.5</v>
      </c>
      <c r="P65" s="15">
        <f t="shared" si="36"/>
        <v>114.5</v>
      </c>
      <c r="R65" s="8"/>
      <c r="T65"/>
    </row>
    <row r="66" spans="2:20" ht="23.1" customHeight="1" x14ac:dyDescent="0.25">
      <c r="B66" s="23" t="s">
        <v>103</v>
      </c>
      <c r="C66" s="49">
        <f>AVERAGE('31.07 NAMUGONGO-KIREKA-24h'!C66,'03.08 NAMUGONGO-KIREKA-24h'!C66)</f>
        <v>16</v>
      </c>
      <c r="D66" s="49">
        <f>AVERAGE('31.07 NAMUGONGO-KIREKA-24h'!D66,'03.08 NAMUGONGO-KIREKA-24h'!D66)</f>
        <v>2.5</v>
      </c>
      <c r="E66" s="49">
        <f>AVERAGE('31.07 NAMUGONGO-KIREKA-24h'!E66,'03.08 NAMUGONGO-KIREKA-24h'!E66)</f>
        <v>1.5</v>
      </c>
      <c r="F66" s="49">
        <f>AVERAGE('31.07 NAMUGONGO-KIREKA-24h'!F66,'03.08 NAMUGONGO-KIREKA-24h'!F66)</f>
        <v>10</v>
      </c>
      <c r="G66" s="49">
        <f>AVERAGE('31.07 NAMUGONGO-KIREKA-24h'!G66,'03.08 NAMUGONGO-KIREKA-24h'!G66)</f>
        <v>0</v>
      </c>
      <c r="H66" s="49">
        <f>AVERAGE('31.07 NAMUGONGO-KIREKA-24h'!H66,'03.08 NAMUGONGO-KIREKA-24h'!H66)</f>
        <v>0</v>
      </c>
      <c r="I66" s="49">
        <f>AVERAGE('31.07 NAMUGONGO-KIREKA-24h'!I66,'03.08 NAMUGONGO-KIREKA-24h'!I66)</f>
        <v>1</v>
      </c>
      <c r="J66" s="49">
        <f>AVERAGE('31.07 NAMUGONGO-KIREKA-24h'!J66,'03.08 NAMUGONGO-KIREKA-24h'!J66)</f>
        <v>0</v>
      </c>
      <c r="K66" s="49">
        <f>AVERAGE('31.07 NAMUGONGO-KIREKA-24h'!K66,'03.08 NAMUGONGO-KIREKA-24h'!K66)</f>
        <v>0.5</v>
      </c>
      <c r="L66" s="49">
        <f>AVERAGE('31.07 NAMUGONGO-KIREKA-24h'!L66,'03.08 NAMUGONGO-KIREKA-24h'!L66)</f>
        <v>0</v>
      </c>
      <c r="M66" s="49">
        <f>AVERAGE('31.07 NAMUGONGO-KIREKA-24h'!M66,'03.08 NAMUGONGO-KIREKA-24h'!M66)</f>
        <v>41.5</v>
      </c>
      <c r="N66" s="49">
        <f>AVERAGE('31.07 NAMUGONGO-KIREKA-24h'!N66,'03.08 NAMUGONGO-KIREKA-24h'!N66)</f>
        <v>0</v>
      </c>
      <c r="O66" s="15">
        <f t="shared" si="35"/>
        <v>31.5</v>
      </c>
      <c r="P66" s="15">
        <f t="shared" si="36"/>
        <v>73</v>
      </c>
      <c r="R66" s="8"/>
      <c r="T66"/>
    </row>
    <row r="67" spans="2:20" ht="23.1" customHeight="1" x14ac:dyDescent="0.25">
      <c r="B67" s="23" t="s">
        <v>104</v>
      </c>
      <c r="C67" s="49">
        <f>AVERAGE('31.07 NAMUGONGO-KIREKA-24h'!C67,'03.08 NAMUGONGO-KIREKA-24h'!C67)</f>
        <v>20</v>
      </c>
      <c r="D67" s="49">
        <f>AVERAGE('31.07 NAMUGONGO-KIREKA-24h'!D67,'03.08 NAMUGONGO-KIREKA-24h'!D67)</f>
        <v>1.5</v>
      </c>
      <c r="E67" s="49">
        <f>AVERAGE('31.07 NAMUGONGO-KIREKA-24h'!E67,'03.08 NAMUGONGO-KIREKA-24h'!E67)</f>
        <v>2</v>
      </c>
      <c r="F67" s="49">
        <f>AVERAGE('31.07 NAMUGONGO-KIREKA-24h'!F67,'03.08 NAMUGONGO-KIREKA-24h'!F67)</f>
        <v>8</v>
      </c>
      <c r="G67" s="49">
        <f>AVERAGE('31.07 NAMUGONGO-KIREKA-24h'!G67,'03.08 NAMUGONGO-KIREKA-24h'!G67)</f>
        <v>0</v>
      </c>
      <c r="H67" s="49">
        <f>AVERAGE('31.07 NAMUGONGO-KIREKA-24h'!H67,'03.08 NAMUGONGO-KIREKA-24h'!H67)</f>
        <v>0</v>
      </c>
      <c r="I67" s="49">
        <f>AVERAGE('31.07 NAMUGONGO-KIREKA-24h'!I67,'03.08 NAMUGONGO-KIREKA-24h'!I67)</f>
        <v>1.5</v>
      </c>
      <c r="J67" s="49">
        <f>AVERAGE('31.07 NAMUGONGO-KIREKA-24h'!J67,'03.08 NAMUGONGO-KIREKA-24h'!J67)</f>
        <v>1</v>
      </c>
      <c r="K67" s="49">
        <f>AVERAGE('31.07 NAMUGONGO-KIREKA-24h'!K67,'03.08 NAMUGONGO-KIREKA-24h'!K67)</f>
        <v>0</v>
      </c>
      <c r="L67" s="49">
        <f>AVERAGE('31.07 NAMUGONGO-KIREKA-24h'!L67,'03.08 NAMUGONGO-KIREKA-24h'!L67)</f>
        <v>0</v>
      </c>
      <c r="M67" s="49">
        <f>AVERAGE('31.07 NAMUGONGO-KIREKA-24h'!M67,'03.08 NAMUGONGO-KIREKA-24h'!M67)</f>
        <v>40.5</v>
      </c>
      <c r="N67" s="49">
        <f>AVERAGE('31.07 NAMUGONGO-KIREKA-24h'!N67,'03.08 NAMUGONGO-KIREKA-24h'!N67)</f>
        <v>0</v>
      </c>
      <c r="O67" s="15">
        <f t="shared" si="35"/>
        <v>34</v>
      </c>
      <c r="P67" s="15">
        <f t="shared" si="36"/>
        <v>74.5</v>
      </c>
      <c r="R67" s="8"/>
      <c r="T67"/>
    </row>
    <row r="68" spans="2:20" ht="23.1" customHeight="1" x14ac:dyDescent="0.25">
      <c r="B68" s="23" t="s">
        <v>105</v>
      </c>
      <c r="C68" s="49">
        <f>AVERAGE('31.07 NAMUGONGO-KIREKA-24h'!C68,'03.08 NAMUGONGO-KIREKA-24h'!C68)</f>
        <v>16</v>
      </c>
      <c r="D68" s="49">
        <f>AVERAGE('31.07 NAMUGONGO-KIREKA-24h'!D68,'03.08 NAMUGONGO-KIREKA-24h'!D68)</f>
        <v>2</v>
      </c>
      <c r="E68" s="49">
        <f>AVERAGE('31.07 NAMUGONGO-KIREKA-24h'!E68,'03.08 NAMUGONGO-KIREKA-24h'!E68)</f>
        <v>2</v>
      </c>
      <c r="F68" s="49">
        <f>AVERAGE('31.07 NAMUGONGO-KIREKA-24h'!F68,'03.08 NAMUGONGO-KIREKA-24h'!F68)</f>
        <v>7.5</v>
      </c>
      <c r="G68" s="49">
        <f>AVERAGE('31.07 NAMUGONGO-KIREKA-24h'!G68,'03.08 NAMUGONGO-KIREKA-24h'!G68)</f>
        <v>1</v>
      </c>
      <c r="H68" s="49">
        <f>AVERAGE('31.07 NAMUGONGO-KIREKA-24h'!H68,'03.08 NAMUGONGO-KIREKA-24h'!H68)</f>
        <v>0</v>
      </c>
      <c r="I68" s="49">
        <f>AVERAGE('31.07 NAMUGONGO-KIREKA-24h'!I68,'03.08 NAMUGONGO-KIREKA-24h'!I68)</f>
        <v>1.5</v>
      </c>
      <c r="J68" s="49">
        <f>AVERAGE('31.07 NAMUGONGO-KIREKA-24h'!J68,'03.08 NAMUGONGO-KIREKA-24h'!J68)</f>
        <v>1</v>
      </c>
      <c r="K68" s="49">
        <f>AVERAGE('31.07 NAMUGONGO-KIREKA-24h'!K68,'03.08 NAMUGONGO-KIREKA-24h'!K68)</f>
        <v>0</v>
      </c>
      <c r="L68" s="49">
        <f>AVERAGE('31.07 NAMUGONGO-KIREKA-24h'!L68,'03.08 NAMUGONGO-KIREKA-24h'!L68)</f>
        <v>0</v>
      </c>
      <c r="M68" s="49">
        <f>AVERAGE('31.07 NAMUGONGO-KIREKA-24h'!M68,'03.08 NAMUGONGO-KIREKA-24h'!M68)</f>
        <v>40.5</v>
      </c>
      <c r="N68" s="49">
        <f>AVERAGE('31.07 NAMUGONGO-KIREKA-24h'!N68,'03.08 NAMUGONGO-KIREKA-24h'!N68)</f>
        <v>0</v>
      </c>
      <c r="O68" s="15">
        <f t="shared" si="35"/>
        <v>31</v>
      </c>
      <c r="P68" s="15">
        <f t="shared" si="36"/>
        <v>71.5</v>
      </c>
      <c r="R68" s="8"/>
      <c r="T68"/>
    </row>
    <row r="69" spans="2:20" ht="23.1" customHeight="1" x14ac:dyDescent="0.25">
      <c r="B69" s="23" t="s">
        <v>106</v>
      </c>
      <c r="C69" s="49">
        <f>AVERAGE('31.07 NAMUGONGO-KIREKA-24h'!C69,'03.08 NAMUGONGO-KIREKA-24h'!C69)</f>
        <v>23</v>
      </c>
      <c r="D69" s="49">
        <f>AVERAGE('31.07 NAMUGONGO-KIREKA-24h'!D69,'03.08 NAMUGONGO-KIREKA-24h'!D69)</f>
        <v>1</v>
      </c>
      <c r="E69" s="49">
        <f>AVERAGE('31.07 NAMUGONGO-KIREKA-24h'!E69,'03.08 NAMUGONGO-KIREKA-24h'!E69)</f>
        <v>3</v>
      </c>
      <c r="F69" s="49">
        <f>AVERAGE('31.07 NAMUGONGO-KIREKA-24h'!F69,'03.08 NAMUGONGO-KIREKA-24h'!F69)</f>
        <v>7</v>
      </c>
      <c r="G69" s="49">
        <f>AVERAGE('31.07 NAMUGONGO-KIREKA-24h'!G69,'03.08 NAMUGONGO-KIREKA-24h'!G69)</f>
        <v>0</v>
      </c>
      <c r="H69" s="49">
        <f>AVERAGE('31.07 NAMUGONGO-KIREKA-24h'!H69,'03.08 NAMUGONGO-KIREKA-24h'!H69)</f>
        <v>0</v>
      </c>
      <c r="I69" s="49">
        <f>AVERAGE('31.07 NAMUGONGO-KIREKA-24h'!I69,'03.08 NAMUGONGO-KIREKA-24h'!I69)</f>
        <v>2</v>
      </c>
      <c r="J69" s="49">
        <f>AVERAGE('31.07 NAMUGONGO-KIREKA-24h'!J69,'03.08 NAMUGONGO-KIREKA-24h'!J69)</f>
        <v>0.5</v>
      </c>
      <c r="K69" s="49">
        <f>AVERAGE('31.07 NAMUGONGO-KIREKA-24h'!K69,'03.08 NAMUGONGO-KIREKA-24h'!K69)</f>
        <v>0.5</v>
      </c>
      <c r="L69" s="49">
        <f>AVERAGE('31.07 NAMUGONGO-KIREKA-24h'!L69,'03.08 NAMUGONGO-KIREKA-24h'!L69)</f>
        <v>0</v>
      </c>
      <c r="M69" s="49">
        <f>AVERAGE('31.07 NAMUGONGO-KIREKA-24h'!M69,'03.08 NAMUGONGO-KIREKA-24h'!M69)</f>
        <v>25</v>
      </c>
      <c r="N69" s="49">
        <f>AVERAGE('31.07 NAMUGONGO-KIREKA-24h'!N69,'03.08 NAMUGONGO-KIREKA-24h'!N69)</f>
        <v>0</v>
      </c>
      <c r="O69" s="15">
        <f t="shared" si="35"/>
        <v>37</v>
      </c>
      <c r="P69" s="15">
        <f t="shared" si="36"/>
        <v>62</v>
      </c>
      <c r="R69" s="8"/>
      <c r="T69"/>
    </row>
    <row r="70" spans="2:20" ht="23.1" customHeight="1" x14ac:dyDescent="0.25">
      <c r="B70" s="23" t="s">
        <v>110</v>
      </c>
      <c r="C70" s="49">
        <f>AVERAGE('31.07 NAMUGONGO-KIREKA-24h'!C70,'03.08 NAMUGONGO-KIREKA-24h'!C70)</f>
        <v>25</v>
      </c>
      <c r="D70" s="49">
        <f>AVERAGE('31.07 NAMUGONGO-KIREKA-24h'!D70,'03.08 NAMUGONGO-KIREKA-24h'!D70)</f>
        <v>0.5</v>
      </c>
      <c r="E70" s="49">
        <f>AVERAGE('31.07 NAMUGONGO-KIREKA-24h'!E70,'03.08 NAMUGONGO-KIREKA-24h'!E70)</f>
        <v>1</v>
      </c>
      <c r="F70" s="49">
        <f>AVERAGE('31.07 NAMUGONGO-KIREKA-24h'!F70,'03.08 NAMUGONGO-KIREKA-24h'!F70)</f>
        <v>6.5</v>
      </c>
      <c r="G70" s="49">
        <f>AVERAGE('31.07 NAMUGONGO-KIREKA-24h'!G70,'03.08 NAMUGONGO-KIREKA-24h'!G70)</f>
        <v>0.5</v>
      </c>
      <c r="H70" s="49">
        <f>AVERAGE('31.07 NAMUGONGO-KIREKA-24h'!H70,'03.08 NAMUGONGO-KIREKA-24h'!H70)</f>
        <v>0</v>
      </c>
      <c r="I70" s="49">
        <f>AVERAGE('31.07 NAMUGONGO-KIREKA-24h'!I70,'03.08 NAMUGONGO-KIREKA-24h'!I70)</f>
        <v>0.5</v>
      </c>
      <c r="J70" s="49">
        <f>AVERAGE('31.07 NAMUGONGO-KIREKA-24h'!J70,'03.08 NAMUGONGO-KIREKA-24h'!J70)</f>
        <v>0.5</v>
      </c>
      <c r="K70" s="49">
        <f>AVERAGE('31.07 NAMUGONGO-KIREKA-24h'!K70,'03.08 NAMUGONGO-KIREKA-24h'!K70)</f>
        <v>0</v>
      </c>
      <c r="L70" s="49">
        <f>AVERAGE('31.07 NAMUGONGO-KIREKA-24h'!L70,'03.08 NAMUGONGO-KIREKA-24h'!L70)</f>
        <v>0</v>
      </c>
      <c r="M70" s="49">
        <f>AVERAGE('31.07 NAMUGONGO-KIREKA-24h'!M70,'03.08 NAMUGONGO-KIREKA-24h'!M70)</f>
        <v>28</v>
      </c>
      <c r="N70" s="49">
        <f>AVERAGE('31.07 NAMUGONGO-KIREKA-24h'!N70,'03.08 NAMUGONGO-KIREKA-24h'!N70)</f>
        <v>0</v>
      </c>
      <c r="O70" s="15">
        <f t="shared" si="35"/>
        <v>34.5</v>
      </c>
      <c r="P70" s="15">
        <f t="shared" si="36"/>
        <v>62.5</v>
      </c>
      <c r="R70" s="8"/>
      <c r="T70"/>
    </row>
    <row r="71" spans="2:20" ht="23.1" customHeight="1" x14ac:dyDescent="0.25">
      <c r="B71" s="23" t="s">
        <v>111</v>
      </c>
      <c r="C71" s="49">
        <f>AVERAGE('31.07 NAMUGONGO-KIREKA-24h'!C71,'03.08 NAMUGONGO-KIREKA-24h'!C71)</f>
        <v>21</v>
      </c>
      <c r="D71" s="49">
        <f>AVERAGE('31.07 NAMUGONGO-KIREKA-24h'!D71,'03.08 NAMUGONGO-KIREKA-24h'!D71)</f>
        <v>0</v>
      </c>
      <c r="E71" s="49">
        <f>AVERAGE('31.07 NAMUGONGO-KIREKA-24h'!E71,'03.08 NAMUGONGO-KIREKA-24h'!E71)</f>
        <v>2</v>
      </c>
      <c r="F71" s="49">
        <f>AVERAGE('31.07 NAMUGONGO-KIREKA-24h'!F71,'03.08 NAMUGONGO-KIREKA-24h'!F71)</f>
        <v>8.5</v>
      </c>
      <c r="G71" s="49">
        <f>AVERAGE('31.07 NAMUGONGO-KIREKA-24h'!G71,'03.08 NAMUGONGO-KIREKA-24h'!G71)</f>
        <v>0.5</v>
      </c>
      <c r="H71" s="49">
        <f>AVERAGE('31.07 NAMUGONGO-KIREKA-24h'!H71,'03.08 NAMUGONGO-KIREKA-24h'!H71)</f>
        <v>0</v>
      </c>
      <c r="I71" s="49">
        <f>AVERAGE('31.07 NAMUGONGO-KIREKA-24h'!I71,'03.08 NAMUGONGO-KIREKA-24h'!I71)</f>
        <v>1</v>
      </c>
      <c r="J71" s="49">
        <f>AVERAGE('31.07 NAMUGONGO-KIREKA-24h'!J71,'03.08 NAMUGONGO-KIREKA-24h'!J71)</f>
        <v>1</v>
      </c>
      <c r="K71" s="49">
        <f>AVERAGE('31.07 NAMUGONGO-KIREKA-24h'!K71,'03.08 NAMUGONGO-KIREKA-24h'!K71)</f>
        <v>1</v>
      </c>
      <c r="L71" s="49">
        <f>AVERAGE('31.07 NAMUGONGO-KIREKA-24h'!L71,'03.08 NAMUGONGO-KIREKA-24h'!L71)</f>
        <v>0</v>
      </c>
      <c r="M71" s="49">
        <f>AVERAGE('31.07 NAMUGONGO-KIREKA-24h'!M71,'03.08 NAMUGONGO-KIREKA-24h'!M71)</f>
        <v>39</v>
      </c>
      <c r="N71" s="49">
        <f>AVERAGE('31.07 NAMUGONGO-KIREKA-24h'!N71,'03.08 NAMUGONGO-KIREKA-24h'!N71)</f>
        <v>0</v>
      </c>
      <c r="O71" s="15">
        <f t="shared" si="35"/>
        <v>35</v>
      </c>
      <c r="P71" s="15">
        <f t="shared" si="36"/>
        <v>74</v>
      </c>
      <c r="R71" s="8"/>
      <c r="T71"/>
    </row>
    <row r="72" spans="2:20" ht="23.1" customHeight="1" x14ac:dyDescent="0.25">
      <c r="B72" s="23" t="s">
        <v>112</v>
      </c>
      <c r="C72" s="49">
        <f>AVERAGE('31.07 NAMUGONGO-KIREKA-24h'!C72,'03.08 NAMUGONGO-KIREKA-24h'!C72)</f>
        <v>31.5</v>
      </c>
      <c r="D72" s="49">
        <f>AVERAGE('31.07 NAMUGONGO-KIREKA-24h'!D72,'03.08 NAMUGONGO-KIREKA-24h'!D72)</f>
        <v>2</v>
      </c>
      <c r="E72" s="49">
        <f>AVERAGE('31.07 NAMUGONGO-KIREKA-24h'!E72,'03.08 NAMUGONGO-KIREKA-24h'!E72)</f>
        <v>2.5</v>
      </c>
      <c r="F72" s="49">
        <f>AVERAGE('31.07 NAMUGONGO-KIREKA-24h'!F72,'03.08 NAMUGONGO-KIREKA-24h'!F72)</f>
        <v>4</v>
      </c>
      <c r="G72" s="49">
        <f>AVERAGE('31.07 NAMUGONGO-KIREKA-24h'!G72,'03.08 NAMUGONGO-KIREKA-24h'!G72)</f>
        <v>0</v>
      </c>
      <c r="H72" s="49">
        <f>AVERAGE('31.07 NAMUGONGO-KIREKA-24h'!H72,'03.08 NAMUGONGO-KIREKA-24h'!H72)</f>
        <v>0</v>
      </c>
      <c r="I72" s="49">
        <f>AVERAGE('31.07 NAMUGONGO-KIREKA-24h'!I72,'03.08 NAMUGONGO-KIREKA-24h'!I72)</f>
        <v>1.5</v>
      </c>
      <c r="J72" s="49">
        <f>AVERAGE('31.07 NAMUGONGO-KIREKA-24h'!J72,'03.08 NAMUGONGO-KIREKA-24h'!J72)</f>
        <v>0.5</v>
      </c>
      <c r="K72" s="49">
        <f>AVERAGE('31.07 NAMUGONGO-KIREKA-24h'!K72,'03.08 NAMUGONGO-KIREKA-24h'!K72)</f>
        <v>0</v>
      </c>
      <c r="L72" s="49">
        <f>AVERAGE('31.07 NAMUGONGO-KIREKA-24h'!L72,'03.08 NAMUGONGO-KIREKA-24h'!L72)</f>
        <v>0</v>
      </c>
      <c r="M72" s="49">
        <f>AVERAGE('31.07 NAMUGONGO-KIREKA-24h'!M72,'03.08 NAMUGONGO-KIREKA-24h'!M72)</f>
        <v>33.5</v>
      </c>
      <c r="N72" s="49">
        <f>AVERAGE('31.07 NAMUGONGO-KIREKA-24h'!N72,'03.08 NAMUGONGO-KIREKA-24h'!N72)</f>
        <v>0</v>
      </c>
      <c r="O72" s="15">
        <f t="shared" si="35"/>
        <v>42</v>
      </c>
      <c r="P72" s="15">
        <f t="shared" si="36"/>
        <v>75.5</v>
      </c>
      <c r="R72" s="8"/>
      <c r="T72"/>
    </row>
    <row r="73" spans="2:20" ht="23.1" customHeight="1" x14ac:dyDescent="0.25">
      <c r="B73" s="23" t="s">
        <v>113</v>
      </c>
      <c r="C73" s="49">
        <f>AVERAGE('31.07 NAMUGONGO-KIREKA-24h'!C73,'03.08 NAMUGONGO-KIREKA-24h'!C73)</f>
        <v>23</v>
      </c>
      <c r="D73" s="49">
        <f>AVERAGE('31.07 NAMUGONGO-KIREKA-24h'!D73,'03.08 NAMUGONGO-KIREKA-24h'!D73)</f>
        <v>1.5</v>
      </c>
      <c r="E73" s="49">
        <f>AVERAGE('31.07 NAMUGONGO-KIREKA-24h'!E73,'03.08 NAMUGONGO-KIREKA-24h'!E73)</f>
        <v>1.5</v>
      </c>
      <c r="F73" s="49">
        <f>AVERAGE('31.07 NAMUGONGO-KIREKA-24h'!F73,'03.08 NAMUGONGO-KIREKA-24h'!F73)</f>
        <v>6</v>
      </c>
      <c r="G73" s="49">
        <f>AVERAGE('31.07 NAMUGONGO-KIREKA-24h'!G73,'03.08 NAMUGONGO-KIREKA-24h'!G73)</f>
        <v>0</v>
      </c>
      <c r="H73" s="49">
        <f>AVERAGE('31.07 NAMUGONGO-KIREKA-24h'!H73,'03.08 NAMUGONGO-KIREKA-24h'!H73)</f>
        <v>0</v>
      </c>
      <c r="I73" s="49">
        <f>AVERAGE('31.07 NAMUGONGO-KIREKA-24h'!I73,'03.08 NAMUGONGO-KIREKA-24h'!I73)</f>
        <v>0.5</v>
      </c>
      <c r="J73" s="49">
        <f>AVERAGE('31.07 NAMUGONGO-KIREKA-24h'!J73,'03.08 NAMUGONGO-KIREKA-24h'!J73)</f>
        <v>0</v>
      </c>
      <c r="K73" s="49">
        <f>AVERAGE('31.07 NAMUGONGO-KIREKA-24h'!K73,'03.08 NAMUGONGO-KIREKA-24h'!K73)</f>
        <v>0</v>
      </c>
      <c r="L73" s="49">
        <f>AVERAGE('31.07 NAMUGONGO-KIREKA-24h'!L73,'03.08 NAMUGONGO-KIREKA-24h'!L73)</f>
        <v>0</v>
      </c>
      <c r="M73" s="49">
        <f>AVERAGE('31.07 NAMUGONGO-KIREKA-24h'!M73,'03.08 NAMUGONGO-KIREKA-24h'!M73)</f>
        <v>0</v>
      </c>
      <c r="N73" s="49">
        <f>AVERAGE('31.07 NAMUGONGO-KIREKA-24h'!N73,'03.08 NAMUGONGO-KIREKA-24h'!N73)</f>
        <v>0</v>
      </c>
      <c r="O73" s="15">
        <f t="shared" si="35"/>
        <v>32.5</v>
      </c>
      <c r="P73" s="15">
        <f t="shared" si="36"/>
        <v>32.5</v>
      </c>
      <c r="R73" s="8"/>
      <c r="T73"/>
    </row>
    <row r="74" spans="2:20" ht="23.1" customHeight="1" x14ac:dyDescent="0.25">
      <c r="B74" s="23" t="s">
        <v>114</v>
      </c>
      <c r="C74" s="49">
        <f>AVERAGE('31.07 NAMUGONGO-KIREKA-24h'!C74,'03.08 NAMUGONGO-KIREKA-24h'!C74)</f>
        <v>17.5</v>
      </c>
      <c r="D74" s="49">
        <f>AVERAGE('31.07 NAMUGONGO-KIREKA-24h'!D74,'03.08 NAMUGONGO-KIREKA-24h'!D74)</f>
        <v>0</v>
      </c>
      <c r="E74" s="49">
        <f>AVERAGE('31.07 NAMUGONGO-KIREKA-24h'!E74,'03.08 NAMUGONGO-KIREKA-24h'!E74)</f>
        <v>1.5</v>
      </c>
      <c r="F74" s="49">
        <f>AVERAGE('31.07 NAMUGONGO-KIREKA-24h'!F74,'03.08 NAMUGONGO-KIREKA-24h'!F74)</f>
        <v>5.5</v>
      </c>
      <c r="G74" s="49">
        <f>AVERAGE('31.07 NAMUGONGO-KIREKA-24h'!G74,'03.08 NAMUGONGO-KIREKA-24h'!G74)</f>
        <v>0.5</v>
      </c>
      <c r="H74" s="49">
        <f>AVERAGE('31.07 NAMUGONGO-KIREKA-24h'!H74,'03.08 NAMUGONGO-KIREKA-24h'!H74)</f>
        <v>0</v>
      </c>
      <c r="I74" s="49">
        <f>AVERAGE('31.07 NAMUGONGO-KIREKA-24h'!I74,'03.08 NAMUGONGO-KIREKA-24h'!I74)</f>
        <v>2.5</v>
      </c>
      <c r="J74" s="49">
        <f>AVERAGE('31.07 NAMUGONGO-KIREKA-24h'!J74,'03.08 NAMUGONGO-KIREKA-24h'!J74)</f>
        <v>0.5</v>
      </c>
      <c r="K74" s="49">
        <f>AVERAGE('31.07 NAMUGONGO-KIREKA-24h'!K74,'03.08 NAMUGONGO-KIREKA-24h'!K74)</f>
        <v>0</v>
      </c>
      <c r="L74" s="49">
        <f>AVERAGE('31.07 NAMUGONGO-KIREKA-24h'!L74,'03.08 NAMUGONGO-KIREKA-24h'!L74)</f>
        <v>0</v>
      </c>
      <c r="M74" s="49">
        <f>AVERAGE('31.07 NAMUGONGO-KIREKA-24h'!M74,'03.08 NAMUGONGO-KIREKA-24h'!M74)</f>
        <v>34</v>
      </c>
      <c r="N74" s="49">
        <f>AVERAGE('31.07 NAMUGONGO-KIREKA-24h'!N74,'03.08 NAMUGONGO-KIREKA-24h'!N74)</f>
        <v>0</v>
      </c>
      <c r="O74" s="15">
        <f t="shared" si="35"/>
        <v>28</v>
      </c>
      <c r="P74" s="15">
        <f t="shared" si="36"/>
        <v>62</v>
      </c>
      <c r="R74" s="8"/>
      <c r="T74"/>
    </row>
    <row r="75" spans="2:20" ht="23.1" customHeight="1" x14ac:dyDescent="0.25">
      <c r="B75" s="23" t="s">
        <v>115</v>
      </c>
      <c r="C75" s="49">
        <f>AVERAGE('31.07 NAMUGONGO-KIREKA-24h'!C75,'03.08 NAMUGONGO-KIREKA-24h'!C75)</f>
        <v>30</v>
      </c>
      <c r="D75" s="49">
        <f>AVERAGE('31.07 NAMUGONGO-KIREKA-24h'!D75,'03.08 NAMUGONGO-KIREKA-24h'!D75)</f>
        <v>1</v>
      </c>
      <c r="E75" s="49">
        <f>AVERAGE('31.07 NAMUGONGO-KIREKA-24h'!E75,'03.08 NAMUGONGO-KIREKA-24h'!E75)</f>
        <v>1</v>
      </c>
      <c r="F75" s="49">
        <f>AVERAGE('31.07 NAMUGONGO-KIREKA-24h'!F75,'03.08 NAMUGONGO-KIREKA-24h'!F75)</f>
        <v>5.5</v>
      </c>
      <c r="G75" s="49">
        <f>AVERAGE('31.07 NAMUGONGO-KIREKA-24h'!G75,'03.08 NAMUGONGO-KIREKA-24h'!G75)</f>
        <v>0</v>
      </c>
      <c r="H75" s="49">
        <f>AVERAGE('31.07 NAMUGONGO-KIREKA-24h'!H75,'03.08 NAMUGONGO-KIREKA-24h'!H75)</f>
        <v>1</v>
      </c>
      <c r="I75" s="49">
        <f>AVERAGE('31.07 NAMUGONGO-KIREKA-24h'!I75,'03.08 NAMUGONGO-KIREKA-24h'!I75)</f>
        <v>1</v>
      </c>
      <c r="J75" s="49">
        <f>AVERAGE('31.07 NAMUGONGO-KIREKA-24h'!J75,'03.08 NAMUGONGO-KIREKA-24h'!J75)</f>
        <v>0</v>
      </c>
      <c r="K75" s="49">
        <f>AVERAGE('31.07 NAMUGONGO-KIREKA-24h'!K75,'03.08 NAMUGONGO-KIREKA-24h'!K75)</f>
        <v>0</v>
      </c>
      <c r="L75" s="49">
        <f>AVERAGE('31.07 NAMUGONGO-KIREKA-24h'!L75,'03.08 NAMUGONGO-KIREKA-24h'!L75)</f>
        <v>0</v>
      </c>
      <c r="M75" s="49">
        <f>AVERAGE('31.07 NAMUGONGO-KIREKA-24h'!M75,'03.08 NAMUGONGO-KIREKA-24h'!M75)</f>
        <v>23.5</v>
      </c>
      <c r="N75" s="49">
        <f>AVERAGE('31.07 NAMUGONGO-KIREKA-24h'!N75,'03.08 NAMUGONGO-KIREKA-24h'!N75)</f>
        <v>0</v>
      </c>
      <c r="O75" s="15">
        <f t="shared" si="35"/>
        <v>39.5</v>
      </c>
      <c r="P75" s="15">
        <f t="shared" si="36"/>
        <v>63</v>
      </c>
      <c r="R75" s="8"/>
      <c r="T75"/>
    </row>
    <row r="76" spans="2:20" ht="23.1" customHeight="1" x14ac:dyDescent="0.25">
      <c r="B76" s="23" t="s">
        <v>116</v>
      </c>
      <c r="C76" s="49">
        <f>AVERAGE('31.07 NAMUGONGO-KIREKA-24h'!C76,'03.08 NAMUGONGO-KIREKA-24h'!C76)</f>
        <v>27.5</v>
      </c>
      <c r="D76" s="49">
        <f>AVERAGE('31.07 NAMUGONGO-KIREKA-24h'!D76,'03.08 NAMUGONGO-KIREKA-24h'!D76)</f>
        <v>0.5</v>
      </c>
      <c r="E76" s="49">
        <f>AVERAGE('31.07 NAMUGONGO-KIREKA-24h'!E76,'03.08 NAMUGONGO-KIREKA-24h'!E76)</f>
        <v>1</v>
      </c>
      <c r="F76" s="49">
        <f>AVERAGE('31.07 NAMUGONGO-KIREKA-24h'!F76,'03.08 NAMUGONGO-KIREKA-24h'!F76)</f>
        <v>9.5</v>
      </c>
      <c r="G76" s="49">
        <f>AVERAGE('31.07 NAMUGONGO-KIREKA-24h'!G76,'03.08 NAMUGONGO-KIREKA-24h'!G76)</f>
        <v>0</v>
      </c>
      <c r="H76" s="49">
        <f>AVERAGE('31.07 NAMUGONGO-KIREKA-24h'!H76,'03.08 NAMUGONGO-KIREKA-24h'!H76)</f>
        <v>0</v>
      </c>
      <c r="I76" s="49">
        <f>AVERAGE('31.07 NAMUGONGO-KIREKA-24h'!I76,'03.08 NAMUGONGO-KIREKA-24h'!I76)</f>
        <v>0.5</v>
      </c>
      <c r="J76" s="49">
        <f>AVERAGE('31.07 NAMUGONGO-KIREKA-24h'!J76,'03.08 NAMUGONGO-KIREKA-24h'!J76)</f>
        <v>0.5</v>
      </c>
      <c r="K76" s="49">
        <f>AVERAGE('31.07 NAMUGONGO-KIREKA-24h'!K76,'03.08 NAMUGONGO-KIREKA-24h'!K76)</f>
        <v>0.5</v>
      </c>
      <c r="L76" s="49">
        <f>AVERAGE('31.07 NAMUGONGO-KIREKA-24h'!L76,'03.08 NAMUGONGO-KIREKA-24h'!L76)</f>
        <v>0</v>
      </c>
      <c r="M76" s="49">
        <f>AVERAGE('31.07 NAMUGONGO-KIREKA-24h'!M76,'03.08 NAMUGONGO-KIREKA-24h'!M76)</f>
        <v>29.5</v>
      </c>
      <c r="N76" s="49">
        <f>AVERAGE('31.07 NAMUGONGO-KIREKA-24h'!N76,'03.08 NAMUGONGO-KIREKA-24h'!N76)</f>
        <v>0</v>
      </c>
      <c r="O76" s="15">
        <f t="shared" si="35"/>
        <v>40</v>
      </c>
      <c r="P76" s="15">
        <f t="shared" si="36"/>
        <v>69.5</v>
      </c>
      <c r="R76" s="8"/>
      <c r="T76"/>
    </row>
    <row r="77" spans="2:20" ht="23.1" customHeight="1" x14ac:dyDescent="0.25">
      <c r="B77" s="23" t="s">
        <v>117</v>
      </c>
      <c r="C77" s="49">
        <f>AVERAGE('31.07 NAMUGONGO-KIREKA-24h'!C77,'03.08 NAMUGONGO-KIREKA-24h'!C77)</f>
        <v>22.5</v>
      </c>
      <c r="D77" s="49">
        <f>AVERAGE('31.07 NAMUGONGO-KIREKA-24h'!D77,'03.08 NAMUGONGO-KIREKA-24h'!D77)</f>
        <v>0.5</v>
      </c>
      <c r="E77" s="49">
        <f>AVERAGE('31.07 NAMUGONGO-KIREKA-24h'!E77,'03.08 NAMUGONGO-KIREKA-24h'!E77)</f>
        <v>1</v>
      </c>
      <c r="F77" s="49">
        <f>AVERAGE('31.07 NAMUGONGO-KIREKA-24h'!F77,'03.08 NAMUGONGO-KIREKA-24h'!F77)</f>
        <v>3.5</v>
      </c>
      <c r="G77" s="49">
        <f>AVERAGE('31.07 NAMUGONGO-KIREKA-24h'!G77,'03.08 NAMUGONGO-KIREKA-24h'!G77)</f>
        <v>0</v>
      </c>
      <c r="H77" s="49">
        <f>AVERAGE('31.07 NAMUGONGO-KIREKA-24h'!H77,'03.08 NAMUGONGO-KIREKA-24h'!H77)</f>
        <v>0.5</v>
      </c>
      <c r="I77" s="49">
        <f>AVERAGE('31.07 NAMUGONGO-KIREKA-24h'!I77,'03.08 NAMUGONGO-KIREKA-24h'!I77)</f>
        <v>0</v>
      </c>
      <c r="J77" s="49">
        <f>AVERAGE('31.07 NAMUGONGO-KIREKA-24h'!J77,'03.08 NAMUGONGO-KIREKA-24h'!J77)</f>
        <v>0</v>
      </c>
      <c r="K77" s="49">
        <f>AVERAGE('31.07 NAMUGONGO-KIREKA-24h'!K77,'03.08 NAMUGONGO-KIREKA-24h'!K77)</f>
        <v>0</v>
      </c>
      <c r="L77" s="49">
        <f>AVERAGE('31.07 NAMUGONGO-KIREKA-24h'!L77,'03.08 NAMUGONGO-KIREKA-24h'!L77)</f>
        <v>0</v>
      </c>
      <c r="M77" s="49">
        <f>AVERAGE('31.07 NAMUGONGO-KIREKA-24h'!M77,'03.08 NAMUGONGO-KIREKA-24h'!M77)</f>
        <v>33.5</v>
      </c>
      <c r="N77" s="49">
        <f>AVERAGE('31.07 NAMUGONGO-KIREKA-24h'!N77,'03.08 NAMUGONGO-KIREKA-24h'!N77)</f>
        <v>0</v>
      </c>
      <c r="O77" s="15">
        <f t="shared" si="35"/>
        <v>28</v>
      </c>
      <c r="P77" s="15">
        <f t="shared" si="36"/>
        <v>61.5</v>
      </c>
      <c r="R77" s="8"/>
      <c r="T77"/>
    </row>
    <row r="78" spans="2:20" ht="23.1" customHeight="1" x14ac:dyDescent="0.25">
      <c r="B78" s="24" t="s">
        <v>118</v>
      </c>
      <c r="C78" s="49">
        <f>AVERAGE('31.07 NAMUGONGO-KIREKA-24h'!C78,'03.08 NAMUGONGO-KIREKA-24h'!C78)</f>
        <v>15</v>
      </c>
      <c r="D78" s="49">
        <f>AVERAGE('31.07 NAMUGONGO-KIREKA-24h'!D78,'03.08 NAMUGONGO-KIREKA-24h'!D78)</f>
        <v>1</v>
      </c>
      <c r="E78" s="49">
        <f>AVERAGE('31.07 NAMUGONGO-KIREKA-24h'!E78,'03.08 NAMUGONGO-KIREKA-24h'!E78)</f>
        <v>1.5</v>
      </c>
      <c r="F78" s="49">
        <f>AVERAGE('31.07 NAMUGONGO-KIREKA-24h'!F78,'03.08 NAMUGONGO-KIREKA-24h'!F78)</f>
        <v>16</v>
      </c>
      <c r="G78" s="49">
        <f>AVERAGE('31.07 NAMUGONGO-KIREKA-24h'!G78,'03.08 NAMUGONGO-KIREKA-24h'!G78)</f>
        <v>0</v>
      </c>
      <c r="H78" s="49">
        <f>AVERAGE('31.07 NAMUGONGO-KIREKA-24h'!H78,'03.08 NAMUGONGO-KIREKA-24h'!H78)</f>
        <v>0</v>
      </c>
      <c r="I78" s="49">
        <f>AVERAGE('31.07 NAMUGONGO-KIREKA-24h'!I78,'03.08 NAMUGONGO-KIREKA-24h'!I78)</f>
        <v>1</v>
      </c>
      <c r="J78" s="49">
        <f>AVERAGE('31.07 NAMUGONGO-KIREKA-24h'!J78,'03.08 NAMUGONGO-KIREKA-24h'!J78)</f>
        <v>0.5</v>
      </c>
      <c r="K78" s="49">
        <f>AVERAGE('31.07 NAMUGONGO-KIREKA-24h'!K78,'03.08 NAMUGONGO-KIREKA-24h'!K78)</f>
        <v>0</v>
      </c>
      <c r="L78" s="49">
        <f>AVERAGE('31.07 NAMUGONGO-KIREKA-24h'!L78,'03.08 NAMUGONGO-KIREKA-24h'!L78)</f>
        <v>0</v>
      </c>
      <c r="M78" s="49">
        <f>AVERAGE('31.07 NAMUGONGO-KIREKA-24h'!M78,'03.08 NAMUGONGO-KIREKA-24h'!M78)</f>
        <v>14</v>
      </c>
      <c r="N78" s="49">
        <f>AVERAGE('31.07 NAMUGONGO-KIREKA-24h'!N78,'03.08 NAMUGONGO-KIREKA-24h'!N78)</f>
        <v>0</v>
      </c>
      <c r="O78" s="15">
        <f t="shared" si="35"/>
        <v>35</v>
      </c>
      <c r="P78" s="15">
        <f t="shared" si="36"/>
        <v>49</v>
      </c>
      <c r="R78" s="8"/>
      <c r="T78"/>
    </row>
    <row r="79" spans="2:20" ht="23.1" customHeight="1" x14ac:dyDescent="0.25">
      <c r="B79" s="23" t="s">
        <v>119</v>
      </c>
      <c r="C79" s="49">
        <f>AVERAGE('31.07 NAMUGONGO-KIREKA-24h'!C79,'03.08 NAMUGONGO-KIREKA-24h'!C79)</f>
        <v>15</v>
      </c>
      <c r="D79" s="49">
        <f>AVERAGE('31.07 NAMUGONGO-KIREKA-24h'!D79,'03.08 NAMUGONGO-KIREKA-24h'!D79)</f>
        <v>1</v>
      </c>
      <c r="E79" s="49">
        <f>AVERAGE('31.07 NAMUGONGO-KIREKA-24h'!E79,'03.08 NAMUGONGO-KIREKA-24h'!E79)</f>
        <v>0.5</v>
      </c>
      <c r="F79" s="49">
        <f>AVERAGE('31.07 NAMUGONGO-KIREKA-24h'!F79,'03.08 NAMUGONGO-KIREKA-24h'!F79)</f>
        <v>15.5</v>
      </c>
      <c r="G79" s="49">
        <f>AVERAGE('31.07 NAMUGONGO-KIREKA-24h'!G79,'03.08 NAMUGONGO-KIREKA-24h'!G79)</f>
        <v>0</v>
      </c>
      <c r="H79" s="49">
        <f>AVERAGE('31.07 NAMUGONGO-KIREKA-24h'!H79,'03.08 NAMUGONGO-KIREKA-24h'!H79)</f>
        <v>0</v>
      </c>
      <c r="I79" s="49">
        <f>AVERAGE('31.07 NAMUGONGO-KIREKA-24h'!I79,'03.08 NAMUGONGO-KIREKA-24h'!I79)</f>
        <v>0</v>
      </c>
      <c r="J79" s="49">
        <f>AVERAGE('31.07 NAMUGONGO-KIREKA-24h'!J79,'03.08 NAMUGONGO-KIREKA-24h'!J79)</f>
        <v>0.5</v>
      </c>
      <c r="K79" s="49">
        <f>AVERAGE('31.07 NAMUGONGO-KIREKA-24h'!K79,'03.08 NAMUGONGO-KIREKA-24h'!K79)</f>
        <v>0</v>
      </c>
      <c r="L79" s="49">
        <f>AVERAGE('31.07 NAMUGONGO-KIREKA-24h'!L79,'03.08 NAMUGONGO-KIREKA-24h'!L79)</f>
        <v>0</v>
      </c>
      <c r="M79" s="49">
        <f>AVERAGE('31.07 NAMUGONGO-KIREKA-24h'!M79,'03.08 NAMUGONGO-KIREKA-24h'!M79)</f>
        <v>23</v>
      </c>
      <c r="N79" s="49">
        <f>AVERAGE('31.07 NAMUGONGO-KIREKA-24h'!N79,'03.08 NAMUGONGO-KIREKA-24h'!N79)</f>
        <v>0</v>
      </c>
      <c r="O79" s="15">
        <f t="shared" si="35"/>
        <v>32.5</v>
      </c>
      <c r="P79" s="15">
        <f t="shared" si="36"/>
        <v>55.5</v>
      </c>
      <c r="R79" s="8"/>
      <c r="T79"/>
    </row>
    <row r="80" spans="2:20" ht="23.1" customHeight="1" x14ac:dyDescent="0.25">
      <c r="B80" s="25" t="s">
        <v>120</v>
      </c>
      <c r="C80" s="49">
        <f>AVERAGE('31.07 NAMUGONGO-KIREKA-24h'!C80,'03.08 NAMUGONGO-KIREKA-24h'!C80)</f>
        <v>16</v>
      </c>
      <c r="D80" s="49">
        <f>AVERAGE('31.07 NAMUGONGO-KIREKA-24h'!D80,'03.08 NAMUGONGO-KIREKA-24h'!D80)</f>
        <v>0</v>
      </c>
      <c r="E80" s="49">
        <f>AVERAGE('31.07 NAMUGONGO-KIREKA-24h'!E80,'03.08 NAMUGONGO-KIREKA-24h'!E80)</f>
        <v>1</v>
      </c>
      <c r="F80" s="49">
        <f>AVERAGE('31.07 NAMUGONGO-KIREKA-24h'!F80,'03.08 NAMUGONGO-KIREKA-24h'!F80)</f>
        <v>1.5</v>
      </c>
      <c r="G80" s="49">
        <f>AVERAGE('31.07 NAMUGONGO-KIREKA-24h'!G80,'03.08 NAMUGONGO-KIREKA-24h'!G80)</f>
        <v>0</v>
      </c>
      <c r="H80" s="49">
        <f>AVERAGE('31.07 NAMUGONGO-KIREKA-24h'!H80,'03.08 NAMUGONGO-KIREKA-24h'!H80)</f>
        <v>0</v>
      </c>
      <c r="I80" s="49">
        <f>AVERAGE('31.07 NAMUGONGO-KIREKA-24h'!I80,'03.08 NAMUGONGO-KIREKA-24h'!I80)</f>
        <v>0.5</v>
      </c>
      <c r="J80" s="49">
        <f>AVERAGE('31.07 NAMUGONGO-KIREKA-24h'!J80,'03.08 NAMUGONGO-KIREKA-24h'!J80)</f>
        <v>0</v>
      </c>
      <c r="K80" s="49">
        <f>AVERAGE('31.07 NAMUGONGO-KIREKA-24h'!K80,'03.08 NAMUGONGO-KIREKA-24h'!K80)</f>
        <v>0</v>
      </c>
      <c r="L80" s="49">
        <f>AVERAGE('31.07 NAMUGONGO-KIREKA-24h'!L80,'03.08 NAMUGONGO-KIREKA-24h'!L80)</f>
        <v>0</v>
      </c>
      <c r="M80" s="49">
        <f>AVERAGE('31.07 NAMUGONGO-KIREKA-24h'!M80,'03.08 NAMUGONGO-KIREKA-24h'!M80)</f>
        <v>22.5</v>
      </c>
      <c r="N80" s="49">
        <f>AVERAGE('31.07 NAMUGONGO-KIREKA-24h'!N80,'03.08 NAMUGONGO-KIREKA-24h'!N80)</f>
        <v>0</v>
      </c>
      <c r="O80" s="15">
        <f t="shared" si="35"/>
        <v>19</v>
      </c>
      <c r="P80" s="15">
        <f t="shared" si="36"/>
        <v>41.5</v>
      </c>
      <c r="R80" s="8"/>
      <c r="T80"/>
    </row>
    <row r="81" spans="2:20" ht="23.1" customHeight="1" x14ac:dyDescent="0.25">
      <c r="B81" s="23" t="s">
        <v>121</v>
      </c>
      <c r="C81" s="49">
        <f>AVERAGE('31.07 NAMUGONGO-KIREKA-24h'!C81,'03.08 NAMUGONGO-KIREKA-24h'!C81)</f>
        <v>13.5</v>
      </c>
      <c r="D81" s="49">
        <f>AVERAGE('31.07 NAMUGONGO-KIREKA-24h'!D81,'03.08 NAMUGONGO-KIREKA-24h'!D81)</f>
        <v>1</v>
      </c>
      <c r="E81" s="49">
        <f>AVERAGE('31.07 NAMUGONGO-KIREKA-24h'!E81,'03.08 NAMUGONGO-KIREKA-24h'!E81)</f>
        <v>1</v>
      </c>
      <c r="F81" s="49">
        <f>AVERAGE('31.07 NAMUGONGO-KIREKA-24h'!F81,'03.08 NAMUGONGO-KIREKA-24h'!F81)</f>
        <v>3</v>
      </c>
      <c r="G81" s="49">
        <f>AVERAGE('31.07 NAMUGONGO-KIREKA-24h'!G81,'03.08 NAMUGONGO-KIREKA-24h'!G81)</f>
        <v>0</v>
      </c>
      <c r="H81" s="49">
        <f>AVERAGE('31.07 NAMUGONGO-KIREKA-24h'!H81,'03.08 NAMUGONGO-KIREKA-24h'!H81)</f>
        <v>0</v>
      </c>
      <c r="I81" s="49">
        <f>AVERAGE('31.07 NAMUGONGO-KIREKA-24h'!I81,'03.08 NAMUGONGO-KIREKA-24h'!I81)</f>
        <v>0</v>
      </c>
      <c r="J81" s="49">
        <f>AVERAGE('31.07 NAMUGONGO-KIREKA-24h'!J81,'03.08 NAMUGONGO-KIREKA-24h'!J81)</f>
        <v>0</v>
      </c>
      <c r="K81" s="49">
        <f>AVERAGE('31.07 NAMUGONGO-KIREKA-24h'!K81,'03.08 NAMUGONGO-KIREKA-24h'!K81)</f>
        <v>0</v>
      </c>
      <c r="L81" s="49">
        <f>AVERAGE('31.07 NAMUGONGO-KIREKA-24h'!L81,'03.08 NAMUGONGO-KIREKA-24h'!L81)</f>
        <v>0</v>
      </c>
      <c r="M81" s="49">
        <f>AVERAGE('31.07 NAMUGONGO-KIREKA-24h'!M81,'03.08 NAMUGONGO-KIREKA-24h'!M81)</f>
        <v>19</v>
      </c>
      <c r="N81" s="49">
        <f>AVERAGE('31.07 NAMUGONGO-KIREKA-24h'!N81,'03.08 NAMUGONGO-KIREKA-24h'!N81)</f>
        <v>0</v>
      </c>
      <c r="O81" s="15">
        <f t="shared" si="35"/>
        <v>18.5</v>
      </c>
      <c r="P81" s="15">
        <f t="shared" si="36"/>
        <v>37.5</v>
      </c>
      <c r="R81" s="8"/>
      <c r="T81"/>
    </row>
    <row r="82" spans="2:20" ht="23.1" customHeight="1" x14ac:dyDescent="0.25">
      <c r="B82" s="24" t="s">
        <v>122</v>
      </c>
      <c r="C82" s="49">
        <f>AVERAGE('31.07 NAMUGONGO-KIREKA-24h'!C82,'03.08 NAMUGONGO-KIREKA-24h'!C82)</f>
        <v>11.5</v>
      </c>
      <c r="D82" s="49">
        <f>AVERAGE('31.07 NAMUGONGO-KIREKA-24h'!D82,'03.08 NAMUGONGO-KIREKA-24h'!D82)</f>
        <v>0</v>
      </c>
      <c r="E82" s="49">
        <f>AVERAGE('31.07 NAMUGONGO-KIREKA-24h'!E82,'03.08 NAMUGONGO-KIREKA-24h'!E82)</f>
        <v>0</v>
      </c>
      <c r="F82" s="49">
        <f>AVERAGE('31.07 NAMUGONGO-KIREKA-24h'!F82,'03.08 NAMUGONGO-KIREKA-24h'!F82)</f>
        <v>0.5</v>
      </c>
      <c r="G82" s="49">
        <f>AVERAGE('31.07 NAMUGONGO-KIREKA-24h'!G82,'03.08 NAMUGONGO-KIREKA-24h'!G82)</f>
        <v>0</v>
      </c>
      <c r="H82" s="49">
        <f>AVERAGE('31.07 NAMUGONGO-KIREKA-24h'!H82,'03.08 NAMUGONGO-KIREKA-24h'!H82)</f>
        <v>0</v>
      </c>
      <c r="I82" s="49">
        <f>AVERAGE('31.07 NAMUGONGO-KIREKA-24h'!I82,'03.08 NAMUGONGO-KIREKA-24h'!I82)</f>
        <v>0</v>
      </c>
      <c r="J82" s="49">
        <f>AVERAGE('31.07 NAMUGONGO-KIREKA-24h'!J82,'03.08 NAMUGONGO-KIREKA-24h'!J82)</f>
        <v>0.5</v>
      </c>
      <c r="K82" s="49">
        <f>AVERAGE('31.07 NAMUGONGO-KIREKA-24h'!K82,'03.08 NAMUGONGO-KIREKA-24h'!K82)</f>
        <v>0</v>
      </c>
      <c r="L82" s="49">
        <f>AVERAGE('31.07 NAMUGONGO-KIREKA-24h'!L82,'03.08 NAMUGONGO-KIREKA-24h'!L82)</f>
        <v>0</v>
      </c>
      <c r="M82" s="49">
        <f>AVERAGE('31.07 NAMUGONGO-KIREKA-24h'!M82,'03.08 NAMUGONGO-KIREKA-24h'!M82)</f>
        <v>16</v>
      </c>
      <c r="N82" s="49">
        <f>AVERAGE('31.07 NAMUGONGO-KIREKA-24h'!N82,'03.08 NAMUGONGO-KIREKA-24h'!N82)</f>
        <v>0</v>
      </c>
      <c r="O82" s="15">
        <f t="shared" si="35"/>
        <v>12.5</v>
      </c>
      <c r="P82" s="15">
        <f t="shared" si="36"/>
        <v>28.5</v>
      </c>
      <c r="R82" s="8"/>
      <c r="T82"/>
    </row>
    <row r="83" spans="2:20" ht="23.1" customHeight="1" x14ac:dyDescent="0.25">
      <c r="B83" s="23" t="s">
        <v>123</v>
      </c>
      <c r="C83" s="49">
        <f>AVERAGE('31.07 NAMUGONGO-KIREKA-24h'!C83,'03.08 NAMUGONGO-KIREKA-24h'!C83)</f>
        <v>10</v>
      </c>
      <c r="D83" s="49">
        <f>AVERAGE('31.07 NAMUGONGO-KIREKA-24h'!D83,'03.08 NAMUGONGO-KIREKA-24h'!D83)</f>
        <v>0.5</v>
      </c>
      <c r="E83" s="49">
        <f>AVERAGE('31.07 NAMUGONGO-KIREKA-24h'!E83,'03.08 NAMUGONGO-KIREKA-24h'!E83)</f>
        <v>1</v>
      </c>
      <c r="F83" s="49">
        <f>AVERAGE('31.07 NAMUGONGO-KIREKA-24h'!F83,'03.08 NAMUGONGO-KIREKA-24h'!F83)</f>
        <v>0</v>
      </c>
      <c r="G83" s="49">
        <f>AVERAGE('31.07 NAMUGONGO-KIREKA-24h'!G83,'03.08 NAMUGONGO-KIREKA-24h'!G83)</f>
        <v>0</v>
      </c>
      <c r="H83" s="49">
        <f>AVERAGE('31.07 NAMUGONGO-KIREKA-24h'!H83,'03.08 NAMUGONGO-KIREKA-24h'!H83)</f>
        <v>0</v>
      </c>
      <c r="I83" s="49">
        <f>AVERAGE('31.07 NAMUGONGO-KIREKA-24h'!I83,'03.08 NAMUGONGO-KIREKA-24h'!I83)</f>
        <v>0.5</v>
      </c>
      <c r="J83" s="49">
        <f>AVERAGE('31.07 NAMUGONGO-KIREKA-24h'!J83,'03.08 NAMUGONGO-KIREKA-24h'!J83)</f>
        <v>0.5</v>
      </c>
      <c r="K83" s="49">
        <f>AVERAGE('31.07 NAMUGONGO-KIREKA-24h'!K83,'03.08 NAMUGONGO-KIREKA-24h'!K83)</f>
        <v>0</v>
      </c>
      <c r="L83" s="49">
        <f>AVERAGE('31.07 NAMUGONGO-KIREKA-24h'!L83,'03.08 NAMUGONGO-KIREKA-24h'!L83)</f>
        <v>0</v>
      </c>
      <c r="M83" s="49">
        <f>AVERAGE('31.07 NAMUGONGO-KIREKA-24h'!M83,'03.08 NAMUGONGO-KIREKA-24h'!M83)</f>
        <v>17</v>
      </c>
      <c r="N83" s="49">
        <f>AVERAGE('31.07 NAMUGONGO-KIREKA-24h'!N83,'03.08 NAMUGONGO-KIREKA-24h'!N83)</f>
        <v>0</v>
      </c>
      <c r="O83" s="15">
        <f t="shared" si="35"/>
        <v>12.5</v>
      </c>
      <c r="P83" s="15">
        <f t="shared" si="36"/>
        <v>29.5</v>
      </c>
      <c r="R83" s="8"/>
      <c r="T83"/>
    </row>
    <row r="84" spans="2:20" ht="23.1" customHeight="1" x14ac:dyDescent="0.25">
      <c r="B84" s="25" t="s">
        <v>124</v>
      </c>
      <c r="C84" s="49">
        <f>AVERAGE('31.07 NAMUGONGO-KIREKA-24h'!C84,'03.08 NAMUGONGO-KIREKA-24h'!C84)</f>
        <v>8</v>
      </c>
      <c r="D84" s="49">
        <f>AVERAGE('31.07 NAMUGONGO-KIREKA-24h'!D84,'03.08 NAMUGONGO-KIREKA-24h'!D84)</f>
        <v>0</v>
      </c>
      <c r="E84" s="49">
        <f>AVERAGE('31.07 NAMUGONGO-KIREKA-24h'!E84,'03.08 NAMUGONGO-KIREKA-24h'!E84)</f>
        <v>2</v>
      </c>
      <c r="F84" s="49">
        <f>AVERAGE('31.07 NAMUGONGO-KIREKA-24h'!F84,'03.08 NAMUGONGO-KIREKA-24h'!F84)</f>
        <v>3</v>
      </c>
      <c r="G84" s="49">
        <f>AVERAGE('31.07 NAMUGONGO-KIREKA-24h'!G84,'03.08 NAMUGONGO-KIREKA-24h'!G84)</f>
        <v>0</v>
      </c>
      <c r="H84" s="49">
        <f>AVERAGE('31.07 NAMUGONGO-KIREKA-24h'!H84,'03.08 NAMUGONGO-KIREKA-24h'!H84)</f>
        <v>0</v>
      </c>
      <c r="I84" s="49">
        <f>AVERAGE('31.07 NAMUGONGO-KIREKA-24h'!I84,'03.08 NAMUGONGO-KIREKA-24h'!I84)</f>
        <v>0.5</v>
      </c>
      <c r="J84" s="49">
        <f>AVERAGE('31.07 NAMUGONGO-KIREKA-24h'!J84,'03.08 NAMUGONGO-KIREKA-24h'!J84)</f>
        <v>0.5</v>
      </c>
      <c r="K84" s="49">
        <f>AVERAGE('31.07 NAMUGONGO-KIREKA-24h'!K84,'03.08 NAMUGONGO-KIREKA-24h'!K84)</f>
        <v>0</v>
      </c>
      <c r="L84" s="49">
        <f>AVERAGE('31.07 NAMUGONGO-KIREKA-24h'!L84,'03.08 NAMUGONGO-KIREKA-24h'!L84)</f>
        <v>0</v>
      </c>
      <c r="M84" s="49">
        <f>AVERAGE('31.07 NAMUGONGO-KIREKA-24h'!M84,'03.08 NAMUGONGO-KIREKA-24h'!M84)</f>
        <v>14</v>
      </c>
      <c r="N84" s="49">
        <f>AVERAGE('31.07 NAMUGONGO-KIREKA-24h'!N84,'03.08 NAMUGONGO-KIREKA-24h'!N84)</f>
        <v>0</v>
      </c>
      <c r="O84" s="15">
        <f t="shared" si="35"/>
        <v>14</v>
      </c>
      <c r="P84" s="15">
        <f t="shared" si="36"/>
        <v>28</v>
      </c>
      <c r="R84" s="8"/>
      <c r="T84"/>
    </row>
    <row r="85" spans="2:20" ht="23.1" customHeight="1" x14ac:dyDescent="0.25">
      <c r="B85" s="23" t="s">
        <v>125</v>
      </c>
      <c r="C85" s="49">
        <f>AVERAGE('31.07 NAMUGONGO-KIREKA-24h'!C85,'03.08 NAMUGONGO-KIREKA-24h'!C85)</f>
        <v>7</v>
      </c>
      <c r="D85" s="49">
        <f>AVERAGE('31.07 NAMUGONGO-KIREKA-24h'!D85,'03.08 NAMUGONGO-KIREKA-24h'!D85)</f>
        <v>0.5</v>
      </c>
      <c r="E85" s="49">
        <f>AVERAGE('31.07 NAMUGONGO-KIREKA-24h'!E85,'03.08 NAMUGONGO-KIREKA-24h'!E85)</f>
        <v>0</v>
      </c>
      <c r="F85" s="49">
        <f>AVERAGE('31.07 NAMUGONGO-KIREKA-24h'!F85,'03.08 NAMUGONGO-KIREKA-24h'!F85)</f>
        <v>0</v>
      </c>
      <c r="G85" s="49">
        <f>AVERAGE('31.07 NAMUGONGO-KIREKA-24h'!G85,'03.08 NAMUGONGO-KIREKA-24h'!G85)</f>
        <v>0</v>
      </c>
      <c r="H85" s="49">
        <f>AVERAGE('31.07 NAMUGONGO-KIREKA-24h'!H85,'03.08 NAMUGONGO-KIREKA-24h'!H85)</f>
        <v>0</v>
      </c>
      <c r="I85" s="49">
        <f>AVERAGE('31.07 NAMUGONGO-KIREKA-24h'!I85,'03.08 NAMUGONGO-KIREKA-24h'!I85)</f>
        <v>0</v>
      </c>
      <c r="J85" s="49">
        <f>AVERAGE('31.07 NAMUGONGO-KIREKA-24h'!J85,'03.08 NAMUGONGO-KIREKA-24h'!J85)</f>
        <v>0.5</v>
      </c>
      <c r="K85" s="49">
        <f>AVERAGE('31.07 NAMUGONGO-KIREKA-24h'!K85,'03.08 NAMUGONGO-KIREKA-24h'!K85)</f>
        <v>0</v>
      </c>
      <c r="L85" s="49">
        <f>AVERAGE('31.07 NAMUGONGO-KIREKA-24h'!L85,'03.08 NAMUGONGO-KIREKA-24h'!L85)</f>
        <v>0</v>
      </c>
      <c r="M85" s="49">
        <f>AVERAGE('31.07 NAMUGONGO-KIREKA-24h'!M85,'03.08 NAMUGONGO-KIREKA-24h'!M85)</f>
        <v>11.5</v>
      </c>
      <c r="N85" s="49">
        <f>AVERAGE('31.07 NAMUGONGO-KIREKA-24h'!N85,'03.08 NAMUGONGO-KIREKA-24h'!N85)</f>
        <v>0</v>
      </c>
      <c r="O85" s="15">
        <f t="shared" si="35"/>
        <v>8</v>
      </c>
      <c r="P85" s="15">
        <f t="shared" si="36"/>
        <v>19.5</v>
      </c>
      <c r="R85" s="8"/>
      <c r="T85"/>
    </row>
    <row r="86" spans="2:20" ht="23.1" customHeight="1" x14ac:dyDescent="0.25">
      <c r="B86" s="24" t="s">
        <v>126</v>
      </c>
      <c r="C86" s="49">
        <f>AVERAGE('31.07 NAMUGONGO-KIREKA-24h'!C86,'03.08 NAMUGONGO-KIREKA-24h'!C86)</f>
        <v>5.5</v>
      </c>
      <c r="D86" s="49">
        <f>AVERAGE('31.07 NAMUGONGO-KIREKA-24h'!D86,'03.08 NAMUGONGO-KIREKA-24h'!D86)</f>
        <v>0</v>
      </c>
      <c r="E86" s="49">
        <f>AVERAGE('31.07 NAMUGONGO-KIREKA-24h'!E86,'03.08 NAMUGONGO-KIREKA-24h'!E86)</f>
        <v>1</v>
      </c>
      <c r="F86" s="49">
        <f>AVERAGE('31.07 NAMUGONGO-KIREKA-24h'!F86,'03.08 NAMUGONGO-KIREKA-24h'!F86)</f>
        <v>3</v>
      </c>
      <c r="G86" s="49">
        <f>AVERAGE('31.07 NAMUGONGO-KIREKA-24h'!G86,'03.08 NAMUGONGO-KIREKA-24h'!G86)</f>
        <v>0</v>
      </c>
      <c r="H86" s="49">
        <f>AVERAGE('31.07 NAMUGONGO-KIREKA-24h'!H86,'03.08 NAMUGONGO-KIREKA-24h'!H86)</f>
        <v>0</v>
      </c>
      <c r="I86" s="49">
        <f>AVERAGE('31.07 NAMUGONGO-KIREKA-24h'!I86,'03.08 NAMUGONGO-KIREKA-24h'!I86)</f>
        <v>0</v>
      </c>
      <c r="J86" s="49">
        <f>AVERAGE('31.07 NAMUGONGO-KIREKA-24h'!J86,'03.08 NAMUGONGO-KIREKA-24h'!J86)</f>
        <v>0</v>
      </c>
      <c r="K86" s="49">
        <f>AVERAGE('31.07 NAMUGONGO-KIREKA-24h'!K86,'03.08 NAMUGONGO-KIREKA-24h'!K86)</f>
        <v>0</v>
      </c>
      <c r="L86" s="49">
        <f>AVERAGE('31.07 NAMUGONGO-KIREKA-24h'!L86,'03.08 NAMUGONGO-KIREKA-24h'!L86)</f>
        <v>0</v>
      </c>
      <c r="M86" s="49">
        <f>AVERAGE('31.07 NAMUGONGO-KIREKA-24h'!M86,'03.08 NAMUGONGO-KIREKA-24h'!M86)</f>
        <v>9</v>
      </c>
      <c r="N86" s="49">
        <f>AVERAGE('31.07 NAMUGONGO-KIREKA-24h'!N86,'03.08 NAMUGONGO-KIREKA-24h'!N86)</f>
        <v>0</v>
      </c>
      <c r="O86" s="15">
        <f t="shared" si="35"/>
        <v>9.5</v>
      </c>
      <c r="P86" s="15">
        <f t="shared" si="36"/>
        <v>18.5</v>
      </c>
      <c r="R86" s="8"/>
      <c r="T86"/>
    </row>
    <row r="87" spans="2:20" ht="23.1" customHeight="1" x14ac:dyDescent="0.25">
      <c r="B87" s="23" t="s">
        <v>127</v>
      </c>
      <c r="C87" s="49">
        <f>AVERAGE('31.07 NAMUGONGO-KIREKA-24h'!C87,'03.08 NAMUGONGO-KIREKA-24h'!C87)</f>
        <v>4.5</v>
      </c>
      <c r="D87" s="49">
        <f>AVERAGE('31.07 NAMUGONGO-KIREKA-24h'!D87,'03.08 NAMUGONGO-KIREKA-24h'!D87)</f>
        <v>0.5</v>
      </c>
      <c r="E87" s="49">
        <f>AVERAGE('31.07 NAMUGONGO-KIREKA-24h'!E87,'03.08 NAMUGONGO-KIREKA-24h'!E87)</f>
        <v>0.5</v>
      </c>
      <c r="F87" s="49">
        <f>AVERAGE('31.07 NAMUGONGO-KIREKA-24h'!F87,'03.08 NAMUGONGO-KIREKA-24h'!F87)</f>
        <v>2</v>
      </c>
      <c r="G87" s="49">
        <f>AVERAGE('31.07 NAMUGONGO-KIREKA-24h'!G87,'03.08 NAMUGONGO-KIREKA-24h'!G87)</f>
        <v>0</v>
      </c>
      <c r="H87" s="49">
        <f>AVERAGE('31.07 NAMUGONGO-KIREKA-24h'!H87,'03.08 NAMUGONGO-KIREKA-24h'!H87)</f>
        <v>0</v>
      </c>
      <c r="I87" s="49">
        <f>AVERAGE('31.07 NAMUGONGO-KIREKA-24h'!I87,'03.08 NAMUGONGO-KIREKA-24h'!I87)</f>
        <v>1</v>
      </c>
      <c r="J87" s="49">
        <f>AVERAGE('31.07 NAMUGONGO-KIREKA-24h'!J87,'03.08 NAMUGONGO-KIREKA-24h'!J87)</f>
        <v>0</v>
      </c>
      <c r="K87" s="49">
        <f>AVERAGE('31.07 NAMUGONGO-KIREKA-24h'!K87,'03.08 NAMUGONGO-KIREKA-24h'!K87)</f>
        <v>0</v>
      </c>
      <c r="L87" s="49">
        <f>AVERAGE('31.07 NAMUGONGO-KIREKA-24h'!L87,'03.08 NAMUGONGO-KIREKA-24h'!L87)</f>
        <v>0</v>
      </c>
      <c r="M87" s="49">
        <f>AVERAGE('31.07 NAMUGONGO-KIREKA-24h'!M87,'03.08 NAMUGONGO-KIREKA-24h'!M87)</f>
        <v>6.5</v>
      </c>
      <c r="N87" s="49">
        <f>AVERAGE('31.07 NAMUGONGO-KIREKA-24h'!N87,'03.08 NAMUGONGO-KIREKA-24h'!N87)</f>
        <v>0</v>
      </c>
      <c r="O87" s="15">
        <f t="shared" si="35"/>
        <v>8.5</v>
      </c>
      <c r="P87" s="15">
        <f t="shared" si="36"/>
        <v>15</v>
      </c>
      <c r="R87" s="8"/>
      <c r="T87"/>
    </row>
    <row r="88" spans="2:20" ht="23.1" customHeight="1" x14ac:dyDescent="0.25">
      <c r="B88" s="25" t="s">
        <v>128</v>
      </c>
      <c r="C88" s="49">
        <f>AVERAGE('31.07 NAMUGONGO-KIREKA-24h'!C88,'03.08 NAMUGONGO-KIREKA-24h'!C88)</f>
        <v>4</v>
      </c>
      <c r="D88" s="49">
        <f>AVERAGE('31.07 NAMUGONGO-KIREKA-24h'!D88,'03.08 NAMUGONGO-KIREKA-24h'!D88)</f>
        <v>0.5</v>
      </c>
      <c r="E88" s="49">
        <f>AVERAGE('31.07 NAMUGONGO-KIREKA-24h'!E88,'03.08 NAMUGONGO-KIREKA-24h'!E88)</f>
        <v>0.5</v>
      </c>
      <c r="F88" s="49">
        <f>AVERAGE('31.07 NAMUGONGO-KIREKA-24h'!F88,'03.08 NAMUGONGO-KIREKA-24h'!F88)</f>
        <v>0</v>
      </c>
      <c r="G88" s="49">
        <f>AVERAGE('31.07 NAMUGONGO-KIREKA-24h'!G88,'03.08 NAMUGONGO-KIREKA-24h'!G88)</f>
        <v>0</v>
      </c>
      <c r="H88" s="49">
        <f>AVERAGE('31.07 NAMUGONGO-KIREKA-24h'!H88,'03.08 NAMUGONGO-KIREKA-24h'!H88)</f>
        <v>0</v>
      </c>
      <c r="I88" s="49">
        <f>AVERAGE('31.07 NAMUGONGO-KIREKA-24h'!I88,'03.08 NAMUGONGO-KIREKA-24h'!I88)</f>
        <v>0</v>
      </c>
      <c r="J88" s="49">
        <f>AVERAGE('31.07 NAMUGONGO-KIREKA-24h'!J88,'03.08 NAMUGONGO-KIREKA-24h'!J88)</f>
        <v>0</v>
      </c>
      <c r="K88" s="49">
        <f>AVERAGE('31.07 NAMUGONGO-KIREKA-24h'!K88,'03.08 NAMUGONGO-KIREKA-24h'!K88)</f>
        <v>0</v>
      </c>
      <c r="L88" s="49">
        <f>AVERAGE('31.07 NAMUGONGO-KIREKA-24h'!L88,'03.08 NAMUGONGO-KIREKA-24h'!L88)</f>
        <v>0</v>
      </c>
      <c r="M88" s="49">
        <f>AVERAGE('31.07 NAMUGONGO-KIREKA-24h'!M88,'03.08 NAMUGONGO-KIREKA-24h'!M88)</f>
        <v>13</v>
      </c>
      <c r="N88" s="49">
        <f>AVERAGE('31.07 NAMUGONGO-KIREKA-24h'!N88,'03.08 NAMUGONGO-KIREKA-24h'!N88)</f>
        <v>0</v>
      </c>
      <c r="O88" s="15">
        <f t="shared" si="35"/>
        <v>5</v>
      </c>
      <c r="P88" s="15">
        <f t="shared" si="36"/>
        <v>18</v>
      </c>
      <c r="R88" s="8"/>
      <c r="T88"/>
    </row>
    <row r="89" spans="2:20" ht="23.1" customHeight="1" x14ac:dyDescent="0.25">
      <c r="B89" s="23" t="s">
        <v>129</v>
      </c>
      <c r="C89" s="49">
        <f>AVERAGE('31.07 NAMUGONGO-KIREKA-24h'!C89,'03.08 NAMUGONGO-KIREKA-24h'!C89)</f>
        <v>7.5</v>
      </c>
      <c r="D89" s="49">
        <f>AVERAGE('31.07 NAMUGONGO-KIREKA-24h'!D89,'03.08 NAMUGONGO-KIREKA-24h'!D89)</f>
        <v>0</v>
      </c>
      <c r="E89" s="49">
        <f>AVERAGE('31.07 NAMUGONGO-KIREKA-24h'!E89,'03.08 NAMUGONGO-KIREKA-24h'!E89)</f>
        <v>0</v>
      </c>
      <c r="F89" s="49">
        <f>AVERAGE('31.07 NAMUGONGO-KIREKA-24h'!F89,'03.08 NAMUGONGO-KIREKA-24h'!F89)</f>
        <v>0</v>
      </c>
      <c r="G89" s="49">
        <f>AVERAGE('31.07 NAMUGONGO-KIREKA-24h'!G89,'03.08 NAMUGONGO-KIREKA-24h'!G89)</f>
        <v>0</v>
      </c>
      <c r="H89" s="49">
        <f>AVERAGE('31.07 NAMUGONGO-KIREKA-24h'!H89,'03.08 NAMUGONGO-KIREKA-24h'!H89)</f>
        <v>0</v>
      </c>
      <c r="I89" s="49">
        <f>AVERAGE('31.07 NAMUGONGO-KIREKA-24h'!I89,'03.08 NAMUGONGO-KIREKA-24h'!I89)</f>
        <v>0</v>
      </c>
      <c r="J89" s="49">
        <f>AVERAGE('31.07 NAMUGONGO-KIREKA-24h'!J89,'03.08 NAMUGONGO-KIREKA-24h'!J89)</f>
        <v>0</v>
      </c>
      <c r="K89" s="49">
        <f>AVERAGE('31.07 NAMUGONGO-KIREKA-24h'!K89,'03.08 NAMUGONGO-KIREKA-24h'!K89)</f>
        <v>0</v>
      </c>
      <c r="L89" s="49">
        <f>AVERAGE('31.07 NAMUGONGO-KIREKA-24h'!L89,'03.08 NAMUGONGO-KIREKA-24h'!L89)</f>
        <v>0</v>
      </c>
      <c r="M89" s="49">
        <f>AVERAGE('31.07 NAMUGONGO-KIREKA-24h'!M89,'03.08 NAMUGONGO-KIREKA-24h'!M89)</f>
        <v>14.5</v>
      </c>
      <c r="N89" s="49">
        <f>AVERAGE('31.07 NAMUGONGO-KIREKA-24h'!N89,'03.08 NAMUGONGO-KIREKA-24h'!N89)</f>
        <v>0</v>
      </c>
      <c r="O89" s="15">
        <f t="shared" si="35"/>
        <v>7.5</v>
      </c>
      <c r="P89" s="15">
        <f t="shared" si="36"/>
        <v>22</v>
      </c>
      <c r="R89" s="8"/>
      <c r="T89"/>
    </row>
    <row r="90" spans="2:20" ht="23.1" customHeight="1" x14ac:dyDescent="0.25">
      <c r="B90" s="24" t="s">
        <v>130</v>
      </c>
      <c r="C90" s="49">
        <f>AVERAGE('31.07 NAMUGONGO-KIREKA-24h'!C90,'03.08 NAMUGONGO-KIREKA-24h'!C90)</f>
        <v>4.5</v>
      </c>
      <c r="D90" s="49">
        <f>AVERAGE('31.07 NAMUGONGO-KIREKA-24h'!D90,'03.08 NAMUGONGO-KIREKA-24h'!D90)</f>
        <v>0</v>
      </c>
      <c r="E90" s="49">
        <f>AVERAGE('31.07 NAMUGONGO-KIREKA-24h'!E90,'03.08 NAMUGONGO-KIREKA-24h'!E90)</f>
        <v>0.5</v>
      </c>
      <c r="F90" s="49">
        <f>AVERAGE('31.07 NAMUGONGO-KIREKA-24h'!F90,'03.08 NAMUGONGO-KIREKA-24h'!F90)</f>
        <v>0</v>
      </c>
      <c r="G90" s="49">
        <f>AVERAGE('31.07 NAMUGONGO-KIREKA-24h'!G90,'03.08 NAMUGONGO-KIREKA-24h'!G90)</f>
        <v>0</v>
      </c>
      <c r="H90" s="49">
        <f>AVERAGE('31.07 NAMUGONGO-KIREKA-24h'!H90,'03.08 NAMUGONGO-KIREKA-24h'!H90)</f>
        <v>0</v>
      </c>
      <c r="I90" s="49">
        <f>AVERAGE('31.07 NAMUGONGO-KIREKA-24h'!I90,'03.08 NAMUGONGO-KIREKA-24h'!I90)</f>
        <v>1</v>
      </c>
      <c r="J90" s="49">
        <f>AVERAGE('31.07 NAMUGONGO-KIREKA-24h'!J90,'03.08 NAMUGONGO-KIREKA-24h'!J90)</f>
        <v>1</v>
      </c>
      <c r="K90" s="49">
        <f>AVERAGE('31.07 NAMUGONGO-KIREKA-24h'!K90,'03.08 NAMUGONGO-KIREKA-24h'!K90)</f>
        <v>0</v>
      </c>
      <c r="L90" s="49">
        <f>AVERAGE('31.07 NAMUGONGO-KIREKA-24h'!L90,'03.08 NAMUGONGO-KIREKA-24h'!L90)</f>
        <v>0</v>
      </c>
      <c r="M90" s="49">
        <f>AVERAGE('31.07 NAMUGONGO-KIREKA-24h'!M90,'03.08 NAMUGONGO-KIREKA-24h'!M90)</f>
        <v>9.5</v>
      </c>
      <c r="N90" s="49">
        <f>AVERAGE('31.07 NAMUGONGO-KIREKA-24h'!N90,'03.08 NAMUGONGO-KIREKA-24h'!N90)</f>
        <v>0</v>
      </c>
      <c r="O90" s="15">
        <f t="shared" si="35"/>
        <v>7</v>
      </c>
      <c r="P90" s="15">
        <f t="shared" si="36"/>
        <v>16.5</v>
      </c>
      <c r="R90" s="8"/>
      <c r="T90"/>
    </row>
    <row r="91" spans="2:20" ht="23.1" customHeight="1" x14ac:dyDescent="0.25">
      <c r="B91" s="23" t="s">
        <v>131</v>
      </c>
      <c r="C91" s="49">
        <f>AVERAGE('31.07 NAMUGONGO-KIREKA-24h'!C91,'03.08 NAMUGONGO-KIREKA-24h'!C91)</f>
        <v>3.5</v>
      </c>
      <c r="D91" s="49">
        <f>AVERAGE('31.07 NAMUGONGO-KIREKA-24h'!D91,'03.08 NAMUGONGO-KIREKA-24h'!D91)</f>
        <v>0.5</v>
      </c>
      <c r="E91" s="49">
        <f>AVERAGE('31.07 NAMUGONGO-KIREKA-24h'!E91,'03.08 NAMUGONGO-KIREKA-24h'!E91)</f>
        <v>0.5</v>
      </c>
      <c r="F91" s="49">
        <f>AVERAGE('31.07 NAMUGONGO-KIREKA-24h'!F91,'03.08 NAMUGONGO-KIREKA-24h'!F91)</f>
        <v>0</v>
      </c>
      <c r="G91" s="49">
        <f>AVERAGE('31.07 NAMUGONGO-KIREKA-24h'!G91,'03.08 NAMUGONGO-KIREKA-24h'!G91)</f>
        <v>0</v>
      </c>
      <c r="H91" s="49">
        <f>AVERAGE('31.07 NAMUGONGO-KIREKA-24h'!H91,'03.08 NAMUGONGO-KIREKA-24h'!H91)</f>
        <v>0</v>
      </c>
      <c r="I91" s="49">
        <f>AVERAGE('31.07 NAMUGONGO-KIREKA-24h'!I91,'03.08 NAMUGONGO-KIREKA-24h'!I91)</f>
        <v>0</v>
      </c>
      <c r="J91" s="49">
        <f>AVERAGE('31.07 NAMUGONGO-KIREKA-24h'!J91,'03.08 NAMUGONGO-KIREKA-24h'!J91)</f>
        <v>0</v>
      </c>
      <c r="K91" s="49">
        <f>AVERAGE('31.07 NAMUGONGO-KIREKA-24h'!K91,'03.08 NAMUGONGO-KIREKA-24h'!K91)</f>
        <v>0</v>
      </c>
      <c r="L91" s="49">
        <f>AVERAGE('31.07 NAMUGONGO-KIREKA-24h'!L91,'03.08 NAMUGONGO-KIREKA-24h'!L91)</f>
        <v>0</v>
      </c>
      <c r="M91" s="49">
        <f>AVERAGE('31.07 NAMUGONGO-KIREKA-24h'!M91,'03.08 NAMUGONGO-KIREKA-24h'!M91)</f>
        <v>8</v>
      </c>
      <c r="N91" s="49">
        <f>AVERAGE('31.07 NAMUGONGO-KIREKA-24h'!N91,'03.08 NAMUGONGO-KIREKA-24h'!N91)</f>
        <v>0</v>
      </c>
      <c r="O91" s="15">
        <f t="shared" si="35"/>
        <v>4.5</v>
      </c>
      <c r="P91" s="15">
        <f t="shared" si="36"/>
        <v>12.5</v>
      </c>
      <c r="R91" s="8"/>
      <c r="T91"/>
    </row>
    <row r="92" spans="2:20" ht="23.1" customHeight="1" x14ac:dyDescent="0.25">
      <c r="B92" s="25" t="s">
        <v>132</v>
      </c>
      <c r="C92" s="49">
        <f>AVERAGE('31.07 NAMUGONGO-KIREKA-24h'!C92,'03.08 NAMUGONGO-KIREKA-24h'!C92)</f>
        <v>3</v>
      </c>
      <c r="D92" s="49">
        <f>AVERAGE('31.07 NAMUGONGO-KIREKA-24h'!D92,'03.08 NAMUGONGO-KIREKA-24h'!D92)</f>
        <v>0.5</v>
      </c>
      <c r="E92" s="49">
        <f>AVERAGE('31.07 NAMUGONGO-KIREKA-24h'!E92,'03.08 NAMUGONGO-KIREKA-24h'!E92)</f>
        <v>0</v>
      </c>
      <c r="F92" s="49">
        <f>AVERAGE('31.07 NAMUGONGO-KIREKA-24h'!F92,'03.08 NAMUGONGO-KIREKA-24h'!F92)</f>
        <v>0</v>
      </c>
      <c r="G92" s="49">
        <f>AVERAGE('31.07 NAMUGONGO-KIREKA-24h'!G92,'03.08 NAMUGONGO-KIREKA-24h'!G92)</f>
        <v>0</v>
      </c>
      <c r="H92" s="49">
        <f>AVERAGE('31.07 NAMUGONGO-KIREKA-24h'!H92,'03.08 NAMUGONGO-KIREKA-24h'!H92)</f>
        <v>0</v>
      </c>
      <c r="I92" s="49">
        <f>AVERAGE('31.07 NAMUGONGO-KIREKA-24h'!I92,'03.08 NAMUGONGO-KIREKA-24h'!I92)</f>
        <v>0</v>
      </c>
      <c r="J92" s="49">
        <f>AVERAGE('31.07 NAMUGONGO-KIREKA-24h'!J92,'03.08 NAMUGONGO-KIREKA-24h'!J92)</f>
        <v>0</v>
      </c>
      <c r="K92" s="49">
        <f>AVERAGE('31.07 NAMUGONGO-KIREKA-24h'!K92,'03.08 NAMUGONGO-KIREKA-24h'!K92)</f>
        <v>0</v>
      </c>
      <c r="L92" s="49">
        <f>AVERAGE('31.07 NAMUGONGO-KIREKA-24h'!L92,'03.08 NAMUGONGO-KIREKA-24h'!L92)</f>
        <v>0</v>
      </c>
      <c r="M92" s="49">
        <f>AVERAGE('31.07 NAMUGONGO-KIREKA-24h'!M92,'03.08 NAMUGONGO-KIREKA-24h'!M92)</f>
        <v>5</v>
      </c>
      <c r="N92" s="49">
        <f>AVERAGE('31.07 NAMUGONGO-KIREKA-24h'!N92,'03.08 NAMUGONGO-KIREKA-24h'!N92)</f>
        <v>0</v>
      </c>
      <c r="O92" s="15">
        <f t="shared" si="35"/>
        <v>3.5</v>
      </c>
      <c r="P92" s="15">
        <f t="shared" si="36"/>
        <v>8.5</v>
      </c>
      <c r="R92" s="8"/>
      <c r="T92"/>
    </row>
    <row r="93" spans="2:20" ht="23.1" customHeight="1" x14ac:dyDescent="0.25">
      <c r="B93" s="23" t="s">
        <v>133</v>
      </c>
      <c r="C93" s="49">
        <f>AVERAGE('31.07 NAMUGONGO-KIREKA-24h'!C93,'03.08 NAMUGONGO-KIREKA-24h'!C93)</f>
        <v>3.5</v>
      </c>
      <c r="D93" s="49">
        <f>AVERAGE('31.07 NAMUGONGO-KIREKA-24h'!D93,'03.08 NAMUGONGO-KIREKA-24h'!D93)</f>
        <v>0</v>
      </c>
      <c r="E93" s="49">
        <f>AVERAGE('31.07 NAMUGONGO-KIREKA-24h'!E93,'03.08 NAMUGONGO-KIREKA-24h'!E93)</f>
        <v>0</v>
      </c>
      <c r="F93" s="49">
        <f>AVERAGE('31.07 NAMUGONGO-KIREKA-24h'!F93,'03.08 NAMUGONGO-KIREKA-24h'!F93)</f>
        <v>0.5</v>
      </c>
      <c r="G93" s="49">
        <f>AVERAGE('31.07 NAMUGONGO-KIREKA-24h'!G93,'03.08 NAMUGONGO-KIREKA-24h'!G93)</f>
        <v>0</v>
      </c>
      <c r="H93" s="49">
        <f>AVERAGE('31.07 NAMUGONGO-KIREKA-24h'!H93,'03.08 NAMUGONGO-KIREKA-24h'!H93)</f>
        <v>0</v>
      </c>
      <c r="I93" s="49">
        <f>AVERAGE('31.07 NAMUGONGO-KIREKA-24h'!I93,'03.08 NAMUGONGO-KIREKA-24h'!I93)</f>
        <v>0.5</v>
      </c>
      <c r="J93" s="49">
        <f>AVERAGE('31.07 NAMUGONGO-KIREKA-24h'!J93,'03.08 NAMUGONGO-KIREKA-24h'!J93)</f>
        <v>0.5</v>
      </c>
      <c r="K93" s="49">
        <f>AVERAGE('31.07 NAMUGONGO-KIREKA-24h'!K93,'03.08 NAMUGONGO-KIREKA-24h'!K93)</f>
        <v>0.5</v>
      </c>
      <c r="L93" s="49">
        <f>AVERAGE('31.07 NAMUGONGO-KIREKA-24h'!L93,'03.08 NAMUGONGO-KIREKA-24h'!L93)</f>
        <v>0</v>
      </c>
      <c r="M93" s="49">
        <f>AVERAGE('31.07 NAMUGONGO-KIREKA-24h'!M93,'03.08 NAMUGONGO-KIREKA-24h'!M93)</f>
        <v>10.5</v>
      </c>
      <c r="N93" s="49">
        <f>AVERAGE('31.07 NAMUGONGO-KIREKA-24h'!N93,'03.08 NAMUGONGO-KIREKA-24h'!N93)</f>
        <v>0</v>
      </c>
      <c r="O93" s="15">
        <f t="shared" si="35"/>
        <v>5.5</v>
      </c>
      <c r="P93" s="15">
        <f t="shared" si="36"/>
        <v>16</v>
      </c>
      <c r="R93" s="8"/>
      <c r="T93"/>
    </row>
    <row r="94" spans="2:20" ht="23.1" customHeight="1" x14ac:dyDescent="0.25">
      <c r="B94" s="24" t="s">
        <v>134</v>
      </c>
      <c r="C94" s="49">
        <f>AVERAGE('31.07 NAMUGONGO-KIREKA-24h'!C94,'03.08 NAMUGONGO-KIREKA-24h'!C94)</f>
        <v>3</v>
      </c>
      <c r="D94" s="49">
        <f>AVERAGE('31.07 NAMUGONGO-KIREKA-24h'!D94,'03.08 NAMUGONGO-KIREKA-24h'!D94)</f>
        <v>0</v>
      </c>
      <c r="E94" s="49">
        <f>AVERAGE('31.07 NAMUGONGO-KIREKA-24h'!E94,'03.08 NAMUGONGO-KIREKA-24h'!E94)</f>
        <v>0</v>
      </c>
      <c r="F94" s="49">
        <f>AVERAGE('31.07 NAMUGONGO-KIREKA-24h'!F94,'03.08 NAMUGONGO-KIREKA-24h'!F94)</f>
        <v>0</v>
      </c>
      <c r="G94" s="49">
        <f>AVERAGE('31.07 NAMUGONGO-KIREKA-24h'!G94,'03.08 NAMUGONGO-KIREKA-24h'!G94)</f>
        <v>0</v>
      </c>
      <c r="H94" s="49">
        <f>AVERAGE('31.07 NAMUGONGO-KIREKA-24h'!H94,'03.08 NAMUGONGO-KIREKA-24h'!H94)</f>
        <v>0</v>
      </c>
      <c r="I94" s="49">
        <f>AVERAGE('31.07 NAMUGONGO-KIREKA-24h'!I94,'03.08 NAMUGONGO-KIREKA-24h'!I94)</f>
        <v>0</v>
      </c>
      <c r="J94" s="49">
        <f>AVERAGE('31.07 NAMUGONGO-KIREKA-24h'!J94,'03.08 NAMUGONGO-KIREKA-24h'!J94)</f>
        <v>0.5</v>
      </c>
      <c r="K94" s="49">
        <f>AVERAGE('31.07 NAMUGONGO-KIREKA-24h'!K94,'03.08 NAMUGONGO-KIREKA-24h'!K94)</f>
        <v>0</v>
      </c>
      <c r="L94" s="49">
        <f>AVERAGE('31.07 NAMUGONGO-KIREKA-24h'!L94,'03.08 NAMUGONGO-KIREKA-24h'!L94)</f>
        <v>0</v>
      </c>
      <c r="M94" s="49">
        <f>AVERAGE('31.07 NAMUGONGO-KIREKA-24h'!M94,'03.08 NAMUGONGO-KIREKA-24h'!M94)</f>
        <v>8.5</v>
      </c>
      <c r="N94" s="49">
        <f>AVERAGE('31.07 NAMUGONGO-KIREKA-24h'!N94,'03.08 NAMUGONGO-KIREKA-24h'!N94)</f>
        <v>0</v>
      </c>
      <c r="O94" s="15">
        <f t="shared" si="35"/>
        <v>3.5</v>
      </c>
      <c r="P94" s="15">
        <f t="shared" si="36"/>
        <v>12</v>
      </c>
      <c r="R94" s="8"/>
      <c r="T94"/>
    </row>
    <row r="95" spans="2:20" ht="23.1" customHeight="1" x14ac:dyDescent="0.25">
      <c r="B95" s="23" t="s">
        <v>135</v>
      </c>
      <c r="C95" s="49">
        <f>AVERAGE('31.07 NAMUGONGO-KIREKA-24h'!C95,'03.08 NAMUGONGO-KIREKA-24h'!C95)</f>
        <v>4</v>
      </c>
      <c r="D95" s="49">
        <f>AVERAGE('31.07 NAMUGONGO-KIREKA-24h'!D95,'03.08 NAMUGONGO-KIREKA-24h'!D95)</f>
        <v>0</v>
      </c>
      <c r="E95" s="49">
        <f>AVERAGE('31.07 NAMUGONGO-KIREKA-24h'!E95,'03.08 NAMUGONGO-KIREKA-24h'!E95)</f>
        <v>0</v>
      </c>
      <c r="F95" s="49">
        <f>AVERAGE('31.07 NAMUGONGO-KIREKA-24h'!F95,'03.08 NAMUGONGO-KIREKA-24h'!F95)</f>
        <v>0</v>
      </c>
      <c r="G95" s="49">
        <f>AVERAGE('31.07 NAMUGONGO-KIREKA-24h'!G95,'03.08 NAMUGONGO-KIREKA-24h'!G95)</f>
        <v>0</v>
      </c>
      <c r="H95" s="49">
        <f>AVERAGE('31.07 NAMUGONGO-KIREKA-24h'!H95,'03.08 NAMUGONGO-KIREKA-24h'!H95)</f>
        <v>0</v>
      </c>
      <c r="I95" s="49">
        <f>AVERAGE('31.07 NAMUGONGO-KIREKA-24h'!I95,'03.08 NAMUGONGO-KIREKA-24h'!I95)</f>
        <v>0</v>
      </c>
      <c r="J95" s="49">
        <f>AVERAGE('31.07 NAMUGONGO-KIREKA-24h'!J95,'03.08 NAMUGONGO-KIREKA-24h'!J95)</f>
        <v>1</v>
      </c>
      <c r="K95" s="49">
        <f>AVERAGE('31.07 NAMUGONGO-KIREKA-24h'!K95,'03.08 NAMUGONGO-KIREKA-24h'!K95)</f>
        <v>0</v>
      </c>
      <c r="L95" s="49">
        <f>AVERAGE('31.07 NAMUGONGO-KIREKA-24h'!L95,'03.08 NAMUGONGO-KIREKA-24h'!L95)</f>
        <v>0</v>
      </c>
      <c r="M95" s="49">
        <f>AVERAGE('31.07 NAMUGONGO-KIREKA-24h'!M95,'03.08 NAMUGONGO-KIREKA-24h'!M95)</f>
        <v>7</v>
      </c>
      <c r="N95" s="49">
        <f>AVERAGE('31.07 NAMUGONGO-KIREKA-24h'!N95,'03.08 NAMUGONGO-KIREKA-24h'!N95)</f>
        <v>0</v>
      </c>
      <c r="O95" s="15">
        <f t="shared" si="35"/>
        <v>5</v>
      </c>
      <c r="P95" s="15">
        <f t="shared" si="36"/>
        <v>12</v>
      </c>
      <c r="R95" s="8"/>
      <c r="T95"/>
    </row>
    <row r="96" spans="2:20" ht="23.1" customHeight="1" x14ac:dyDescent="0.25">
      <c r="B96" s="25" t="s">
        <v>136</v>
      </c>
      <c r="C96" s="49">
        <f>AVERAGE('31.07 NAMUGONGO-KIREKA-24h'!C96,'03.08 NAMUGONGO-KIREKA-24h'!C96)</f>
        <v>6.5</v>
      </c>
      <c r="D96" s="49">
        <f>AVERAGE('31.07 NAMUGONGO-KIREKA-24h'!D96,'03.08 NAMUGONGO-KIREKA-24h'!D96)</f>
        <v>0</v>
      </c>
      <c r="E96" s="49">
        <f>AVERAGE('31.07 NAMUGONGO-KIREKA-24h'!E96,'03.08 NAMUGONGO-KIREKA-24h'!E96)</f>
        <v>0</v>
      </c>
      <c r="F96" s="49">
        <f>AVERAGE('31.07 NAMUGONGO-KIREKA-24h'!F96,'03.08 NAMUGONGO-KIREKA-24h'!F96)</f>
        <v>0</v>
      </c>
      <c r="G96" s="49">
        <f>AVERAGE('31.07 NAMUGONGO-KIREKA-24h'!G96,'03.08 NAMUGONGO-KIREKA-24h'!G96)</f>
        <v>0</v>
      </c>
      <c r="H96" s="49">
        <f>AVERAGE('31.07 NAMUGONGO-KIREKA-24h'!H96,'03.08 NAMUGONGO-KIREKA-24h'!H96)</f>
        <v>0</v>
      </c>
      <c r="I96" s="49">
        <f>AVERAGE('31.07 NAMUGONGO-KIREKA-24h'!I96,'03.08 NAMUGONGO-KIREKA-24h'!I96)</f>
        <v>0</v>
      </c>
      <c r="J96" s="49">
        <f>AVERAGE('31.07 NAMUGONGO-KIREKA-24h'!J96,'03.08 NAMUGONGO-KIREKA-24h'!J96)</f>
        <v>0</v>
      </c>
      <c r="K96" s="49">
        <f>AVERAGE('31.07 NAMUGONGO-KIREKA-24h'!K96,'03.08 NAMUGONGO-KIREKA-24h'!K96)</f>
        <v>0</v>
      </c>
      <c r="L96" s="49">
        <f>AVERAGE('31.07 NAMUGONGO-KIREKA-24h'!L96,'03.08 NAMUGONGO-KIREKA-24h'!L96)</f>
        <v>0</v>
      </c>
      <c r="M96" s="49">
        <f>AVERAGE('31.07 NAMUGONGO-KIREKA-24h'!M96,'03.08 NAMUGONGO-KIREKA-24h'!M96)</f>
        <v>6.5</v>
      </c>
      <c r="N96" s="49">
        <f>AVERAGE('31.07 NAMUGONGO-KIREKA-24h'!N96,'03.08 NAMUGONGO-KIREKA-24h'!N96)</f>
        <v>0</v>
      </c>
      <c r="O96" s="15">
        <f t="shared" si="35"/>
        <v>6.5</v>
      </c>
      <c r="P96" s="15">
        <f t="shared" si="36"/>
        <v>13</v>
      </c>
      <c r="R96" s="8"/>
      <c r="T96"/>
    </row>
    <row r="97" spans="2:20" ht="23.1" customHeight="1" x14ac:dyDescent="0.25">
      <c r="B97" s="23" t="s">
        <v>137</v>
      </c>
      <c r="C97" s="49">
        <f>AVERAGE('31.07 NAMUGONGO-KIREKA-24h'!C97,'03.08 NAMUGONGO-KIREKA-24h'!C97)</f>
        <v>2</v>
      </c>
      <c r="D97" s="49">
        <f>AVERAGE('31.07 NAMUGONGO-KIREKA-24h'!D97,'03.08 NAMUGONGO-KIREKA-24h'!D97)</f>
        <v>0</v>
      </c>
      <c r="E97" s="49">
        <f>AVERAGE('31.07 NAMUGONGO-KIREKA-24h'!E97,'03.08 NAMUGONGO-KIREKA-24h'!E97)</f>
        <v>0</v>
      </c>
      <c r="F97" s="49">
        <f>AVERAGE('31.07 NAMUGONGO-KIREKA-24h'!F97,'03.08 NAMUGONGO-KIREKA-24h'!F97)</f>
        <v>0.5</v>
      </c>
      <c r="G97" s="49">
        <f>AVERAGE('31.07 NAMUGONGO-KIREKA-24h'!G97,'03.08 NAMUGONGO-KIREKA-24h'!G97)</f>
        <v>0</v>
      </c>
      <c r="H97" s="49">
        <f>AVERAGE('31.07 NAMUGONGO-KIREKA-24h'!H97,'03.08 NAMUGONGO-KIREKA-24h'!H97)</f>
        <v>0</v>
      </c>
      <c r="I97" s="49">
        <f>AVERAGE('31.07 NAMUGONGO-KIREKA-24h'!I97,'03.08 NAMUGONGO-KIREKA-24h'!I97)</f>
        <v>0.5</v>
      </c>
      <c r="J97" s="49">
        <f>AVERAGE('31.07 NAMUGONGO-KIREKA-24h'!J97,'03.08 NAMUGONGO-KIREKA-24h'!J97)</f>
        <v>0.5</v>
      </c>
      <c r="K97" s="49">
        <f>AVERAGE('31.07 NAMUGONGO-KIREKA-24h'!K97,'03.08 NAMUGONGO-KIREKA-24h'!K97)</f>
        <v>0</v>
      </c>
      <c r="L97" s="49">
        <f>AVERAGE('31.07 NAMUGONGO-KIREKA-24h'!L97,'03.08 NAMUGONGO-KIREKA-24h'!L97)</f>
        <v>0.5</v>
      </c>
      <c r="M97" s="49">
        <f>AVERAGE('31.07 NAMUGONGO-KIREKA-24h'!M97,'03.08 NAMUGONGO-KIREKA-24h'!M97)</f>
        <v>8.5</v>
      </c>
      <c r="N97" s="49">
        <f>AVERAGE('31.07 NAMUGONGO-KIREKA-24h'!N97,'03.08 NAMUGONGO-KIREKA-24h'!N97)</f>
        <v>0</v>
      </c>
      <c r="O97" s="15">
        <f t="shared" si="35"/>
        <v>4</v>
      </c>
      <c r="P97" s="15">
        <f t="shared" si="36"/>
        <v>12.5</v>
      </c>
      <c r="R97" s="8"/>
      <c r="T97"/>
    </row>
    <row r="98" spans="2:20" ht="23.1" customHeight="1" x14ac:dyDescent="0.25">
      <c r="B98" s="24" t="s">
        <v>138</v>
      </c>
      <c r="C98" s="49">
        <f>AVERAGE('31.07 NAMUGONGO-KIREKA-24h'!C98,'03.08 NAMUGONGO-KIREKA-24h'!C98)</f>
        <v>5.5</v>
      </c>
      <c r="D98" s="49">
        <f>AVERAGE('31.07 NAMUGONGO-KIREKA-24h'!D98,'03.08 NAMUGONGO-KIREKA-24h'!D98)</f>
        <v>0</v>
      </c>
      <c r="E98" s="49">
        <f>AVERAGE('31.07 NAMUGONGO-KIREKA-24h'!E98,'03.08 NAMUGONGO-KIREKA-24h'!E98)</f>
        <v>0.5</v>
      </c>
      <c r="F98" s="49">
        <f>AVERAGE('31.07 NAMUGONGO-KIREKA-24h'!F98,'03.08 NAMUGONGO-KIREKA-24h'!F98)</f>
        <v>1</v>
      </c>
      <c r="G98" s="49">
        <f>AVERAGE('31.07 NAMUGONGO-KIREKA-24h'!G98,'03.08 NAMUGONGO-KIREKA-24h'!G98)</f>
        <v>0</v>
      </c>
      <c r="H98" s="49">
        <f>AVERAGE('31.07 NAMUGONGO-KIREKA-24h'!H98,'03.08 NAMUGONGO-KIREKA-24h'!H98)</f>
        <v>0</v>
      </c>
      <c r="I98" s="49">
        <f>AVERAGE('31.07 NAMUGONGO-KIREKA-24h'!I98,'03.08 NAMUGONGO-KIREKA-24h'!I98)</f>
        <v>0</v>
      </c>
      <c r="J98" s="49">
        <f>AVERAGE('31.07 NAMUGONGO-KIREKA-24h'!J98,'03.08 NAMUGONGO-KIREKA-24h'!J98)</f>
        <v>0.5</v>
      </c>
      <c r="K98" s="49">
        <f>AVERAGE('31.07 NAMUGONGO-KIREKA-24h'!K98,'03.08 NAMUGONGO-KIREKA-24h'!K98)</f>
        <v>0</v>
      </c>
      <c r="L98" s="49">
        <f>AVERAGE('31.07 NAMUGONGO-KIREKA-24h'!L98,'03.08 NAMUGONGO-KIREKA-24h'!L98)</f>
        <v>0</v>
      </c>
      <c r="M98" s="49">
        <f>AVERAGE('31.07 NAMUGONGO-KIREKA-24h'!M98,'03.08 NAMUGONGO-KIREKA-24h'!M98)</f>
        <v>6</v>
      </c>
      <c r="N98" s="49">
        <f>AVERAGE('31.07 NAMUGONGO-KIREKA-24h'!N98,'03.08 NAMUGONGO-KIREKA-24h'!N98)</f>
        <v>0</v>
      </c>
      <c r="O98" s="15">
        <f t="shared" si="35"/>
        <v>7.5</v>
      </c>
      <c r="P98" s="15">
        <f t="shared" si="36"/>
        <v>13.5</v>
      </c>
      <c r="R98" s="8"/>
      <c r="T98"/>
    </row>
    <row r="99" spans="2:20" ht="23.1" customHeight="1" x14ac:dyDescent="0.25">
      <c r="B99" s="23" t="s">
        <v>139</v>
      </c>
      <c r="C99" s="49">
        <f>AVERAGE('31.07 NAMUGONGO-KIREKA-24h'!C99,'03.08 NAMUGONGO-KIREKA-24h'!C99)</f>
        <v>4.5</v>
      </c>
      <c r="D99" s="49">
        <f>AVERAGE('31.07 NAMUGONGO-KIREKA-24h'!D99,'03.08 NAMUGONGO-KIREKA-24h'!D99)</f>
        <v>1</v>
      </c>
      <c r="E99" s="49">
        <f>AVERAGE('31.07 NAMUGONGO-KIREKA-24h'!E99,'03.08 NAMUGONGO-KIREKA-24h'!E99)</f>
        <v>0.5</v>
      </c>
      <c r="F99" s="49">
        <f>AVERAGE('31.07 NAMUGONGO-KIREKA-24h'!F99,'03.08 NAMUGONGO-KIREKA-24h'!F99)</f>
        <v>1.5</v>
      </c>
      <c r="G99" s="49">
        <f>AVERAGE('31.07 NAMUGONGO-KIREKA-24h'!G99,'03.08 NAMUGONGO-KIREKA-24h'!G99)</f>
        <v>0</v>
      </c>
      <c r="H99" s="49">
        <f>AVERAGE('31.07 NAMUGONGO-KIREKA-24h'!H99,'03.08 NAMUGONGO-KIREKA-24h'!H99)</f>
        <v>0</v>
      </c>
      <c r="I99" s="49">
        <f>AVERAGE('31.07 NAMUGONGO-KIREKA-24h'!I99,'03.08 NAMUGONGO-KIREKA-24h'!I99)</f>
        <v>0</v>
      </c>
      <c r="J99" s="49">
        <f>AVERAGE('31.07 NAMUGONGO-KIREKA-24h'!J99,'03.08 NAMUGONGO-KIREKA-24h'!J99)</f>
        <v>0</v>
      </c>
      <c r="K99" s="49">
        <f>AVERAGE('31.07 NAMUGONGO-KIREKA-24h'!K99,'03.08 NAMUGONGO-KIREKA-24h'!K99)</f>
        <v>0</v>
      </c>
      <c r="L99" s="49">
        <f>AVERAGE('31.07 NAMUGONGO-KIREKA-24h'!L99,'03.08 NAMUGONGO-KIREKA-24h'!L99)</f>
        <v>0</v>
      </c>
      <c r="M99" s="49">
        <f>AVERAGE('31.07 NAMUGONGO-KIREKA-24h'!M99,'03.08 NAMUGONGO-KIREKA-24h'!M99)</f>
        <v>10.5</v>
      </c>
      <c r="N99" s="49">
        <f>AVERAGE('31.07 NAMUGONGO-KIREKA-24h'!N99,'03.08 NAMUGONGO-KIREKA-24h'!N99)</f>
        <v>0</v>
      </c>
      <c r="O99" s="15">
        <f t="shared" si="35"/>
        <v>7.5</v>
      </c>
      <c r="P99" s="15">
        <f t="shared" si="36"/>
        <v>18</v>
      </c>
      <c r="R99" s="8"/>
      <c r="T99"/>
    </row>
    <row r="100" spans="2:20" ht="23.1" customHeight="1" x14ac:dyDescent="0.25">
      <c r="B100" s="25" t="s">
        <v>140</v>
      </c>
      <c r="C100" s="49">
        <f>AVERAGE('31.07 NAMUGONGO-KIREKA-24h'!C100,'03.08 NAMUGONGO-KIREKA-24h'!C100)</f>
        <v>3</v>
      </c>
      <c r="D100" s="49">
        <f>AVERAGE('31.07 NAMUGONGO-KIREKA-24h'!D100,'03.08 NAMUGONGO-KIREKA-24h'!D100)</f>
        <v>0</v>
      </c>
      <c r="E100" s="49">
        <f>AVERAGE('31.07 NAMUGONGO-KIREKA-24h'!E100,'03.08 NAMUGONGO-KIREKA-24h'!E100)</f>
        <v>1.5</v>
      </c>
      <c r="F100" s="49">
        <f>AVERAGE('31.07 NAMUGONGO-KIREKA-24h'!F100,'03.08 NAMUGONGO-KIREKA-24h'!F100)</f>
        <v>2</v>
      </c>
      <c r="G100" s="49">
        <f>AVERAGE('31.07 NAMUGONGO-KIREKA-24h'!G100,'03.08 NAMUGONGO-KIREKA-24h'!G100)</f>
        <v>0</v>
      </c>
      <c r="H100" s="49">
        <f>AVERAGE('31.07 NAMUGONGO-KIREKA-24h'!H100,'03.08 NAMUGONGO-KIREKA-24h'!H100)</f>
        <v>0</v>
      </c>
      <c r="I100" s="49">
        <f>AVERAGE('31.07 NAMUGONGO-KIREKA-24h'!I100,'03.08 NAMUGONGO-KIREKA-24h'!I100)</f>
        <v>0.5</v>
      </c>
      <c r="J100" s="49">
        <f>AVERAGE('31.07 NAMUGONGO-KIREKA-24h'!J100,'03.08 NAMUGONGO-KIREKA-24h'!J100)</f>
        <v>0</v>
      </c>
      <c r="K100" s="49">
        <f>AVERAGE('31.07 NAMUGONGO-KIREKA-24h'!K100,'03.08 NAMUGONGO-KIREKA-24h'!K100)</f>
        <v>0</v>
      </c>
      <c r="L100" s="49">
        <f>AVERAGE('31.07 NAMUGONGO-KIREKA-24h'!L100,'03.08 NAMUGONGO-KIREKA-24h'!L100)</f>
        <v>0</v>
      </c>
      <c r="M100" s="49">
        <f>AVERAGE('31.07 NAMUGONGO-KIREKA-24h'!M100,'03.08 NAMUGONGO-KIREKA-24h'!M100)</f>
        <v>12</v>
      </c>
      <c r="N100" s="49">
        <f>AVERAGE('31.07 NAMUGONGO-KIREKA-24h'!N100,'03.08 NAMUGONGO-KIREKA-24h'!N100)</f>
        <v>0</v>
      </c>
      <c r="O100" s="15">
        <f t="shared" si="35"/>
        <v>7</v>
      </c>
      <c r="P100" s="15">
        <f t="shared" si="36"/>
        <v>19</v>
      </c>
      <c r="R100" s="8"/>
      <c r="T100"/>
    </row>
    <row r="101" spans="2:20" ht="23.1" customHeight="1" x14ac:dyDescent="0.25">
      <c r="B101" s="23" t="s">
        <v>141</v>
      </c>
      <c r="C101" s="49">
        <f>AVERAGE('31.07 NAMUGONGO-KIREKA-24h'!C101,'03.08 NAMUGONGO-KIREKA-24h'!C101)</f>
        <v>2</v>
      </c>
      <c r="D101" s="49">
        <f>AVERAGE('31.07 NAMUGONGO-KIREKA-24h'!D101,'03.08 NAMUGONGO-KIREKA-24h'!D101)</f>
        <v>0</v>
      </c>
      <c r="E101" s="49">
        <f>AVERAGE('31.07 NAMUGONGO-KIREKA-24h'!E101,'03.08 NAMUGONGO-KIREKA-24h'!E101)</f>
        <v>0</v>
      </c>
      <c r="F101" s="49">
        <f>AVERAGE('31.07 NAMUGONGO-KIREKA-24h'!F101,'03.08 NAMUGONGO-KIREKA-24h'!F101)</f>
        <v>0.5</v>
      </c>
      <c r="G101" s="49">
        <f>AVERAGE('31.07 NAMUGONGO-KIREKA-24h'!G101,'03.08 NAMUGONGO-KIREKA-24h'!G101)</f>
        <v>0</v>
      </c>
      <c r="H101" s="49">
        <f>AVERAGE('31.07 NAMUGONGO-KIREKA-24h'!H101,'03.08 NAMUGONGO-KIREKA-24h'!H101)</f>
        <v>0</v>
      </c>
      <c r="I101" s="49">
        <f>AVERAGE('31.07 NAMUGONGO-KIREKA-24h'!I101,'03.08 NAMUGONGO-KIREKA-24h'!I101)</f>
        <v>0</v>
      </c>
      <c r="J101" s="49">
        <f>AVERAGE('31.07 NAMUGONGO-KIREKA-24h'!J101,'03.08 NAMUGONGO-KIREKA-24h'!J101)</f>
        <v>0</v>
      </c>
      <c r="K101" s="49">
        <f>AVERAGE('31.07 NAMUGONGO-KIREKA-24h'!K101,'03.08 NAMUGONGO-KIREKA-24h'!K101)</f>
        <v>0</v>
      </c>
      <c r="L101" s="49">
        <f>AVERAGE('31.07 NAMUGONGO-KIREKA-24h'!L101,'03.08 NAMUGONGO-KIREKA-24h'!L101)</f>
        <v>0</v>
      </c>
      <c r="M101" s="49">
        <f>AVERAGE('31.07 NAMUGONGO-KIREKA-24h'!M101,'03.08 NAMUGONGO-KIREKA-24h'!M101)</f>
        <v>11</v>
      </c>
      <c r="N101" s="49">
        <f>AVERAGE('31.07 NAMUGONGO-KIREKA-24h'!N101,'03.08 NAMUGONGO-KIREKA-24h'!N101)</f>
        <v>0</v>
      </c>
      <c r="O101" s="15">
        <f t="shared" si="35"/>
        <v>2.5</v>
      </c>
      <c r="P101" s="15">
        <f t="shared" si="36"/>
        <v>13.5</v>
      </c>
      <c r="R101" s="8"/>
      <c r="T101"/>
    </row>
    <row r="102" spans="2:20" ht="23.1" customHeight="1" x14ac:dyDescent="0.25">
      <c r="B102" s="24" t="s">
        <v>142</v>
      </c>
      <c r="C102" s="49">
        <f>AVERAGE('31.07 NAMUGONGO-KIREKA-24h'!C102,'03.08 NAMUGONGO-KIREKA-24h'!C102)</f>
        <v>4</v>
      </c>
      <c r="D102" s="49">
        <f>AVERAGE('31.07 NAMUGONGO-KIREKA-24h'!D102,'03.08 NAMUGONGO-KIREKA-24h'!D102)</f>
        <v>1</v>
      </c>
      <c r="E102" s="49">
        <f>AVERAGE('31.07 NAMUGONGO-KIREKA-24h'!E102,'03.08 NAMUGONGO-KIREKA-24h'!E102)</f>
        <v>2</v>
      </c>
      <c r="F102" s="49">
        <f>AVERAGE('31.07 NAMUGONGO-KIREKA-24h'!F102,'03.08 NAMUGONGO-KIREKA-24h'!F102)</f>
        <v>1.5</v>
      </c>
      <c r="G102" s="49">
        <f>AVERAGE('31.07 NAMUGONGO-KIREKA-24h'!G102,'03.08 NAMUGONGO-KIREKA-24h'!G102)</f>
        <v>0</v>
      </c>
      <c r="H102" s="49">
        <f>AVERAGE('31.07 NAMUGONGO-KIREKA-24h'!H102,'03.08 NAMUGONGO-KIREKA-24h'!H102)</f>
        <v>0</v>
      </c>
      <c r="I102" s="49">
        <f>AVERAGE('31.07 NAMUGONGO-KIREKA-24h'!I102,'03.08 NAMUGONGO-KIREKA-24h'!I102)</f>
        <v>1</v>
      </c>
      <c r="J102" s="49">
        <f>AVERAGE('31.07 NAMUGONGO-KIREKA-24h'!J102,'03.08 NAMUGONGO-KIREKA-24h'!J102)</f>
        <v>0.5</v>
      </c>
      <c r="K102" s="49">
        <f>AVERAGE('31.07 NAMUGONGO-KIREKA-24h'!K102,'03.08 NAMUGONGO-KIREKA-24h'!K102)</f>
        <v>0.5</v>
      </c>
      <c r="L102" s="49">
        <f>AVERAGE('31.07 NAMUGONGO-KIREKA-24h'!L102,'03.08 NAMUGONGO-KIREKA-24h'!L102)</f>
        <v>0</v>
      </c>
      <c r="M102" s="49">
        <f>AVERAGE('31.07 NAMUGONGO-KIREKA-24h'!M102,'03.08 NAMUGONGO-KIREKA-24h'!M102)</f>
        <v>13</v>
      </c>
      <c r="N102" s="49">
        <f>AVERAGE('31.07 NAMUGONGO-KIREKA-24h'!N102,'03.08 NAMUGONGO-KIREKA-24h'!N102)</f>
        <v>0</v>
      </c>
      <c r="O102" s="15">
        <f t="shared" si="35"/>
        <v>10.5</v>
      </c>
      <c r="P102" s="15">
        <f t="shared" si="36"/>
        <v>23.5</v>
      </c>
      <c r="R102" s="8"/>
      <c r="T102"/>
    </row>
    <row r="103" spans="2:20" ht="23.1" customHeight="1" x14ac:dyDescent="0.25">
      <c r="B103" s="23" t="s">
        <v>143</v>
      </c>
      <c r="C103" s="49">
        <f>AVERAGE('31.07 NAMUGONGO-KIREKA-24h'!C103,'03.08 NAMUGONGO-KIREKA-24h'!C103)</f>
        <v>6</v>
      </c>
      <c r="D103" s="49">
        <f>AVERAGE('31.07 NAMUGONGO-KIREKA-24h'!D103,'03.08 NAMUGONGO-KIREKA-24h'!D103)</f>
        <v>0.5</v>
      </c>
      <c r="E103" s="49">
        <f>AVERAGE('31.07 NAMUGONGO-KIREKA-24h'!E103,'03.08 NAMUGONGO-KIREKA-24h'!E103)</f>
        <v>0.5</v>
      </c>
      <c r="F103" s="49">
        <f>AVERAGE('31.07 NAMUGONGO-KIREKA-24h'!F103,'03.08 NAMUGONGO-KIREKA-24h'!F103)</f>
        <v>3.5</v>
      </c>
      <c r="G103" s="49">
        <f>AVERAGE('31.07 NAMUGONGO-KIREKA-24h'!G103,'03.08 NAMUGONGO-KIREKA-24h'!G103)</f>
        <v>0</v>
      </c>
      <c r="H103" s="49">
        <f>AVERAGE('31.07 NAMUGONGO-KIREKA-24h'!H103,'03.08 NAMUGONGO-KIREKA-24h'!H103)</f>
        <v>0</v>
      </c>
      <c r="I103" s="49">
        <f>AVERAGE('31.07 NAMUGONGO-KIREKA-24h'!I103,'03.08 NAMUGONGO-KIREKA-24h'!I103)</f>
        <v>0.5</v>
      </c>
      <c r="J103" s="49">
        <f>AVERAGE('31.07 NAMUGONGO-KIREKA-24h'!J103,'03.08 NAMUGONGO-KIREKA-24h'!J103)</f>
        <v>0.5</v>
      </c>
      <c r="K103" s="49">
        <f>AVERAGE('31.07 NAMUGONGO-KIREKA-24h'!K103,'03.08 NAMUGONGO-KIREKA-24h'!K103)</f>
        <v>0.5</v>
      </c>
      <c r="L103" s="49">
        <f>AVERAGE('31.07 NAMUGONGO-KIREKA-24h'!L103,'03.08 NAMUGONGO-KIREKA-24h'!L103)</f>
        <v>0</v>
      </c>
      <c r="M103" s="49">
        <f>AVERAGE('31.07 NAMUGONGO-KIREKA-24h'!M103,'03.08 NAMUGONGO-KIREKA-24h'!M103)</f>
        <v>13</v>
      </c>
      <c r="N103" s="49">
        <f>AVERAGE('31.07 NAMUGONGO-KIREKA-24h'!N103,'03.08 NAMUGONGO-KIREKA-24h'!N103)</f>
        <v>0</v>
      </c>
      <c r="O103" s="15">
        <f t="shared" si="35"/>
        <v>12</v>
      </c>
      <c r="P103" s="15">
        <f t="shared" si="36"/>
        <v>25</v>
      </c>
      <c r="R103" s="8"/>
      <c r="T103"/>
    </row>
    <row r="104" spans="2:20" ht="23.1" customHeight="1" x14ac:dyDescent="0.25">
      <c r="B104" s="25" t="s">
        <v>144</v>
      </c>
      <c r="C104" s="49">
        <f>AVERAGE('31.07 NAMUGONGO-KIREKA-24h'!C104,'03.08 NAMUGONGO-KIREKA-24h'!C104)</f>
        <v>5</v>
      </c>
      <c r="D104" s="49">
        <f>AVERAGE('31.07 NAMUGONGO-KIREKA-24h'!D104,'03.08 NAMUGONGO-KIREKA-24h'!D104)</f>
        <v>0</v>
      </c>
      <c r="E104" s="49">
        <f>AVERAGE('31.07 NAMUGONGO-KIREKA-24h'!E104,'03.08 NAMUGONGO-KIREKA-24h'!E104)</f>
        <v>1.5</v>
      </c>
      <c r="F104" s="49">
        <f>AVERAGE('31.07 NAMUGONGO-KIREKA-24h'!F104,'03.08 NAMUGONGO-KIREKA-24h'!F104)</f>
        <v>8.5</v>
      </c>
      <c r="G104" s="49">
        <f>AVERAGE('31.07 NAMUGONGO-KIREKA-24h'!G104,'03.08 NAMUGONGO-KIREKA-24h'!G104)</f>
        <v>0</v>
      </c>
      <c r="H104" s="49">
        <f>AVERAGE('31.07 NAMUGONGO-KIREKA-24h'!H104,'03.08 NAMUGONGO-KIREKA-24h'!H104)</f>
        <v>0</v>
      </c>
      <c r="I104" s="49">
        <f>AVERAGE('31.07 NAMUGONGO-KIREKA-24h'!I104,'03.08 NAMUGONGO-KIREKA-24h'!I104)</f>
        <v>0</v>
      </c>
      <c r="J104" s="49">
        <f>AVERAGE('31.07 NAMUGONGO-KIREKA-24h'!J104,'03.08 NAMUGONGO-KIREKA-24h'!J104)</f>
        <v>0.5</v>
      </c>
      <c r="K104" s="49">
        <f>AVERAGE('31.07 NAMUGONGO-KIREKA-24h'!K104,'03.08 NAMUGONGO-KIREKA-24h'!K104)</f>
        <v>0</v>
      </c>
      <c r="L104" s="49">
        <f>AVERAGE('31.07 NAMUGONGO-KIREKA-24h'!L104,'03.08 NAMUGONGO-KIREKA-24h'!L104)</f>
        <v>0</v>
      </c>
      <c r="M104" s="49">
        <f>AVERAGE('31.07 NAMUGONGO-KIREKA-24h'!M104,'03.08 NAMUGONGO-KIREKA-24h'!M104)</f>
        <v>17.5</v>
      </c>
      <c r="N104" s="49">
        <f>AVERAGE('31.07 NAMUGONGO-KIREKA-24h'!N104,'03.08 NAMUGONGO-KIREKA-24h'!N104)</f>
        <v>0</v>
      </c>
      <c r="O104" s="15">
        <f t="shared" si="35"/>
        <v>15.5</v>
      </c>
      <c r="P104" s="15">
        <f t="shared" si="36"/>
        <v>33</v>
      </c>
      <c r="R104" s="8"/>
      <c r="T104"/>
    </row>
    <row r="105" spans="2:20" ht="23.1" customHeight="1" x14ac:dyDescent="0.25">
      <c r="B105" s="23" t="s">
        <v>145</v>
      </c>
      <c r="C105" s="49">
        <f>AVERAGE('31.07 NAMUGONGO-KIREKA-24h'!C105,'03.08 NAMUGONGO-KIREKA-24h'!C105)</f>
        <v>3.5</v>
      </c>
      <c r="D105" s="49">
        <f>AVERAGE('31.07 NAMUGONGO-KIREKA-24h'!D105,'03.08 NAMUGONGO-KIREKA-24h'!D105)</f>
        <v>0.5</v>
      </c>
      <c r="E105" s="49">
        <f>AVERAGE('31.07 NAMUGONGO-KIREKA-24h'!E105,'03.08 NAMUGONGO-KIREKA-24h'!E105)</f>
        <v>2</v>
      </c>
      <c r="F105" s="49">
        <f>AVERAGE('31.07 NAMUGONGO-KIREKA-24h'!F105,'03.08 NAMUGONGO-KIREKA-24h'!F105)</f>
        <v>10.5</v>
      </c>
      <c r="G105" s="49">
        <f>AVERAGE('31.07 NAMUGONGO-KIREKA-24h'!G105,'03.08 NAMUGONGO-KIREKA-24h'!G105)</f>
        <v>0</v>
      </c>
      <c r="H105" s="49">
        <f>AVERAGE('31.07 NAMUGONGO-KIREKA-24h'!H105,'03.08 NAMUGONGO-KIREKA-24h'!H105)</f>
        <v>0</v>
      </c>
      <c r="I105" s="49">
        <f>AVERAGE('31.07 NAMUGONGO-KIREKA-24h'!I105,'03.08 NAMUGONGO-KIREKA-24h'!I105)</f>
        <v>0</v>
      </c>
      <c r="J105" s="49">
        <f>AVERAGE('31.07 NAMUGONGO-KIREKA-24h'!J105,'03.08 NAMUGONGO-KIREKA-24h'!J105)</f>
        <v>1</v>
      </c>
      <c r="K105" s="49">
        <f>AVERAGE('31.07 NAMUGONGO-KIREKA-24h'!K105,'03.08 NAMUGONGO-KIREKA-24h'!K105)</f>
        <v>0.5</v>
      </c>
      <c r="L105" s="49">
        <f>AVERAGE('31.07 NAMUGONGO-KIREKA-24h'!L105,'03.08 NAMUGONGO-KIREKA-24h'!L105)</f>
        <v>0</v>
      </c>
      <c r="M105" s="49">
        <f>AVERAGE('31.07 NAMUGONGO-KIREKA-24h'!M105,'03.08 NAMUGONGO-KIREKA-24h'!M105)</f>
        <v>20</v>
      </c>
      <c r="N105" s="49">
        <f>AVERAGE('31.07 NAMUGONGO-KIREKA-24h'!N105,'03.08 NAMUGONGO-KIREKA-24h'!N105)</f>
        <v>0</v>
      </c>
      <c r="O105" s="15">
        <f t="shared" si="35"/>
        <v>18</v>
      </c>
      <c r="P105" s="15">
        <f t="shared" si="36"/>
        <v>38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3542.2857142857142</v>
      </c>
      <c r="D106" s="16">
        <f t="shared" ref="D106:O106" si="37">SUM(D10:D105)</f>
        <v>363.57142857142861</v>
      </c>
      <c r="E106" s="16">
        <f t="shared" si="37"/>
        <v>448.92857142857139</v>
      </c>
      <c r="F106" s="16">
        <f t="shared" si="37"/>
        <v>1253</v>
      </c>
      <c r="G106" s="16">
        <f t="shared" si="37"/>
        <v>28.190476190476193</v>
      </c>
      <c r="H106" s="16">
        <f t="shared" si="37"/>
        <v>16.499999999999996</v>
      </c>
      <c r="I106" s="16">
        <f t="shared" si="37"/>
        <v>256.42857142857144</v>
      </c>
      <c r="J106" s="16">
        <f t="shared" si="37"/>
        <v>103.02380952380955</v>
      </c>
      <c r="K106" s="16">
        <f t="shared" si="37"/>
        <v>55.5</v>
      </c>
      <c r="L106" s="16">
        <f t="shared" si="37"/>
        <v>14.357142857142859</v>
      </c>
      <c r="M106" s="16">
        <f t="shared" si="37"/>
        <v>7102.9285714285716</v>
      </c>
      <c r="N106" s="16">
        <f t="shared" si="37"/>
        <v>0.2857142857142857</v>
      </c>
      <c r="O106" s="16">
        <f t="shared" si="37"/>
        <v>6082.0714285714275</v>
      </c>
      <c r="P106" s="16">
        <f>SUM(P10:P105)</f>
        <v>13185.000000000004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0.26866027412102489</v>
      </c>
      <c r="D107" s="43">
        <f t="shared" si="38"/>
        <v>2.7574624844249412E-2</v>
      </c>
      <c r="E107" s="43">
        <f t="shared" si="38"/>
        <v>3.4048431659353146E-2</v>
      </c>
      <c r="F107" s="43">
        <f t="shared" si="38"/>
        <v>9.5032233598786472E-2</v>
      </c>
      <c r="G107" s="43">
        <f t="shared" si="38"/>
        <v>2.1380717626451411E-3</v>
      </c>
      <c r="H107" s="43">
        <f t="shared" si="38"/>
        <v>1.251422070534698E-3</v>
      </c>
      <c r="I107" s="43">
        <f t="shared" si="38"/>
        <v>1.9448507503115008E-2</v>
      </c>
      <c r="J107" s="43">
        <f t="shared" si="38"/>
        <v>7.8137132744641267E-3</v>
      </c>
      <c r="K107" s="43">
        <f t="shared" si="38"/>
        <v>4.209328782707621E-3</v>
      </c>
      <c r="L107" s="43">
        <f t="shared" si="38"/>
        <v>1.0888997237120102E-3</v>
      </c>
      <c r="M107" s="43">
        <f t="shared" si="38"/>
        <v>0.53871282301316414</v>
      </c>
      <c r="N107" s="43">
        <f t="shared" si="38"/>
        <v>2.1669646243025075E-5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0.58241435601122749</v>
      </c>
      <c r="D108" s="44">
        <f t="shared" ref="D108:N108" si="39">D106/$O$106</f>
        <v>5.9777566383633414E-2</v>
      </c>
      <c r="E108" s="44">
        <f t="shared" si="39"/>
        <v>7.3811788746785054E-2</v>
      </c>
      <c r="F108" s="44">
        <f t="shared" si="39"/>
        <v>0.20601533781958686</v>
      </c>
      <c r="G108" s="44">
        <f t="shared" si="39"/>
        <v>4.6350123508986218E-3</v>
      </c>
      <c r="H108" s="44">
        <f t="shared" si="39"/>
        <v>2.7128915195715744E-3</v>
      </c>
      <c r="I108" s="44">
        <f t="shared" si="39"/>
        <v>4.2161387685116687E-2</v>
      </c>
      <c r="J108" s="44">
        <f t="shared" si="39"/>
        <v>1.6938934495218192E-2</v>
      </c>
      <c r="K108" s="44">
        <f t="shared" si="39"/>
        <v>9.1251805658316611E-3</v>
      </c>
      <c r="L108" s="44">
        <f t="shared" si="39"/>
        <v>2.360567945601241E-3</v>
      </c>
      <c r="M108" s="44"/>
      <c r="N108" s="44">
        <f t="shared" si="39"/>
        <v>4.697647652937792E-5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topLeftCell="I85" zoomScale="60" workbookViewId="0">
      <selection activeCell="AC54" sqref="AC5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0" t="str">
        <f>'30.07 KIREKA-NAMUGONGO'!C3:G3</f>
        <v>MCC - C1 - STN039 - NAMUGONGO ROAD</v>
      </c>
      <c r="D3" s="60"/>
      <c r="E3" s="60"/>
      <c r="F3" s="60"/>
      <c r="G3" s="6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6" t="s">
        <v>162</v>
      </c>
      <c r="E5" s="67"/>
      <c r="F5" s="41" t="s">
        <v>1</v>
      </c>
      <c r="G5" s="56" t="str">
        <f>'30.07 KIREKA-NAMUGONGO'!G5:H5</f>
        <v>AGENDA</v>
      </c>
      <c r="H5" s="57"/>
      <c r="I5" s="14"/>
      <c r="J5" s="2" t="s">
        <v>5</v>
      </c>
      <c r="K5" s="56" t="str">
        <f>'30.07 KIREKA-NAMUGONGO'!K5:L5</f>
        <v>STEVEN</v>
      </c>
      <c r="L5" s="57"/>
      <c r="M5" s="10"/>
      <c r="N5" s="10"/>
      <c r="O5" s="3"/>
      <c r="P5" s="3"/>
    </row>
    <row r="6" spans="2:32" ht="23.25" customHeight="1" x14ac:dyDescent="0.25">
      <c r="C6" s="2" t="s">
        <v>4</v>
      </c>
      <c r="D6" s="56" t="str">
        <f>'30.07 KIREKA-NAMUGONGO'!D6:E6</f>
        <v>KIREKA</v>
      </c>
      <c r="E6" s="57"/>
      <c r="F6" s="2" t="s">
        <v>2</v>
      </c>
      <c r="G6" s="56" t="str">
        <f>'30.07 KIREKA-NAMUGONGO'!G6:H6</f>
        <v>NAMUGONGO</v>
      </c>
      <c r="H6" s="57"/>
      <c r="J6" s="2" t="s">
        <v>21</v>
      </c>
      <c r="K6" s="56" t="str">
        <f>'30.07 KIREKA-NAMUGONGO'!K6:L6</f>
        <v>NAIDO GRACE BRENDA</v>
      </c>
      <c r="L6" s="5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5" t="s">
        <v>88</v>
      </c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AVERAGE('01.08 KIREKA-NAMUGONGO'!C10,'02.08 KIREKA-NAMUGONGO'!C10,'04.08 KIREKA-NAMUGONGO'!C10,'29.07 KIREKA-NAMUGONGO'!C10,'03.08 KIREKA-NAMUGONGO-24h'!C10,'31.07 KIREKA-NAMUGONGO-24h'!C10,'30.07 KIREKA-NAMUGONGO'!C10)</f>
        <v>14.142857142857142</v>
      </c>
      <c r="D10" s="49">
        <f>AVERAGE('01.08 KIREKA-NAMUGONGO'!D10,'02.08 KIREKA-NAMUGONGO'!D10,'04.08 KIREKA-NAMUGONGO'!D10,'29.07 KIREKA-NAMUGONGO'!D10,'03.08 KIREKA-NAMUGONGO-24h'!D10,'31.07 KIREKA-NAMUGONGO-24h'!D10,'30.07 KIREKA-NAMUGONGO'!D10)</f>
        <v>6.8571428571428568</v>
      </c>
      <c r="E10" s="49">
        <f>AVERAGE('01.08 KIREKA-NAMUGONGO'!E10,'02.08 KIREKA-NAMUGONGO'!E10,'04.08 KIREKA-NAMUGONGO'!E10,'29.07 KIREKA-NAMUGONGO'!E10,'03.08 KIREKA-NAMUGONGO-24h'!E10,'31.07 KIREKA-NAMUGONGO-24h'!E10,'30.07 KIREKA-NAMUGONGO'!E10)</f>
        <v>4.4285714285714288</v>
      </c>
      <c r="F10" s="49">
        <f>AVERAGE('01.08 KIREKA-NAMUGONGO'!F10,'02.08 KIREKA-NAMUGONGO'!F10,'04.08 KIREKA-NAMUGONGO'!F10,'29.07 KIREKA-NAMUGONGO'!F10,'03.08 KIREKA-NAMUGONGO-24h'!F10,'31.07 KIREKA-NAMUGONGO-24h'!F10,'30.07 KIREKA-NAMUGONGO'!F10)</f>
        <v>10.571428571428571</v>
      </c>
      <c r="G10" s="49">
        <f>AVERAGE('01.08 KIREKA-NAMUGONGO'!G10,'02.08 KIREKA-NAMUGONGO'!G10,'04.08 KIREKA-NAMUGONGO'!G10,'29.07 KIREKA-NAMUGONGO'!G10,'03.08 KIREKA-NAMUGONGO-24h'!G10,'31.07 KIREKA-NAMUGONGO-24h'!G10,'30.07 KIREKA-NAMUGONGO'!G10)</f>
        <v>0.14285714285714285</v>
      </c>
      <c r="H10" s="49">
        <f>AVERAGE('01.08 KIREKA-NAMUGONGO'!H10,'02.08 KIREKA-NAMUGONGO'!H10,'04.08 KIREKA-NAMUGONGO'!H10,'29.07 KIREKA-NAMUGONGO'!H10,'03.08 KIREKA-NAMUGONGO-24h'!H10,'31.07 KIREKA-NAMUGONGO-24h'!H10,'30.07 KIREKA-NAMUGONGO'!H10)</f>
        <v>0.8571428571428571</v>
      </c>
      <c r="I10" s="49">
        <f>AVERAGE('01.08 KIREKA-NAMUGONGO'!I10,'02.08 KIREKA-NAMUGONGO'!I10,'04.08 KIREKA-NAMUGONGO'!I10,'29.07 KIREKA-NAMUGONGO'!I10,'03.08 KIREKA-NAMUGONGO-24h'!I10,'31.07 KIREKA-NAMUGONGO-24h'!I10,'30.07 KIREKA-NAMUGONGO'!I10)</f>
        <v>2.1428571428571428</v>
      </c>
      <c r="J10" s="49">
        <f>AVERAGE('01.08 KIREKA-NAMUGONGO'!J10,'02.08 KIREKA-NAMUGONGO'!J10,'04.08 KIREKA-NAMUGONGO'!J10,'29.07 KIREKA-NAMUGONGO'!J10,'03.08 KIREKA-NAMUGONGO-24h'!J10,'31.07 KIREKA-NAMUGONGO-24h'!J10,'30.07 KIREKA-NAMUGONGO'!J10)</f>
        <v>0.8571428571428571</v>
      </c>
      <c r="K10" s="49">
        <f>AVERAGE('01.08 KIREKA-NAMUGONGO'!K10,'02.08 KIREKA-NAMUGONGO'!K10,'04.08 KIREKA-NAMUGONGO'!K10,'29.07 KIREKA-NAMUGONGO'!K10,'03.08 KIREKA-NAMUGONGO-24h'!K10,'31.07 KIREKA-NAMUGONGO-24h'!K10,'30.07 KIREKA-NAMUGONGO'!K10)</f>
        <v>1.4285714285714286</v>
      </c>
      <c r="L10" s="49">
        <f>AVERAGE('01.08 KIREKA-NAMUGONGO'!L10,'02.08 KIREKA-NAMUGONGO'!L10,'04.08 KIREKA-NAMUGONGO'!L10,'29.07 KIREKA-NAMUGONGO'!L10,'03.08 KIREKA-NAMUGONGO-24h'!L10,'31.07 KIREKA-NAMUGONGO-24h'!L10,'30.07 KIREKA-NAMUGONGO'!L10)</f>
        <v>0.8571428571428571</v>
      </c>
      <c r="M10" s="49">
        <f>AVERAGE('01.08 KIREKA-NAMUGONGO'!M10,'02.08 KIREKA-NAMUGONGO'!M10,'04.08 KIREKA-NAMUGONGO'!M10,'29.07 KIREKA-NAMUGONGO'!M10,'03.08 KIREKA-NAMUGONGO-24h'!M10,'31.07 KIREKA-NAMUGONGO-24h'!M10,'30.07 KIREKA-NAMUGONGO'!M10)</f>
        <v>67</v>
      </c>
      <c r="N10" s="49">
        <f>AVERAGE('01.08 KIREKA-NAMUGONGO'!N10,'02.08 KIREKA-NAMUGONGO'!N10,'04.08 KIREKA-NAMUGONGO'!N10,'29.07 KIREKA-NAMUGONGO'!N10,'03.08 KIREKA-NAMUGONGO-24h'!N10,'31.07 KIREKA-NAMUGONGO-24h'!N10,'30.07 KIREKA-NAMUGONGO'!N10)</f>
        <v>0</v>
      </c>
      <c r="O10" s="15">
        <f t="shared" ref="O10:O58" si="0">SUM(C10:L10,N10)</f>
        <v>42.285714285714285</v>
      </c>
      <c r="P10" s="15">
        <f t="shared" ref="P10:P58" si="1">SUM(C10:N10)</f>
        <v>109.28571428571428</v>
      </c>
      <c r="R10" s="1" t="s">
        <v>6</v>
      </c>
      <c r="S10" s="17">
        <f t="shared" ref="S10:AF10" si="2">SUM(C10:C13)</f>
        <v>104.28571428571428</v>
      </c>
      <c r="T10" s="17">
        <f t="shared" si="2"/>
        <v>28.142857142857142</v>
      </c>
      <c r="U10" s="17">
        <f t="shared" si="2"/>
        <v>17.285714285714285</v>
      </c>
      <c r="V10" s="17">
        <f t="shared" si="2"/>
        <v>45</v>
      </c>
      <c r="W10" s="17">
        <f t="shared" si="2"/>
        <v>1</v>
      </c>
      <c r="X10" s="17">
        <f t="shared" si="2"/>
        <v>1.1428571428571428</v>
      </c>
      <c r="Y10" s="17">
        <f t="shared" si="2"/>
        <v>9.8571428571428559</v>
      </c>
      <c r="Z10" s="17">
        <f t="shared" si="2"/>
        <v>4.7142857142857144</v>
      </c>
      <c r="AA10" s="17">
        <f t="shared" si="2"/>
        <v>2.7142857142857144</v>
      </c>
      <c r="AB10" s="17">
        <f t="shared" si="2"/>
        <v>1.4285714285714284</v>
      </c>
      <c r="AC10" s="17">
        <f t="shared" si="2"/>
        <v>293.28571428571428</v>
      </c>
      <c r="AD10" s="17">
        <f t="shared" si="2"/>
        <v>0</v>
      </c>
      <c r="AE10" s="31">
        <f t="shared" si="2"/>
        <v>215.57142857142861</v>
      </c>
      <c r="AF10" s="31">
        <f t="shared" si="2"/>
        <v>508.85714285714283</v>
      </c>
    </row>
    <row r="11" spans="2:32" s="6" customFormat="1" ht="23.1" customHeight="1" x14ac:dyDescent="0.25">
      <c r="B11" s="23" t="s">
        <v>38</v>
      </c>
      <c r="C11" s="49">
        <f>AVERAGE('01.08 KIREKA-NAMUGONGO'!C11,'02.08 KIREKA-NAMUGONGO'!C11,'04.08 KIREKA-NAMUGONGO'!C11,'29.07 KIREKA-NAMUGONGO'!C11,'03.08 KIREKA-NAMUGONGO-24h'!C11,'31.07 KIREKA-NAMUGONGO-24h'!C11,'30.07 KIREKA-NAMUGONGO'!C11)</f>
        <v>26.714285714285715</v>
      </c>
      <c r="D11" s="49">
        <f>AVERAGE('01.08 KIREKA-NAMUGONGO'!D11,'02.08 KIREKA-NAMUGONGO'!D11,'04.08 KIREKA-NAMUGONGO'!D11,'29.07 KIREKA-NAMUGONGO'!D11,'03.08 KIREKA-NAMUGONGO-24h'!D11,'31.07 KIREKA-NAMUGONGO-24h'!D11,'30.07 KIREKA-NAMUGONGO'!D11)</f>
        <v>6</v>
      </c>
      <c r="E11" s="49">
        <f>AVERAGE('01.08 KIREKA-NAMUGONGO'!E11,'02.08 KIREKA-NAMUGONGO'!E11,'04.08 KIREKA-NAMUGONGO'!E11,'29.07 KIREKA-NAMUGONGO'!E11,'03.08 KIREKA-NAMUGONGO-24h'!E11,'31.07 KIREKA-NAMUGONGO-24h'!E11,'30.07 KIREKA-NAMUGONGO'!E11)</f>
        <v>3.8571428571428572</v>
      </c>
      <c r="F11" s="49">
        <f>AVERAGE('01.08 KIREKA-NAMUGONGO'!F11,'02.08 KIREKA-NAMUGONGO'!F11,'04.08 KIREKA-NAMUGONGO'!F11,'29.07 KIREKA-NAMUGONGO'!F11,'03.08 KIREKA-NAMUGONGO-24h'!F11,'31.07 KIREKA-NAMUGONGO-24h'!F11,'30.07 KIREKA-NAMUGONGO'!F11)</f>
        <v>9</v>
      </c>
      <c r="G11" s="49">
        <f>AVERAGE('01.08 KIREKA-NAMUGONGO'!G11,'02.08 KIREKA-NAMUGONGO'!G11,'04.08 KIREKA-NAMUGONGO'!G11,'29.07 KIREKA-NAMUGONGO'!G11,'03.08 KIREKA-NAMUGONGO-24h'!G11,'31.07 KIREKA-NAMUGONGO-24h'!G11,'30.07 KIREKA-NAMUGONGO'!G11)</f>
        <v>0.2857142857142857</v>
      </c>
      <c r="H11" s="49">
        <f>AVERAGE('01.08 KIREKA-NAMUGONGO'!H11,'02.08 KIREKA-NAMUGONGO'!H11,'04.08 KIREKA-NAMUGONGO'!H11,'29.07 KIREKA-NAMUGONGO'!H11,'03.08 KIREKA-NAMUGONGO-24h'!H11,'31.07 KIREKA-NAMUGONGO-24h'!H11,'30.07 KIREKA-NAMUGONGO'!H11)</f>
        <v>0</v>
      </c>
      <c r="I11" s="49">
        <f>AVERAGE('01.08 KIREKA-NAMUGONGO'!I11,'02.08 KIREKA-NAMUGONGO'!I11,'04.08 KIREKA-NAMUGONGO'!I11,'29.07 KIREKA-NAMUGONGO'!I11,'03.08 KIREKA-NAMUGONGO-24h'!I11,'31.07 KIREKA-NAMUGONGO-24h'!I11,'30.07 KIREKA-NAMUGONGO'!I11)</f>
        <v>3</v>
      </c>
      <c r="J11" s="49">
        <f>AVERAGE('01.08 KIREKA-NAMUGONGO'!J11,'02.08 KIREKA-NAMUGONGO'!J11,'04.08 KIREKA-NAMUGONGO'!J11,'29.07 KIREKA-NAMUGONGO'!J11,'03.08 KIREKA-NAMUGONGO-24h'!J11,'31.07 KIREKA-NAMUGONGO-24h'!J11,'30.07 KIREKA-NAMUGONGO'!J11)</f>
        <v>1.2857142857142858</v>
      </c>
      <c r="K11" s="49">
        <f>AVERAGE('01.08 KIREKA-NAMUGONGO'!K11,'02.08 KIREKA-NAMUGONGO'!K11,'04.08 KIREKA-NAMUGONGO'!K11,'29.07 KIREKA-NAMUGONGO'!K11,'03.08 KIREKA-NAMUGONGO-24h'!K11,'31.07 KIREKA-NAMUGONGO-24h'!K11,'30.07 KIREKA-NAMUGONGO'!K11)</f>
        <v>0.2857142857142857</v>
      </c>
      <c r="L11" s="49">
        <f>AVERAGE('01.08 KIREKA-NAMUGONGO'!L11,'02.08 KIREKA-NAMUGONGO'!L11,'04.08 KIREKA-NAMUGONGO'!L11,'29.07 KIREKA-NAMUGONGO'!L11,'03.08 KIREKA-NAMUGONGO-24h'!L11,'31.07 KIREKA-NAMUGONGO-24h'!L11,'30.07 KIREKA-NAMUGONGO'!L11)</f>
        <v>0.2857142857142857</v>
      </c>
      <c r="M11" s="49">
        <f>AVERAGE('01.08 KIREKA-NAMUGONGO'!M11,'02.08 KIREKA-NAMUGONGO'!M11,'04.08 KIREKA-NAMUGONGO'!M11,'29.07 KIREKA-NAMUGONGO'!M11,'03.08 KIREKA-NAMUGONGO-24h'!M11,'31.07 KIREKA-NAMUGONGO-24h'!M11,'30.07 KIREKA-NAMUGONGO'!M11)</f>
        <v>65.857142857142861</v>
      </c>
      <c r="N11" s="49">
        <f>AVERAGE('01.08 KIREKA-NAMUGONGO'!N11,'02.08 KIREKA-NAMUGONGO'!N11,'04.08 KIREKA-NAMUGONGO'!N11,'29.07 KIREKA-NAMUGONGO'!N11,'03.08 KIREKA-NAMUGONGO-24h'!N11,'31.07 KIREKA-NAMUGONGO-24h'!N11,'30.07 KIREKA-NAMUGONGO'!N11)</f>
        <v>0</v>
      </c>
      <c r="O11" s="15">
        <f t="shared" si="0"/>
        <v>50.714285714285708</v>
      </c>
      <c r="P11" s="15">
        <f t="shared" si="1"/>
        <v>116.57142857142857</v>
      </c>
      <c r="R11" s="1" t="s">
        <v>7</v>
      </c>
      <c r="S11" s="17">
        <f t="shared" ref="S11:AF11" si="3">SUM(C14:C17)</f>
        <v>121</v>
      </c>
      <c r="T11" s="17">
        <f t="shared" si="3"/>
        <v>28.285714285714285</v>
      </c>
      <c r="U11" s="17">
        <f t="shared" si="3"/>
        <v>15.428571428571427</v>
      </c>
      <c r="V11" s="17">
        <f t="shared" si="3"/>
        <v>59.142857142857139</v>
      </c>
      <c r="W11" s="17">
        <f t="shared" si="3"/>
        <v>1.714285714285714</v>
      </c>
      <c r="X11" s="17">
        <f t="shared" si="3"/>
        <v>2.4285714285714284</v>
      </c>
      <c r="Y11" s="17">
        <f t="shared" si="3"/>
        <v>12.285714285714286</v>
      </c>
      <c r="Z11" s="17">
        <f t="shared" si="3"/>
        <v>3.8571428571428568</v>
      </c>
      <c r="AA11" s="17">
        <f t="shared" si="3"/>
        <v>3.1428571428571423</v>
      </c>
      <c r="AB11" s="17">
        <f t="shared" si="3"/>
        <v>0.42857142857142855</v>
      </c>
      <c r="AC11" s="17">
        <f t="shared" si="3"/>
        <v>389.14285714285717</v>
      </c>
      <c r="AD11" s="17">
        <f t="shared" si="3"/>
        <v>0</v>
      </c>
      <c r="AE11" s="31">
        <f t="shared" si="3"/>
        <v>247.71428571428572</v>
      </c>
      <c r="AF11" s="31">
        <f t="shared" si="3"/>
        <v>636.85714285714289</v>
      </c>
    </row>
    <row r="12" spans="2:32" ht="23.1" customHeight="1" x14ac:dyDescent="0.25">
      <c r="B12" s="23" t="s">
        <v>39</v>
      </c>
      <c r="C12" s="49">
        <f>AVERAGE('01.08 KIREKA-NAMUGONGO'!C12,'02.08 KIREKA-NAMUGONGO'!C12,'04.08 KIREKA-NAMUGONGO'!C12,'29.07 KIREKA-NAMUGONGO'!C12,'03.08 KIREKA-NAMUGONGO-24h'!C12,'31.07 KIREKA-NAMUGONGO-24h'!C12,'30.07 KIREKA-NAMUGONGO'!C12)</f>
        <v>32.142857142857146</v>
      </c>
      <c r="D12" s="49">
        <f>AVERAGE('01.08 KIREKA-NAMUGONGO'!D12,'02.08 KIREKA-NAMUGONGO'!D12,'04.08 KIREKA-NAMUGONGO'!D12,'29.07 KIREKA-NAMUGONGO'!D12,'03.08 KIREKA-NAMUGONGO-24h'!D12,'31.07 KIREKA-NAMUGONGO-24h'!D12,'30.07 KIREKA-NAMUGONGO'!D12)</f>
        <v>7.4285714285714288</v>
      </c>
      <c r="E12" s="49">
        <f>AVERAGE('01.08 KIREKA-NAMUGONGO'!E12,'02.08 KIREKA-NAMUGONGO'!E12,'04.08 KIREKA-NAMUGONGO'!E12,'29.07 KIREKA-NAMUGONGO'!E12,'03.08 KIREKA-NAMUGONGO-24h'!E12,'31.07 KIREKA-NAMUGONGO-24h'!E12,'30.07 KIREKA-NAMUGONGO'!E12)</f>
        <v>3.4285714285714284</v>
      </c>
      <c r="F12" s="49">
        <f>AVERAGE('01.08 KIREKA-NAMUGONGO'!F12,'02.08 KIREKA-NAMUGONGO'!F12,'04.08 KIREKA-NAMUGONGO'!F12,'29.07 KIREKA-NAMUGONGO'!F12,'03.08 KIREKA-NAMUGONGO-24h'!F12,'31.07 KIREKA-NAMUGONGO-24h'!F12,'30.07 KIREKA-NAMUGONGO'!F12)</f>
        <v>13.285714285714286</v>
      </c>
      <c r="G12" s="49">
        <f>AVERAGE('01.08 KIREKA-NAMUGONGO'!G12,'02.08 KIREKA-NAMUGONGO'!G12,'04.08 KIREKA-NAMUGONGO'!G12,'29.07 KIREKA-NAMUGONGO'!G12,'03.08 KIREKA-NAMUGONGO-24h'!G12,'31.07 KIREKA-NAMUGONGO-24h'!G12,'30.07 KIREKA-NAMUGONGO'!G12)</f>
        <v>0.42857142857142855</v>
      </c>
      <c r="H12" s="49">
        <f>AVERAGE('01.08 KIREKA-NAMUGONGO'!H12,'02.08 KIREKA-NAMUGONGO'!H12,'04.08 KIREKA-NAMUGONGO'!H12,'29.07 KIREKA-NAMUGONGO'!H12,'03.08 KIREKA-NAMUGONGO-24h'!H12,'31.07 KIREKA-NAMUGONGO-24h'!H12,'30.07 KIREKA-NAMUGONGO'!H12)</f>
        <v>0.2857142857142857</v>
      </c>
      <c r="I12" s="49">
        <f>AVERAGE('01.08 KIREKA-NAMUGONGO'!I12,'02.08 KIREKA-NAMUGONGO'!I12,'04.08 KIREKA-NAMUGONGO'!I12,'29.07 KIREKA-NAMUGONGO'!I12,'03.08 KIREKA-NAMUGONGO-24h'!I12,'31.07 KIREKA-NAMUGONGO-24h'!I12,'30.07 KIREKA-NAMUGONGO'!I12)</f>
        <v>2.1428571428571428</v>
      </c>
      <c r="J12" s="49">
        <f>AVERAGE('01.08 KIREKA-NAMUGONGO'!J12,'02.08 KIREKA-NAMUGONGO'!J12,'04.08 KIREKA-NAMUGONGO'!J12,'29.07 KIREKA-NAMUGONGO'!J12,'03.08 KIREKA-NAMUGONGO-24h'!J12,'31.07 KIREKA-NAMUGONGO-24h'!J12,'30.07 KIREKA-NAMUGONGO'!J12)</f>
        <v>1.1428571428571428</v>
      </c>
      <c r="K12" s="49">
        <f>AVERAGE('01.08 KIREKA-NAMUGONGO'!K12,'02.08 KIREKA-NAMUGONGO'!K12,'04.08 KIREKA-NAMUGONGO'!K12,'29.07 KIREKA-NAMUGONGO'!K12,'03.08 KIREKA-NAMUGONGO-24h'!K12,'31.07 KIREKA-NAMUGONGO-24h'!K12,'30.07 KIREKA-NAMUGONGO'!K12)</f>
        <v>0.42857142857142855</v>
      </c>
      <c r="L12" s="49">
        <f>AVERAGE('01.08 KIREKA-NAMUGONGO'!L12,'02.08 KIREKA-NAMUGONGO'!L12,'04.08 KIREKA-NAMUGONGO'!L12,'29.07 KIREKA-NAMUGONGO'!L12,'03.08 KIREKA-NAMUGONGO-24h'!L12,'31.07 KIREKA-NAMUGONGO-24h'!L12,'30.07 KIREKA-NAMUGONGO'!L12)</f>
        <v>0.14285714285714285</v>
      </c>
      <c r="M12" s="49">
        <f>AVERAGE('01.08 KIREKA-NAMUGONGO'!M12,'02.08 KIREKA-NAMUGONGO'!M12,'04.08 KIREKA-NAMUGONGO'!M12,'29.07 KIREKA-NAMUGONGO'!M12,'03.08 KIREKA-NAMUGONGO-24h'!M12,'31.07 KIREKA-NAMUGONGO-24h'!M12,'30.07 KIREKA-NAMUGONGO'!M12)</f>
        <v>65.857142857142861</v>
      </c>
      <c r="N12" s="49">
        <f>AVERAGE('01.08 KIREKA-NAMUGONGO'!N12,'02.08 KIREKA-NAMUGONGO'!N12,'04.08 KIREKA-NAMUGONGO'!N12,'29.07 KIREKA-NAMUGONGO'!N12,'03.08 KIREKA-NAMUGONGO-24h'!N12,'31.07 KIREKA-NAMUGONGO-24h'!N12,'30.07 KIREKA-NAMUGONGO'!N12)</f>
        <v>0</v>
      </c>
      <c r="O12" s="15">
        <f t="shared" si="0"/>
        <v>60.857142857142875</v>
      </c>
      <c r="P12" s="15">
        <f t="shared" si="1"/>
        <v>126.71428571428574</v>
      </c>
      <c r="R12" s="1" t="s">
        <v>8</v>
      </c>
      <c r="S12" s="17">
        <f t="shared" ref="S12:AF12" si="4">SUM(C18:C21)</f>
        <v>133.42857142857144</v>
      </c>
      <c r="T12" s="17">
        <f t="shared" si="4"/>
        <v>29.285714285714288</v>
      </c>
      <c r="U12" s="17">
        <f t="shared" si="4"/>
        <v>21.714285714285715</v>
      </c>
      <c r="V12" s="17">
        <f t="shared" si="4"/>
        <v>51.142857142857139</v>
      </c>
      <c r="W12" s="17">
        <f t="shared" si="4"/>
        <v>0.42857142857142855</v>
      </c>
      <c r="X12" s="17">
        <f t="shared" si="4"/>
        <v>1</v>
      </c>
      <c r="Y12" s="17">
        <f t="shared" si="4"/>
        <v>18.285714285714285</v>
      </c>
      <c r="Z12" s="17">
        <f t="shared" si="4"/>
        <v>4.8571428571428577</v>
      </c>
      <c r="AA12" s="17">
        <f t="shared" si="4"/>
        <v>3.1428571428571428</v>
      </c>
      <c r="AB12" s="17">
        <f t="shared" si="4"/>
        <v>0.71428571428571419</v>
      </c>
      <c r="AC12" s="17">
        <f t="shared" si="4"/>
        <v>451.28571428571428</v>
      </c>
      <c r="AD12" s="17">
        <f t="shared" si="4"/>
        <v>0</v>
      </c>
      <c r="AE12" s="31">
        <f t="shared" si="4"/>
        <v>264</v>
      </c>
      <c r="AF12" s="31">
        <f t="shared" si="4"/>
        <v>715.28571428571422</v>
      </c>
    </row>
    <row r="13" spans="2:32" ht="23.1" customHeight="1" x14ac:dyDescent="0.25">
      <c r="B13" s="23" t="s">
        <v>40</v>
      </c>
      <c r="C13" s="49">
        <f>AVERAGE('01.08 KIREKA-NAMUGONGO'!C13,'02.08 KIREKA-NAMUGONGO'!C13,'04.08 KIREKA-NAMUGONGO'!C13,'29.07 KIREKA-NAMUGONGO'!C13,'03.08 KIREKA-NAMUGONGO-24h'!C13,'31.07 KIREKA-NAMUGONGO-24h'!C13,'30.07 KIREKA-NAMUGONGO'!C13)</f>
        <v>31.285714285714285</v>
      </c>
      <c r="D13" s="49">
        <f>AVERAGE('01.08 KIREKA-NAMUGONGO'!D13,'02.08 KIREKA-NAMUGONGO'!D13,'04.08 KIREKA-NAMUGONGO'!D13,'29.07 KIREKA-NAMUGONGO'!D13,'03.08 KIREKA-NAMUGONGO-24h'!D13,'31.07 KIREKA-NAMUGONGO-24h'!D13,'30.07 KIREKA-NAMUGONGO'!D13)</f>
        <v>7.8571428571428568</v>
      </c>
      <c r="E13" s="49">
        <f>AVERAGE('01.08 KIREKA-NAMUGONGO'!E13,'02.08 KIREKA-NAMUGONGO'!E13,'04.08 KIREKA-NAMUGONGO'!E13,'29.07 KIREKA-NAMUGONGO'!E13,'03.08 KIREKA-NAMUGONGO-24h'!E13,'31.07 KIREKA-NAMUGONGO-24h'!E13,'30.07 KIREKA-NAMUGONGO'!E13)</f>
        <v>5.5714285714285712</v>
      </c>
      <c r="F13" s="49">
        <f>AVERAGE('01.08 KIREKA-NAMUGONGO'!F13,'02.08 KIREKA-NAMUGONGO'!F13,'04.08 KIREKA-NAMUGONGO'!F13,'29.07 KIREKA-NAMUGONGO'!F13,'03.08 KIREKA-NAMUGONGO-24h'!F13,'31.07 KIREKA-NAMUGONGO-24h'!F13,'30.07 KIREKA-NAMUGONGO'!F13)</f>
        <v>12.142857142857142</v>
      </c>
      <c r="G13" s="49">
        <f>AVERAGE('01.08 KIREKA-NAMUGONGO'!G13,'02.08 KIREKA-NAMUGONGO'!G13,'04.08 KIREKA-NAMUGONGO'!G13,'29.07 KIREKA-NAMUGONGO'!G13,'03.08 KIREKA-NAMUGONGO-24h'!G13,'31.07 KIREKA-NAMUGONGO-24h'!G13,'30.07 KIREKA-NAMUGONGO'!G13)</f>
        <v>0.14285714285714285</v>
      </c>
      <c r="H13" s="49">
        <f>AVERAGE('01.08 KIREKA-NAMUGONGO'!H13,'02.08 KIREKA-NAMUGONGO'!H13,'04.08 KIREKA-NAMUGONGO'!H13,'29.07 KIREKA-NAMUGONGO'!H13,'03.08 KIREKA-NAMUGONGO-24h'!H13,'31.07 KIREKA-NAMUGONGO-24h'!H13,'30.07 KIREKA-NAMUGONGO'!H13)</f>
        <v>0</v>
      </c>
      <c r="I13" s="49">
        <f>AVERAGE('01.08 KIREKA-NAMUGONGO'!I13,'02.08 KIREKA-NAMUGONGO'!I13,'04.08 KIREKA-NAMUGONGO'!I13,'29.07 KIREKA-NAMUGONGO'!I13,'03.08 KIREKA-NAMUGONGO-24h'!I13,'31.07 KIREKA-NAMUGONGO-24h'!I13,'30.07 KIREKA-NAMUGONGO'!I13)</f>
        <v>2.5714285714285716</v>
      </c>
      <c r="J13" s="49">
        <f>AVERAGE('01.08 KIREKA-NAMUGONGO'!J13,'02.08 KIREKA-NAMUGONGO'!J13,'04.08 KIREKA-NAMUGONGO'!J13,'29.07 KIREKA-NAMUGONGO'!J13,'03.08 KIREKA-NAMUGONGO-24h'!J13,'31.07 KIREKA-NAMUGONGO-24h'!J13,'30.07 KIREKA-NAMUGONGO'!J13)</f>
        <v>1.4285714285714286</v>
      </c>
      <c r="K13" s="49">
        <f>AVERAGE('01.08 KIREKA-NAMUGONGO'!K13,'02.08 KIREKA-NAMUGONGO'!K13,'04.08 KIREKA-NAMUGONGO'!K13,'29.07 KIREKA-NAMUGONGO'!K13,'03.08 KIREKA-NAMUGONGO-24h'!K13,'31.07 KIREKA-NAMUGONGO-24h'!K13,'30.07 KIREKA-NAMUGONGO'!K13)</f>
        <v>0.5714285714285714</v>
      </c>
      <c r="L13" s="49">
        <f>AVERAGE('01.08 KIREKA-NAMUGONGO'!L13,'02.08 KIREKA-NAMUGONGO'!L13,'04.08 KIREKA-NAMUGONGO'!L13,'29.07 KIREKA-NAMUGONGO'!L13,'03.08 KIREKA-NAMUGONGO-24h'!L13,'31.07 KIREKA-NAMUGONGO-24h'!L13,'30.07 KIREKA-NAMUGONGO'!L13)</f>
        <v>0.14285714285714285</v>
      </c>
      <c r="M13" s="49">
        <f>AVERAGE('01.08 KIREKA-NAMUGONGO'!M13,'02.08 KIREKA-NAMUGONGO'!M13,'04.08 KIREKA-NAMUGONGO'!M13,'29.07 KIREKA-NAMUGONGO'!M13,'03.08 KIREKA-NAMUGONGO-24h'!M13,'31.07 KIREKA-NAMUGONGO-24h'!M13,'30.07 KIREKA-NAMUGONGO'!M13)</f>
        <v>94.571428571428569</v>
      </c>
      <c r="N13" s="49">
        <f>AVERAGE('01.08 KIREKA-NAMUGONGO'!N13,'02.08 KIREKA-NAMUGONGO'!N13,'04.08 KIREKA-NAMUGONGO'!N13,'29.07 KIREKA-NAMUGONGO'!N13,'03.08 KIREKA-NAMUGONGO-24h'!N13,'31.07 KIREKA-NAMUGONGO-24h'!N13,'30.07 KIREKA-NAMUGONGO'!N13)</f>
        <v>0</v>
      </c>
      <c r="O13" s="15">
        <f t="shared" si="0"/>
        <v>61.714285714285708</v>
      </c>
      <c r="P13" s="15">
        <f t="shared" si="1"/>
        <v>156.28571428571428</v>
      </c>
      <c r="R13" s="1" t="s">
        <v>9</v>
      </c>
      <c r="S13" s="17">
        <f t="shared" ref="S13:AF13" si="5">SUM(C22:C25)</f>
        <v>164.14285714285714</v>
      </c>
      <c r="T13" s="17">
        <f t="shared" si="5"/>
        <v>52.142857142857139</v>
      </c>
      <c r="U13" s="17">
        <f t="shared" si="5"/>
        <v>26</v>
      </c>
      <c r="V13" s="17">
        <f t="shared" si="5"/>
        <v>54.571428571428569</v>
      </c>
      <c r="W13" s="17">
        <f t="shared" si="5"/>
        <v>4.1428571428571423</v>
      </c>
      <c r="X13" s="17">
        <f t="shared" si="5"/>
        <v>1.1428571428571428</v>
      </c>
      <c r="Y13" s="17">
        <f t="shared" si="5"/>
        <v>24.571428571428569</v>
      </c>
      <c r="Z13" s="17">
        <f t="shared" si="5"/>
        <v>10.428571428571429</v>
      </c>
      <c r="AA13" s="17">
        <f t="shared" si="5"/>
        <v>3.1428571428571428</v>
      </c>
      <c r="AB13" s="17">
        <f t="shared" si="5"/>
        <v>1.5714285714285712</v>
      </c>
      <c r="AC13" s="17">
        <f t="shared" si="5"/>
        <v>492.71428571428567</v>
      </c>
      <c r="AD13" s="17">
        <f t="shared" si="5"/>
        <v>0</v>
      </c>
      <c r="AE13" s="31">
        <f t="shared" si="5"/>
        <v>341.85714285714289</v>
      </c>
      <c r="AF13" s="31">
        <f t="shared" si="5"/>
        <v>834.57142857142844</v>
      </c>
    </row>
    <row r="14" spans="2:32" ht="23.1" customHeight="1" x14ac:dyDescent="0.25">
      <c r="B14" s="23" t="s">
        <v>41</v>
      </c>
      <c r="C14" s="49">
        <f>AVERAGE('01.08 KIREKA-NAMUGONGO'!C14,'02.08 KIREKA-NAMUGONGO'!C14,'04.08 KIREKA-NAMUGONGO'!C14,'29.07 KIREKA-NAMUGONGO'!C14,'03.08 KIREKA-NAMUGONGO-24h'!C14,'31.07 KIREKA-NAMUGONGO-24h'!C14,'30.07 KIREKA-NAMUGONGO'!C14)</f>
        <v>29.428571428571427</v>
      </c>
      <c r="D14" s="49">
        <f>AVERAGE('01.08 KIREKA-NAMUGONGO'!D14,'02.08 KIREKA-NAMUGONGO'!D14,'04.08 KIREKA-NAMUGONGO'!D14,'29.07 KIREKA-NAMUGONGO'!D14,'03.08 KIREKA-NAMUGONGO-24h'!D14,'31.07 KIREKA-NAMUGONGO-24h'!D14,'30.07 KIREKA-NAMUGONGO'!D14)</f>
        <v>6.8571428571428568</v>
      </c>
      <c r="E14" s="49">
        <f>AVERAGE('01.08 KIREKA-NAMUGONGO'!E14,'02.08 KIREKA-NAMUGONGO'!E14,'04.08 KIREKA-NAMUGONGO'!E14,'29.07 KIREKA-NAMUGONGO'!E14,'03.08 KIREKA-NAMUGONGO-24h'!E14,'31.07 KIREKA-NAMUGONGO-24h'!E14,'30.07 KIREKA-NAMUGONGO'!E14)</f>
        <v>2.5714285714285716</v>
      </c>
      <c r="F14" s="49">
        <f>AVERAGE('01.08 KIREKA-NAMUGONGO'!F14,'02.08 KIREKA-NAMUGONGO'!F14,'04.08 KIREKA-NAMUGONGO'!F14,'29.07 KIREKA-NAMUGONGO'!F14,'03.08 KIREKA-NAMUGONGO-24h'!F14,'31.07 KIREKA-NAMUGONGO-24h'!F14,'30.07 KIREKA-NAMUGONGO'!F14)</f>
        <v>15.714285714285714</v>
      </c>
      <c r="G14" s="49">
        <f>AVERAGE('01.08 KIREKA-NAMUGONGO'!G14,'02.08 KIREKA-NAMUGONGO'!G14,'04.08 KIREKA-NAMUGONGO'!G14,'29.07 KIREKA-NAMUGONGO'!G14,'03.08 KIREKA-NAMUGONGO-24h'!G14,'31.07 KIREKA-NAMUGONGO-24h'!G14,'30.07 KIREKA-NAMUGONGO'!G14)</f>
        <v>0.8571428571428571</v>
      </c>
      <c r="H14" s="49">
        <f>AVERAGE('01.08 KIREKA-NAMUGONGO'!H14,'02.08 KIREKA-NAMUGONGO'!H14,'04.08 KIREKA-NAMUGONGO'!H14,'29.07 KIREKA-NAMUGONGO'!H14,'03.08 KIREKA-NAMUGONGO-24h'!H14,'31.07 KIREKA-NAMUGONGO-24h'!H14,'30.07 KIREKA-NAMUGONGO'!H14)</f>
        <v>1.1428571428571428</v>
      </c>
      <c r="I14" s="49">
        <f>AVERAGE('01.08 KIREKA-NAMUGONGO'!I14,'02.08 KIREKA-NAMUGONGO'!I14,'04.08 KIREKA-NAMUGONGO'!I14,'29.07 KIREKA-NAMUGONGO'!I14,'03.08 KIREKA-NAMUGONGO-24h'!I14,'31.07 KIREKA-NAMUGONGO-24h'!I14,'30.07 KIREKA-NAMUGONGO'!I14)</f>
        <v>1.8571428571428572</v>
      </c>
      <c r="J14" s="49">
        <f>AVERAGE('01.08 KIREKA-NAMUGONGO'!J14,'02.08 KIREKA-NAMUGONGO'!J14,'04.08 KIREKA-NAMUGONGO'!J14,'29.07 KIREKA-NAMUGONGO'!J14,'03.08 KIREKA-NAMUGONGO-24h'!J14,'31.07 KIREKA-NAMUGONGO-24h'!J14,'30.07 KIREKA-NAMUGONGO'!J14)</f>
        <v>1</v>
      </c>
      <c r="K14" s="49">
        <f>AVERAGE('01.08 KIREKA-NAMUGONGO'!K14,'02.08 KIREKA-NAMUGONGO'!K14,'04.08 KIREKA-NAMUGONGO'!K14,'29.07 KIREKA-NAMUGONGO'!K14,'03.08 KIREKA-NAMUGONGO-24h'!K14,'31.07 KIREKA-NAMUGONGO-24h'!K14,'30.07 KIREKA-NAMUGONGO'!K14)</f>
        <v>0.14285714285714285</v>
      </c>
      <c r="L14" s="49">
        <f>AVERAGE('01.08 KIREKA-NAMUGONGO'!L14,'02.08 KIREKA-NAMUGONGO'!L14,'04.08 KIREKA-NAMUGONGO'!L14,'29.07 KIREKA-NAMUGONGO'!L14,'03.08 KIREKA-NAMUGONGO-24h'!L14,'31.07 KIREKA-NAMUGONGO-24h'!L14,'30.07 KIREKA-NAMUGONGO'!L14)</f>
        <v>0.14285714285714285</v>
      </c>
      <c r="M14" s="49">
        <f>AVERAGE('01.08 KIREKA-NAMUGONGO'!M14,'02.08 KIREKA-NAMUGONGO'!M14,'04.08 KIREKA-NAMUGONGO'!M14,'29.07 KIREKA-NAMUGONGO'!M14,'03.08 KIREKA-NAMUGONGO-24h'!M14,'31.07 KIREKA-NAMUGONGO-24h'!M14,'30.07 KIREKA-NAMUGONGO'!M14)</f>
        <v>89</v>
      </c>
      <c r="N14" s="49">
        <f>AVERAGE('01.08 KIREKA-NAMUGONGO'!N14,'02.08 KIREKA-NAMUGONGO'!N14,'04.08 KIREKA-NAMUGONGO'!N14,'29.07 KIREKA-NAMUGONGO'!N14,'03.08 KIREKA-NAMUGONGO-24h'!N14,'31.07 KIREKA-NAMUGONGO-24h'!N14,'30.07 KIREKA-NAMUGONGO'!N14)</f>
        <v>0</v>
      </c>
      <c r="O14" s="15">
        <f t="shared" si="0"/>
        <v>59.714285714285715</v>
      </c>
      <c r="P14" s="15">
        <f t="shared" si="1"/>
        <v>148.71428571428572</v>
      </c>
      <c r="R14" s="1" t="s">
        <v>10</v>
      </c>
      <c r="S14" s="17">
        <f t="shared" ref="S14:AF14" si="6">SUM(C26:C29)</f>
        <v>176</v>
      </c>
      <c r="T14" s="17">
        <f t="shared" si="6"/>
        <v>40.142857142857146</v>
      </c>
      <c r="U14" s="17">
        <f t="shared" si="6"/>
        <v>28.714285714285715</v>
      </c>
      <c r="V14" s="17">
        <f t="shared" si="6"/>
        <v>52</v>
      </c>
      <c r="W14" s="17">
        <f t="shared" si="6"/>
        <v>3.7142857142857144</v>
      </c>
      <c r="X14" s="17">
        <f t="shared" si="6"/>
        <v>2.4285714285714284</v>
      </c>
      <c r="Y14" s="17">
        <f t="shared" si="6"/>
        <v>28.428571428571431</v>
      </c>
      <c r="Z14" s="17">
        <f t="shared" si="6"/>
        <v>7</v>
      </c>
      <c r="AA14" s="17">
        <f t="shared" si="6"/>
        <v>7.1428571428571423</v>
      </c>
      <c r="AB14" s="17">
        <f t="shared" si="6"/>
        <v>1.5714285714285712</v>
      </c>
      <c r="AC14" s="17">
        <f t="shared" si="6"/>
        <v>490.28571428571428</v>
      </c>
      <c r="AD14" s="17">
        <f t="shared" si="6"/>
        <v>0</v>
      </c>
      <c r="AE14" s="31">
        <f t="shared" si="6"/>
        <v>347.14285714285711</v>
      </c>
      <c r="AF14" s="31">
        <f t="shared" si="6"/>
        <v>837.42857142857133</v>
      </c>
    </row>
    <row r="15" spans="2:32" ht="23.1" customHeight="1" x14ac:dyDescent="0.25">
      <c r="B15" s="23" t="s">
        <v>42</v>
      </c>
      <c r="C15" s="49">
        <f>AVERAGE('01.08 KIREKA-NAMUGONGO'!C15,'02.08 KIREKA-NAMUGONGO'!C15,'04.08 KIREKA-NAMUGONGO'!C15,'29.07 KIREKA-NAMUGONGO'!C15,'03.08 KIREKA-NAMUGONGO-24h'!C15,'31.07 KIREKA-NAMUGONGO-24h'!C15,'30.07 KIREKA-NAMUGONGO'!C15)</f>
        <v>27.714285714285715</v>
      </c>
      <c r="D15" s="49">
        <f>AVERAGE('01.08 KIREKA-NAMUGONGO'!D15,'02.08 KIREKA-NAMUGONGO'!D15,'04.08 KIREKA-NAMUGONGO'!D15,'29.07 KIREKA-NAMUGONGO'!D15,'03.08 KIREKA-NAMUGONGO-24h'!D15,'31.07 KIREKA-NAMUGONGO-24h'!D15,'30.07 KIREKA-NAMUGONGO'!D15)</f>
        <v>6</v>
      </c>
      <c r="E15" s="49">
        <f>AVERAGE('01.08 KIREKA-NAMUGONGO'!E15,'02.08 KIREKA-NAMUGONGO'!E15,'04.08 KIREKA-NAMUGONGO'!E15,'29.07 KIREKA-NAMUGONGO'!E15,'03.08 KIREKA-NAMUGONGO-24h'!E15,'31.07 KIREKA-NAMUGONGO-24h'!E15,'30.07 KIREKA-NAMUGONGO'!E15)</f>
        <v>4.8571428571428568</v>
      </c>
      <c r="F15" s="49">
        <f>AVERAGE('01.08 KIREKA-NAMUGONGO'!F15,'02.08 KIREKA-NAMUGONGO'!F15,'04.08 KIREKA-NAMUGONGO'!F15,'29.07 KIREKA-NAMUGONGO'!F15,'03.08 KIREKA-NAMUGONGO-24h'!F15,'31.07 KIREKA-NAMUGONGO-24h'!F15,'30.07 KIREKA-NAMUGONGO'!F15)</f>
        <v>15.714285714285714</v>
      </c>
      <c r="G15" s="49">
        <f>AVERAGE('01.08 KIREKA-NAMUGONGO'!G15,'02.08 KIREKA-NAMUGONGO'!G15,'04.08 KIREKA-NAMUGONGO'!G15,'29.07 KIREKA-NAMUGONGO'!G15,'03.08 KIREKA-NAMUGONGO-24h'!G15,'31.07 KIREKA-NAMUGONGO-24h'!G15,'30.07 KIREKA-NAMUGONGO'!G15)</f>
        <v>0.2857142857142857</v>
      </c>
      <c r="H15" s="49">
        <f>AVERAGE('01.08 KIREKA-NAMUGONGO'!H15,'02.08 KIREKA-NAMUGONGO'!H15,'04.08 KIREKA-NAMUGONGO'!H15,'29.07 KIREKA-NAMUGONGO'!H15,'03.08 KIREKA-NAMUGONGO-24h'!H15,'31.07 KIREKA-NAMUGONGO-24h'!H15,'30.07 KIREKA-NAMUGONGO'!H15)</f>
        <v>0.5714285714285714</v>
      </c>
      <c r="I15" s="49">
        <f>AVERAGE('01.08 KIREKA-NAMUGONGO'!I15,'02.08 KIREKA-NAMUGONGO'!I15,'04.08 KIREKA-NAMUGONGO'!I15,'29.07 KIREKA-NAMUGONGO'!I15,'03.08 KIREKA-NAMUGONGO-24h'!I15,'31.07 KIREKA-NAMUGONGO-24h'!I15,'30.07 KIREKA-NAMUGONGO'!I15)</f>
        <v>3</v>
      </c>
      <c r="J15" s="49">
        <f>AVERAGE('01.08 KIREKA-NAMUGONGO'!J15,'02.08 KIREKA-NAMUGONGO'!J15,'04.08 KIREKA-NAMUGONGO'!J15,'29.07 KIREKA-NAMUGONGO'!J15,'03.08 KIREKA-NAMUGONGO-24h'!J15,'31.07 KIREKA-NAMUGONGO-24h'!J15,'30.07 KIREKA-NAMUGONGO'!J15)</f>
        <v>1.5714285714285714</v>
      </c>
      <c r="K15" s="49">
        <f>AVERAGE('01.08 KIREKA-NAMUGONGO'!K15,'02.08 KIREKA-NAMUGONGO'!K15,'04.08 KIREKA-NAMUGONGO'!K15,'29.07 KIREKA-NAMUGONGO'!K15,'03.08 KIREKA-NAMUGONGO-24h'!K15,'31.07 KIREKA-NAMUGONGO-24h'!K15,'30.07 KIREKA-NAMUGONGO'!K15)</f>
        <v>1.2857142857142858</v>
      </c>
      <c r="L15" s="49">
        <f>AVERAGE('01.08 KIREKA-NAMUGONGO'!L15,'02.08 KIREKA-NAMUGONGO'!L15,'04.08 KIREKA-NAMUGONGO'!L15,'29.07 KIREKA-NAMUGONGO'!L15,'03.08 KIREKA-NAMUGONGO-24h'!L15,'31.07 KIREKA-NAMUGONGO-24h'!L15,'30.07 KIREKA-NAMUGONGO'!L15)</f>
        <v>0</v>
      </c>
      <c r="M15" s="49">
        <f>AVERAGE('01.08 KIREKA-NAMUGONGO'!M15,'02.08 KIREKA-NAMUGONGO'!M15,'04.08 KIREKA-NAMUGONGO'!M15,'29.07 KIREKA-NAMUGONGO'!M15,'03.08 KIREKA-NAMUGONGO-24h'!M15,'31.07 KIREKA-NAMUGONGO-24h'!M15,'30.07 KIREKA-NAMUGONGO'!M15)</f>
        <v>99.142857142857139</v>
      </c>
      <c r="N15" s="49">
        <f>AVERAGE('01.08 KIREKA-NAMUGONGO'!N15,'02.08 KIREKA-NAMUGONGO'!N15,'04.08 KIREKA-NAMUGONGO'!N15,'29.07 KIREKA-NAMUGONGO'!N15,'03.08 KIREKA-NAMUGONGO-24h'!N15,'31.07 KIREKA-NAMUGONGO-24h'!N15,'30.07 KIREKA-NAMUGONGO'!N15)</f>
        <v>0</v>
      </c>
      <c r="O15" s="15">
        <f t="shared" si="0"/>
        <v>60.999999999999993</v>
      </c>
      <c r="P15" s="15">
        <f t="shared" si="1"/>
        <v>160.14285714285714</v>
      </c>
      <c r="R15" s="1" t="s">
        <v>11</v>
      </c>
      <c r="S15" s="17">
        <f t="shared" ref="S15:AF15" si="7">SUM(C30:C33)</f>
        <v>189.57142857142856</v>
      </c>
      <c r="T15" s="17">
        <f t="shared" si="7"/>
        <v>49.285714285714292</v>
      </c>
      <c r="U15" s="17">
        <f t="shared" si="7"/>
        <v>30.714285714285715</v>
      </c>
      <c r="V15" s="17">
        <f t="shared" si="7"/>
        <v>52</v>
      </c>
      <c r="W15" s="17">
        <f t="shared" si="7"/>
        <v>1</v>
      </c>
      <c r="X15" s="17">
        <f t="shared" si="7"/>
        <v>0.85714285714285721</v>
      </c>
      <c r="Y15" s="17">
        <f t="shared" si="7"/>
        <v>27.714285714285715</v>
      </c>
      <c r="Z15" s="17">
        <f t="shared" si="7"/>
        <v>12.285714285714285</v>
      </c>
      <c r="AA15" s="17">
        <f t="shared" si="7"/>
        <v>6.1428571428571423</v>
      </c>
      <c r="AB15" s="17">
        <f t="shared" si="7"/>
        <v>1.4285714285714284</v>
      </c>
      <c r="AC15" s="17">
        <f t="shared" si="7"/>
        <v>452.42857142857139</v>
      </c>
      <c r="AD15" s="17">
        <f t="shared" si="7"/>
        <v>0.14285714285714285</v>
      </c>
      <c r="AE15" s="31">
        <f t="shared" si="7"/>
        <v>371.14285714285717</v>
      </c>
      <c r="AF15" s="31">
        <f t="shared" si="7"/>
        <v>823.57142857142856</v>
      </c>
    </row>
    <row r="16" spans="2:32" ht="23.1" customHeight="1" x14ac:dyDescent="0.25">
      <c r="B16" s="23" t="s">
        <v>43</v>
      </c>
      <c r="C16" s="49">
        <f>AVERAGE('01.08 KIREKA-NAMUGONGO'!C16,'02.08 KIREKA-NAMUGONGO'!C16,'04.08 KIREKA-NAMUGONGO'!C16,'29.07 KIREKA-NAMUGONGO'!C16,'03.08 KIREKA-NAMUGONGO-24h'!C16,'31.07 KIREKA-NAMUGONGO-24h'!C16,'30.07 KIREKA-NAMUGONGO'!C16)</f>
        <v>34.428571428571431</v>
      </c>
      <c r="D16" s="49">
        <f>AVERAGE('01.08 KIREKA-NAMUGONGO'!D16,'02.08 KIREKA-NAMUGONGO'!D16,'04.08 KIREKA-NAMUGONGO'!D16,'29.07 KIREKA-NAMUGONGO'!D16,'03.08 KIREKA-NAMUGONGO-24h'!D16,'31.07 KIREKA-NAMUGONGO-24h'!D16,'30.07 KIREKA-NAMUGONGO'!D16)</f>
        <v>8.8571428571428577</v>
      </c>
      <c r="E16" s="49">
        <f>AVERAGE('01.08 KIREKA-NAMUGONGO'!E16,'02.08 KIREKA-NAMUGONGO'!E16,'04.08 KIREKA-NAMUGONGO'!E16,'29.07 KIREKA-NAMUGONGO'!E16,'03.08 KIREKA-NAMUGONGO-24h'!E16,'31.07 KIREKA-NAMUGONGO-24h'!E16,'30.07 KIREKA-NAMUGONGO'!E16)</f>
        <v>3.1428571428571428</v>
      </c>
      <c r="F16" s="49">
        <f>AVERAGE('01.08 KIREKA-NAMUGONGO'!F16,'02.08 KIREKA-NAMUGONGO'!F16,'04.08 KIREKA-NAMUGONGO'!F16,'29.07 KIREKA-NAMUGONGO'!F16,'03.08 KIREKA-NAMUGONGO-24h'!F16,'31.07 KIREKA-NAMUGONGO-24h'!F16,'30.07 KIREKA-NAMUGONGO'!F16)</f>
        <v>14.571428571428571</v>
      </c>
      <c r="G16" s="49">
        <f>AVERAGE('01.08 KIREKA-NAMUGONGO'!G16,'02.08 KIREKA-NAMUGONGO'!G16,'04.08 KIREKA-NAMUGONGO'!G16,'29.07 KIREKA-NAMUGONGO'!G16,'03.08 KIREKA-NAMUGONGO-24h'!G16,'31.07 KIREKA-NAMUGONGO-24h'!G16,'30.07 KIREKA-NAMUGONGO'!G16)</f>
        <v>0.2857142857142857</v>
      </c>
      <c r="H16" s="49">
        <f>AVERAGE('01.08 KIREKA-NAMUGONGO'!H16,'02.08 KIREKA-NAMUGONGO'!H16,'04.08 KIREKA-NAMUGONGO'!H16,'29.07 KIREKA-NAMUGONGO'!H16,'03.08 KIREKA-NAMUGONGO-24h'!H16,'31.07 KIREKA-NAMUGONGO-24h'!H16,'30.07 KIREKA-NAMUGONGO'!H16)</f>
        <v>0.14285714285714285</v>
      </c>
      <c r="I16" s="49">
        <f>AVERAGE('01.08 KIREKA-NAMUGONGO'!I16,'02.08 KIREKA-NAMUGONGO'!I16,'04.08 KIREKA-NAMUGONGO'!I16,'29.07 KIREKA-NAMUGONGO'!I16,'03.08 KIREKA-NAMUGONGO-24h'!I16,'31.07 KIREKA-NAMUGONGO-24h'!I16,'30.07 KIREKA-NAMUGONGO'!I16)</f>
        <v>4</v>
      </c>
      <c r="J16" s="49">
        <f>AVERAGE('01.08 KIREKA-NAMUGONGO'!J16,'02.08 KIREKA-NAMUGONGO'!J16,'04.08 KIREKA-NAMUGONGO'!J16,'29.07 KIREKA-NAMUGONGO'!J16,'03.08 KIREKA-NAMUGONGO-24h'!J16,'31.07 KIREKA-NAMUGONGO-24h'!J16,'30.07 KIREKA-NAMUGONGO'!J16)</f>
        <v>0.7142857142857143</v>
      </c>
      <c r="K16" s="49">
        <f>AVERAGE('01.08 KIREKA-NAMUGONGO'!K16,'02.08 KIREKA-NAMUGONGO'!K16,'04.08 KIREKA-NAMUGONGO'!K16,'29.07 KIREKA-NAMUGONGO'!K16,'03.08 KIREKA-NAMUGONGO-24h'!K16,'31.07 KIREKA-NAMUGONGO-24h'!K16,'30.07 KIREKA-NAMUGONGO'!K16)</f>
        <v>1.1428571428571428</v>
      </c>
      <c r="L16" s="49">
        <f>AVERAGE('01.08 KIREKA-NAMUGONGO'!L16,'02.08 KIREKA-NAMUGONGO'!L16,'04.08 KIREKA-NAMUGONGO'!L16,'29.07 KIREKA-NAMUGONGO'!L16,'03.08 KIREKA-NAMUGONGO-24h'!L16,'31.07 KIREKA-NAMUGONGO-24h'!L16,'30.07 KIREKA-NAMUGONGO'!L16)</f>
        <v>0.14285714285714285</v>
      </c>
      <c r="M16" s="49">
        <f>AVERAGE('01.08 KIREKA-NAMUGONGO'!M16,'02.08 KIREKA-NAMUGONGO'!M16,'04.08 KIREKA-NAMUGONGO'!M16,'29.07 KIREKA-NAMUGONGO'!M16,'03.08 KIREKA-NAMUGONGO-24h'!M16,'31.07 KIREKA-NAMUGONGO-24h'!M16,'30.07 KIREKA-NAMUGONGO'!M16)</f>
        <v>103.57142857142857</v>
      </c>
      <c r="N16" s="49">
        <f>AVERAGE('01.08 KIREKA-NAMUGONGO'!N16,'02.08 KIREKA-NAMUGONGO'!N16,'04.08 KIREKA-NAMUGONGO'!N16,'29.07 KIREKA-NAMUGONGO'!N16,'03.08 KIREKA-NAMUGONGO-24h'!N16,'31.07 KIREKA-NAMUGONGO-24h'!N16,'30.07 KIREKA-NAMUGONGO'!N16)</f>
        <v>0</v>
      </c>
      <c r="O16" s="15">
        <f t="shared" si="0"/>
        <v>67.428571428571431</v>
      </c>
      <c r="P16" s="15">
        <f t="shared" si="1"/>
        <v>171</v>
      </c>
      <c r="R16" s="1" t="s">
        <v>12</v>
      </c>
      <c r="S16" s="17">
        <f t="shared" ref="S16:AF16" si="8">SUM(C34:C37)</f>
        <v>210.57142857142858</v>
      </c>
      <c r="T16" s="17">
        <f t="shared" si="8"/>
        <v>52.142857142857146</v>
      </c>
      <c r="U16" s="17">
        <f t="shared" si="8"/>
        <v>33.714285714285715</v>
      </c>
      <c r="V16" s="17">
        <f t="shared" si="8"/>
        <v>57.428571428571431</v>
      </c>
      <c r="W16" s="17">
        <f t="shared" si="8"/>
        <v>2.2857142857142856</v>
      </c>
      <c r="X16" s="17">
        <f t="shared" si="8"/>
        <v>0.2857142857142857</v>
      </c>
      <c r="Y16" s="17">
        <f t="shared" si="8"/>
        <v>24</v>
      </c>
      <c r="Z16" s="17">
        <f t="shared" si="8"/>
        <v>12.142857142857142</v>
      </c>
      <c r="AA16" s="17">
        <f t="shared" si="8"/>
        <v>5</v>
      </c>
      <c r="AB16" s="17">
        <f t="shared" si="8"/>
        <v>1.1428571428571428</v>
      </c>
      <c r="AC16" s="17">
        <f t="shared" si="8"/>
        <v>426.42857142857139</v>
      </c>
      <c r="AD16" s="17">
        <f t="shared" si="8"/>
        <v>0</v>
      </c>
      <c r="AE16" s="31">
        <f t="shared" si="8"/>
        <v>398.71428571428572</v>
      </c>
      <c r="AF16" s="31">
        <f t="shared" si="8"/>
        <v>825.14285714285711</v>
      </c>
    </row>
    <row r="17" spans="2:32" ht="23.1" customHeight="1" x14ac:dyDescent="0.25">
      <c r="B17" s="23" t="s">
        <v>44</v>
      </c>
      <c r="C17" s="49">
        <f>AVERAGE('01.08 KIREKA-NAMUGONGO'!C17,'02.08 KIREKA-NAMUGONGO'!C17,'04.08 KIREKA-NAMUGONGO'!C17,'29.07 KIREKA-NAMUGONGO'!C17,'03.08 KIREKA-NAMUGONGO-24h'!C17,'31.07 KIREKA-NAMUGONGO-24h'!C17,'30.07 KIREKA-NAMUGONGO'!C17)</f>
        <v>29.428571428571427</v>
      </c>
      <c r="D17" s="49">
        <f>AVERAGE('01.08 KIREKA-NAMUGONGO'!D17,'02.08 KIREKA-NAMUGONGO'!D17,'04.08 KIREKA-NAMUGONGO'!D17,'29.07 KIREKA-NAMUGONGO'!D17,'03.08 KIREKA-NAMUGONGO-24h'!D17,'31.07 KIREKA-NAMUGONGO-24h'!D17,'30.07 KIREKA-NAMUGONGO'!D17)</f>
        <v>6.5714285714285712</v>
      </c>
      <c r="E17" s="49">
        <f>AVERAGE('01.08 KIREKA-NAMUGONGO'!E17,'02.08 KIREKA-NAMUGONGO'!E17,'04.08 KIREKA-NAMUGONGO'!E17,'29.07 KIREKA-NAMUGONGO'!E17,'03.08 KIREKA-NAMUGONGO-24h'!E17,'31.07 KIREKA-NAMUGONGO-24h'!E17,'30.07 KIREKA-NAMUGONGO'!E17)</f>
        <v>4.8571428571428568</v>
      </c>
      <c r="F17" s="49">
        <f>AVERAGE('01.08 KIREKA-NAMUGONGO'!F17,'02.08 KIREKA-NAMUGONGO'!F17,'04.08 KIREKA-NAMUGONGO'!F17,'29.07 KIREKA-NAMUGONGO'!F17,'03.08 KIREKA-NAMUGONGO-24h'!F17,'31.07 KIREKA-NAMUGONGO-24h'!F17,'30.07 KIREKA-NAMUGONGO'!F17)</f>
        <v>13.142857142857142</v>
      </c>
      <c r="G17" s="49">
        <f>AVERAGE('01.08 KIREKA-NAMUGONGO'!G17,'02.08 KIREKA-NAMUGONGO'!G17,'04.08 KIREKA-NAMUGONGO'!G17,'29.07 KIREKA-NAMUGONGO'!G17,'03.08 KIREKA-NAMUGONGO-24h'!G17,'31.07 KIREKA-NAMUGONGO-24h'!G17,'30.07 KIREKA-NAMUGONGO'!G17)</f>
        <v>0.2857142857142857</v>
      </c>
      <c r="H17" s="49">
        <f>AVERAGE('01.08 KIREKA-NAMUGONGO'!H17,'02.08 KIREKA-NAMUGONGO'!H17,'04.08 KIREKA-NAMUGONGO'!H17,'29.07 KIREKA-NAMUGONGO'!H17,'03.08 KIREKA-NAMUGONGO-24h'!H17,'31.07 KIREKA-NAMUGONGO-24h'!H17,'30.07 KIREKA-NAMUGONGO'!H17)</f>
        <v>0.5714285714285714</v>
      </c>
      <c r="I17" s="49">
        <f>AVERAGE('01.08 KIREKA-NAMUGONGO'!I17,'02.08 KIREKA-NAMUGONGO'!I17,'04.08 KIREKA-NAMUGONGO'!I17,'29.07 KIREKA-NAMUGONGO'!I17,'03.08 KIREKA-NAMUGONGO-24h'!I17,'31.07 KIREKA-NAMUGONGO-24h'!I17,'30.07 KIREKA-NAMUGONGO'!I17)</f>
        <v>3.4285714285714284</v>
      </c>
      <c r="J17" s="49">
        <f>AVERAGE('01.08 KIREKA-NAMUGONGO'!J17,'02.08 KIREKA-NAMUGONGO'!J17,'04.08 KIREKA-NAMUGONGO'!J17,'29.07 KIREKA-NAMUGONGO'!J17,'03.08 KIREKA-NAMUGONGO-24h'!J17,'31.07 KIREKA-NAMUGONGO-24h'!J17,'30.07 KIREKA-NAMUGONGO'!J17)</f>
        <v>0.5714285714285714</v>
      </c>
      <c r="K17" s="49">
        <f>AVERAGE('01.08 KIREKA-NAMUGONGO'!K17,'02.08 KIREKA-NAMUGONGO'!K17,'04.08 KIREKA-NAMUGONGO'!K17,'29.07 KIREKA-NAMUGONGO'!K17,'03.08 KIREKA-NAMUGONGO-24h'!K17,'31.07 KIREKA-NAMUGONGO-24h'!K17,'30.07 KIREKA-NAMUGONGO'!K17)</f>
        <v>0.5714285714285714</v>
      </c>
      <c r="L17" s="49">
        <f>AVERAGE('01.08 KIREKA-NAMUGONGO'!L17,'02.08 KIREKA-NAMUGONGO'!L17,'04.08 KIREKA-NAMUGONGO'!L17,'29.07 KIREKA-NAMUGONGO'!L17,'03.08 KIREKA-NAMUGONGO-24h'!L17,'31.07 KIREKA-NAMUGONGO-24h'!L17,'30.07 KIREKA-NAMUGONGO'!L17)</f>
        <v>0.14285714285714285</v>
      </c>
      <c r="M17" s="49">
        <f>AVERAGE('01.08 KIREKA-NAMUGONGO'!M17,'02.08 KIREKA-NAMUGONGO'!M17,'04.08 KIREKA-NAMUGONGO'!M17,'29.07 KIREKA-NAMUGONGO'!M17,'03.08 KIREKA-NAMUGONGO-24h'!M17,'31.07 KIREKA-NAMUGONGO-24h'!M17,'30.07 KIREKA-NAMUGONGO'!M17)</f>
        <v>97.428571428571431</v>
      </c>
      <c r="N17" s="49">
        <f>AVERAGE('01.08 KIREKA-NAMUGONGO'!N17,'02.08 KIREKA-NAMUGONGO'!N17,'04.08 KIREKA-NAMUGONGO'!N17,'29.07 KIREKA-NAMUGONGO'!N17,'03.08 KIREKA-NAMUGONGO-24h'!N17,'31.07 KIREKA-NAMUGONGO-24h'!N17,'30.07 KIREKA-NAMUGONGO'!N17)</f>
        <v>0</v>
      </c>
      <c r="O17" s="15">
        <f t="shared" si="0"/>
        <v>59.571428571428569</v>
      </c>
      <c r="P17" s="15">
        <f t="shared" si="1"/>
        <v>157</v>
      </c>
      <c r="R17" s="1" t="s">
        <v>13</v>
      </c>
      <c r="S17" s="17">
        <f t="shared" ref="S17:AF17" si="9">SUM(C38:C41)</f>
        <v>211.42857142857144</v>
      </c>
      <c r="T17" s="17">
        <f t="shared" si="9"/>
        <v>57.714285714285708</v>
      </c>
      <c r="U17" s="17">
        <f t="shared" si="9"/>
        <v>31.714285714285712</v>
      </c>
      <c r="V17" s="17">
        <f t="shared" si="9"/>
        <v>62.285714285714285</v>
      </c>
      <c r="W17" s="17">
        <f t="shared" si="9"/>
        <v>2.4285714285714284</v>
      </c>
      <c r="X17" s="17">
        <f t="shared" si="9"/>
        <v>0</v>
      </c>
      <c r="Y17" s="17">
        <f t="shared" si="9"/>
        <v>24.285714285714285</v>
      </c>
      <c r="Z17" s="17">
        <f t="shared" si="9"/>
        <v>9.4285714285714288</v>
      </c>
      <c r="AA17" s="17">
        <f t="shared" si="9"/>
        <v>3.5714285714285712</v>
      </c>
      <c r="AB17" s="17">
        <f t="shared" si="9"/>
        <v>0.99999999999999989</v>
      </c>
      <c r="AC17" s="17">
        <f t="shared" si="9"/>
        <v>403.71428571428578</v>
      </c>
      <c r="AD17" s="17">
        <f t="shared" si="9"/>
        <v>0</v>
      </c>
      <c r="AE17" s="31">
        <f t="shared" si="9"/>
        <v>403.85714285714283</v>
      </c>
      <c r="AF17" s="31">
        <f t="shared" si="9"/>
        <v>807.57142857142867</v>
      </c>
    </row>
    <row r="18" spans="2:32" ht="23.1" customHeight="1" x14ac:dyDescent="0.25">
      <c r="B18" s="23" t="s">
        <v>45</v>
      </c>
      <c r="C18" s="49">
        <f>AVERAGE('01.08 KIREKA-NAMUGONGO'!C18,'02.08 KIREKA-NAMUGONGO'!C18,'04.08 KIREKA-NAMUGONGO'!C18,'29.07 KIREKA-NAMUGONGO'!C18,'03.08 KIREKA-NAMUGONGO-24h'!C18,'31.07 KIREKA-NAMUGONGO-24h'!C18,'30.07 KIREKA-NAMUGONGO'!C18)</f>
        <v>28.857142857142858</v>
      </c>
      <c r="D18" s="49">
        <f>AVERAGE('01.08 KIREKA-NAMUGONGO'!D18,'02.08 KIREKA-NAMUGONGO'!D18,'04.08 KIREKA-NAMUGONGO'!D18,'29.07 KIREKA-NAMUGONGO'!D18,'03.08 KIREKA-NAMUGONGO-24h'!D18,'31.07 KIREKA-NAMUGONGO-24h'!D18,'30.07 KIREKA-NAMUGONGO'!D18)</f>
        <v>7.2857142857142856</v>
      </c>
      <c r="E18" s="49">
        <f>AVERAGE('01.08 KIREKA-NAMUGONGO'!E18,'02.08 KIREKA-NAMUGONGO'!E18,'04.08 KIREKA-NAMUGONGO'!E18,'29.07 KIREKA-NAMUGONGO'!E18,'03.08 KIREKA-NAMUGONGO-24h'!E18,'31.07 KIREKA-NAMUGONGO-24h'!E18,'30.07 KIREKA-NAMUGONGO'!E18)</f>
        <v>3.8571428571428572</v>
      </c>
      <c r="F18" s="49">
        <f>AVERAGE('01.08 KIREKA-NAMUGONGO'!F18,'02.08 KIREKA-NAMUGONGO'!F18,'04.08 KIREKA-NAMUGONGO'!F18,'29.07 KIREKA-NAMUGONGO'!F18,'03.08 KIREKA-NAMUGONGO-24h'!F18,'31.07 KIREKA-NAMUGONGO-24h'!F18,'30.07 KIREKA-NAMUGONGO'!F18)</f>
        <v>12</v>
      </c>
      <c r="G18" s="49">
        <f>AVERAGE('01.08 KIREKA-NAMUGONGO'!G18,'02.08 KIREKA-NAMUGONGO'!G18,'04.08 KIREKA-NAMUGONGO'!G18,'29.07 KIREKA-NAMUGONGO'!G18,'03.08 KIREKA-NAMUGONGO-24h'!G18,'31.07 KIREKA-NAMUGONGO-24h'!G18,'30.07 KIREKA-NAMUGONGO'!G18)</f>
        <v>0.14285714285714285</v>
      </c>
      <c r="H18" s="49">
        <f>AVERAGE('01.08 KIREKA-NAMUGONGO'!H18,'02.08 KIREKA-NAMUGONGO'!H18,'04.08 KIREKA-NAMUGONGO'!H18,'29.07 KIREKA-NAMUGONGO'!H18,'03.08 KIREKA-NAMUGONGO-24h'!H18,'31.07 KIREKA-NAMUGONGO-24h'!H18,'30.07 KIREKA-NAMUGONGO'!H18)</f>
        <v>0.14285714285714285</v>
      </c>
      <c r="I18" s="49">
        <f>AVERAGE('01.08 KIREKA-NAMUGONGO'!I18,'02.08 KIREKA-NAMUGONGO'!I18,'04.08 KIREKA-NAMUGONGO'!I18,'29.07 KIREKA-NAMUGONGO'!I18,'03.08 KIREKA-NAMUGONGO-24h'!I18,'31.07 KIREKA-NAMUGONGO-24h'!I18,'30.07 KIREKA-NAMUGONGO'!I18)</f>
        <v>3.5714285714285716</v>
      </c>
      <c r="J18" s="49">
        <f>AVERAGE('01.08 KIREKA-NAMUGONGO'!J18,'02.08 KIREKA-NAMUGONGO'!J18,'04.08 KIREKA-NAMUGONGO'!J18,'29.07 KIREKA-NAMUGONGO'!J18,'03.08 KIREKA-NAMUGONGO-24h'!J18,'31.07 KIREKA-NAMUGONGO-24h'!J18,'30.07 KIREKA-NAMUGONGO'!J18)</f>
        <v>1.5714285714285714</v>
      </c>
      <c r="K18" s="49">
        <f>AVERAGE('01.08 KIREKA-NAMUGONGO'!K18,'02.08 KIREKA-NAMUGONGO'!K18,'04.08 KIREKA-NAMUGONGO'!K18,'29.07 KIREKA-NAMUGONGO'!K18,'03.08 KIREKA-NAMUGONGO-24h'!K18,'31.07 KIREKA-NAMUGONGO-24h'!K18,'30.07 KIREKA-NAMUGONGO'!K18)</f>
        <v>0.5714285714285714</v>
      </c>
      <c r="L18" s="49">
        <f>AVERAGE('01.08 KIREKA-NAMUGONGO'!L18,'02.08 KIREKA-NAMUGONGO'!L18,'04.08 KIREKA-NAMUGONGO'!L18,'29.07 KIREKA-NAMUGONGO'!L18,'03.08 KIREKA-NAMUGONGO-24h'!L18,'31.07 KIREKA-NAMUGONGO-24h'!L18,'30.07 KIREKA-NAMUGONGO'!L18)</f>
        <v>0.2857142857142857</v>
      </c>
      <c r="M18" s="49">
        <f>AVERAGE('01.08 KIREKA-NAMUGONGO'!M18,'02.08 KIREKA-NAMUGONGO'!M18,'04.08 KIREKA-NAMUGONGO'!M18,'29.07 KIREKA-NAMUGONGO'!M18,'03.08 KIREKA-NAMUGONGO-24h'!M18,'31.07 KIREKA-NAMUGONGO-24h'!M18,'30.07 KIREKA-NAMUGONGO'!M18)</f>
        <v>107.57142857142857</v>
      </c>
      <c r="N18" s="49">
        <f>AVERAGE('01.08 KIREKA-NAMUGONGO'!N18,'02.08 KIREKA-NAMUGONGO'!N18,'04.08 KIREKA-NAMUGONGO'!N18,'29.07 KIREKA-NAMUGONGO'!N18,'03.08 KIREKA-NAMUGONGO-24h'!N18,'31.07 KIREKA-NAMUGONGO-24h'!N18,'30.07 KIREKA-NAMUGONGO'!N18)</f>
        <v>0</v>
      </c>
      <c r="O18" s="15">
        <f t="shared" si="0"/>
        <v>58.285714285714285</v>
      </c>
      <c r="P18" s="15">
        <f t="shared" si="1"/>
        <v>165.85714285714286</v>
      </c>
      <c r="R18" s="1" t="s">
        <v>14</v>
      </c>
      <c r="S18" s="17">
        <f t="shared" ref="S18:AF18" si="10">SUM(C42:C45)</f>
        <v>228.57142857142858</v>
      </c>
      <c r="T18" s="17">
        <f t="shared" si="10"/>
        <v>72.428571428571431</v>
      </c>
      <c r="U18" s="17">
        <f t="shared" si="10"/>
        <v>33</v>
      </c>
      <c r="V18" s="17">
        <f t="shared" si="10"/>
        <v>56</v>
      </c>
      <c r="W18" s="17">
        <f t="shared" si="10"/>
        <v>1.4285714285714284</v>
      </c>
      <c r="X18" s="17">
        <f t="shared" si="10"/>
        <v>1.857142857142857</v>
      </c>
      <c r="Y18" s="17">
        <f t="shared" si="10"/>
        <v>24.285714285714285</v>
      </c>
      <c r="Z18" s="17">
        <f t="shared" si="10"/>
        <v>10</v>
      </c>
      <c r="AA18" s="17">
        <f t="shared" si="10"/>
        <v>3.4285714285714288</v>
      </c>
      <c r="AB18" s="17">
        <f t="shared" si="10"/>
        <v>1.2857142857142856</v>
      </c>
      <c r="AC18" s="17">
        <f t="shared" si="10"/>
        <v>456</v>
      </c>
      <c r="AD18" s="17">
        <f t="shared" si="10"/>
        <v>0</v>
      </c>
      <c r="AE18" s="31">
        <f t="shared" si="10"/>
        <v>432.28571428571428</v>
      </c>
      <c r="AF18" s="31">
        <f t="shared" si="10"/>
        <v>888.28571428571422</v>
      </c>
    </row>
    <row r="19" spans="2:32" ht="23.1" customHeight="1" x14ac:dyDescent="0.25">
      <c r="B19" s="23" t="s">
        <v>46</v>
      </c>
      <c r="C19" s="49">
        <f>AVERAGE('01.08 KIREKA-NAMUGONGO'!C19,'02.08 KIREKA-NAMUGONGO'!C19,'04.08 KIREKA-NAMUGONGO'!C19,'29.07 KIREKA-NAMUGONGO'!C19,'03.08 KIREKA-NAMUGONGO-24h'!C19,'31.07 KIREKA-NAMUGONGO-24h'!C19,'30.07 KIREKA-NAMUGONGO'!C19)</f>
        <v>29.285714285714285</v>
      </c>
      <c r="D19" s="49">
        <f>AVERAGE('01.08 KIREKA-NAMUGONGO'!D19,'02.08 KIREKA-NAMUGONGO'!D19,'04.08 KIREKA-NAMUGONGO'!D19,'29.07 KIREKA-NAMUGONGO'!D19,'03.08 KIREKA-NAMUGONGO-24h'!D19,'31.07 KIREKA-NAMUGONGO-24h'!D19,'30.07 KIREKA-NAMUGONGO'!D19)</f>
        <v>6.5714285714285712</v>
      </c>
      <c r="E19" s="49">
        <f>AVERAGE('01.08 KIREKA-NAMUGONGO'!E19,'02.08 KIREKA-NAMUGONGO'!E19,'04.08 KIREKA-NAMUGONGO'!E19,'29.07 KIREKA-NAMUGONGO'!E19,'03.08 KIREKA-NAMUGONGO-24h'!E19,'31.07 KIREKA-NAMUGONGO-24h'!E19,'30.07 KIREKA-NAMUGONGO'!E19)</f>
        <v>6.5714285714285712</v>
      </c>
      <c r="F19" s="49">
        <f>AVERAGE('01.08 KIREKA-NAMUGONGO'!F19,'02.08 KIREKA-NAMUGONGO'!F19,'04.08 KIREKA-NAMUGONGO'!F19,'29.07 KIREKA-NAMUGONGO'!F19,'03.08 KIREKA-NAMUGONGO-24h'!F19,'31.07 KIREKA-NAMUGONGO-24h'!F19,'30.07 KIREKA-NAMUGONGO'!F19)</f>
        <v>10.142857142857142</v>
      </c>
      <c r="G19" s="49">
        <f>AVERAGE('01.08 KIREKA-NAMUGONGO'!G19,'02.08 KIREKA-NAMUGONGO'!G19,'04.08 KIREKA-NAMUGONGO'!G19,'29.07 KIREKA-NAMUGONGO'!G19,'03.08 KIREKA-NAMUGONGO-24h'!G19,'31.07 KIREKA-NAMUGONGO-24h'!G19,'30.07 KIREKA-NAMUGONGO'!G19)</f>
        <v>0</v>
      </c>
      <c r="H19" s="49">
        <f>AVERAGE('01.08 KIREKA-NAMUGONGO'!H19,'02.08 KIREKA-NAMUGONGO'!H19,'04.08 KIREKA-NAMUGONGO'!H19,'29.07 KIREKA-NAMUGONGO'!H19,'03.08 KIREKA-NAMUGONGO-24h'!H19,'31.07 KIREKA-NAMUGONGO-24h'!H19,'30.07 KIREKA-NAMUGONGO'!H19)</f>
        <v>0</v>
      </c>
      <c r="I19" s="49">
        <f>AVERAGE('01.08 KIREKA-NAMUGONGO'!I19,'02.08 KIREKA-NAMUGONGO'!I19,'04.08 KIREKA-NAMUGONGO'!I19,'29.07 KIREKA-NAMUGONGO'!I19,'03.08 KIREKA-NAMUGONGO-24h'!I19,'31.07 KIREKA-NAMUGONGO-24h'!I19,'30.07 KIREKA-NAMUGONGO'!I19)</f>
        <v>4.4285714285714288</v>
      </c>
      <c r="J19" s="49">
        <f>AVERAGE('01.08 KIREKA-NAMUGONGO'!J19,'02.08 KIREKA-NAMUGONGO'!J19,'04.08 KIREKA-NAMUGONGO'!J19,'29.07 KIREKA-NAMUGONGO'!J19,'03.08 KIREKA-NAMUGONGO-24h'!J19,'31.07 KIREKA-NAMUGONGO-24h'!J19,'30.07 KIREKA-NAMUGONGO'!J19)</f>
        <v>0.8571428571428571</v>
      </c>
      <c r="K19" s="49">
        <f>AVERAGE('01.08 KIREKA-NAMUGONGO'!K19,'02.08 KIREKA-NAMUGONGO'!K19,'04.08 KIREKA-NAMUGONGO'!K19,'29.07 KIREKA-NAMUGONGO'!K19,'03.08 KIREKA-NAMUGONGO-24h'!K19,'31.07 KIREKA-NAMUGONGO-24h'!K19,'30.07 KIREKA-NAMUGONGO'!K19)</f>
        <v>0.7142857142857143</v>
      </c>
      <c r="L19" s="49">
        <f>AVERAGE('01.08 KIREKA-NAMUGONGO'!L19,'02.08 KIREKA-NAMUGONGO'!L19,'04.08 KIREKA-NAMUGONGO'!L19,'29.07 KIREKA-NAMUGONGO'!L19,'03.08 KIREKA-NAMUGONGO-24h'!L19,'31.07 KIREKA-NAMUGONGO-24h'!L19,'30.07 KIREKA-NAMUGONGO'!L19)</f>
        <v>0.2857142857142857</v>
      </c>
      <c r="M19" s="49">
        <f>AVERAGE('01.08 KIREKA-NAMUGONGO'!M19,'02.08 KIREKA-NAMUGONGO'!M19,'04.08 KIREKA-NAMUGONGO'!M19,'29.07 KIREKA-NAMUGONGO'!M19,'03.08 KIREKA-NAMUGONGO-24h'!M19,'31.07 KIREKA-NAMUGONGO-24h'!M19,'30.07 KIREKA-NAMUGONGO'!M19)</f>
        <v>116.42857142857143</v>
      </c>
      <c r="N19" s="49">
        <f>AVERAGE('01.08 KIREKA-NAMUGONGO'!N19,'02.08 KIREKA-NAMUGONGO'!N19,'04.08 KIREKA-NAMUGONGO'!N19,'29.07 KIREKA-NAMUGONGO'!N19,'03.08 KIREKA-NAMUGONGO-24h'!N19,'31.07 KIREKA-NAMUGONGO-24h'!N19,'30.07 KIREKA-NAMUGONGO'!N19)</f>
        <v>0</v>
      </c>
      <c r="O19" s="15">
        <f t="shared" si="0"/>
        <v>58.857142857142854</v>
      </c>
      <c r="P19" s="15">
        <f t="shared" si="1"/>
        <v>175.28571428571428</v>
      </c>
      <c r="R19" s="1" t="s">
        <v>15</v>
      </c>
      <c r="S19" s="17">
        <f t="shared" ref="S19:AF19" si="11">SUM(C46:C49)</f>
        <v>308.28571428571428</v>
      </c>
      <c r="T19" s="17">
        <f t="shared" si="11"/>
        <v>78.857142857142861</v>
      </c>
      <c r="U19" s="17">
        <f t="shared" si="11"/>
        <v>41.571428571428569</v>
      </c>
      <c r="V19" s="17">
        <f t="shared" si="11"/>
        <v>67.142857142857139</v>
      </c>
      <c r="W19" s="17">
        <f t="shared" si="11"/>
        <v>1.8571428571428572</v>
      </c>
      <c r="X19" s="17">
        <f t="shared" si="11"/>
        <v>1.1428571428571428</v>
      </c>
      <c r="Y19" s="17">
        <f t="shared" si="11"/>
        <v>25.428571428571427</v>
      </c>
      <c r="Z19" s="17">
        <f t="shared" si="11"/>
        <v>5.4285714285714288</v>
      </c>
      <c r="AA19" s="17">
        <f t="shared" si="11"/>
        <v>2.5714285714285712</v>
      </c>
      <c r="AB19" s="17">
        <f t="shared" si="11"/>
        <v>0.5714285714285714</v>
      </c>
      <c r="AC19" s="17">
        <f t="shared" si="11"/>
        <v>480.28571428571422</v>
      </c>
      <c r="AD19" s="17">
        <f t="shared" si="11"/>
        <v>0</v>
      </c>
      <c r="AE19" s="31">
        <f t="shared" si="11"/>
        <v>532.85714285714289</v>
      </c>
      <c r="AF19" s="31">
        <f t="shared" si="11"/>
        <v>1013.1428571428571</v>
      </c>
    </row>
    <row r="20" spans="2:32" ht="23.1" customHeight="1" x14ac:dyDescent="0.25">
      <c r="B20" s="23" t="s">
        <v>47</v>
      </c>
      <c r="C20" s="49">
        <f>AVERAGE('01.08 KIREKA-NAMUGONGO'!C20,'02.08 KIREKA-NAMUGONGO'!C20,'04.08 KIREKA-NAMUGONGO'!C20,'29.07 KIREKA-NAMUGONGO'!C20,'03.08 KIREKA-NAMUGONGO-24h'!C20,'31.07 KIREKA-NAMUGONGO-24h'!C20,'30.07 KIREKA-NAMUGONGO'!C20)</f>
        <v>37.857142857142854</v>
      </c>
      <c r="D20" s="49">
        <f>AVERAGE('01.08 KIREKA-NAMUGONGO'!D20,'02.08 KIREKA-NAMUGONGO'!D20,'04.08 KIREKA-NAMUGONGO'!D20,'29.07 KIREKA-NAMUGONGO'!D20,'03.08 KIREKA-NAMUGONGO-24h'!D20,'31.07 KIREKA-NAMUGONGO-24h'!D20,'30.07 KIREKA-NAMUGONGO'!D20)</f>
        <v>7.5714285714285712</v>
      </c>
      <c r="E20" s="49">
        <f>AVERAGE('01.08 KIREKA-NAMUGONGO'!E20,'02.08 KIREKA-NAMUGONGO'!E20,'04.08 KIREKA-NAMUGONGO'!E20,'29.07 KIREKA-NAMUGONGO'!E20,'03.08 KIREKA-NAMUGONGO-24h'!E20,'31.07 KIREKA-NAMUGONGO-24h'!E20,'30.07 KIREKA-NAMUGONGO'!E20)</f>
        <v>5.4285714285714288</v>
      </c>
      <c r="F20" s="49">
        <f>AVERAGE('01.08 KIREKA-NAMUGONGO'!F20,'02.08 KIREKA-NAMUGONGO'!F20,'04.08 KIREKA-NAMUGONGO'!F20,'29.07 KIREKA-NAMUGONGO'!F20,'03.08 KIREKA-NAMUGONGO-24h'!F20,'31.07 KIREKA-NAMUGONGO-24h'!F20,'30.07 KIREKA-NAMUGONGO'!F20)</f>
        <v>16.428571428571427</v>
      </c>
      <c r="G20" s="49">
        <f>AVERAGE('01.08 KIREKA-NAMUGONGO'!G20,'02.08 KIREKA-NAMUGONGO'!G20,'04.08 KIREKA-NAMUGONGO'!G20,'29.07 KIREKA-NAMUGONGO'!G20,'03.08 KIREKA-NAMUGONGO-24h'!G20,'31.07 KIREKA-NAMUGONGO-24h'!G20,'30.07 KIREKA-NAMUGONGO'!G20)</f>
        <v>0.14285714285714285</v>
      </c>
      <c r="H20" s="49">
        <f>AVERAGE('01.08 KIREKA-NAMUGONGO'!H20,'02.08 KIREKA-NAMUGONGO'!H20,'04.08 KIREKA-NAMUGONGO'!H20,'29.07 KIREKA-NAMUGONGO'!H20,'03.08 KIREKA-NAMUGONGO-24h'!H20,'31.07 KIREKA-NAMUGONGO-24h'!H20,'30.07 KIREKA-NAMUGONGO'!H20)</f>
        <v>0.8571428571428571</v>
      </c>
      <c r="I20" s="49">
        <f>AVERAGE('01.08 KIREKA-NAMUGONGO'!I20,'02.08 KIREKA-NAMUGONGO'!I20,'04.08 KIREKA-NAMUGONGO'!I20,'29.07 KIREKA-NAMUGONGO'!I20,'03.08 KIREKA-NAMUGONGO-24h'!I20,'31.07 KIREKA-NAMUGONGO-24h'!I20,'30.07 KIREKA-NAMUGONGO'!I20)</f>
        <v>5.1428571428571432</v>
      </c>
      <c r="J20" s="49">
        <f>AVERAGE('01.08 KIREKA-NAMUGONGO'!J20,'02.08 KIREKA-NAMUGONGO'!J20,'04.08 KIREKA-NAMUGONGO'!J20,'29.07 KIREKA-NAMUGONGO'!J20,'03.08 KIREKA-NAMUGONGO-24h'!J20,'31.07 KIREKA-NAMUGONGO-24h'!J20,'30.07 KIREKA-NAMUGONGO'!J20)</f>
        <v>1.2857142857142858</v>
      </c>
      <c r="K20" s="49">
        <f>AVERAGE('01.08 KIREKA-NAMUGONGO'!K20,'02.08 KIREKA-NAMUGONGO'!K20,'04.08 KIREKA-NAMUGONGO'!K20,'29.07 KIREKA-NAMUGONGO'!K20,'03.08 KIREKA-NAMUGONGO-24h'!K20,'31.07 KIREKA-NAMUGONGO-24h'!K20,'30.07 KIREKA-NAMUGONGO'!K20)</f>
        <v>1</v>
      </c>
      <c r="L20" s="49">
        <f>AVERAGE('01.08 KIREKA-NAMUGONGO'!L20,'02.08 KIREKA-NAMUGONGO'!L20,'04.08 KIREKA-NAMUGONGO'!L20,'29.07 KIREKA-NAMUGONGO'!L20,'03.08 KIREKA-NAMUGONGO-24h'!L20,'31.07 KIREKA-NAMUGONGO-24h'!L20,'30.07 KIREKA-NAMUGONGO'!L20)</f>
        <v>0.14285714285714285</v>
      </c>
      <c r="M20" s="49">
        <f>AVERAGE('01.08 KIREKA-NAMUGONGO'!M20,'02.08 KIREKA-NAMUGONGO'!M20,'04.08 KIREKA-NAMUGONGO'!M20,'29.07 KIREKA-NAMUGONGO'!M20,'03.08 KIREKA-NAMUGONGO-24h'!M20,'31.07 KIREKA-NAMUGONGO-24h'!M20,'30.07 KIREKA-NAMUGONGO'!M20)</f>
        <v>116.57142857142857</v>
      </c>
      <c r="N20" s="49">
        <f>AVERAGE('01.08 KIREKA-NAMUGONGO'!N20,'02.08 KIREKA-NAMUGONGO'!N20,'04.08 KIREKA-NAMUGONGO'!N20,'29.07 KIREKA-NAMUGONGO'!N20,'03.08 KIREKA-NAMUGONGO-24h'!N20,'31.07 KIREKA-NAMUGONGO-24h'!N20,'30.07 KIREKA-NAMUGONGO'!N20)</f>
        <v>0</v>
      </c>
      <c r="O20" s="15">
        <f t="shared" si="0"/>
        <v>75.857142857142847</v>
      </c>
      <c r="P20" s="15">
        <f t="shared" si="1"/>
        <v>192.42857142857142</v>
      </c>
      <c r="R20" s="1" t="s">
        <v>16</v>
      </c>
      <c r="S20" s="17">
        <f t="shared" ref="S20:AF20" si="12">SUM(C50:C53)</f>
        <v>373.57142857142856</v>
      </c>
      <c r="T20" s="17">
        <f t="shared" si="12"/>
        <v>104.42857142857144</v>
      </c>
      <c r="U20" s="17">
        <f t="shared" si="12"/>
        <v>54.571428571428569</v>
      </c>
      <c r="V20" s="17">
        <f t="shared" si="12"/>
        <v>75.142857142857153</v>
      </c>
      <c r="W20" s="17">
        <f t="shared" si="12"/>
        <v>9.7142857142857135</v>
      </c>
      <c r="X20" s="17">
        <f t="shared" si="12"/>
        <v>0.2857142857142857</v>
      </c>
      <c r="Y20" s="17">
        <f t="shared" si="12"/>
        <v>22.857142857142854</v>
      </c>
      <c r="Z20" s="17">
        <f t="shared" si="12"/>
        <v>7.7142857142857144</v>
      </c>
      <c r="AA20" s="17">
        <f t="shared" si="12"/>
        <v>3.8571428571428568</v>
      </c>
      <c r="AB20" s="17">
        <f t="shared" si="12"/>
        <v>1.5714285714285712</v>
      </c>
      <c r="AC20" s="17">
        <f t="shared" si="12"/>
        <v>534.85714285714289</v>
      </c>
      <c r="AD20" s="17">
        <f t="shared" si="12"/>
        <v>0.14285714285714285</v>
      </c>
      <c r="AE20" s="31">
        <f t="shared" si="12"/>
        <v>653.85714285714278</v>
      </c>
      <c r="AF20" s="31">
        <f t="shared" si="12"/>
        <v>1188.7142857142858</v>
      </c>
    </row>
    <row r="21" spans="2:32" ht="23.1" customHeight="1" x14ac:dyDescent="0.25">
      <c r="B21" s="23" t="s">
        <v>48</v>
      </c>
      <c r="C21" s="49">
        <f>AVERAGE('01.08 KIREKA-NAMUGONGO'!C21,'02.08 KIREKA-NAMUGONGO'!C21,'04.08 KIREKA-NAMUGONGO'!C21,'29.07 KIREKA-NAMUGONGO'!C21,'03.08 KIREKA-NAMUGONGO-24h'!C21,'31.07 KIREKA-NAMUGONGO-24h'!C21,'30.07 KIREKA-NAMUGONGO'!C21)</f>
        <v>37.428571428571431</v>
      </c>
      <c r="D21" s="49">
        <f>AVERAGE('01.08 KIREKA-NAMUGONGO'!D21,'02.08 KIREKA-NAMUGONGO'!D21,'04.08 KIREKA-NAMUGONGO'!D21,'29.07 KIREKA-NAMUGONGO'!D21,'03.08 KIREKA-NAMUGONGO-24h'!D21,'31.07 KIREKA-NAMUGONGO-24h'!D21,'30.07 KIREKA-NAMUGONGO'!D21)</f>
        <v>7.8571428571428568</v>
      </c>
      <c r="E21" s="49">
        <f>AVERAGE('01.08 KIREKA-NAMUGONGO'!E21,'02.08 KIREKA-NAMUGONGO'!E21,'04.08 KIREKA-NAMUGONGO'!E21,'29.07 KIREKA-NAMUGONGO'!E21,'03.08 KIREKA-NAMUGONGO-24h'!E21,'31.07 KIREKA-NAMUGONGO-24h'!E21,'30.07 KIREKA-NAMUGONGO'!E21)</f>
        <v>5.8571428571428568</v>
      </c>
      <c r="F21" s="49">
        <f>AVERAGE('01.08 KIREKA-NAMUGONGO'!F21,'02.08 KIREKA-NAMUGONGO'!F21,'04.08 KIREKA-NAMUGONGO'!F21,'29.07 KIREKA-NAMUGONGO'!F21,'03.08 KIREKA-NAMUGONGO-24h'!F21,'31.07 KIREKA-NAMUGONGO-24h'!F21,'30.07 KIREKA-NAMUGONGO'!F21)</f>
        <v>12.571428571428571</v>
      </c>
      <c r="G21" s="49">
        <f>AVERAGE('01.08 KIREKA-NAMUGONGO'!G21,'02.08 KIREKA-NAMUGONGO'!G21,'04.08 KIREKA-NAMUGONGO'!G21,'29.07 KIREKA-NAMUGONGO'!G21,'03.08 KIREKA-NAMUGONGO-24h'!G21,'31.07 KIREKA-NAMUGONGO-24h'!G21,'30.07 KIREKA-NAMUGONGO'!G21)</f>
        <v>0.14285714285714285</v>
      </c>
      <c r="H21" s="49">
        <f>AVERAGE('01.08 KIREKA-NAMUGONGO'!H21,'02.08 KIREKA-NAMUGONGO'!H21,'04.08 KIREKA-NAMUGONGO'!H21,'29.07 KIREKA-NAMUGONGO'!H21,'03.08 KIREKA-NAMUGONGO-24h'!H21,'31.07 KIREKA-NAMUGONGO-24h'!H21,'30.07 KIREKA-NAMUGONGO'!H21)</f>
        <v>0</v>
      </c>
      <c r="I21" s="49">
        <f>AVERAGE('01.08 KIREKA-NAMUGONGO'!I21,'02.08 KIREKA-NAMUGONGO'!I21,'04.08 KIREKA-NAMUGONGO'!I21,'29.07 KIREKA-NAMUGONGO'!I21,'03.08 KIREKA-NAMUGONGO-24h'!I21,'31.07 KIREKA-NAMUGONGO-24h'!I21,'30.07 KIREKA-NAMUGONGO'!I21)</f>
        <v>5.1428571428571432</v>
      </c>
      <c r="J21" s="49">
        <f>AVERAGE('01.08 KIREKA-NAMUGONGO'!J21,'02.08 KIREKA-NAMUGONGO'!J21,'04.08 KIREKA-NAMUGONGO'!J21,'29.07 KIREKA-NAMUGONGO'!J21,'03.08 KIREKA-NAMUGONGO-24h'!J21,'31.07 KIREKA-NAMUGONGO-24h'!J21,'30.07 KIREKA-NAMUGONGO'!J21)</f>
        <v>1.1428571428571428</v>
      </c>
      <c r="K21" s="49">
        <f>AVERAGE('01.08 KIREKA-NAMUGONGO'!K21,'02.08 KIREKA-NAMUGONGO'!K21,'04.08 KIREKA-NAMUGONGO'!K21,'29.07 KIREKA-NAMUGONGO'!K21,'03.08 KIREKA-NAMUGONGO-24h'!K21,'31.07 KIREKA-NAMUGONGO-24h'!K21,'30.07 KIREKA-NAMUGONGO'!K21)</f>
        <v>0.8571428571428571</v>
      </c>
      <c r="L21" s="49">
        <f>AVERAGE('01.08 KIREKA-NAMUGONGO'!L21,'02.08 KIREKA-NAMUGONGO'!L21,'04.08 KIREKA-NAMUGONGO'!L21,'29.07 KIREKA-NAMUGONGO'!L21,'03.08 KIREKA-NAMUGONGO-24h'!L21,'31.07 KIREKA-NAMUGONGO-24h'!L21,'30.07 KIREKA-NAMUGONGO'!L21)</f>
        <v>0</v>
      </c>
      <c r="M21" s="49">
        <f>AVERAGE('01.08 KIREKA-NAMUGONGO'!M21,'02.08 KIREKA-NAMUGONGO'!M21,'04.08 KIREKA-NAMUGONGO'!M21,'29.07 KIREKA-NAMUGONGO'!M21,'03.08 KIREKA-NAMUGONGO-24h'!M21,'31.07 KIREKA-NAMUGONGO-24h'!M21,'30.07 KIREKA-NAMUGONGO'!M21)</f>
        <v>110.71428571428571</v>
      </c>
      <c r="N21" s="49">
        <f>AVERAGE('01.08 KIREKA-NAMUGONGO'!N21,'02.08 KIREKA-NAMUGONGO'!N21,'04.08 KIREKA-NAMUGONGO'!N21,'29.07 KIREKA-NAMUGONGO'!N21,'03.08 KIREKA-NAMUGONGO-24h'!N21,'31.07 KIREKA-NAMUGONGO-24h'!N21,'30.07 KIREKA-NAMUGONGO'!N21)</f>
        <v>0</v>
      </c>
      <c r="O21" s="15">
        <f t="shared" si="0"/>
        <v>71</v>
      </c>
      <c r="P21" s="15">
        <f t="shared" si="1"/>
        <v>181.71428571428572</v>
      </c>
      <c r="R21" s="36" t="s">
        <v>20</v>
      </c>
      <c r="S21" s="34">
        <f t="shared" ref="S21:AF21" si="13">SUM(C54:C57)</f>
        <v>373</v>
      </c>
      <c r="T21" s="17">
        <f t="shared" si="13"/>
        <v>104</v>
      </c>
      <c r="U21" s="17">
        <f t="shared" si="13"/>
        <v>52</v>
      </c>
      <c r="V21" s="17">
        <f t="shared" si="13"/>
        <v>91.428571428571431</v>
      </c>
      <c r="W21" s="17">
        <f t="shared" si="13"/>
        <v>2.4285714285714284</v>
      </c>
      <c r="X21" s="17">
        <f t="shared" si="13"/>
        <v>1.7142857142857142</v>
      </c>
      <c r="Y21" s="17">
        <f t="shared" si="13"/>
        <v>12.571428571428569</v>
      </c>
      <c r="Z21" s="17">
        <f t="shared" si="13"/>
        <v>6.4285714285714288</v>
      </c>
      <c r="AA21" s="17">
        <f t="shared" si="13"/>
        <v>4.7142857142857144</v>
      </c>
      <c r="AB21" s="17">
        <f t="shared" si="13"/>
        <v>47.142857142857139</v>
      </c>
      <c r="AC21" s="17">
        <f t="shared" si="13"/>
        <v>549</v>
      </c>
      <c r="AD21" s="17">
        <f t="shared" si="13"/>
        <v>0</v>
      </c>
      <c r="AE21" s="31">
        <f t="shared" si="13"/>
        <v>695.42857142857133</v>
      </c>
      <c r="AF21" s="31">
        <f t="shared" si="13"/>
        <v>1244.4285714285713</v>
      </c>
    </row>
    <row r="22" spans="2:32" ht="23.1" customHeight="1" x14ac:dyDescent="0.25">
      <c r="B22" s="23" t="s">
        <v>49</v>
      </c>
      <c r="C22" s="49">
        <f>AVERAGE('01.08 KIREKA-NAMUGONGO'!C22,'02.08 KIREKA-NAMUGONGO'!C22,'04.08 KIREKA-NAMUGONGO'!C22,'29.07 KIREKA-NAMUGONGO'!C22,'03.08 KIREKA-NAMUGONGO-24h'!C22,'31.07 KIREKA-NAMUGONGO-24h'!C22,'30.07 KIREKA-NAMUGONGO'!C22)</f>
        <v>40</v>
      </c>
      <c r="D22" s="49">
        <f>AVERAGE('01.08 KIREKA-NAMUGONGO'!D22,'02.08 KIREKA-NAMUGONGO'!D22,'04.08 KIREKA-NAMUGONGO'!D22,'29.07 KIREKA-NAMUGONGO'!D22,'03.08 KIREKA-NAMUGONGO-24h'!D22,'31.07 KIREKA-NAMUGONGO-24h'!D22,'30.07 KIREKA-NAMUGONGO'!D22)</f>
        <v>11.142857142857142</v>
      </c>
      <c r="E22" s="49">
        <f>AVERAGE('01.08 KIREKA-NAMUGONGO'!E22,'02.08 KIREKA-NAMUGONGO'!E22,'04.08 KIREKA-NAMUGONGO'!E22,'29.07 KIREKA-NAMUGONGO'!E22,'03.08 KIREKA-NAMUGONGO-24h'!E22,'31.07 KIREKA-NAMUGONGO-24h'!E22,'30.07 KIREKA-NAMUGONGO'!E22)</f>
        <v>5.7142857142857144</v>
      </c>
      <c r="F22" s="49">
        <f>AVERAGE('01.08 KIREKA-NAMUGONGO'!F22,'02.08 KIREKA-NAMUGONGO'!F22,'04.08 KIREKA-NAMUGONGO'!F22,'29.07 KIREKA-NAMUGONGO'!F22,'03.08 KIREKA-NAMUGONGO-24h'!F22,'31.07 KIREKA-NAMUGONGO-24h'!F22,'30.07 KIREKA-NAMUGONGO'!F22)</f>
        <v>12.857142857142858</v>
      </c>
      <c r="G22" s="49">
        <f>AVERAGE('01.08 KIREKA-NAMUGONGO'!G22,'02.08 KIREKA-NAMUGONGO'!G22,'04.08 KIREKA-NAMUGONGO'!G22,'29.07 KIREKA-NAMUGONGO'!G22,'03.08 KIREKA-NAMUGONGO-24h'!G22,'31.07 KIREKA-NAMUGONGO-24h'!G22,'30.07 KIREKA-NAMUGONGO'!G22)</f>
        <v>0.2857142857142857</v>
      </c>
      <c r="H22" s="49">
        <f>AVERAGE('01.08 KIREKA-NAMUGONGO'!H22,'02.08 KIREKA-NAMUGONGO'!H22,'04.08 KIREKA-NAMUGONGO'!H22,'29.07 KIREKA-NAMUGONGO'!H22,'03.08 KIREKA-NAMUGONGO-24h'!H22,'31.07 KIREKA-NAMUGONGO-24h'!H22,'30.07 KIREKA-NAMUGONGO'!H22)</f>
        <v>0</v>
      </c>
      <c r="I22" s="49">
        <f>AVERAGE('01.08 KIREKA-NAMUGONGO'!I22,'02.08 KIREKA-NAMUGONGO'!I22,'04.08 KIREKA-NAMUGONGO'!I22,'29.07 KIREKA-NAMUGONGO'!I22,'03.08 KIREKA-NAMUGONGO-24h'!I22,'31.07 KIREKA-NAMUGONGO-24h'!I22,'30.07 KIREKA-NAMUGONGO'!I22)</f>
        <v>5.5714285714285712</v>
      </c>
      <c r="J22" s="49">
        <f>AVERAGE('01.08 KIREKA-NAMUGONGO'!J22,'02.08 KIREKA-NAMUGONGO'!J22,'04.08 KIREKA-NAMUGONGO'!J22,'29.07 KIREKA-NAMUGONGO'!J22,'03.08 KIREKA-NAMUGONGO-24h'!J22,'31.07 KIREKA-NAMUGONGO-24h'!J22,'30.07 KIREKA-NAMUGONGO'!J22)</f>
        <v>3.2857142857142856</v>
      </c>
      <c r="K22" s="49">
        <f>AVERAGE('01.08 KIREKA-NAMUGONGO'!K22,'02.08 KIREKA-NAMUGONGO'!K22,'04.08 KIREKA-NAMUGONGO'!K22,'29.07 KIREKA-NAMUGONGO'!K22,'03.08 KIREKA-NAMUGONGO-24h'!K22,'31.07 KIREKA-NAMUGONGO-24h'!K22,'30.07 KIREKA-NAMUGONGO'!K22)</f>
        <v>0.8571428571428571</v>
      </c>
      <c r="L22" s="49">
        <f>AVERAGE('01.08 KIREKA-NAMUGONGO'!L22,'02.08 KIREKA-NAMUGONGO'!L22,'04.08 KIREKA-NAMUGONGO'!L22,'29.07 KIREKA-NAMUGONGO'!L22,'03.08 KIREKA-NAMUGONGO-24h'!L22,'31.07 KIREKA-NAMUGONGO-24h'!L22,'30.07 KIREKA-NAMUGONGO'!L22)</f>
        <v>0</v>
      </c>
      <c r="M22" s="49">
        <f>AVERAGE('01.08 KIREKA-NAMUGONGO'!M22,'02.08 KIREKA-NAMUGONGO'!M22,'04.08 KIREKA-NAMUGONGO'!M22,'29.07 KIREKA-NAMUGONGO'!M22,'03.08 KIREKA-NAMUGONGO-24h'!M22,'31.07 KIREKA-NAMUGONGO-24h'!M22,'30.07 KIREKA-NAMUGONGO'!M22)</f>
        <v>116.28571428571429</v>
      </c>
      <c r="N22" s="49">
        <f>AVERAGE('01.08 KIREKA-NAMUGONGO'!N22,'02.08 KIREKA-NAMUGONGO'!N22,'04.08 KIREKA-NAMUGONGO'!N22,'29.07 KIREKA-NAMUGONGO'!N22,'03.08 KIREKA-NAMUGONGO-24h'!N22,'31.07 KIREKA-NAMUGONGO-24h'!N22,'30.07 KIREKA-NAMUGONGO'!N22)</f>
        <v>0</v>
      </c>
      <c r="O22" s="15">
        <f t="shared" si="0"/>
        <v>79.714285714285722</v>
      </c>
      <c r="P22" s="15">
        <f t="shared" si="1"/>
        <v>196</v>
      </c>
      <c r="R22" s="1" t="s">
        <v>146</v>
      </c>
      <c r="S22" s="34">
        <f>SUM(C58:C61)</f>
        <v>119</v>
      </c>
      <c r="T22" s="34">
        <f t="shared" ref="T22:AF22" si="14">SUM(D58:D61)</f>
        <v>34.5</v>
      </c>
      <c r="U22" s="34">
        <f t="shared" si="14"/>
        <v>11</v>
      </c>
      <c r="V22" s="34">
        <f t="shared" si="14"/>
        <v>30.5</v>
      </c>
      <c r="W22" s="34">
        <f t="shared" si="14"/>
        <v>0.5</v>
      </c>
      <c r="X22" s="34">
        <f t="shared" si="14"/>
        <v>0.5</v>
      </c>
      <c r="Y22" s="34">
        <f t="shared" si="14"/>
        <v>5.5</v>
      </c>
      <c r="Z22" s="34">
        <f t="shared" si="14"/>
        <v>4</v>
      </c>
      <c r="AA22" s="34">
        <f t="shared" si="14"/>
        <v>0</v>
      </c>
      <c r="AB22" s="34">
        <f t="shared" si="14"/>
        <v>0</v>
      </c>
      <c r="AC22" s="34">
        <f t="shared" si="14"/>
        <v>286.5</v>
      </c>
      <c r="AD22" s="34">
        <f t="shared" si="14"/>
        <v>0</v>
      </c>
      <c r="AE22" s="51">
        <f t="shared" si="14"/>
        <v>205.5</v>
      </c>
      <c r="AF22" s="51">
        <f t="shared" si="14"/>
        <v>492</v>
      </c>
    </row>
    <row r="23" spans="2:32" ht="23.1" customHeight="1" x14ac:dyDescent="0.25">
      <c r="B23" s="23" t="s">
        <v>50</v>
      </c>
      <c r="C23" s="49">
        <f>AVERAGE('01.08 KIREKA-NAMUGONGO'!C23,'02.08 KIREKA-NAMUGONGO'!C23,'04.08 KIREKA-NAMUGONGO'!C23,'29.07 KIREKA-NAMUGONGO'!C23,'03.08 KIREKA-NAMUGONGO-24h'!C23,'31.07 KIREKA-NAMUGONGO-24h'!C23,'30.07 KIREKA-NAMUGONGO'!C23)</f>
        <v>44.571428571428569</v>
      </c>
      <c r="D23" s="49">
        <f>AVERAGE('01.08 KIREKA-NAMUGONGO'!D23,'02.08 KIREKA-NAMUGONGO'!D23,'04.08 KIREKA-NAMUGONGO'!D23,'29.07 KIREKA-NAMUGONGO'!D23,'03.08 KIREKA-NAMUGONGO-24h'!D23,'31.07 KIREKA-NAMUGONGO-24h'!D23,'30.07 KIREKA-NAMUGONGO'!D23)</f>
        <v>12.142857142857142</v>
      </c>
      <c r="E23" s="49">
        <f>AVERAGE('01.08 KIREKA-NAMUGONGO'!E23,'02.08 KIREKA-NAMUGONGO'!E23,'04.08 KIREKA-NAMUGONGO'!E23,'29.07 KIREKA-NAMUGONGO'!E23,'03.08 KIREKA-NAMUGONGO-24h'!E23,'31.07 KIREKA-NAMUGONGO-24h'!E23,'30.07 KIREKA-NAMUGONGO'!E23)</f>
        <v>7.1428571428571432</v>
      </c>
      <c r="F23" s="49">
        <f>AVERAGE('01.08 KIREKA-NAMUGONGO'!F23,'02.08 KIREKA-NAMUGONGO'!F23,'04.08 KIREKA-NAMUGONGO'!F23,'29.07 KIREKA-NAMUGONGO'!F23,'03.08 KIREKA-NAMUGONGO-24h'!F23,'31.07 KIREKA-NAMUGONGO-24h'!F23,'30.07 KIREKA-NAMUGONGO'!F23)</f>
        <v>15.142857142857142</v>
      </c>
      <c r="G23" s="49">
        <f>AVERAGE('01.08 KIREKA-NAMUGONGO'!G23,'02.08 KIREKA-NAMUGONGO'!G23,'04.08 KIREKA-NAMUGONGO'!G23,'29.07 KIREKA-NAMUGONGO'!G23,'03.08 KIREKA-NAMUGONGO-24h'!G23,'31.07 KIREKA-NAMUGONGO-24h'!G23,'30.07 KIREKA-NAMUGONGO'!G23)</f>
        <v>0.42857142857142855</v>
      </c>
      <c r="H23" s="49">
        <f>AVERAGE('01.08 KIREKA-NAMUGONGO'!H23,'02.08 KIREKA-NAMUGONGO'!H23,'04.08 KIREKA-NAMUGONGO'!H23,'29.07 KIREKA-NAMUGONGO'!H23,'03.08 KIREKA-NAMUGONGO-24h'!H23,'31.07 KIREKA-NAMUGONGO-24h'!H23,'30.07 KIREKA-NAMUGONGO'!H23)</f>
        <v>0</v>
      </c>
      <c r="I23" s="49">
        <f>AVERAGE('01.08 KIREKA-NAMUGONGO'!I23,'02.08 KIREKA-NAMUGONGO'!I23,'04.08 KIREKA-NAMUGONGO'!I23,'29.07 KIREKA-NAMUGONGO'!I23,'03.08 KIREKA-NAMUGONGO-24h'!I23,'31.07 KIREKA-NAMUGONGO-24h'!I23,'30.07 KIREKA-NAMUGONGO'!I23)</f>
        <v>7.4285714285714288</v>
      </c>
      <c r="J23" s="49">
        <f>AVERAGE('01.08 KIREKA-NAMUGONGO'!J23,'02.08 KIREKA-NAMUGONGO'!J23,'04.08 KIREKA-NAMUGONGO'!J23,'29.07 KIREKA-NAMUGONGO'!J23,'03.08 KIREKA-NAMUGONGO-24h'!J23,'31.07 KIREKA-NAMUGONGO-24h'!J23,'30.07 KIREKA-NAMUGONGO'!J23)</f>
        <v>2.5714285714285716</v>
      </c>
      <c r="K23" s="49">
        <f>AVERAGE('01.08 KIREKA-NAMUGONGO'!K23,'02.08 KIREKA-NAMUGONGO'!K23,'04.08 KIREKA-NAMUGONGO'!K23,'29.07 KIREKA-NAMUGONGO'!K23,'03.08 KIREKA-NAMUGONGO-24h'!K23,'31.07 KIREKA-NAMUGONGO-24h'!K23,'30.07 KIREKA-NAMUGONGO'!K23)</f>
        <v>0.7142857142857143</v>
      </c>
      <c r="L23" s="49">
        <f>AVERAGE('01.08 KIREKA-NAMUGONGO'!L23,'02.08 KIREKA-NAMUGONGO'!L23,'04.08 KIREKA-NAMUGONGO'!L23,'29.07 KIREKA-NAMUGONGO'!L23,'03.08 KIREKA-NAMUGONGO-24h'!L23,'31.07 KIREKA-NAMUGONGO-24h'!L23,'30.07 KIREKA-NAMUGONGO'!L23)</f>
        <v>0.2857142857142857</v>
      </c>
      <c r="M23" s="49">
        <f>AVERAGE('01.08 KIREKA-NAMUGONGO'!M23,'02.08 KIREKA-NAMUGONGO'!M23,'04.08 KIREKA-NAMUGONGO'!M23,'29.07 KIREKA-NAMUGONGO'!M23,'03.08 KIREKA-NAMUGONGO-24h'!M23,'31.07 KIREKA-NAMUGONGO-24h'!M23,'30.07 KIREKA-NAMUGONGO'!M23)</f>
        <v>135.42857142857142</v>
      </c>
      <c r="N23" s="49">
        <f>AVERAGE('01.08 KIREKA-NAMUGONGO'!N23,'02.08 KIREKA-NAMUGONGO'!N23,'04.08 KIREKA-NAMUGONGO'!N23,'29.07 KIREKA-NAMUGONGO'!N23,'03.08 KIREKA-NAMUGONGO-24h'!N23,'31.07 KIREKA-NAMUGONGO-24h'!N23,'30.07 KIREKA-NAMUGONGO'!N23)</f>
        <v>0</v>
      </c>
      <c r="O23" s="15">
        <f t="shared" si="0"/>
        <v>90.428571428571431</v>
      </c>
      <c r="P23" s="15">
        <f t="shared" si="1"/>
        <v>225.85714285714283</v>
      </c>
      <c r="R23" s="1" t="s">
        <v>147</v>
      </c>
      <c r="S23" s="34">
        <f>SUM(C62:C65)</f>
        <v>148</v>
      </c>
      <c r="T23" s="34">
        <f t="shared" ref="T23:AF23" si="15">SUM(D62:D65)</f>
        <v>41.5</v>
      </c>
      <c r="U23" s="34">
        <f t="shared" si="15"/>
        <v>17.5</v>
      </c>
      <c r="V23" s="34">
        <f t="shared" si="15"/>
        <v>49</v>
      </c>
      <c r="W23" s="34">
        <f t="shared" si="15"/>
        <v>0</v>
      </c>
      <c r="X23" s="34">
        <f t="shared" si="15"/>
        <v>0</v>
      </c>
      <c r="Y23" s="34">
        <f t="shared" si="15"/>
        <v>4</v>
      </c>
      <c r="Z23" s="34">
        <f t="shared" si="15"/>
        <v>5</v>
      </c>
      <c r="AA23" s="34">
        <f t="shared" si="15"/>
        <v>0</v>
      </c>
      <c r="AB23" s="34">
        <f t="shared" si="15"/>
        <v>0</v>
      </c>
      <c r="AC23" s="34">
        <f t="shared" si="15"/>
        <v>338.5</v>
      </c>
      <c r="AD23" s="34">
        <f t="shared" si="15"/>
        <v>0</v>
      </c>
      <c r="AE23" s="51">
        <f t="shared" si="15"/>
        <v>265</v>
      </c>
      <c r="AF23" s="51">
        <f t="shared" si="15"/>
        <v>603.5</v>
      </c>
    </row>
    <row r="24" spans="2:32" ht="23.1" customHeight="1" x14ac:dyDescent="0.25">
      <c r="B24" s="23" t="s">
        <v>51</v>
      </c>
      <c r="C24" s="49">
        <f>AVERAGE('01.08 KIREKA-NAMUGONGO'!C24,'02.08 KIREKA-NAMUGONGO'!C24,'04.08 KIREKA-NAMUGONGO'!C24,'29.07 KIREKA-NAMUGONGO'!C24,'03.08 KIREKA-NAMUGONGO-24h'!C24,'31.07 KIREKA-NAMUGONGO-24h'!C24,'30.07 KIREKA-NAMUGONGO'!C24)</f>
        <v>38.285714285714285</v>
      </c>
      <c r="D24" s="49">
        <f>AVERAGE('01.08 KIREKA-NAMUGONGO'!D24,'02.08 KIREKA-NAMUGONGO'!D24,'04.08 KIREKA-NAMUGONGO'!D24,'29.07 KIREKA-NAMUGONGO'!D24,'03.08 KIREKA-NAMUGONGO-24h'!D24,'31.07 KIREKA-NAMUGONGO-24h'!D24,'30.07 KIREKA-NAMUGONGO'!D24)</f>
        <v>13.857142857142858</v>
      </c>
      <c r="E24" s="49">
        <f>AVERAGE('01.08 KIREKA-NAMUGONGO'!E24,'02.08 KIREKA-NAMUGONGO'!E24,'04.08 KIREKA-NAMUGONGO'!E24,'29.07 KIREKA-NAMUGONGO'!E24,'03.08 KIREKA-NAMUGONGO-24h'!E24,'31.07 KIREKA-NAMUGONGO-24h'!E24,'30.07 KIREKA-NAMUGONGO'!E24)</f>
        <v>5.1428571428571432</v>
      </c>
      <c r="F24" s="49">
        <f>AVERAGE('01.08 KIREKA-NAMUGONGO'!F24,'02.08 KIREKA-NAMUGONGO'!F24,'04.08 KIREKA-NAMUGONGO'!F24,'29.07 KIREKA-NAMUGONGO'!F24,'03.08 KIREKA-NAMUGONGO-24h'!F24,'31.07 KIREKA-NAMUGONGO-24h'!F24,'30.07 KIREKA-NAMUGONGO'!F24)</f>
        <v>14.142857142857142</v>
      </c>
      <c r="G24" s="49">
        <f>AVERAGE('01.08 KIREKA-NAMUGONGO'!G24,'02.08 KIREKA-NAMUGONGO'!G24,'04.08 KIREKA-NAMUGONGO'!G24,'29.07 KIREKA-NAMUGONGO'!G24,'03.08 KIREKA-NAMUGONGO-24h'!G24,'31.07 KIREKA-NAMUGONGO-24h'!G24,'30.07 KIREKA-NAMUGONGO'!G24)</f>
        <v>2.4285714285714284</v>
      </c>
      <c r="H24" s="49">
        <f>AVERAGE('01.08 KIREKA-NAMUGONGO'!H24,'02.08 KIREKA-NAMUGONGO'!H24,'04.08 KIREKA-NAMUGONGO'!H24,'29.07 KIREKA-NAMUGONGO'!H24,'03.08 KIREKA-NAMUGONGO-24h'!H24,'31.07 KIREKA-NAMUGONGO-24h'!H24,'30.07 KIREKA-NAMUGONGO'!H24)</f>
        <v>1</v>
      </c>
      <c r="I24" s="49">
        <f>AVERAGE('01.08 KIREKA-NAMUGONGO'!I24,'02.08 KIREKA-NAMUGONGO'!I24,'04.08 KIREKA-NAMUGONGO'!I24,'29.07 KIREKA-NAMUGONGO'!I24,'03.08 KIREKA-NAMUGONGO-24h'!I24,'31.07 KIREKA-NAMUGONGO-24h'!I24,'30.07 KIREKA-NAMUGONGO'!I24)</f>
        <v>6.2857142857142856</v>
      </c>
      <c r="J24" s="49">
        <f>AVERAGE('01.08 KIREKA-NAMUGONGO'!J24,'02.08 KIREKA-NAMUGONGO'!J24,'04.08 KIREKA-NAMUGONGO'!J24,'29.07 KIREKA-NAMUGONGO'!J24,'03.08 KIREKA-NAMUGONGO-24h'!J24,'31.07 KIREKA-NAMUGONGO-24h'!J24,'30.07 KIREKA-NAMUGONGO'!J24)</f>
        <v>3.1428571428571428</v>
      </c>
      <c r="K24" s="49">
        <f>AVERAGE('01.08 KIREKA-NAMUGONGO'!K24,'02.08 KIREKA-NAMUGONGO'!K24,'04.08 KIREKA-NAMUGONGO'!K24,'29.07 KIREKA-NAMUGONGO'!K24,'03.08 KIREKA-NAMUGONGO-24h'!K24,'31.07 KIREKA-NAMUGONGO-24h'!K24,'30.07 KIREKA-NAMUGONGO'!K24)</f>
        <v>1.1428571428571428</v>
      </c>
      <c r="L24" s="49">
        <f>AVERAGE('01.08 KIREKA-NAMUGONGO'!L24,'02.08 KIREKA-NAMUGONGO'!L24,'04.08 KIREKA-NAMUGONGO'!L24,'29.07 KIREKA-NAMUGONGO'!L24,'03.08 KIREKA-NAMUGONGO-24h'!L24,'31.07 KIREKA-NAMUGONGO-24h'!L24,'30.07 KIREKA-NAMUGONGO'!L24)</f>
        <v>1.1428571428571428</v>
      </c>
      <c r="M24" s="49">
        <f>AVERAGE('01.08 KIREKA-NAMUGONGO'!M24,'02.08 KIREKA-NAMUGONGO'!M24,'04.08 KIREKA-NAMUGONGO'!M24,'29.07 KIREKA-NAMUGONGO'!M24,'03.08 KIREKA-NAMUGONGO-24h'!M24,'31.07 KIREKA-NAMUGONGO-24h'!M24,'30.07 KIREKA-NAMUGONGO'!M24)</f>
        <v>121.85714285714286</v>
      </c>
      <c r="N24" s="49">
        <f>AVERAGE('01.08 KIREKA-NAMUGONGO'!N24,'02.08 KIREKA-NAMUGONGO'!N24,'04.08 KIREKA-NAMUGONGO'!N24,'29.07 KIREKA-NAMUGONGO'!N24,'03.08 KIREKA-NAMUGONGO-24h'!N24,'31.07 KIREKA-NAMUGONGO-24h'!N24,'30.07 KIREKA-NAMUGONGO'!N24)</f>
        <v>0</v>
      </c>
      <c r="O24" s="15">
        <f t="shared" si="0"/>
        <v>86.571428571428569</v>
      </c>
      <c r="P24" s="15">
        <f t="shared" si="1"/>
        <v>208.42857142857144</v>
      </c>
      <c r="R24" s="1" t="s">
        <v>148</v>
      </c>
      <c r="S24" s="34">
        <f>SUM(C66:C69)</f>
        <v>93.5</v>
      </c>
      <c r="T24" s="34">
        <f t="shared" ref="T24:AF24" si="16">SUM(D66:D69)</f>
        <v>40.5</v>
      </c>
      <c r="U24" s="34">
        <f t="shared" si="16"/>
        <v>15</v>
      </c>
      <c r="V24" s="34">
        <f t="shared" si="16"/>
        <v>41.5</v>
      </c>
      <c r="W24" s="34">
        <f t="shared" si="16"/>
        <v>0</v>
      </c>
      <c r="X24" s="34">
        <f t="shared" si="16"/>
        <v>0</v>
      </c>
      <c r="Y24" s="34">
        <f t="shared" si="16"/>
        <v>2.5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267</v>
      </c>
      <c r="AD24" s="34">
        <f t="shared" si="16"/>
        <v>0</v>
      </c>
      <c r="AE24" s="51">
        <f t="shared" si="16"/>
        <v>193</v>
      </c>
      <c r="AF24" s="51">
        <f t="shared" si="16"/>
        <v>460</v>
      </c>
    </row>
    <row r="25" spans="2:32" ht="23.1" customHeight="1" x14ac:dyDescent="0.25">
      <c r="B25" s="23" t="s">
        <v>52</v>
      </c>
      <c r="C25" s="49">
        <f>AVERAGE('01.08 KIREKA-NAMUGONGO'!C25,'02.08 KIREKA-NAMUGONGO'!C25,'04.08 KIREKA-NAMUGONGO'!C25,'29.07 KIREKA-NAMUGONGO'!C25,'03.08 KIREKA-NAMUGONGO-24h'!C25,'31.07 KIREKA-NAMUGONGO-24h'!C25,'30.07 KIREKA-NAMUGONGO'!C25)</f>
        <v>41.285714285714285</v>
      </c>
      <c r="D25" s="49">
        <f>AVERAGE('01.08 KIREKA-NAMUGONGO'!D25,'02.08 KIREKA-NAMUGONGO'!D25,'04.08 KIREKA-NAMUGONGO'!D25,'29.07 KIREKA-NAMUGONGO'!D25,'03.08 KIREKA-NAMUGONGO-24h'!D25,'31.07 KIREKA-NAMUGONGO-24h'!D25,'30.07 KIREKA-NAMUGONGO'!D25)</f>
        <v>15</v>
      </c>
      <c r="E25" s="49">
        <f>AVERAGE('01.08 KIREKA-NAMUGONGO'!E25,'02.08 KIREKA-NAMUGONGO'!E25,'04.08 KIREKA-NAMUGONGO'!E25,'29.07 KIREKA-NAMUGONGO'!E25,'03.08 KIREKA-NAMUGONGO-24h'!E25,'31.07 KIREKA-NAMUGONGO-24h'!E25,'30.07 KIREKA-NAMUGONGO'!E25)</f>
        <v>8</v>
      </c>
      <c r="F25" s="49">
        <f>AVERAGE('01.08 KIREKA-NAMUGONGO'!F25,'02.08 KIREKA-NAMUGONGO'!F25,'04.08 KIREKA-NAMUGONGO'!F25,'29.07 KIREKA-NAMUGONGO'!F25,'03.08 KIREKA-NAMUGONGO-24h'!F25,'31.07 KIREKA-NAMUGONGO-24h'!F25,'30.07 KIREKA-NAMUGONGO'!F25)</f>
        <v>12.428571428571429</v>
      </c>
      <c r="G25" s="49">
        <f>AVERAGE('01.08 KIREKA-NAMUGONGO'!G25,'02.08 KIREKA-NAMUGONGO'!G25,'04.08 KIREKA-NAMUGONGO'!G25,'29.07 KIREKA-NAMUGONGO'!G25,'03.08 KIREKA-NAMUGONGO-24h'!G25,'31.07 KIREKA-NAMUGONGO-24h'!G25,'30.07 KIREKA-NAMUGONGO'!G25)</f>
        <v>1</v>
      </c>
      <c r="H25" s="49">
        <f>AVERAGE('01.08 KIREKA-NAMUGONGO'!H25,'02.08 KIREKA-NAMUGONGO'!H25,'04.08 KIREKA-NAMUGONGO'!H25,'29.07 KIREKA-NAMUGONGO'!H25,'03.08 KIREKA-NAMUGONGO-24h'!H25,'31.07 KIREKA-NAMUGONGO-24h'!H25,'30.07 KIREKA-NAMUGONGO'!H25)</f>
        <v>0.14285714285714285</v>
      </c>
      <c r="I25" s="49">
        <f>AVERAGE('01.08 KIREKA-NAMUGONGO'!I25,'02.08 KIREKA-NAMUGONGO'!I25,'04.08 KIREKA-NAMUGONGO'!I25,'29.07 KIREKA-NAMUGONGO'!I25,'03.08 KIREKA-NAMUGONGO-24h'!I25,'31.07 KIREKA-NAMUGONGO-24h'!I25,'30.07 KIREKA-NAMUGONGO'!I25)</f>
        <v>5.2857142857142856</v>
      </c>
      <c r="J25" s="49">
        <f>AVERAGE('01.08 KIREKA-NAMUGONGO'!J25,'02.08 KIREKA-NAMUGONGO'!J25,'04.08 KIREKA-NAMUGONGO'!J25,'29.07 KIREKA-NAMUGONGO'!J25,'03.08 KIREKA-NAMUGONGO-24h'!J25,'31.07 KIREKA-NAMUGONGO-24h'!J25,'30.07 KIREKA-NAMUGONGO'!J25)</f>
        <v>1.4285714285714286</v>
      </c>
      <c r="K25" s="49">
        <f>AVERAGE('01.08 KIREKA-NAMUGONGO'!K25,'02.08 KIREKA-NAMUGONGO'!K25,'04.08 KIREKA-NAMUGONGO'!K25,'29.07 KIREKA-NAMUGONGO'!K25,'03.08 KIREKA-NAMUGONGO-24h'!K25,'31.07 KIREKA-NAMUGONGO-24h'!K25,'30.07 KIREKA-NAMUGONGO'!K25)</f>
        <v>0.42857142857142855</v>
      </c>
      <c r="L25" s="49">
        <f>AVERAGE('01.08 KIREKA-NAMUGONGO'!L25,'02.08 KIREKA-NAMUGONGO'!L25,'04.08 KIREKA-NAMUGONGO'!L25,'29.07 KIREKA-NAMUGONGO'!L25,'03.08 KIREKA-NAMUGONGO-24h'!L25,'31.07 KIREKA-NAMUGONGO-24h'!L25,'30.07 KIREKA-NAMUGONGO'!L25)</f>
        <v>0.14285714285714285</v>
      </c>
      <c r="M25" s="49">
        <f>AVERAGE('01.08 KIREKA-NAMUGONGO'!M25,'02.08 KIREKA-NAMUGONGO'!M25,'04.08 KIREKA-NAMUGONGO'!M25,'29.07 KIREKA-NAMUGONGO'!M25,'03.08 KIREKA-NAMUGONGO-24h'!M25,'31.07 KIREKA-NAMUGONGO-24h'!M25,'30.07 KIREKA-NAMUGONGO'!M25)</f>
        <v>119.14285714285714</v>
      </c>
      <c r="N25" s="49">
        <f>AVERAGE('01.08 KIREKA-NAMUGONGO'!N25,'02.08 KIREKA-NAMUGONGO'!N25,'04.08 KIREKA-NAMUGONGO'!N25,'29.07 KIREKA-NAMUGONGO'!N25,'03.08 KIREKA-NAMUGONGO-24h'!N25,'31.07 KIREKA-NAMUGONGO-24h'!N25,'30.07 KIREKA-NAMUGONGO'!N25)</f>
        <v>0</v>
      </c>
      <c r="O25" s="15">
        <f t="shared" si="0"/>
        <v>85.142857142857139</v>
      </c>
      <c r="P25" s="15">
        <f t="shared" si="1"/>
        <v>204.28571428571428</v>
      </c>
      <c r="R25" s="1" t="s">
        <v>149</v>
      </c>
      <c r="S25" s="34">
        <f>SUM(C70:C73)</f>
        <v>152</v>
      </c>
      <c r="T25" s="34">
        <f t="shared" ref="T25:AF25" si="17">SUM(D70:D73)</f>
        <v>71.5</v>
      </c>
      <c r="U25" s="34">
        <f t="shared" si="17"/>
        <v>21</v>
      </c>
      <c r="V25" s="34">
        <f t="shared" si="17"/>
        <v>33.5</v>
      </c>
      <c r="W25" s="34">
        <f t="shared" si="17"/>
        <v>0</v>
      </c>
      <c r="X25" s="34">
        <f t="shared" si="17"/>
        <v>0</v>
      </c>
      <c r="Y25" s="34">
        <f t="shared" si="17"/>
        <v>5.5</v>
      </c>
      <c r="Z25" s="34">
        <f t="shared" si="17"/>
        <v>1.5</v>
      </c>
      <c r="AA25" s="34">
        <f t="shared" si="17"/>
        <v>0</v>
      </c>
      <c r="AB25" s="34">
        <f t="shared" si="17"/>
        <v>0.5</v>
      </c>
      <c r="AC25" s="34">
        <f t="shared" si="17"/>
        <v>235</v>
      </c>
      <c r="AD25" s="34">
        <f t="shared" si="17"/>
        <v>0</v>
      </c>
      <c r="AE25" s="51">
        <f t="shared" si="17"/>
        <v>285.5</v>
      </c>
      <c r="AF25" s="51">
        <f t="shared" si="17"/>
        <v>520.5</v>
      </c>
    </row>
    <row r="26" spans="2:32" ht="23.1" customHeight="1" x14ac:dyDescent="0.25">
      <c r="B26" s="23" t="s">
        <v>53</v>
      </c>
      <c r="C26" s="49">
        <f>AVERAGE('01.08 KIREKA-NAMUGONGO'!C26,'02.08 KIREKA-NAMUGONGO'!C26,'04.08 KIREKA-NAMUGONGO'!C26,'29.07 KIREKA-NAMUGONGO'!C26,'03.08 KIREKA-NAMUGONGO-24h'!C26,'31.07 KIREKA-NAMUGONGO-24h'!C26,'30.07 KIREKA-NAMUGONGO'!C26)</f>
        <v>43.857142857142854</v>
      </c>
      <c r="D26" s="49">
        <f>AVERAGE('01.08 KIREKA-NAMUGONGO'!D26,'02.08 KIREKA-NAMUGONGO'!D26,'04.08 KIREKA-NAMUGONGO'!D26,'29.07 KIREKA-NAMUGONGO'!D26,'03.08 KIREKA-NAMUGONGO-24h'!D26,'31.07 KIREKA-NAMUGONGO-24h'!D26,'30.07 KIREKA-NAMUGONGO'!D26)</f>
        <v>10</v>
      </c>
      <c r="E26" s="49">
        <f>AVERAGE('01.08 KIREKA-NAMUGONGO'!E26,'02.08 KIREKA-NAMUGONGO'!E26,'04.08 KIREKA-NAMUGONGO'!E26,'29.07 KIREKA-NAMUGONGO'!E26,'03.08 KIREKA-NAMUGONGO-24h'!E26,'31.07 KIREKA-NAMUGONGO-24h'!E26,'30.07 KIREKA-NAMUGONGO'!E26)</f>
        <v>10.285714285714286</v>
      </c>
      <c r="F26" s="49">
        <f>AVERAGE('01.08 KIREKA-NAMUGONGO'!F26,'02.08 KIREKA-NAMUGONGO'!F26,'04.08 KIREKA-NAMUGONGO'!F26,'29.07 KIREKA-NAMUGONGO'!F26,'03.08 KIREKA-NAMUGONGO-24h'!F26,'31.07 KIREKA-NAMUGONGO-24h'!F26,'30.07 KIREKA-NAMUGONGO'!F26)</f>
        <v>8</v>
      </c>
      <c r="G26" s="49">
        <f>AVERAGE('01.08 KIREKA-NAMUGONGO'!G26,'02.08 KIREKA-NAMUGONGO'!G26,'04.08 KIREKA-NAMUGONGO'!G26,'29.07 KIREKA-NAMUGONGO'!G26,'03.08 KIREKA-NAMUGONGO-24h'!G26,'31.07 KIREKA-NAMUGONGO-24h'!G26,'30.07 KIREKA-NAMUGONGO'!G26)</f>
        <v>1.8571428571428572</v>
      </c>
      <c r="H26" s="49">
        <f>AVERAGE('01.08 KIREKA-NAMUGONGO'!H26,'02.08 KIREKA-NAMUGONGO'!H26,'04.08 KIREKA-NAMUGONGO'!H26,'29.07 KIREKA-NAMUGONGO'!H26,'03.08 KIREKA-NAMUGONGO-24h'!H26,'31.07 KIREKA-NAMUGONGO-24h'!H26,'30.07 KIREKA-NAMUGONGO'!H26)</f>
        <v>1.1428571428571428</v>
      </c>
      <c r="I26" s="49">
        <f>AVERAGE('01.08 KIREKA-NAMUGONGO'!I26,'02.08 KIREKA-NAMUGONGO'!I26,'04.08 KIREKA-NAMUGONGO'!I26,'29.07 KIREKA-NAMUGONGO'!I26,'03.08 KIREKA-NAMUGONGO-24h'!I26,'31.07 KIREKA-NAMUGONGO-24h'!I26,'30.07 KIREKA-NAMUGONGO'!I26)</f>
        <v>6</v>
      </c>
      <c r="J26" s="49">
        <f>AVERAGE('01.08 KIREKA-NAMUGONGO'!J26,'02.08 KIREKA-NAMUGONGO'!J26,'04.08 KIREKA-NAMUGONGO'!J26,'29.07 KIREKA-NAMUGONGO'!J26,'03.08 KIREKA-NAMUGONGO-24h'!J26,'31.07 KIREKA-NAMUGONGO-24h'!J26,'30.07 KIREKA-NAMUGONGO'!J26)</f>
        <v>2.1428571428571428</v>
      </c>
      <c r="K26" s="49">
        <f>AVERAGE('01.08 KIREKA-NAMUGONGO'!K26,'02.08 KIREKA-NAMUGONGO'!K26,'04.08 KIREKA-NAMUGONGO'!K26,'29.07 KIREKA-NAMUGONGO'!K26,'03.08 KIREKA-NAMUGONGO-24h'!K26,'31.07 KIREKA-NAMUGONGO-24h'!K26,'30.07 KIREKA-NAMUGONGO'!K26)</f>
        <v>0.7142857142857143</v>
      </c>
      <c r="L26" s="49">
        <f>AVERAGE('01.08 KIREKA-NAMUGONGO'!L26,'02.08 KIREKA-NAMUGONGO'!L26,'04.08 KIREKA-NAMUGONGO'!L26,'29.07 KIREKA-NAMUGONGO'!L26,'03.08 KIREKA-NAMUGONGO-24h'!L26,'31.07 KIREKA-NAMUGONGO-24h'!L26,'30.07 KIREKA-NAMUGONGO'!L26)</f>
        <v>0.8571428571428571</v>
      </c>
      <c r="M26" s="49">
        <f>AVERAGE('01.08 KIREKA-NAMUGONGO'!M26,'02.08 KIREKA-NAMUGONGO'!M26,'04.08 KIREKA-NAMUGONGO'!M26,'29.07 KIREKA-NAMUGONGO'!M26,'03.08 KIREKA-NAMUGONGO-24h'!M26,'31.07 KIREKA-NAMUGONGO-24h'!M26,'30.07 KIREKA-NAMUGONGO'!M26)</f>
        <v>128</v>
      </c>
      <c r="N26" s="49">
        <f>AVERAGE('01.08 KIREKA-NAMUGONGO'!N26,'02.08 KIREKA-NAMUGONGO'!N26,'04.08 KIREKA-NAMUGONGO'!N26,'29.07 KIREKA-NAMUGONGO'!N26,'03.08 KIREKA-NAMUGONGO-24h'!N26,'31.07 KIREKA-NAMUGONGO-24h'!N26,'30.07 KIREKA-NAMUGONGO'!N26)</f>
        <v>0</v>
      </c>
      <c r="O26" s="15">
        <f t="shared" si="0"/>
        <v>84.857142857142847</v>
      </c>
      <c r="P26" s="15">
        <f t="shared" si="1"/>
        <v>212.85714285714283</v>
      </c>
      <c r="R26" s="1" t="s">
        <v>150</v>
      </c>
      <c r="S26" s="34">
        <f>SUM(C74:C77)</f>
        <v>72</v>
      </c>
      <c r="T26" s="34">
        <f t="shared" ref="T26:AF26" si="18">SUM(D74:D77)</f>
        <v>50.5</v>
      </c>
      <c r="U26" s="34">
        <f t="shared" si="18"/>
        <v>5.5</v>
      </c>
      <c r="V26" s="34">
        <f t="shared" si="18"/>
        <v>11.5</v>
      </c>
      <c r="W26" s="34">
        <f t="shared" si="18"/>
        <v>0</v>
      </c>
      <c r="X26" s="34">
        <f t="shared" si="18"/>
        <v>0</v>
      </c>
      <c r="Y26" s="34">
        <f t="shared" si="18"/>
        <v>3.5</v>
      </c>
      <c r="Z26" s="34">
        <f t="shared" si="18"/>
        <v>5</v>
      </c>
      <c r="AA26" s="34">
        <f t="shared" si="18"/>
        <v>0</v>
      </c>
      <c r="AB26" s="34">
        <f t="shared" si="18"/>
        <v>0</v>
      </c>
      <c r="AC26" s="34">
        <f t="shared" si="18"/>
        <v>134.5</v>
      </c>
      <c r="AD26" s="34">
        <f t="shared" si="18"/>
        <v>0</v>
      </c>
      <c r="AE26" s="51">
        <f t="shared" si="18"/>
        <v>148</v>
      </c>
      <c r="AF26" s="51">
        <f t="shared" si="18"/>
        <v>282.5</v>
      </c>
    </row>
    <row r="27" spans="2:32" ht="23.1" customHeight="1" x14ac:dyDescent="0.25">
      <c r="B27" s="23" t="s">
        <v>54</v>
      </c>
      <c r="C27" s="49">
        <f>AVERAGE('01.08 KIREKA-NAMUGONGO'!C27,'02.08 KIREKA-NAMUGONGO'!C27,'04.08 KIREKA-NAMUGONGO'!C27,'29.07 KIREKA-NAMUGONGO'!C27,'03.08 KIREKA-NAMUGONGO-24h'!C27,'31.07 KIREKA-NAMUGONGO-24h'!C27,'30.07 KIREKA-NAMUGONGO'!C27)</f>
        <v>41.428571428571431</v>
      </c>
      <c r="D27" s="49">
        <f>AVERAGE('01.08 KIREKA-NAMUGONGO'!D27,'02.08 KIREKA-NAMUGONGO'!D27,'04.08 KIREKA-NAMUGONGO'!D27,'29.07 KIREKA-NAMUGONGO'!D27,'03.08 KIREKA-NAMUGONGO-24h'!D27,'31.07 KIREKA-NAMUGONGO-24h'!D27,'30.07 KIREKA-NAMUGONGO'!D27)</f>
        <v>10.428571428571429</v>
      </c>
      <c r="E27" s="49">
        <f>AVERAGE('01.08 KIREKA-NAMUGONGO'!E27,'02.08 KIREKA-NAMUGONGO'!E27,'04.08 KIREKA-NAMUGONGO'!E27,'29.07 KIREKA-NAMUGONGO'!E27,'03.08 KIREKA-NAMUGONGO-24h'!E27,'31.07 KIREKA-NAMUGONGO-24h'!E27,'30.07 KIREKA-NAMUGONGO'!E27)</f>
        <v>6.1428571428571432</v>
      </c>
      <c r="F27" s="49">
        <f>AVERAGE('01.08 KIREKA-NAMUGONGO'!F27,'02.08 KIREKA-NAMUGONGO'!F27,'04.08 KIREKA-NAMUGONGO'!F27,'29.07 KIREKA-NAMUGONGO'!F27,'03.08 KIREKA-NAMUGONGO-24h'!F27,'31.07 KIREKA-NAMUGONGO-24h'!F27,'30.07 KIREKA-NAMUGONGO'!F27)</f>
        <v>14.857142857142858</v>
      </c>
      <c r="G27" s="49">
        <f>AVERAGE('01.08 KIREKA-NAMUGONGO'!G27,'02.08 KIREKA-NAMUGONGO'!G27,'04.08 KIREKA-NAMUGONGO'!G27,'29.07 KIREKA-NAMUGONGO'!G27,'03.08 KIREKA-NAMUGONGO-24h'!G27,'31.07 KIREKA-NAMUGONGO-24h'!G27,'30.07 KIREKA-NAMUGONGO'!G27)</f>
        <v>0.5714285714285714</v>
      </c>
      <c r="H27" s="49">
        <f>AVERAGE('01.08 KIREKA-NAMUGONGO'!H27,'02.08 KIREKA-NAMUGONGO'!H27,'04.08 KIREKA-NAMUGONGO'!H27,'29.07 KIREKA-NAMUGONGO'!H27,'03.08 KIREKA-NAMUGONGO-24h'!H27,'31.07 KIREKA-NAMUGONGO-24h'!H27,'30.07 KIREKA-NAMUGONGO'!H27)</f>
        <v>0.14285714285714285</v>
      </c>
      <c r="I27" s="49">
        <f>AVERAGE('01.08 KIREKA-NAMUGONGO'!I27,'02.08 KIREKA-NAMUGONGO'!I27,'04.08 KIREKA-NAMUGONGO'!I27,'29.07 KIREKA-NAMUGONGO'!I27,'03.08 KIREKA-NAMUGONGO-24h'!I27,'31.07 KIREKA-NAMUGONGO-24h'!I27,'30.07 KIREKA-NAMUGONGO'!I27)</f>
        <v>6.7142857142857144</v>
      </c>
      <c r="J27" s="49">
        <f>AVERAGE('01.08 KIREKA-NAMUGONGO'!J27,'02.08 KIREKA-NAMUGONGO'!J27,'04.08 KIREKA-NAMUGONGO'!J27,'29.07 KIREKA-NAMUGONGO'!J27,'03.08 KIREKA-NAMUGONGO-24h'!J27,'31.07 KIREKA-NAMUGONGO-24h'!J27,'30.07 KIREKA-NAMUGONGO'!J27)</f>
        <v>1.1428571428571428</v>
      </c>
      <c r="K27" s="49">
        <f>AVERAGE('01.08 KIREKA-NAMUGONGO'!K27,'02.08 KIREKA-NAMUGONGO'!K27,'04.08 KIREKA-NAMUGONGO'!K27,'29.07 KIREKA-NAMUGONGO'!K27,'03.08 KIREKA-NAMUGONGO-24h'!K27,'31.07 KIREKA-NAMUGONGO-24h'!K27,'30.07 KIREKA-NAMUGONGO'!K27)</f>
        <v>2</v>
      </c>
      <c r="L27" s="49">
        <f>AVERAGE('01.08 KIREKA-NAMUGONGO'!L27,'02.08 KIREKA-NAMUGONGO'!L27,'04.08 KIREKA-NAMUGONGO'!L27,'29.07 KIREKA-NAMUGONGO'!L27,'03.08 KIREKA-NAMUGONGO-24h'!L27,'31.07 KIREKA-NAMUGONGO-24h'!L27,'30.07 KIREKA-NAMUGONGO'!L27)</f>
        <v>0.5714285714285714</v>
      </c>
      <c r="M27" s="49">
        <f>AVERAGE('01.08 KIREKA-NAMUGONGO'!M27,'02.08 KIREKA-NAMUGONGO'!M27,'04.08 KIREKA-NAMUGONGO'!M27,'29.07 KIREKA-NAMUGONGO'!M27,'03.08 KIREKA-NAMUGONGO-24h'!M27,'31.07 KIREKA-NAMUGONGO-24h'!M27,'30.07 KIREKA-NAMUGONGO'!M27)</f>
        <v>117.85714285714286</v>
      </c>
      <c r="N27" s="49">
        <f>AVERAGE('01.08 KIREKA-NAMUGONGO'!N27,'02.08 KIREKA-NAMUGONGO'!N27,'04.08 KIREKA-NAMUGONGO'!N27,'29.07 KIREKA-NAMUGONGO'!N27,'03.08 KIREKA-NAMUGONGO-24h'!N27,'31.07 KIREKA-NAMUGONGO-24h'!N27,'30.07 KIREKA-NAMUGONGO'!N27)</f>
        <v>0</v>
      </c>
      <c r="O27" s="15">
        <f t="shared" si="0"/>
        <v>83.999999999999986</v>
      </c>
      <c r="P27" s="15">
        <f t="shared" si="1"/>
        <v>201.85714285714283</v>
      </c>
      <c r="R27" s="1" t="s">
        <v>151</v>
      </c>
      <c r="S27" s="34">
        <f>SUM(C78:C81)</f>
        <v>51.5</v>
      </c>
      <c r="T27" s="34">
        <f t="shared" ref="T27:AF27" si="19">SUM(D78:D81)</f>
        <v>23.5</v>
      </c>
      <c r="U27" s="34">
        <f t="shared" si="19"/>
        <v>6.5</v>
      </c>
      <c r="V27" s="34">
        <f t="shared" si="19"/>
        <v>5</v>
      </c>
      <c r="W27" s="34">
        <f t="shared" si="19"/>
        <v>0</v>
      </c>
      <c r="X27" s="34">
        <f t="shared" si="19"/>
        <v>0</v>
      </c>
      <c r="Y27" s="34">
        <f t="shared" si="19"/>
        <v>1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85</v>
      </c>
      <c r="AD27" s="34">
        <f t="shared" si="19"/>
        <v>0</v>
      </c>
      <c r="AE27" s="51">
        <f t="shared" si="19"/>
        <v>87.5</v>
      </c>
      <c r="AF27" s="51">
        <f t="shared" si="19"/>
        <v>172.5</v>
      </c>
    </row>
    <row r="28" spans="2:32" ht="23.1" customHeight="1" x14ac:dyDescent="0.25">
      <c r="B28" s="23" t="s">
        <v>55</v>
      </c>
      <c r="C28" s="49">
        <f>AVERAGE('01.08 KIREKA-NAMUGONGO'!C28,'02.08 KIREKA-NAMUGONGO'!C28,'04.08 KIREKA-NAMUGONGO'!C28,'29.07 KIREKA-NAMUGONGO'!C28,'03.08 KIREKA-NAMUGONGO-24h'!C28,'31.07 KIREKA-NAMUGONGO-24h'!C28,'30.07 KIREKA-NAMUGONGO'!C28)</f>
        <v>42.428571428571431</v>
      </c>
      <c r="D28" s="49">
        <f>AVERAGE('01.08 KIREKA-NAMUGONGO'!D28,'02.08 KIREKA-NAMUGONGO'!D28,'04.08 KIREKA-NAMUGONGO'!D28,'29.07 KIREKA-NAMUGONGO'!D28,'03.08 KIREKA-NAMUGONGO-24h'!D28,'31.07 KIREKA-NAMUGONGO-24h'!D28,'30.07 KIREKA-NAMUGONGO'!D28)</f>
        <v>9.2857142857142865</v>
      </c>
      <c r="E28" s="49">
        <f>AVERAGE('01.08 KIREKA-NAMUGONGO'!E28,'02.08 KIREKA-NAMUGONGO'!E28,'04.08 KIREKA-NAMUGONGO'!E28,'29.07 KIREKA-NAMUGONGO'!E28,'03.08 KIREKA-NAMUGONGO-24h'!E28,'31.07 KIREKA-NAMUGONGO-24h'!E28,'30.07 KIREKA-NAMUGONGO'!E28)</f>
        <v>7.5714285714285712</v>
      </c>
      <c r="F28" s="49">
        <f>AVERAGE('01.08 KIREKA-NAMUGONGO'!F28,'02.08 KIREKA-NAMUGONGO'!F28,'04.08 KIREKA-NAMUGONGO'!F28,'29.07 KIREKA-NAMUGONGO'!F28,'03.08 KIREKA-NAMUGONGO-24h'!F28,'31.07 KIREKA-NAMUGONGO-24h'!F28,'30.07 KIREKA-NAMUGONGO'!F28)</f>
        <v>13.857142857142858</v>
      </c>
      <c r="G28" s="49">
        <f>AVERAGE('01.08 KIREKA-NAMUGONGO'!G28,'02.08 KIREKA-NAMUGONGO'!G28,'04.08 KIREKA-NAMUGONGO'!G28,'29.07 KIREKA-NAMUGONGO'!G28,'03.08 KIREKA-NAMUGONGO-24h'!G28,'31.07 KIREKA-NAMUGONGO-24h'!G28,'30.07 KIREKA-NAMUGONGO'!G28)</f>
        <v>0</v>
      </c>
      <c r="H28" s="49">
        <f>AVERAGE('01.08 KIREKA-NAMUGONGO'!H28,'02.08 KIREKA-NAMUGONGO'!H28,'04.08 KIREKA-NAMUGONGO'!H28,'29.07 KIREKA-NAMUGONGO'!H28,'03.08 KIREKA-NAMUGONGO-24h'!H28,'31.07 KIREKA-NAMUGONGO-24h'!H28,'30.07 KIREKA-NAMUGONGO'!H28)</f>
        <v>0.7142857142857143</v>
      </c>
      <c r="I28" s="49">
        <f>AVERAGE('01.08 KIREKA-NAMUGONGO'!I28,'02.08 KIREKA-NAMUGONGO'!I28,'04.08 KIREKA-NAMUGONGO'!I28,'29.07 KIREKA-NAMUGONGO'!I28,'03.08 KIREKA-NAMUGONGO-24h'!I28,'31.07 KIREKA-NAMUGONGO-24h'!I28,'30.07 KIREKA-NAMUGONGO'!I28)</f>
        <v>8.7142857142857135</v>
      </c>
      <c r="J28" s="49">
        <f>AVERAGE('01.08 KIREKA-NAMUGONGO'!J28,'02.08 KIREKA-NAMUGONGO'!J28,'04.08 KIREKA-NAMUGONGO'!J28,'29.07 KIREKA-NAMUGONGO'!J28,'03.08 KIREKA-NAMUGONGO-24h'!J28,'31.07 KIREKA-NAMUGONGO-24h'!J28,'30.07 KIREKA-NAMUGONGO'!J28)</f>
        <v>1.8571428571428572</v>
      </c>
      <c r="K28" s="49">
        <f>AVERAGE('01.08 KIREKA-NAMUGONGO'!K28,'02.08 KIREKA-NAMUGONGO'!K28,'04.08 KIREKA-NAMUGONGO'!K28,'29.07 KIREKA-NAMUGONGO'!K28,'03.08 KIREKA-NAMUGONGO-24h'!K28,'31.07 KIREKA-NAMUGONGO-24h'!K28,'30.07 KIREKA-NAMUGONGO'!K28)</f>
        <v>1.5714285714285714</v>
      </c>
      <c r="L28" s="49">
        <f>AVERAGE('01.08 KIREKA-NAMUGONGO'!L28,'02.08 KIREKA-NAMUGONGO'!L28,'04.08 KIREKA-NAMUGONGO'!L28,'29.07 KIREKA-NAMUGONGO'!L28,'03.08 KIREKA-NAMUGONGO-24h'!L28,'31.07 KIREKA-NAMUGONGO-24h'!L28,'30.07 KIREKA-NAMUGONGO'!L28)</f>
        <v>0.14285714285714285</v>
      </c>
      <c r="M28" s="49">
        <f>AVERAGE('01.08 KIREKA-NAMUGONGO'!M28,'02.08 KIREKA-NAMUGONGO'!M28,'04.08 KIREKA-NAMUGONGO'!M28,'29.07 KIREKA-NAMUGONGO'!M28,'03.08 KIREKA-NAMUGONGO-24h'!M28,'31.07 KIREKA-NAMUGONGO-24h'!M28,'30.07 KIREKA-NAMUGONGO'!M28)</f>
        <v>122.85714285714286</v>
      </c>
      <c r="N28" s="49">
        <f>AVERAGE('01.08 KIREKA-NAMUGONGO'!N28,'02.08 KIREKA-NAMUGONGO'!N28,'04.08 KIREKA-NAMUGONGO'!N28,'29.07 KIREKA-NAMUGONGO'!N28,'03.08 KIREKA-NAMUGONGO-24h'!N28,'31.07 KIREKA-NAMUGONGO-24h'!N28,'30.07 KIREKA-NAMUGONGO'!N28)</f>
        <v>0</v>
      </c>
      <c r="O28" s="15">
        <f t="shared" si="0"/>
        <v>86.142857142857125</v>
      </c>
      <c r="P28" s="15">
        <f t="shared" si="1"/>
        <v>209</v>
      </c>
      <c r="R28" s="1" t="s">
        <v>152</v>
      </c>
      <c r="S28" s="34">
        <f>SUM(C82:C85)</f>
        <v>32.5</v>
      </c>
      <c r="T28" s="34">
        <f t="shared" ref="T28:AF28" si="20">SUM(D82:D85)</f>
        <v>7.5</v>
      </c>
      <c r="U28" s="34">
        <f t="shared" si="20"/>
        <v>0.5</v>
      </c>
      <c r="V28" s="34">
        <f t="shared" si="20"/>
        <v>0.5</v>
      </c>
      <c r="W28" s="34">
        <f t="shared" si="20"/>
        <v>0</v>
      </c>
      <c r="X28" s="34">
        <f t="shared" si="20"/>
        <v>0</v>
      </c>
      <c r="Y28" s="34">
        <f t="shared" si="20"/>
        <v>1</v>
      </c>
      <c r="Z28" s="34">
        <f t="shared" si="20"/>
        <v>1.5</v>
      </c>
      <c r="AA28" s="34">
        <f t="shared" si="20"/>
        <v>0</v>
      </c>
      <c r="AB28" s="34">
        <f t="shared" si="20"/>
        <v>0</v>
      </c>
      <c r="AC28" s="34">
        <f t="shared" si="20"/>
        <v>73</v>
      </c>
      <c r="AD28" s="34">
        <f t="shared" si="20"/>
        <v>0</v>
      </c>
      <c r="AE28" s="51">
        <f t="shared" si="20"/>
        <v>43.5</v>
      </c>
      <c r="AF28" s="51">
        <f t="shared" si="20"/>
        <v>116.5</v>
      </c>
    </row>
    <row r="29" spans="2:32" ht="23.1" customHeight="1" x14ac:dyDescent="0.25">
      <c r="B29" s="23" t="s">
        <v>56</v>
      </c>
      <c r="C29" s="49">
        <f>AVERAGE('01.08 KIREKA-NAMUGONGO'!C29,'02.08 KIREKA-NAMUGONGO'!C29,'04.08 KIREKA-NAMUGONGO'!C29,'29.07 KIREKA-NAMUGONGO'!C29,'03.08 KIREKA-NAMUGONGO-24h'!C29,'31.07 KIREKA-NAMUGONGO-24h'!C29,'30.07 KIREKA-NAMUGONGO'!C29)</f>
        <v>48.285714285714285</v>
      </c>
      <c r="D29" s="49">
        <f>AVERAGE('01.08 KIREKA-NAMUGONGO'!D29,'02.08 KIREKA-NAMUGONGO'!D29,'04.08 KIREKA-NAMUGONGO'!D29,'29.07 KIREKA-NAMUGONGO'!D29,'03.08 KIREKA-NAMUGONGO-24h'!D29,'31.07 KIREKA-NAMUGONGO-24h'!D29,'30.07 KIREKA-NAMUGONGO'!D29)</f>
        <v>10.428571428571429</v>
      </c>
      <c r="E29" s="49">
        <f>AVERAGE('01.08 KIREKA-NAMUGONGO'!E29,'02.08 KIREKA-NAMUGONGO'!E29,'04.08 KIREKA-NAMUGONGO'!E29,'29.07 KIREKA-NAMUGONGO'!E29,'03.08 KIREKA-NAMUGONGO-24h'!E29,'31.07 KIREKA-NAMUGONGO-24h'!E29,'30.07 KIREKA-NAMUGONGO'!E29)</f>
        <v>4.7142857142857144</v>
      </c>
      <c r="F29" s="49">
        <f>AVERAGE('01.08 KIREKA-NAMUGONGO'!F29,'02.08 KIREKA-NAMUGONGO'!F29,'04.08 KIREKA-NAMUGONGO'!F29,'29.07 KIREKA-NAMUGONGO'!F29,'03.08 KIREKA-NAMUGONGO-24h'!F29,'31.07 KIREKA-NAMUGONGO-24h'!F29,'30.07 KIREKA-NAMUGONGO'!F29)</f>
        <v>15.285714285714286</v>
      </c>
      <c r="G29" s="49">
        <f>AVERAGE('01.08 KIREKA-NAMUGONGO'!G29,'02.08 KIREKA-NAMUGONGO'!G29,'04.08 KIREKA-NAMUGONGO'!G29,'29.07 KIREKA-NAMUGONGO'!G29,'03.08 KIREKA-NAMUGONGO-24h'!G29,'31.07 KIREKA-NAMUGONGO-24h'!G29,'30.07 KIREKA-NAMUGONGO'!G29)</f>
        <v>1.2857142857142858</v>
      </c>
      <c r="H29" s="49">
        <f>AVERAGE('01.08 KIREKA-NAMUGONGO'!H29,'02.08 KIREKA-NAMUGONGO'!H29,'04.08 KIREKA-NAMUGONGO'!H29,'29.07 KIREKA-NAMUGONGO'!H29,'03.08 KIREKA-NAMUGONGO-24h'!H29,'31.07 KIREKA-NAMUGONGO-24h'!H29,'30.07 KIREKA-NAMUGONGO'!H29)</f>
        <v>0.42857142857142855</v>
      </c>
      <c r="I29" s="49">
        <f>AVERAGE('01.08 KIREKA-NAMUGONGO'!I29,'02.08 KIREKA-NAMUGONGO'!I29,'04.08 KIREKA-NAMUGONGO'!I29,'29.07 KIREKA-NAMUGONGO'!I29,'03.08 KIREKA-NAMUGONGO-24h'!I29,'31.07 KIREKA-NAMUGONGO-24h'!I29,'30.07 KIREKA-NAMUGONGO'!I29)</f>
        <v>7</v>
      </c>
      <c r="J29" s="49">
        <f>AVERAGE('01.08 KIREKA-NAMUGONGO'!J29,'02.08 KIREKA-NAMUGONGO'!J29,'04.08 KIREKA-NAMUGONGO'!J29,'29.07 KIREKA-NAMUGONGO'!J29,'03.08 KIREKA-NAMUGONGO-24h'!J29,'31.07 KIREKA-NAMUGONGO-24h'!J29,'30.07 KIREKA-NAMUGONGO'!J29)</f>
        <v>1.8571428571428572</v>
      </c>
      <c r="K29" s="49">
        <f>AVERAGE('01.08 KIREKA-NAMUGONGO'!K29,'02.08 KIREKA-NAMUGONGO'!K29,'04.08 KIREKA-NAMUGONGO'!K29,'29.07 KIREKA-NAMUGONGO'!K29,'03.08 KIREKA-NAMUGONGO-24h'!K29,'31.07 KIREKA-NAMUGONGO-24h'!K29,'30.07 KIREKA-NAMUGONGO'!K29)</f>
        <v>2.8571428571428572</v>
      </c>
      <c r="L29" s="49">
        <f>AVERAGE('01.08 KIREKA-NAMUGONGO'!L29,'02.08 KIREKA-NAMUGONGO'!L29,'04.08 KIREKA-NAMUGONGO'!L29,'29.07 KIREKA-NAMUGONGO'!L29,'03.08 KIREKA-NAMUGONGO-24h'!L29,'31.07 KIREKA-NAMUGONGO-24h'!L29,'30.07 KIREKA-NAMUGONGO'!L29)</f>
        <v>0</v>
      </c>
      <c r="M29" s="49">
        <f>AVERAGE('01.08 KIREKA-NAMUGONGO'!M29,'02.08 KIREKA-NAMUGONGO'!M29,'04.08 KIREKA-NAMUGONGO'!M29,'29.07 KIREKA-NAMUGONGO'!M29,'03.08 KIREKA-NAMUGONGO-24h'!M29,'31.07 KIREKA-NAMUGONGO-24h'!M29,'30.07 KIREKA-NAMUGONGO'!M29)</f>
        <v>121.57142857142857</v>
      </c>
      <c r="N29" s="49">
        <f>AVERAGE('01.08 KIREKA-NAMUGONGO'!N29,'02.08 KIREKA-NAMUGONGO'!N29,'04.08 KIREKA-NAMUGONGO'!N29,'29.07 KIREKA-NAMUGONGO'!N29,'03.08 KIREKA-NAMUGONGO-24h'!N29,'31.07 KIREKA-NAMUGONGO-24h'!N29,'30.07 KIREKA-NAMUGONGO'!N29)</f>
        <v>0</v>
      </c>
      <c r="O29" s="15">
        <f t="shared" si="0"/>
        <v>92.142857142857167</v>
      </c>
      <c r="P29" s="15">
        <f t="shared" si="1"/>
        <v>213.71428571428572</v>
      </c>
      <c r="R29" s="1" t="s">
        <v>153</v>
      </c>
      <c r="S29" s="34">
        <f>SUM(C86:C89)</f>
        <v>29</v>
      </c>
      <c r="T29" s="34">
        <f t="shared" ref="T29:AF29" si="21">SUM(D86:D89)</f>
        <v>9</v>
      </c>
      <c r="U29" s="34">
        <f t="shared" si="21"/>
        <v>2</v>
      </c>
      <c r="V29" s="34">
        <f t="shared" si="21"/>
        <v>3.5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0.5</v>
      </c>
      <c r="AA29" s="34">
        <f t="shared" si="21"/>
        <v>0</v>
      </c>
      <c r="AB29" s="34">
        <f t="shared" si="21"/>
        <v>0</v>
      </c>
      <c r="AC29" s="34">
        <f t="shared" si="21"/>
        <v>36</v>
      </c>
      <c r="AD29" s="34">
        <f t="shared" si="21"/>
        <v>0</v>
      </c>
      <c r="AE29" s="51">
        <f t="shared" si="21"/>
        <v>44</v>
      </c>
      <c r="AF29" s="51">
        <f t="shared" si="21"/>
        <v>80</v>
      </c>
    </row>
    <row r="30" spans="2:32" ht="23.1" customHeight="1" x14ac:dyDescent="0.25">
      <c r="B30" s="23" t="s">
        <v>57</v>
      </c>
      <c r="C30" s="49">
        <f>AVERAGE('01.08 KIREKA-NAMUGONGO'!C30,'02.08 KIREKA-NAMUGONGO'!C30,'04.08 KIREKA-NAMUGONGO'!C30,'29.07 KIREKA-NAMUGONGO'!C30,'03.08 KIREKA-NAMUGONGO-24h'!C30,'31.07 KIREKA-NAMUGONGO-24h'!C30,'30.07 KIREKA-NAMUGONGO'!C30)</f>
        <v>47.857142857142854</v>
      </c>
      <c r="D30" s="49">
        <f>AVERAGE('01.08 KIREKA-NAMUGONGO'!D30,'02.08 KIREKA-NAMUGONGO'!D30,'04.08 KIREKA-NAMUGONGO'!D30,'29.07 KIREKA-NAMUGONGO'!D30,'03.08 KIREKA-NAMUGONGO-24h'!D30,'31.07 KIREKA-NAMUGONGO-24h'!D30,'30.07 KIREKA-NAMUGONGO'!D30)</f>
        <v>11.857142857142858</v>
      </c>
      <c r="E30" s="49">
        <f>AVERAGE('01.08 KIREKA-NAMUGONGO'!E30,'02.08 KIREKA-NAMUGONGO'!E30,'04.08 KIREKA-NAMUGONGO'!E30,'29.07 KIREKA-NAMUGONGO'!E30,'03.08 KIREKA-NAMUGONGO-24h'!E30,'31.07 KIREKA-NAMUGONGO-24h'!E30,'30.07 KIREKA-NAMUGONGO'!E30)</f>
        <v>7.2857142857142856</v>
      </c>
      <c r="F30" s="49">
        <f>AVERAGE('01.08 KIREKA-NAMUGONGO'!F30,'02.08 KIREKA-NAMUGONGO'!F30,'04.08 KIREKA-NAMUGONGO'!F30,'29.07 KIREKA-NAMUGONGO'!F30,'03.08 KIREKA-NAMUGONGO-24h'!F30,'31.07 KIREKA-NAMUGONGO-24h'!F30,'30.07 KIREKA-NAMUGONGO'!F30)</f>
        <v>11.571428571428571</v>
      </c>
      <c r="G30" s="49">
        <f>AVERAGE('01.08 KIREKA-NAMUGONGO'!G30,'02.08 KIREKA-NAMUGONGO'!G30,'04.08 KIREKA-NAMUGONGO'!G30,'29.07 KIREKA-NAMUGONGO'!G30,'03.08 KIREKA-NAMUGONGO-24h'!G30,'31.07 KIREKA-NAMUGONGO-24h'!G30,'30.07 KIREKA-NAMUGONGO'!G30)</f>
        <v>0</v>
      </c>
      <c r="H30" s="49">
        <f>AVERAGE('01.08 KIREKA-NAMUGONGO'!H30,'02.08 KIREKA-NAMUGONGO'!H30,'04.08 KIREKA-NAMUGONGO'!H30,'29.07 KIREKA-NAMUGONGO'!H30,'03.08 KIREKA-NAMUGONGO-24h'!H30,'31.07 KIREKA-NAMUGONGO-24h'!H30,'30.07 KIREKA-NAMUGONGO'!H30)</f>
        <v>0.7142857142857143</v>
      </c>
      <c r="I30" s="49">
        <f>AVERAGE('01.08 KIREKA-NAMUGONGO'!I30,'02.08 KIREKA-NAMUGONGO'!I30,'04.08 KIREKA-NAMUGONGO'!I30,'29.07 KIREKA-NAMUGONGO'!I30,'03.08 KIREKA-NAMUGONGO-24h'!I30,'31.07 KIREKA-NAMUGONGO-24h'!I30,'30.07 KIREKA-NAMUGONGO'!I30)</f>
        <v>10</v>
      </c>
      <c r="J30" s="49">
        <f>AVERAGE('01.08 KIREKA-NAMUGONGO'!J30,'02.08 KIREKA-NAMUGONGO'!J30,'04.08 KIREKA-NAMUGONGO'!J30,'29.07 KIREKA-NAMUGONGO'!J30,'03.08 KIREKA-NAMUGONGO-24h'!J30,'31.07 KIREKA-NAMUGONGO-24h'!J30,'30.07 KIREKA-NAMUGONGO'!J30)</f>
        <v>3.4285714285714284</v>
      </c>
      <c r="K30" s="49">
        <f>AVERAGE('01.08 KIREKA-NAMUGONGO'!K30,'02.08 KIREKA-NAMUGONGO'!K30,'04.08 KIREKA-NAMUGONGO'!K30,'29.07 KIREKA-NAMUGONGO'!K30,'03.08 KIREKA-NAMUGONGO-24h'!K30,'31.07 KIREKA-NAMUGONGO-24h'!K30,'30.07 KIREKA-NAMUGONGO'!K30)</f>
        <v>1</v>
      </c>
      <c r="L30" s="49">
        <f>AVERAGE('01.08 KIREKA-NAMUGONGO'!L30,'02.08 KIREKA-NAMUGONGO'!L30,'04.08 KIREKA-NAMUGONGO'!L30,'29.07 KIREKA-NAMUGONGO'!L30,'03.08 KIREKA-NAMUGONGO-24h'!L30,'31.07 KIREKA-NAMUGONGO-24h'!L30,'30.07 KIREKA-NAMUGONGO'!L30)</f>
        <v>0.2857142857142857</v>
      </c>
      <c r="M30" s="49">
        <f>AVERAGE('01.08 KIREKA-NAMUGONGO'!M30,'02.08 KIREKA-NAMUGONGO'!M30,'04.08 KIREKA-NAMUGONGO'!M30,'29.07 KIREKA-NAMUGONGO'!M30,'03.08 KIREKA-NAMUGONGO-24h'!M30,'31.07 KIREKA-NAMUGONGO-24h'!M30,'30.07 KIREKA-NAMUGONGO'!M30)</f>
        <v>116.71428571428571</v>
      </c>
      <c r="N30" s="49">
        <f>AVERAGE('01.08 KIREKA-NAMUGONGO'!N30,'02.08 KIREKA-NAMUGONGO'!N30,'04.08 KIREKA-NAMUGONGO'!N30,'29.07 KIREKA-NAMUGONGO'!N30,'03.08 KIREKA-NAMUGONGO-24h'!N30,'31.07 KIREKA-NAMUGONGO-24h'!N30,'30.07 KIREKA-NAMUGONGO'!N30)</f>
        <v>0.14285714285714285</v>
      </c>
      <c r="O30" s="15">
        <f t="shared" si="0"/>
        <v>94.142857142857139</v>
      </c>
      <c r="P30" s="15">
        <f t="shared" si="1"/>
        <v>210.85714285714286</v>
      </c>
      <c r="R30" s="1" t="s">
        <v>154</v>
      </c>
      <c r="S30" s="34">
        <f>SUM(C90:C93)</f>
        <v>28.5</v>
      </c>
      <c r="T30" s="34">
        <f t="shared" ref="T30:AF30" si="22">SUM(D90:D93)</f>
        <v>9.5</v>
      </c>
      <c r="U30" s="34">
        <f t="shared" si="22"/>
        <v>0.5</v>
      </c>
      <c r="V30" s="34">
        <f t="shared" si="22"/>
        <v>4.5</v>
      </c>
      <c r="W30" s="34">
        <f t="shared" si="22"/>
        <v>0</v>
      </c>
      <c r="X30" s="34">
        <f t="shared" si="22"/>
        <v>0</v>
      </c>
      <c r="Y30" s="34">
        <f t="shared" si="22"/>
        <v>1</v>
      </c>
      <c r="Z30" s="34">
        <f t="shared" si="22"/>
        <v>0.5</v>
      </c>
      <c r="AA30" s="34">
        <f t="shared" si="22"/>
        <v>0</v>
      </c>
      <c r="AB30" s="34">
        <f t="shared" si="22"/>
        <v>0</v>
      </c>
      <c r="AC30" s="34">
        <f t="shared" si="22"/>
        <v>30.5</v>
      </c>
      <c r="AD30" s="34">
        <f t="shared" si="22"/>
        <v>0</v>
      </c>
      <c r="AE30" s="51">
        <f t="shared" si="22"/>
        <v>44.5</v>
      </c>
      <c r="AF30" s="51">
        <f t="shared" si="22"/>
        <v>75</v>
      </c>
    </row>
    <row r="31" spans="2:32" ht="23.1" customHeight="1" x14ac:dyDescent="0.25">
      <c r="B31" s="24" t="s">
        <v>58</v>
      </c>
      <c r="C31" s="49">
        <f>AVERAGE('01.08 KIREKA-NAMUGONGO'!C31,'02.08 KIREKA-NAMUGONGO'!C31,'04.08 KIREKA-NAMUGONGO'!C31,'29.07 KIREKA-NAMUGONGO'!C31,'03.08 KIREKA-NAMUGONGO-24h'!C31,'31.07 KIREKA-NAMUGONGO-24h'!C31,'30.07 KIREKA-NAMUGONGO'!C31)</f>
        <v>44.571428571428569</v>
      </c>
      <c r="D31" s="49">
        <f>AVERAGE('01.08 KIREKA-NAMUGONGO'!D31,'02.08 KIREKA-NAMUGONGO'!D31,'04.08 KIREKA-NAMUGONGO'!D31,'29.07 KIREKA-NAMUGONGO'!D31,'03.08 KIREKA-NAMUGONGO-24h'!D31,'31.07 KIREKA-NAMUGONGO-24h'!D31,'30.07 KIREKA-NAMUGONGO'!D31)</f>
        <v>13</v>
      </c>
      <c r="E31" s="49">
        <f>AVERAGE('01.08 KIREKA-NAMUGONGO'!E31,'02.08 KIREKA-NAMUGONGO'!E31,'04.08 KIREKA-NAMUGONGO'!E31,'29.07 KIREKA-NAMUGONGO'!E31,'03.08 KIREKA-NAMUGONGO-24h'!E31,'31.07 KIREKA-NAMUGONGO-24h'!E31,'30.07 KIREKA-NAMUGONGO'!E31)</f>
        <v>6.1428571428571432</v>
      </c>
      <c r="F31" s="49">
        <f>AVERAGE('01.08 KIREKA-NAMUGONGO'!F31,'02.08 KIREKA-NAMUGONGO'!F31,'04.08 KIREKA-NAMUGONGO'!F31,'29.07 KIREKA-NAMUGONGO'!F31,'03.08 KIREKA-NAMUGONGO-24h'!F31,'31.07 KIREKA-NAMUGONGO-24h'!F31,'30.07 KIREKA-NAMUGONGO'!F31)</f>
        <v>13.714285714285714</v>
      </c>
      <c r="G31" s="49">
        <f>AVERAGE('01.08 KIREKA-NAMUGONGO'!G31,'02.08 KIREKA-NAMUGONGO'!G31,'04.08 KIREKA-NAMUGONGO'!G31,'29.07 KIREKA-NAMUGONGO'!G31,'03.08 KIREKA-NAMUGONGO-24h'!G31,'31.07 KIREKA-NAMUGONGO-24h'!G31,'30.07 KIREKA-NAMUGONGO'!G31)</f>
        <v>0.2857142857142857</v>
      </c>
      <c r="H31" s="49">
        <f>AVERAGE('01.08 KIREKA-NAMUGONGO'!H31,'02.08 KIREKA-NAMUGONGO'!H31,'04.08 KIREKA-NAMUGONGO'!H31,'29.07 KIREKA-NAMUGONGO'!H31,'03.08 KIREKA-NAMUGONGO-24h'!H31,'31.07 KIREKA-NAMUGONGO-24h'!H31,'30.07 KIREKA-NAMUGONGO'!H31)</f>
        <v>0</v>
      </c>
      <c r="I31" s="49">
        <f>AVERAGE('01.08 KIREKA-NAMUGONGO'!I31,'02.08 KIREKA-NAMUGONGO'!I31,'04.08 KIREKA-NAMUGONGO'!I31,'29.07 KIREKA-NAMUGONGO'!I31,'03.08 KIREKA-NAMUGONGO-24h'!I31,'31.07 KIREKA-NAMUGONGO-24h'!I31,'30.07 KIREKA-NAMUGONGO'!I31)</f>
        <v>6</v>
      </c>
      <c r="J31" s="49">
        <f>AVERAGE('01.08 KIREKA-NAMUGONGO'!J31,'02.08 KIREKA-NAMUGONGO'!J31,'04.08 KIREKA-NAMUGONGO'!J31,'29.07 KIREKA-NAMUGONGO'!J31,'03.08 KIREKA-NAMUGONGO-24h'!J31,'31.07 KIREKA-NAMUGONGO-24h'!J31,'30.07 KIREKA-NAMUGONGO'!J31)</f>
        <v>2.7142857142857144</v>
      </c>
      <c r="K31" s="49">
        <f>AVERAGE('01.08 KIREKA-NAMUGONGO'!K31,'02.08 KIREKA-NAMUGONGO'!K31,'04.08 KIREKA-NAMUGONGO'!K31,'29.07 KIREKA-NAMUGONGO'!K31,'03.08 KIREKA-NAMUGONGO-24h'!K31,'31.07 KIREKA-NAMUGONGO-24h'!K31,'30.07 KIREKA-NAMUGONGO'!K31)</f>
        <v>2</v>
      </c>
      <c r="L31" s="49">
        <f>AVERAGE('01.08 KIREKA-NAMUGONGO'!L31,'02.08 KIREKA-NAMUGONGO'!L31,'04.08 KIREKA-NAMUGONGO'!L31,'29.07 KIREKA-NAMUGONGO'!L31,'03.08 KIREKA-NAMUGONGO-24h'!L31,'31.07 KIREKA-NAMUGONGO-24h'!L31,'30.07 KIREKA-NAMUGONGO'!L31)</f>
        <v>0.5714285714285714</v>
      </c>
      <c r="M31" s="49">
        <f>AVERAGE('01.08 KIREKA-NAMUGONGO'!M31,'02.08 KIREKA-NAMUGONGO'!M31,'04.08 KIREKA-NAMUGONGO'!M31,'29.07 KIREKA-NAMUGONGO'!M31,'03.08 KIREKA-NAMUGONGO-24h'!M31,'31.07 KIREKA-NAMUGONGO-24h'!M31,'30.07 KIREKA-NAMUGONGO'!M31)</f>
        <v>121.85714285714286</v>
      </c>
      <c r="N31" s="49">
        <f>AVERAGE('01.08 KIREKA-NAMUGONGO'!N31,'02.08 KIREKA-NAMUGONGO'!N31,'04.08 KIREKA-NAMUGONGO'!N31,'29.07 KIREKA-NAMUGONGO'!N31,'03.08 KIREKA-NAMUGONGO-24h'!N31,'31.07 KIREKA-NAMUGONGO-24h'!N31,'30.07 KIREKA-NAMUGONGO'!N31)</f>
        <v>0</v>
      </c>
      <c r="O31" s="15">
        <f t="shared" si="0"/>
        <v>89</v>
      </c>
      <c r="P31" s="15">
        <f t="shared" si="1"/>
        <v>210.85714285714286</v>
      </c>
      <c r="R31" s="1" t="s">
        <v>155</v>
      </c>
      <c r="S31" s="34">
        <f>SUM(C94:C97)</f>
        <v>33</v>
      </c>
      <c r="T31" s="34">
        <f t="shared" ref="T31:AF31" si="23">SUM(D94:D97)</f>
        <v>11.5</v>
      </c>
      <c r="U31" s="34">
        <f t="shared" si="23"/>
        <v>2.5</v>
      </c>
      <c r="V31" s="34">
        <f t="shared" si="23"/>
        <v>16</v>
      </c>
      <c r="W31" s="34">
        <f t="shared" si="23"/>
        <v>0</v>
      </c>
      <c r="X31" s="34">
        <f t="shared" si="23"/>
        <v>0</v>
      </c>
      <c r="Y31" s="34">
        <f t="shared" si="23"/>
        <v>2</v>
      </c>
      <c r="Z31" s="34">
        <f t="shared" si="23"/>
        <v>1</v>
      </c>
      <c r="AA31" s="34">
        <f t="shared" si="23"/>
        <v>0</v>
      </c>
      <c r="AB31" s="34">
        <f t="shared" si="23"/>
        <v>0</v>
      </c>
      <c r="AC31" s="34">
        <f t="shared" si="23"/>
        <v>20</v>
      </c>
      <c r="AD31" s="34">
        <f t="shared" si="23"/>
        <v>0</v>
      </c>
      <c r="AE31" s="51">
        <f t="shared" si="23"/>
        <v>66</v>
      </c>
      <c r="AF31" s="51">
        <f t="shared" si="23"/>
        <v>86</v>
      </c>
    </row>
    <row r="32" spans="2:32" ht="23.1" customHeight="1" x14ac:dyDescent="0.25">
      <c r="B32" s="24" t="s">
        <v>59</v>
      </c>
      <c r="C32" s="49">
        <f>AVERAGE('01.08 KIREKA-NAMUGONGO'!C32,'02.08 KIREKA-NAMUGONGO'!C32,'04.08 KIREKA-NAMUGONGO'!C32,'29.07 KIREKA-NAMUGONGO'!C32,'03.08 KIREKA-NAMUGONGO-24h'!C32,'31.07 KIREKA-NAMUGONGO-24h'!C32,'30.07 KIREKA-NAMUGONGO'!C32)</f>
        <v>49.142857142857146</v>
      </c>
      <c r="D32" s="49">
        <f>AVERAGE('01.08 KIREKA-NAMUGONGO'!D32,'02.08 KIREKA-NAMUGONGO'!D32,'04.08 KIREKA-NAMUGONGO'!D32,'29.07 KIREKA-NAMUGONGO'!D32,'03.08 KIREKA-NAMUGONGO-24h'!D32,'31.07 KIREKA-NAMUGONGO-24h'!D32,'30.07 KIREKA-NAMUGONGO'!D32)</f>
        <v>14.571428571428571</v>
      </c>
      <c r="E32" s="49">
        <f>AVERAGE('01.08 KIREKA-NAMUGONGO'!E32,'02.08 KIREKA-NAMUGONGO'!E32,'04.08 KIREKA-NAMUGONGO'!E32,'29.07 KIREKA-NAMUGONGO'!E32,'03.08 KIREKA-NAMUGONGO-24h'!E32,'31.07 KIREKA-NAMUGONGO-24h'!E32,'30.07 KIREKA-NAMUGONGO'!E32)</f>
        <v>6.8571428571428568</v>
      </c>
      <c r="F32" s="49">
        <f>AVERAGE('01.08 KIREKA-NAMUGONGO'!F32,'02.08 KIREKA-NAMUGONGO'!F32,'04.08 KIREKA-NAMUGONGO'!F32,'29.07 KIREKA-NAMUGONGO'!F32,'03.08 KIREKA-NAMUGONGO-24h'!F32,'31.07 KIREKA-NAMUGONGO-24h'!F32,'30.07 KIREKA-NAMUGONGO'!F32)</f>
        <v>13.714285714285714</v>
      </c>
      <c r="G32" s="49">
        <f>AVERAGE('01.08 KIREKA-NAMUGONGO'!G32,'02.08 KIREKA-NAMUGONGO'!G32,'04.08 KIREKA-NAMUGONGO'!G32,'29.07 KIREKA-NAMUGONGO'!G32,'03.08 KIREKA-NAMUGONGO-24h'!G32,'31.07 KIREKA-NAMUGONGO-24h'!G32,'30.07 KIREKA-NAMUGONGO'!G32)</f>
        <v>0.14285714285714285</v>
      </c>
      <c r="H32" s="49">
        <f>AVERAGE('01.08 KIREKA-NAMUGONGO'!H32,'02.08 KIREKA-NAMUGONGO'!H32,'04.08 KIREKA-NAMUGONGO'!H32,'29.07 KIREKA-NAMUGONGO'!H32,'03.08 KIREKA-NAMUGONGO-24h'!H32,'31.07 KIREKA-NAMUGONGO-24h'!H32,'30.07 KIREKA-NAMUGONGO'!H32)</f>
        <v>0</v>
      </c>
      <c r="I32" s="49">
        <f>AVERAGE('01.08 KIREKA-NAMUGONGO'!I32,'02.08 KIREKA-NAMUGONGO'!I32,'04.08 KIREKA-NAMUGONGO'!I32,'29.07 KIREKA-NAMUGONGO'!I32,'03.08 KIREKA-NAMUGONGO-24h'!I32,'31.07 KIREKA-NAMUGONGO-24h'!I32,'30.07 KIREKA-NAMUGONGO'!I32)</f>
        <v>6.4285714285714288</v>
      </c>
      <c r="J32" s="49">
        <f>AVERAGE('01.08 KIREKA-NAMUGONGO'!J32,'02.08 KIREKA-NAMUGONGO'!J32,'04.08 KIREKA-NAMUGONGO'!J32,'29.07 KIREKA-NAMUGONGO'!J32,'03.08 KIREKA-NAMUGONGO-24h'!J32,'31.07 KIREKA-NAMUGONGO-24h'!J32,'30.07 KIREKA-NAMUGONGO'!J32)</f>
        <v>2.1428571428571428</v>
      </c>
      <c r="K32" s="49">
        <f>AVERAGE('01.08 KIREKA-NAMUGONGO'!K32,'02.08 KIREKA-NAMUGONGO'!K32,'04.08 KIREKA-NAMUGONGO'!K32,'29.07 KIREKA-NAMUGONGO'!K32,'03.08 KIREKA-NAMUGONGO-24h'!K32,'31.07 KIREKA-NAMUGONGO-24h'!K32,'30.07 KIREKA-NAMUGONGO'!K32)</f>
        <v>0.8571428571428571</v>
      </c>
      <c r="L32" s="49">
        <f>AVERAGE('01.08 KIREKA-NAMUGONGO'!L32,'02.08 KIREKA-NAMUGONGO'!L32,'04.08 KIREKA-NAMUGONGO'!L32,'29.07 KIREKA-NAMUGONGO'!L32,'03.08 KIREKA-NAMUGONGO-24h'!L32,'31.07 KIREKA-NAMUGONGO-24h'!L32,'30.07 KIREKA-NAMUGONGO'!L32)</f>
        <v>0.2857142857142857</v>
      </c>
      <c r="M32" s="49">
        <f>AVERAGE('01.08 KIREKA-NAMUGONGO'!M32,'02.08 KIREKA-NAMUGONGO'!M32,'04.08 KIREKA-NAMUGONGO'!M32,'29.07 KIREKA-NAMUGONGO'!M32,'03.08 KIREKA-NAMUGONGO-24h'!M32,'31.07 KIREKA-NAMUGONGO-24h'!M32,'30.07 KIREKA-NAMUGONGO'!M32)</f>
        <v>104.14285714285714</v>
      </c>
      <c r="N32" s="49">
        <f>AVERAGE('01.08 KIREKA-NAMUGONGO'!N32,'02.08 KIREKA-NAMUGONGO'!N32,'04.08 KIREKA-NAMUGONGO'!N32,'29.07 KIREKA-NAMUGONGO'!N32,'03.08 KIREKA-NAMUGONGO-24h'!N32,'31.07 KIREKA-NAMUGONGO-24h'!N32,'30.07 KIREKA-NAMUGONGO'!N32)</f>
        <v>0</v>
      </c>
      <c r="O32" s="15">
        <f t="shared" si="0"/>
        <v>94.142857142857139</v>
      </c>
      <c r="P32" s="15">
        <f t="shared" si="1"/>
        <v>198.28571428571428</v>
      </c>
      <c r="R32" s="1" t="s">
        <v>156</v>
      </c>
      <c r="S32" s="34">
        <f>SUM(C98:C101)</f>
        <v>25</v>
      </c>
      <c r="T32" s="34">
        <f t="shared" ref="T32:AF32" si="24">SUM(D98:D101)</f>
        <v>7.5</v>
      </c>
      <c r="U32" s="34">
        <f t="shared" si="24"/>
        <v>8</v>
      </c>
      <c r="V32" s="34">
        <f t="shared" si="24"/>
        <v>8</v>
      </c>
      <c r="W32" s="34">
        <f t="shared" si="24"/>
        <v>0</v>
      </c>
      <c r="X32" s="34">
        <f t="shared" si="24"/>
        <v>0</v>
      </c>
      <c r="Y32" s="34">
        <f t="shared" si="24"/>
        <v>1</v>
      </c>
      <c r="Z32" s="34">
        <f t="shared" si="24"/>
        <v>0.5</v>
      </c>
      <c r="AA32" s="34">
        <f t="shared" si="24"/>
        <v>1</v>
      </c>
      <c r="AB32" s="34">
        <f t="shared" si="24"/>
        <v>0</v>
      </c>
      <c r="AC32" s="34">
        <f t="shared" si="24"/>
        <v>36</v>
      </c>
      <c r="AD32" s="34">
        <f t="shared" si="24"/>
        <v>0</v>
      </c>
      <c r="AE32" s="51">
        <f t="shared" si="24"/>
        <v>51</v>
      </c>
      <c r="AF32" s="51">
        <f t="shared" si="24"/>
        <v>87</v>
      </c>
    </row>
    <row r="33" spans="2:32" ht="23.1" customHeight="1" x14ac:dyDescent="0.25">
      <c r="B33" s="23" t="s">
        <v>60</v>
      </c>
      <c r="C33" s="49">
        <f>AVERAGE('01.08 KIREKA-NAMUGONGO'!C33,'02.08 KIREKA-NAMUGONGO'!C33,'04.08 KIREKA-NAMUGONGO'!C33,'29.07 KIREKA-NAMUGONGO'!C33,'03.08 KIREKA-NAMUGONGO-24h'!C33,'31.07 KIREKA-NAMUGONGO-24h'!C33,'30.07 KIREKA-NAMUGONGO'!C33)</f>
        <v>48</v>
      </c>
      <c r="D33" s="49">
        <f>AVERAGE('01.08 KIREKA-NAMUGONGO'!D33,'02.08 KIREKA-NAMUGONGO'!D33,'04.08 KIREKA-NAMUGONGO'!D33,'29.07 KIREKA-NAMUGONGO'!D33,'03.08 KIREKA-NAMUGONGO-24h'!D33,'31.07 KIREKA-NAMUGONGO-24h'!D33,'30.07 KIREKA-NAMUGONGO'!D33)</f>
        <v>9.8571428571428577</v>
      </c>
      <c r="E33" s="49">
        <f>AVERAGE('01.08 KIREKA-NAMUGONGO'!E33,'02.08 KIREKA-NAMUGONGO'!E33,'04.08 KIREKA-NAMUGONGO'!E33,'29.07 KIREKA-NAMUGONGO'!E33,'03.08 KIREKA-NAMUGONGO-24h'!E33,'31.07 KIREKA-NAMUGONGO-24h'!E33,'30.07 KIREKA-NAMUGONGO'!E33)</f>
        <v>10.428571428571429</v>
      </c>
      <c r="F33" s="49">
        <f>AVERAGE('01.08 KIREKA-NAMUGONGO'!F33,'02.08 KIREKA-NAMUGONGO'!F33,'04.08 KIREKA-NAMUGONGO'!F33,'29.07 KIREKA-NAMUGONGO'!F33,'03.08 KIREKA-NAMUGONGO-24h'!F33,'31.07 KIREKA-NAMUGONGO-24h'!F33,'30.07 KIREKA-NAMUGONGO'!F33)</f>
        <v>13</v>
      </c>
      <c r="G33" s="49">
        <f>AVERAGE('01.08 KIREKA-NAMUGONGO'!G33,'02.08 KIREKA-NAMUGONGO'!G33,'04.08 KIREKA-NAMUGONGO'!G33,'29.07 KIREKA-NAMUGONGO'!G33,'03.08 KIREKA-NAMUGONGO-24h'!G33,'31.07 KIREKA-NAMUGONGO-24h'!G33,'30.07 KIREKA-NAMUGONGO'!G33)</f>
        <v>0.5714285714285714</v>
      </c>
      <c r="H33" s="49">
        <f>AVERAGE('01.08 KIREKA-NAMUGONGO'!H33,'02.08 KIREKA-NAMUGONGO'!H33,'04.08 KIREKA-NAMUGONGO'!H33,'29.07 KIREKA-NAMUGONGO'!H33,'03.08 KIREKA-NAMUGONGO-24h'!H33,'31.07 KIREKA-NAMUGONGO-24h'!H33,'30.07 KIREKA-NAMUGONGO'!H33)</f>
        <v>0.14285714285714285</v>
      </c>
      <c r="I33" s="49">
        <f>AVERAGE('01.08 KIREKA-NAMUGONGO'!I33,'02.08 KIREKA-NAMUGONGO'!I33,'04.08 KIREKA-NAMUGONGO'!I33,'29.07 KIREKA-NAMUGONGO'!I33,'03.08 KIREKA-NAMUGONGO-24h'!I33,'31.07 KIREKA-NAMUGONGO-24h'!I33,'30.07 KIREKA-NAMUGONGO'!I33)</f>
        <v>5.2857142857142856</v>
      </c>
      <c r="J33" s="49">
        <f>AVERAGE('01.08 KIREKA-NAMUGONGO'!J33,'02.08 KIREKA-NAMUGONGO'!J33,'04.08 KIREKA-NAMUGONGO'!J33,'29.07 KIREKA-NAMUGONGO'!J33,'03.08 KIREKA-NAMUGONGO-24h'!J33,'31.07 KIREKA-NAMUGONGO-24h'!J33,'30.07 KIREKA-NAMUGONGO'!J33)</f>
        <v>4</v>
      </c>
      <c r="K33" s="49">
        <f>AVERAGE('01.08 KIREKA-NAMUGONGO'!K33,'02.08 KIREKA-NAMUGONGO'!K33,'04.08 KIREKA-NAMUGONGO'!K33,'29.07 KIREKA-NAMUGONGO'!K33,'03.08 KIREKA-NAMUGONGO-24h'!K33,'31.07 KIREKA-NAMUGONGO-24h'!K33,'30.07 KIREKA-NAMUGONGO'!K33)</f>
        <v>2.2857142857142856</v>
      </c>
      <c r="L33" s="49">
        <f>AVERAGE('01.08 KIREKA-NAMUGONGO'!L33,'02.08 KIREKA-NAMUGONGO'!L33,'04.08 KIREKA-NAMUGONGO'!L33,'29.07 KIREKA-NAMUGONGO'!L33,'03.08 KIREKA-NAMUGONGO-24h'!L33,'31.07 KIREKA-NAMUGONGO-24h'!L33,'30.07 KIREKA-NAMUGONGO'!L33)</f>
        <v>0.2857142857142857</v>
      </c>
      <c r="M33" s="49">
        <f>AVERAGE('01.08 KIREKA-NAMUGONGO'!M33,'02.08 KIREKA-NAMUGONGO'!M33,'04.08 KIREKA-NAMUGONGO'!M33,'29.07 KIREKA-NAMUGONGO'!M33,'03.08 KIREKA-NAMUGONGO-24h'!M33,'31.07 KIREKA-NAMUGONGO-24h'!M33,'30.07 KIREKA-NAMUGONGO'!M33)</f>
        <v>109.71428571428571</v>
      </c>
      <c r="N33" s="49">
        <f>AVERAGE('01.08 KIREKA-NAMUGONGO'!N33,'02.08 KIREKA-NAMUGONGO'!N33,'04.08 KIREKA-NAMUGONGO'!N33,'29.07 KIREKA-NAMUGONGO'!N33,'03.08 KIREKA-NAMUGONGO-24h'!N33,'31.07 KIREKA-NAMUGONGO-24h'!N33,'30.07 KIREKA-NAMUGONGO'!N33)</f>
        <v>0</v>
      </c>
      <c r="O33" s="15">
        <f t="shared" si="0"/>
        <v>93.857142857142875</v>
      </c>
      <c r="P33" s="15">
        <f t="shared" si="1"/>
        <v>203.57142857142858</v>
      </c>
      <c r="R33" s="1" t="s">
        <v>157</v>
      </c>
      <c r="S33" s="34">
        <f>SUM(C102:C105)</f>
        <v>16.5</v>
      </c>
      <c r="T33" s="34">
        <f t="shared" ref="T33:AF33" si="25">SUM(D102:D105)</f>
        <v>2.5</v>
      </c>
      <c r="U33" s="34">
        <f t="shared" si="25"/>
        <v>2.5</v>
      </c>
      <c r="V33" s="34">
        <f t="shared" si="25"/>
        <v>12</v>
      </c>
      <c r="W33" s="34">
        <f t="shared" si="25"/>
        <v>0</v>
      </c>
      <c r="X33" s="34">
        <f t="shared" si="25"/>
        <v>0.5</v>
      </c>
      <c r="Y33" s="34">
        <f t="shared" si="25"/>
        <v>1.5</v>
      </c>
      <c r="Z33" s="34">
        <f t="shared" si="25"/>
        <v>0.5</v>
      </c>
      <c r="AA33" s="34">
        <f t="shared" si="25"/>
        <v>0.5</v>
      </c>
      <c r="AB33" s="34">
        <f t="shared" si="25"/>
        <v>0</v>
      </c>
      <c r="AC33" s="34">
        <f t="shared" si="25"/>
        <v>71</v>
      </c>
      <c r="AD33" s="34">
        <f t="shared" si="25"/>
        <v>0</v>
      </c>
      <c r="AE33" s="51">
        <f t="shared" si="25"/>
        <v>36.5</v>
      </c>
      <c r="AF33" s="51">
        <f t="shared" si="25"/>
        <v>107.5</v>
      </c>
    </row>
    <row r="34" spans="2:32" ht="23.1" customHeight="1" x14ac:dyDescent="0.25">
      <c r="B34" s="24" t="s">
        <v>61</v>
      </c>
      <c r="C34" s="49">
        <f>AVERAGE('01.08 KIREKA-NAMUGONGO'!C34,'02.08 KIREKA-NAMUGONGO'!C34,'04.08 KIREKA-NAMUGONGO'!C34,'29.07 KIREKA-NAMUGONGO'!C34,'03.08 KIREKA-NAMUGONGO-24h'!C34,'31.07 KIREKA-NAMUGONGO-24h'!C34,'30.07 KIREKA-NAMUGONGO'!C34)</f>
        <v>51.857142857142854</v>
      </c>
      <c r="D34" s="49">
        <f>AVERAGE('01.08 KIREKA-NAMUGONGO'!D34,'02.08 KIREKA-NAMUGONGO'!D34,'04.08 KIREKA-NAMUGONGO'!D34,'29.07 KIREKA-NAMUGONGO'!D34,'03.08 KIREKA-NAMUGONGO-24h'!D34,'31.07 KIREKA-NAMUGONGO-24h'!D34,'30.07 KIREKA-NAMUGONGO'!D34)</f>
        <v>15.285714285714286</v>
      </c>
      <c r="E34" s="49">
        <f>AVERAGE('01.08 KIREKA-NAMUGONGO'!E34,'02.08 KIREKA-NAMUGONGO'!E34,'04.08 KIREKA-NAMUGONGO'!E34,'29.07 KIREKA-NAMUGONGO'!E34,'03.08 KIREKA-NAMUGONGO-24h'!E34,'31.07 KIREKA-NAMUGONGO-24h'!E34,'30.07 KIREKA-NAMUGONGO'!E34)</f>
        <v>9</v>
      </c>
      <c r="F34" s="49">
        <f>AVERAGE('01.08 KIREKA-NAMUGONGO'!F34,'02.08 KIREKA-NAMUGONGO'!F34,'04.08 KIREKA-NAMUGONGO'!F34,'29.07 KIREKA-NAMUGONGO'!F34,'03.08 KIREKA-NAMUGONGO-24h'!F34,'31.07 KIREKA-NAMUGONGO-24h'!F34,'30.07 KIREKA-NAMUGONGO'!F34)</f>
        <v>14.714285714285714</v>
      </c>
      <c r="G34" s="49">
        <f>AVERAGE('01.08 KIREKA-NAMUGONGO'!G34,'02.08 KIREKA-NAMUGONGO'!G34,'04.08 KIREKA-NAMUGONGO'!G34,'29.07 KIREKA-NAMUGONGO'!G34,'03.08 KIREKA-NAMUGONGO-24h'!G34,'31.07 KIREKA-NAMUGONGO-24h'!G34,'30.07 KIREKA-NAMUGONGO'!G34)</f>
        <v>0</v>
      </c>
      <c r="H34" s="49">
        <f>AVERAGE('01.08 KIREKA-NAMUGONGO'!H34,'02.08 KIREKA-NAMUGONGO'!H34,'04.08 KIREKA-NAMUGONGO'!H34,'29.07 KIREKA-NAMUGONGO'!H34,'03.08 KIREKA-NAMUGONGO-24h'!H34,'31.07 KIREKA-NAMUGONGO-24h'!H34,'30.07 KIREKA-NAMUGONGO'!H34)</f>
        <v>0.14285714285714285</v>
      </c>
      <c r="I34" s="49">
        <f>AVERAGE('01.08 KIREKA-NAMUGONGO'!I34,'02.08 KIREKA-NAMUGONGO'!I34,'04.08 KIREKA-NAMUGONGO'!I34,'29.07 KIREKA-NAMUGONGO'!I34,'03.08 KIREKA-NAMUGONGO-24h'!I34,'31.07 KIREKA-NAMUGONGO-24h'!I34,'30.07 KIREKA-NAMUGONGO'!I34)</f>
        <v>5.5714285714285712</v>
      </c>
      <c r="J34" s="49">
        <f>AVERAGE('01.08 KIREKA-NAMUGONGO'!J34,'02.08 KIREKA-NAMUGONGO'!J34,'04.08 KIREKA-NAMUGONGO'!J34,'29.07 KIREKA-NAMUGONGO'!J34,'03.08 KIREKA-NAMUGONGO-24h'!J34,'31.07 KIREKA-NAMUGONGO-24h'!J34,'30.07 KIREKA-NAMUGONGO'!J34)</f>
        <v>3.4285714285714284</v>
      </c>
      <c r="K34" s="49">
        <f>AVERAGE('01.08 KIREKA-NAMUGONGO'!K34,'02.08 KIREKA-NAMUGONGO'!K34,'04.08 KIREKA-NAMUGONGO'!K34,'29.07 KIREKA-NAMUGONGO'!K34,'03.08 KIREKA-NAMUGONGO-24h'!K34,'31.07 KIREKA-NAMUGONGO-24h'!K34,'30.07 KIREKA-NAMUGONGO'!K34)</f>
        <v>1.7142857142857142</v>
      </c>
      <c r="L34" s="49">
        <f>AVERAGE('01.08 KIREKA-NAMUGONGO'!L34,'02.08 KIREKA-NAMUGONGO'!L34,'04.08 KIREKA-NAMUGONGO'!L34,'29.07 KIREKA-NAMUGONGO'!L34,'03.08 KIREKA-NAMUGONGO-24h'!L34,'31.07 KIREKA-NAMUGONGO-24h'!L34,'30.07 KIREKA-NAMUGONGO'!L34)</f>
        <v>0</v>
      </c>
      <c r="M34" s="49">
        <f>AVERAGE('01.08 KIREKA-NAMUGONGO'!M34,'02.08 KIREKA-NAMUGONGO'!M34,'04.08 KIREKA-NAMUGONGO'!M34,'29.07 KIREKA-NAMUGONGO'!M34,'03.08 KIREKA-NAMUGONGO-24h'!M34,'31.07 KIREKA-NAMUGONGO-24h'!M34,'30.07 KIREKA-NAMUGONGO'!M34)</f>
        <v>110.57142857142857</v>
      </c>
      <c r="N34" s="49">
        <f>AVERAGE('01.08 KIREKA-NAMUGONGO'!N34,'02.08 KIREKA-NAMUGONGO'!N34,'04.08 KIREKA-NAMUGONGO'!N34,'29.07 KIREKA-NAMUGONGO'!N34,'03.08 KIREKA-NAMUGONGO-24h'!N34,'31.07 KIREKA-NAMUGONGO-24h'!N34,'30.07 KIREKA-NAMUGONGO'!N34)</f>
        <v>0</v>
      </c>
      <c r="O34" s="15">
        <f t="shared" si="0"/>
        <v>101.71428571428569</v>
      </c>
      <c r="P34" s="15">
        <f t="shared" si="1"/>
        <v>212.28571428571428</v>
      </c>
      <c r="R34" s="38" t="s">
        <v>90</v>
      </c>
      <c r="S34" s="39">
        <f t="shared" ref="S34:AF34" si="26">MAX(S10:S12)</f>
        <v>133.42857142857144</v>
      </c>
      <c r="T34" s="39">
        <f t="shared" si="26"/>
        <v>29.285714285714288</v>
      </c>
      <c r="U34" s="39">
        <f t="shared" si="26"/>
        <v>21.714285714285715</v>
      </c>
      <c r="V34" s="39">
        <f t="shared" si="26"/>
        <v>59.142857142857139</v>
      </c>
      <c r="W34" s="39">
        <f t="shared" si="26"/>
        <v>1.714285714285714</v>
      </c>
      <c r="X34" s="39">
        <f t="shared" si="26"/>
        <v>2.4285714285714284</v>
      </c>
      <c r="Y34" s="39">
        <f t="shared" si="26"/>
        <v>18.285714285714285</v>
      </c>
      <c r="Z34" s="39">
        <f t="shared" si="26"/>
        <v>4.8571428571428577</v>
      </c>
      <c r="AA34" s="39">
        <f t="shared" si="26"/>
        <v>3.1428571428571428</v>
      </c>
      <c r="AB34" s="39">
        <f t="shared" si="26"/>
        <v>1.4285714285714284</v>
      </c>
      <c r="AC34" s="39">
        <f t="shared" si="26"/>
        <v>451.28571428571428</v>
      </c>
      <c r="AD34" s="39">
        <f t="shared" si="26"/>
        <v>0</v>
      </c>
      <c r="AE34" s="40">
        <f t="shared" si="26"/>
        <v>264</v>
      </c>
      <c r="AF34" s="40">
        <f t="shared" si="26"/>
        <v>715.28571428571422</v>
      </c>
    </row>
    <row r="35" spans="2:32" ht="23.1" customHeight="1" x14ac:dyDescent="0.25">
      <c r="B35" s="24" t="s">
        <v>62</v>
      </c>
      <c r="C35" s="49">
        <f>AVERAGE('01.08 KIREKA-NAMUGONGO'!C35,'02.08 KIREKA-NAMUGONGO'!C35,'04.08 KIREKA-NAMUGONGO'!C35,'29.07 KIREKA-NAMUGONGO'!C35,'03.08 KIREKA-NAMUGONGO-24h'!C35,'31.07 KIREKA-NAMUGONGO-24h'!C35,'30.07 KIREKA-NAMUGONGO'!C35)</f>
        <v>45.285714285714285</v>
      </c>
      <c r="D35" s="49">
        <f>AVERAGE('01.08 KIREKA-NAMUGONGO'!D35,'02.08 KIREKA-NAMUGONGO'!D35,'04.08 KIREKA-NAMUGONGO'!D35,'29.07 KIREKA-NAMUGONGO'!D35,'03.08 KIREKA-NAMUGONGO-24h'!D35,'31.07 KIREKA-NAMUGONGO-24h'!D35,'30.07 KIREKA-NAMUGONGO'!D35)</f>
        <v>11.428571428571429</v>
      </c>
      <c r="E35" s="49">
        <f>AVERAGE('01.08 KIREKA-NAMUGONGO'!E35,'02.08 KIREKA-NAMUGONGO'!E35,'04.08 KIREKA-NAMUGONGO'!E35,'29.07 KIREKA-NAMUGONGO'!E35,'03.08 KIREKA-NAMUGONGO-24h'!E35,'31.07 KIREKA-NAMUGONGO-24h'!E35,'30.07 KIREKA-NAMUGONGO'!E35)</f>
        <v>7.7142857142857144</v>
      </c>
      <c r="F35" s="49">
        <f>AVERAGE('01.08 KIREKA-NAMUGONGO'!F35,'02.08 KIREKA-NAMUGONGO'!F35,'04.08 KIREKA-NAMUGONGO'!F35,'29.07 KIREKA-NAMUGONGO'!F35,'03.08 KIREKA-NAMUGONGO-24h'!F35,'31.07 KIREKA-NAMUGONGO-24h'!F35,'30.07 KIREKA-NAMUGONGO'!F35)</f>
        <v>12.428571428571429</v>
      </c>
      <c r="G35" s="49">
        <f>AVERAGE('01.08 KIREKA-NAMUGONGO'!G35,'02.08 KIREKA-NAMUGONGO'!G35,'04.08 KIREKA-NAMUGONGO'!G35,'29.07 KIREKA-NAMUGONGO'!G35,'03.08 KIREKA-NAMUGONGO-24h'!G35,'31.07 KIREKA-NAMUGONGO-24h'!G35,'30.07 KIREKA-NAMUGONGO'!G35)</f>
        <v>0.42857142857142855</v>
      </c>
      <c r="H35" s="49">
        <f>AVERAGE('01.08 KIREKA-NAMUGONGO'!H35,'02.08 KIREKA-NAMUGONGO'!H35,'04.08 KIREKA-NAMUGONGO'!H35,'29.07 KIREKA-NAMUGONGO'!H35,'03.08 KIREKA-NAMUGONGO-24h'!H35,'31.07 KIREKA-NAMUGONGO-24h'!H35,'30.07 KIREKA-NAMUGONGO'!H35)</f>
        <v>0</v>
      </c>
      <c r="I35" s="49">
        <f>AVERAGE('01.08 KIREKA-NAMUGONGO'!I35,'02.08 KIREKA-NAMUGONGO'!I35,'04.08 KIREKA-NAMUGONGO'!I35,'29.07 KIREKA-NAMUGONGO'!I35,'03.08 KIREKA-NAMUGONGO-24h'!I35,'31.07 KIREKA-NAMUGONGO-24h'!I35,'30.07 KIREKA-NAMUGONGO'!I35)</f>
        <v>6.7142857142857144</v>
      </c>
      <c r="J35" s="49">
        <f>AVERAGE('01.08 KIREKA-NAMUGONGO'!J35,'02.08 KIREKA-NAMUGONGO'!J35,'04.08 KIREKA-NAMUGONGO'!J35,'29.07 KIREKA-NAMUGONGO'!J35,'03.08 KIREKA-NAMUGONGO-24h'!J35,'31.07 KIREKA-NAMUGONGO-24h'!J35,'30.07 KIREKA-NAMUGONGO'!J35)</f>
        <v>3.7142857142857144</v>
      </c>
      <c r="K35" s="49">
        <f>AVERAGE('01.08 KIREKA-NAMUGONGO'!K35,'02.08 KIREKA-NAMUGONGO'!K35,'04.08 KIREKA-NAMUGONGO'!K35,'29.07 KIREKA-NAMUGONGO'!K35,'03.08 KIREKA-NAMUGONGO-24h'!K35,'31.07 KIREKA-NAMUGONGO-24h'!K35,'30.07 KIREKA-NAMUGONGO'!K35)</f>
        <v>1.2857142857142858</v>
      </c>
      <c r="L35" s="49">
        <f>AVERAGE('01.08 KIREKA-NAMUGONGO'!L35,'02.08 KIREKA-NAMUGONGO'!L35,'04.08 KIREKA-NAMUGONGO'!L35,'29.07 KIREKA-NAMUGONGO'!L35,'03.08 KIREKA-NAMUGONGO-24h'!L35,'31.07 KIREKA-NAMUGONGO-24h'!L35,'30.07 KIREKA-NAMUGONGO'!L35)</f>
        <v>0.14285714285714285</v>
      </c>
      <c r="M35" s="49">
        <f>AVERAGE('01.08 KIREKA-NAMUGONGO'!M35,'02.08 KIREKA-NAMUGONGO'!M35,'04.08 KIREKA-NAMUGONGO'!M35,'29.07 KIREKA-NAMUGONGO'!M35,'03.08 KIREKA-NAMUGONGO-24h'!M35,'31.07 KIREKA-NAMUGONGO-24h'!M35,'30.07 KIREKA-NAMUGONGO'!M35)</f>
        <v>112</v>
      </c>
      <c r="N35" s="49">
        <f>AVERAGE('01.08 KIREKA-NAMUGONGO'!N35,'02.08 KIREKA-NAMUGONGO'!N35,'04.08 KIREKA-NAMUGONGO'!N35,'29.07 KIREKA-NAMUGONGO'!N35,'03.08 KIREKA-NAMUGONGO-24h'!N35,'31.07 KIREKA-NAMUGONGO-24h'!N35,'30.07 KIREKA-NAMUGONGO'!N35)</f>
        <v>0</v>
      </c>
      <c r="O35" s="15">
        <f t="shared" si="0"/>
        <v>89.142857142857139</v>
      </c>
      <c r="P35" s="15">
        <f t="shared" si="1"/>
        <v>201.14285714285714</v>
      </c>
      <c r="R35" s="38" t="s">
        <v>91</v>
      </c>
      <c r="S35" s="39">
        <f t="shared" ref="S35:AF35" si="27">MAX(S13:S18)</f>
        <v>228.57142857142858</v>
      </c>
      <c r="T35" s="39">
        <f t="shared" si="27"/>
        <v>72.428571428571431</v>
      </c>
      <c r="U35" s="39">
        <f t="shared" si="27"/>
        <v>33.714285714285715</v>
      </c>
      <c r="V35" s="39">
        <f t="shared" si="27"/>
        <v>62.285714285714285</v>
      </c>
      <c r="W35" s="39">
        <f t="shared" si="27"/>
        <v>4.1428571428571423</v>
      </c>
      <c r="X35" s="39">
        <f t="shared" si="27"/>
        <v>2.4285714285714284</v>
      </c>
      <c r="Y35" s="39">
        <f t="shared" si="27"/>
        <v>28.428571428571431</v>
      </c>
      <c r="Z35" s="39">
        <f t="shared" si="27"/>
        <v>12.285714285714285</v>
      </c>
      <c r="AA35" s="39">
        <f t="shared" si="27"/>
        <v>7.1428571428571423</v>
      </c>
      <c r="AB35" s="39">
        <f t="shared" si="27"/>
        <v>1.5714285714285712</v>
      </c>
      <c r="AC35" s="39">
        <f t="shared" si="27"/>
        <v>492.71428571428567</v>
      </c>
      <c r="AD35" s="39">
        <f t="shared" si="27"/>
        <v>0.14285714285714285</v>
      </c>
      <c r="AE35" s="40">
        <f t="shared" si="27"/>
        <v>432.28571428571428</v>
      </c>
      <c r="AF35" s="40">
        <f t="shared" si="27"/>
        <v>888.28571428571422</v>
      </c>
    </row>
    <row r="36" spans="2:32" ht="23.1" customHeight="1" x14ac:dyDescent="0.25">
      <c r="B36" s="24" t="s">
        <v>63</v>
      </c>
      <c r="C36" s="49">
        <f>AVERAGE('01.08 KIREKA-NAMUGONGO'!C36,'02.08 KIREKA-NAMUGONGO'!C36,'04.08 KIREKA-NAMUGONGO'!C36,'29.07 KIREKA-NAMUGONGO'!C36,'03.08 KIREKA-NAMUGONGO-24h'!C36,'31.07 KIREKA-NAMUGONGO-24h'!C36,'30.07 KIREKA-NAMUGONGO'!C36)</f>
        <v>53.714285714285715</v>
      </c>
      <c r="D36" s="49">
        <f>AVERAGE('01.08 KIREKA-NAMUGONGO'!D36,'02.08 KIREKA-NAMUGONGO'!D36,'04.08 KIREKA-NAMUGONGO'!D36,'29.07 KIREKA-NAMUGONGO'!D36,'03.08 KIREKA-NAMUGONGO-24h'!D36,'31.07 KIREKA-NAMUGONGO-24h'!D36,'30.07 KIREKA-NAMUGONGO'!D36)</f>
        <v>11.714285714285714</v>
      </c>
      <c r="E36" s="49">
        <f>AVERAGE('01.08 KIREKA-NAMUGONGO'!E36,'02.08 KIREKA-NAMUGONGO'!E36,'04.08 KIREKA-NAMUGONGO'!E36,'29.07 KIREKA-NAMUGONGO'!E36,'03.08 KIREKA-NAMUGONGO-24h'!E36,'31.07 KIREKA-NAMUGONGO-24h'!E36,'30.07 KIREKA-NAMUGONGO'!E36)</f>
        <v>9.2857142857142865</v>
      </c>
      <c r="F36" s="49">
        <f>AVERAGE('01.08 KIREKA-NAMUGONGO'!F36,'02.08 KIREKA-NAMUGONGO'!F36,'04.08 KIREKA-NAMUGONGO'!F36,'29.07 KIREKA-NAMUGONGO'!F36,'03.08 KIREKA-NAMUGONGO-24h'!F36,'31.07 KIREKA-NAMUGONGO-24h'!F36,'30.07 KIREKA-NAMUGONGO'!F36)</f>
        <v>15.571428571428571</v>
      </c>
      <c r="G36" s="49">
        <f>AVERAGE('01.08 KIREKA-NAMUGONGO'!G36,'02.08 KIREKA-NAMUGONGO'!G36,'04.08 KIREKA-NAMUGONGO'!G36,'29.07 KIREKA-NAMUGONGO'!G36,'03.08 KIREKA-NAMUGONGO-24h'!G36,'31.07 KIREKA-NAMUGONGO-24h'!G36,'30.07 KIREKA-NAMUGONGO'!G36)</f>
        <v>0</v>
      </c>
      <c r="H36" s="49">
        <f>AVERAGE('01.08 KIREKA-NAMUGONGO'!H36,'02.08 KIREKA-NAMUGONGO'!H36,'04.08 KIREKA-NAMUGONGO'!H36,'29.07 KIREKA-NAMUGONGO'!H36,'03.08 KIREKA-NAMUGONGO-24h'!H36,'31.07 KIREKA-NAMUGONGO-24h'!H36,'30.07 KIREKA-NAMUGONGO'!H36)</f>
        <v>0</v>
      </c>
      <c r="I36" s="49">
        <f>AVERAGE('01.08 KIREKA-NAMUGONGO'!I36,'02.08 KIREKA-NAMUGONGO'!I36,'04.08 KIREKA-NAMUGONGO'!I36,'29.07 KIREKA-NAMUGONGO'!I36,'03.08 KIREKA-NAMUGONGO-24h'!I36,'31.07 KIREKA-NAMUGONGO-24h'!I36,'30.07 KIREKA-NAMUGONGO'!I36)</f>
        <v>5.4285714285714288</v>
      </c>
      <c r="J36" s="49">
        <f>AVERAGE('01.08 KIREKA-NAMUGONGO'!J36,'02.08 KIREKA-NAMUGONGO'!J36,'04.08 KIREKA-NAMUGONGO'!J36,'29.07 KIREKA-NAMUGONGO'!J36,'03.08 KIREKA-NAMUGONGO-24h'!J36,'31.07 KIREKA-NAMUGONGO-24h'!J36,'30.07 KIREKA-NAMUGONGO'!J36)</f>
        <v>1.8571428571428572</v>
      </c>
      <c r="K36" s="49">
        <f>AVERAGE('01.08 KIREKA-NAMUGONGO'!K36,'02.08 KIREKA-NAMUGONGO'!K36,'04.08 KIREKA-NAMUGONGO'!K36,'29.07 KIREKA-NAMUGONGO'!K36,'03.08 KIREKA-NAMUGONGO-24h'!K36,'31.07 KIREKA-NAMUGONGO-24h'!K36,'30.07 KIREKA-NAMUGONGO'!K36)</f>
        <v>0.7142857142857143</v>
      </c>
      <c r="L36" s="49">
        <f>AVERAGE('01.08 KIREKA-NAMUGONGO'!L36,'02.08 KIREKA-NAMUGONGO'!L36,'04.08 KIREKA-NAMUGONGO'!L36,'29.07 KIREKA-NAMUGONGO'!L36,'03.08 KIREKA-NAMUGONGO-24h'!L36,'31.07 KIREKA-NAMUGONGO-24h'!L36,'30.07 KIREKA-NAMUGONGO'!L36)</f>
        <v>0.14285714285714285</v>
      </c>
      <c r="M36" s="49">
        <f>AVERAGE('01.08 KIREKA-NAMUGONGO'!M36,'02.08 KIREKA-NAMUGONGO'!M36,'04.08 KIREKA-NAMUGONGO'!M36,'29.07 KIREKA-NAMUGONGO'!M36,'03.08 KIREKA-NAMUGONGO-24h'!M36,'31.07 KIREKA-NAMUGONGO-24h'!M36,'30.07 KIREKA-NAMUGONGO'!M36)</f>
        <v>104.28571428571429</v>
      </c>
      <c r="N36" s="49">
        <f>AVERAGE('01.08 KIREKA-NAMUGONGO'!N36,'02.08 KIREKA-NAMUGONGO'!N36,'04.08 KIREKA-NAMUGONGO'!N36,'29.07 KIREKA-NAMUGONGO'!N36,'03.08 KIREKA-NAMUGONGO-24h'!N36,'31.07 KIREKA-NAMUGONGO-24h'!N36,'30.07 KIREKA-NAMUGONGO'!N36)</f>
        <v>0</v>
      </c>
      <c r="O36" s="15">
        <f t="shared" si="0"/>
        <v>98.428571428571431</v>
      </c>
      <c r="P36" s="15">
        <f t="shared" si="1"/>
        <v>202.71428571428572</v>
      </c>
      <c r="R36" s="38" t="s">
        <v>92</v>
      </c>
      <c r="S36" s="39">
        <f t="shared" ref="S36:AF36" si="28">MAX(S19:S21)</f>
        <v>373.57142857142856</v>
      </c>
      <c r="T36" s="39">
        <f t="shared" si="28"/>
        <v>104.42857142857144</v>
      </c>
      <c r="U36" s="39">
        <f t="shared" si="28"/>
        <v>54.571428571428569</v>
      </c>
      <c r="V36" s="39">
        <f t="shared" si="28"/>
        <v>91.428571428571431</v>
      </c>
      <c r="W36" s="39">
        <f t="shared" si="28"/>
        <v>9.7142857142857135</v>
      </c>
      <c r="X36" s="39">
        <f t="shared" si="28"/>
        <v>1.7142857142857142</v>
      </c>
      <c r="Y36" s="39">
        <f t="shared" si="28"/>
        <v>25.428571428571427</v>
      </c>
      <c r="Z36" s="39">
        <f t="shared" si="28"/>
        <v>7.7142857142857144</v>
      </c>
      <c r="AA36" s="39">
        <f t="shared" si="28"/>
        <v>4.7142857142857144</v>
      </c>
      <c r="AB36" s="39">
        <f t="shared" si="28"/>
        <v>47.142857142857139</v>
      </c>
      <c r="AC36" s="39">
        <f t="shared" si="28"/>
        <v>549</v>
      </c>
      <c r="AD36" s="39">
        <f t="shared" si="28"/>
        <v>0.14285714285714285</v>
      </c>
      <c r="AE36" s="40">
        <f t="shared" si="28"/>
        <v>695.42857142857133</v>
      </c>
      <c r="AF36" s="40">
        <f t="shared" si="28"/>
        <v>1244.4285714285713</v>
      </c>
    </row>
    <row r="37" spans="2:32" ht="23.1" customHeight="1" x14ac:dyDescent="0.25">
      <c r="B37" s="23" t="s">
        <v>64</v>
      </c>
      <c r="C37" s="49">
        <f>AVERAGE('01.08 KIREKA-NAMUGONGO'!C37,'02.08 KIREKA-NAMUGONGO'!C37,'04.08 KIREKA-NAMUGONGO'!C37,'29.07 KIREKA-NAMUGONGO'!C37,'03.08 KIREKA-NAMUGONGO-24h'!C37,'31.07 KIREKA-NAMUGONGO-24h'!C37,'30.07 KIREKA-NAMUGONGO'!C37)</f>
        <v>59.714285714285715</v>
      </c>
      <c r="D37" s="49">
        <f>AVERAGE('01.08 KIREKA-NAMUGONGO'!D37,'02.08 KIREKA-NAMUGONGO'!D37,'04.08 KIREKA-NAMUGONGO'!D37,'29.07 KIREKA-NAMUGONGO'!D37,'03.08 KIREKA-NAMUGONGO-24h'!D37,'31.07 KIREKA-NAMUGONGO-24h'!D37,'30.07 KIREKA-NAMUGONGO'!D37)</f>
        <v>13.714285714285714</v>
      </c>
      <c r="E37" s="49">
        <f>AVERAGE('01.08 KIREKA-NAMUGONGO'!E37,'02.08 KIREKA-NAMUGONGO'!E37,'04.08 KIREKA-NAMUGONGO'!E37,'29.07 KIREKA-NAMUGONGO'!E37,'03.08 KIREKA-NAMUGONGO-24h'!E37,'31.07 KIREKA-NAMUGONGO-24h'!E37,'30.07 KIREKA-NAMUGONGO'!E37)</f>
        <v>7.7142857142857144</v>
      </c>
      <c r="F37" s="49">
        <f>AVERAGE('01.08 KIREKA-NAMUGONGO'!F37,'02.08 KIREKA-NAMUGONGO'!F37,'04.08 KIREKA-NAMUGONGO'!F37,'29.07 KIREKA-NAMUGONGO'!F37,'03.08 KIREKA-NAMUGONGO-24h'!F37,'31.07 KIREKA-NAMUGONGO-24h'!F37,'30.07 KIREKA-NAMUGONGO'!F37)</f>
        <v>14.714285714285714</v>
      </c>
      <c r="G37" s="49">
        <f>AVERAGE('01.08 KIREKA-NAMUGONGO'!G37,'02.08 KIREKA-NAMUGONGO'!G37,'04.08 KIREKA-NAMUGONGO'!G37,'29.07 KIREKA-NAMUGONGO'!G37,'03.08 KIREKA-NAMUGONGO-24h'!G37,'31.07 KIREKA-NAMUGONGO-24h'!G37,'30.07 KIREKA-NAMUGONGO'!G37)</f>
        <v>1.8571428571428572</v>
      </c>
      <c r="H37" s="49">
        <f>AVERAGE('01.08 KIREKA-NAMUGONGO'!H37,'02.08 KIREKA-NAMUGONGO'!H37,'04.08 KIREKA-NAMUGONGO'!H37,'29.07 KIREKA-NAMUGONGO'!H37,'03.08 KIREKA-NAMUGONGO-24h'!H37,'31.07 KIREKA-NAMUGONGO-24h'!H37,'30.07 KIREKA-NAMUGONGO'!H37)</f>
        <v>0.14285714285714285</v>
      </c>
      <c r="I37" s="49">
        <f>AVERAGE('01.08 KIREKA-NAMUGONGO'!I37,'02.08 KIREKA-NAMUGONGO'!I37,'04.08 KIREKA-NAMUGONGO'!I37,'29.07 KIREKA-NAMUGONGO'!I37,'03.08 KIREKA-NAMUGONGO-24h'!I37,'31.07 KIREKA-NAMUGONGO-24h'!I37,'30.07 KIREKA-NAMUGONGO'!I37)</f>
        <v>6.2857142857142856</v>
      </c>
      <c r="J37" s="49">
        <f>AVERAGE('01.08 KIREKA-NAMUGONGO'!J37,'02.08 KIREKA-NAMUGONGO'!J37,'04.08 KIREKA-NAMUGONGO'!J37,'29.07 KIREKA-NAMUGONGO'!J37,'03.08 KIREKA-NAMUGONGO-24h'!J37,'31.07 KIREKA-NAMUGONGO-24h'!J37,'30.07 KIREKA-NAMUGONGO'!J37)</f>
        <v>3.1428571428571428</v>
      </c>
      <c r="K37" s="49">
        <f>AVERAGE('01.08 KIREKA-NAMUGONGO'!K37,'02.08 KIREKA-NAMUGONGO'!K37,'04.08 KIREKA-NAMUGONGO'!K37,'29.07 KIREKA-NAMUGONGO'!K37,'03.08 KIREKA-NAMUGONGO-24h'!K37,'31.07 KIREKA-NAMUGONGO-24h'!K37,'30.07 KIREKA-NAMUGONGO'!K37)</f>
        <v>1.2857142857142858</v>
      </c>
      <c r="L37" s="49">
        <f>AVERAGE('01.08 KIREKA-NAMUGONGO'!L37,'02.08 KIREKA-NAMUGONGO'!L37,'04.08 KIREKA-NAMUGONGO'!L37,'29.07 KIREKA-NAMUGONGO'!L37,'03.08 KIREKA-NAMUGONGO-24h'!L37,'31.07 KIREKA-NAMUGONGO-24h'!L37,'30.07 KIREKA-NAMUGONGO'!L37)</f>
        <v>0.8571428571428571</v>
      </c>
      <c r="M37" s="49">
        <f>AVERAGE('01.08 KIREKA-NAMUGONGO'!M37,'02.08 KIREKA-NAMUGONGO'!M37,'04.08 KIREKA-NAMUGONGO'!M37,'29.07 KIREKA-NAMUGONGO'!M37,'03.08 KIREKA-NAMUGONGO-24h'!M37,'31.07 KIREKA-NAMUGONGO-24h'!M37,'30.07 KIREKA-NAMUGONGO'!M37)</f>
        <v>99.571428571428569</v>
      </c>
      <c r="N37" s="49">
        <f>AVERAGE('01.08 KIREKA-NAMUGONGO'!N37,'02.08 KIREKA-NAMUGONGO'!N37,'04.08 KIREKA-NAMUGONGO'!N37,'29.07 KIREKA-NAMUGONGO'!N37,'03.08 KIREKA-NAMUGONGO-24h'!N37,'31.07 KIREKA-NAMUGONGO-24h'!N37,'30.07 KIREKA-NAMUGONGO'!N37)</f>
        <v>0</v>
      </c>
      <c r="O37" s="15">
        <f t="shared" si="0"/>
        <v>109.42857142857143</v>
      </c>
      <c r="P37" s="15">
        <f t="shared" si="1"/>
        <v>209</v>
      </c>
      <c r="R37" s="37" t="s">
        <v>85</v>
      </c>
      <c r="S37" s="35">
        <f t="shared" ref="S37:AF37" si="29">SUM(S10:S12)</f>
        <v>358.71428571428572</v>
      </c>
      <c r="T37" s="16">
        <f t="shared" si="29"/>
        <v>85.714285714285722</v>
      </c>
      <c r="U37" s="16">
        <f t="shared" si="29"/>
        <v>54.428571428571423</v>
      </c>
      <c r="V37" s="16">
        <f t="shared" si="29"/>
        <v>155.28571428571428</v>
      </c>
      <c r="W37" s="16">
        <f t="shared" si="29"/>
        <v>3.1428571428571423</v>
      </c>
      <c r="X37" s="16">
        <f t="shared" si="29"/>
        <v>4.5714285714285712</v>
      </c>
      <c r="Y37" s="16">
        <f t="shared" si="29"/>
        <v>40.428571428571431</v>
      </c>
      <c r="Z37" s="16">
        <f t="shared" si="29"/>
        <v>13.428571428571429</v>
      </c>
      <c r="AA37" s="16">
        <f t="shared" si="29"/>
        <v>9</v>
      </c>
      <c r="AB37" s="16">
        <f t="shared" si="29"/>
        <v>2.5714285714285712</v>
      </c>
      <c r="AC37" s="16">
        <f t="shared" si="29"/>
        <v>1133.7142857142858</v>
      </c>
      <c r="AD37" s="16">
        <f t="shared" si="29"/>
        <v>0</v>
      </c>
      <c r="AE37" s="32">
        <f t="shared" si="29"/>
        <v>727.28571428571433</v>
      </c>
      <c r="AF37" s="32">
        <f t="shared" si="29"/>
        <v>1861</v>
      </c>
    </row>
    <row r="38" spans="2:32" ht="23.1" customHeight="1" x14ac:dyDescent="0.25">
      <c r="B38" s="24" t="s">
        <v>65</v>
      </c>
      <c r="C38" s="49">
        <f>AVERAGE('01.08 KIREKA-NAMUGONGO'!C38,'02.08 KIREKA-NAMUGONGO'!C38,'04.08 KIREKA-NAMUGONGO'!C38,'29.07 KIREKA-NAMUGONGO'!C38,'03.08 KIREKA-NAMUGONGO-24h'!C38,'31.07 KIREKA-NAMUGONGO-24h'!C38,'30.07 KIREKA-NAMUGONGO'!C38)</f>
        <v>48.142857142857146</v>
      </c>
      <c r="D38" s="49">
        <f>AVERAGE('01.08 KIREKA-NAMUGONGO'!D38,'02.08 KIREKA-NAMUGONGO'!D38,'04.08 KIREKA-NAMUGONGO'!D38,'29.07 KIREKA-NAMUGONGO'!D38,'03.08 KIREKA-NAMUGONGO-24h'!D38,'31.07 KIREKA-NAMUGONGO-24h'!D38,'30.07 KIREKA-NAMUGONGO'!D38)</f>
        <v>13.428571428571429</v>
      </c>
      <c r="E38" s="49">
        <f>AVERAGE('01.08 KIREKA-NAMUGONGO'!E38,'02.08 KIREKA-NAMUGONGO'!E38,'04.08 KIREKA-NAMUGONGO'!E38,'29.07 KIREKA-NAMUGONGO'!E38,'03.08 KIREKA-NAMUGONGO-24h'!E38,'31.07 KIREKA-NAMUGONGO-24h'!E38,'30.07 KIREKA-NAMUGONGO'!E38)</f>
        <v>8</v>
      </c>
      <c r="F38" s="49">
        <f>AVERAGE('01.08 KIREKA-NAMUGONGO'!F38,'02.08 KIREKA-NAMUGONGO'!F38,'04.08 KIREKA-NAMUGONGO'!F38,'29.07 KIREKA-NAMUGONGO'!F38,'03.08 KIREKA-NAMUGONGO-24h'!F38,'31.07 KIREKA-NAMUGONGO-24h'!F38,'30.07 KIREKA-NAMUGONGO'!F38)</f>
        <v>15</v>
      </c>
      <c r="G38" s="49">
        <f>AVERAGE('01.08 KIREKA-NAMUGONGO'!G38,'02.08 KIREKA-NAMUGONGO'!G38,'04.08 KIREKA-NAMUGONGO'!G38,'29.07 KIREKA-NAMUGONGO'!G38,'03.08 KIREKA-NAMUGONGO-24h'!G38,'31.07 KIREKA-NAMUGONGO-24h'!G38,'30.07 KIREKA-NAMUGONGO'!G38)</f>
        <v>0.7142857142857143</v>
      </c>
      <c r="H38" s="49">
        <f>AVERAGE('01.08 KIREKA-NAMUGONGO'!H38,'02.08 KIREKA-NAMUGONGO'!H38,'04.08 KIREKA-NAMUGONGO'!H38,'29.07 KIREKA-NAMUGONGO'!H38,'03.08 KIREKA-NAMUGONGO-24h'!H38,'31.07 KIREKA-NAMUGONGO-24h'!H38,'30.07 KIREKA-NAMUGONGO'!H38)</f>
        <v>0</v>
      </c>
      <c r="I38" s="49">
        <f>AVERAGE('01.08 KIREKA-NAMUGONGO'!I38,'02.08 KIREKA-NAMUGONGO'!I38,'04.08 KIREKA-NAMUGONGO'!I38,'29.07 KIREKA-NAMUGONGO'!I38,'03.08 KIREKA-NAMUGONGO-24h'!I38,'31.07 KIREKA-NAMUGONGO-24h'!I38,'30.07 KIREKA-NAMUGONGO'!I38)</f>
        <v>5.5714285714285712</v>
      </c>
      <c r="J38" s="49">
        <f>AVERAGE('01.08 KIREKA-NAMUGONGO'!J38,'02.08 KIREKA-NAMUGONGO'!J38,'04.08 KIREKA-NAMUGONGO'!J38,'29.07 KIREKA-NAMUGONGO'!J38,'03.08 KIREKA-NAMUGONGO-24h'!J38,'31.07 KIREKA-NAMUGONGO-24h'!J38,'30.07 KIREKA-NAMUGONGO'!J38)</f>
        <v>3.7142857142857144</v>
      </c>
      <c r="K38" s="49">
        <f>AVERAGE('01.08 KIREKA-NAMUGONGO'!K38,'02.08 KIREKA-NAMUGONGO'!K38,'04.08 KIREKA-NAMUGONGO'!K38,'29.07 KIREKA-NAMUGONGO'!K38,'03.08 KIREKA-NAMUGONGO-24h'!K38,'31.07 KIREKA-NAMUGONGO-24h'!K38,'30.07 KIREKA-NAMUGONGO'!K38)</f>
        <v>0.8571428571428571</v>
      </c>
      <c r="L38" s="49">
        <f>AVERAGE('01.08 KIREKA-NAMUGONGO'!L38,'02.08 KIREKA-NAMUGONGO'!L38,'04.08 KIREKA-NAMUGONGO'!L38,'29.07 KIREKA-NAMUGONGO'!L38,'03.08 KIREKA-NAMUGONGO-24h'!L38,'31.07 KIREKA-NAMUGONGO-24h'!L38,'30.07 KIREKA-NAMUGONGO'!L38)</f>
        <v>0.2857142857142857</v>
      </c>
      <c r="M38" s="49">
        <f>AVERAGE('01.08 KIREKA-NAMUGONGO'!M38,'02.08 KIREKA-NAMUGONGO'!M38,'04.08 KIREKA-NAMUGONGO'!M38,'29.07 KIREKA-NAMUGONGO'!M38,'03.08 KIREKA-NAMUGONGO-24h'!M38,'31.07 KIREKA-NAMUGONGO-24h'!M38,'30.07 KIREKA-NAMUGONGO'!M38)</f>
        <v>95.428571428571431</v>
      </c>
      <c r="N38" s="49">
        <f>AVERAGE('01.08 KIREKA-NAMUGONGO'!N38,'02.08 KIREKA-NAMUGONGO'!N38,'04.08 KIREKA-NAMUGONGO'!N38,'29.07 KIREKA-NAMUGONGO'!N38,'03.08 KIREKA-NAMUGONGO-24h'!N38,'31.07 KIREKA-NAMUGONGO-24h'!N38,'30.07 KIREKA-NAMUGONGO'!N38)</f>
        <v>0</v>
      </c>
      <c r="O38" s="15">
        <f t="shared" si="0"/>
        <v>95.714285714285722</v>
      </c>
      <c r="P38" s="15">
        <f t="shared" si="1"/>
        <v>191.14285714285717</v>
      </c>
      <c r="R38" s="28" t="s">
        <v>86</v>
      </c>
      <c r="S38" s="16">
        <f t="shared" ref="S38:AF38" si="30">SUM(S13:S18)</f>
        <v>1180.2857142857142</v>
      </c>
      <c r="T38" s="16">
        <f t="shared" si="30"/>
        <v>323.85714285714283</v>
      </c>
      <c r="U38" s="16">
        <f t="shared" si="30"/>
        <v>183.85714285714286</v>
      </c>
      <c r="V38" s="16">
        <f t="shared" si="30"/>
        <v>334.28571428571428</v>
      </c>
      <c r="W38" s="16">
        <f t="shared" si="30"/>
        <v>15</v>
      </c>
      <c r="X38" s="16">
        <f t="shared" si="30"/>
        <v>6.5714285714285712</v>
      </c>
      <c r="Y38" s="16">
        <f t="shared" si="30"/>
        <v>153.28571428571428</v>
      </c>
      <c r="Z38" s="16">
        <f t="shared" si="30"/>
        <v>61.285714285714292</v>
      </c>
      <c r="AA38" s="16">
        <f t="shared" si="30"/>
        <v>28.428571428571431</v>
      </c>
      <c r="AB38" s="16">
        <f t="shared" si="30"/>
        <v>7.9999999999999991</v>
      </c>
      <c r="AC38" s="16">
        <f t="shared" si="30"/>
        <v>2721.5714285714284</v>
      </c>
      <c r="AD38" s="16">
        <f t="shared" si="30"/>
        <v>0.14285714285714285</v>
      </c>
      <c r="AE38" s="32">
        <f t="shared" si="30"/>
        <v>2295</v>
      </c>
      <c r="AF38" s="32">
        <f t="shared" si="30"/>
        <v>5016.5714285714275</v>
      </c>
    </row>
    <row r="39" spans="2:32" ht="23.1" customHeight="1" x14ac:dyDescent="0.25">
      <c r="B39" s="24" t="s">
        <v>66</v>
      </c>
      <c r="C39" s="49">
        <f>AVERAGE('01.08 KIREKA-NAMUGONGO'!C39,'02.08 KIREKA-NAMUGONGO'!C39,'04.08 KIREKA-NAMUGONGO'!C39,'29.07 KIREKA-NAMUGONGO'!C39,'03.08 KIREKA-NAMUGONGO-24h'!C39,'31.07 KIREKA-NAMUGONGO-24h'!C39,'30.07 KIREKA-NAMUGONGO'!C39)</f>
        <v>57.857142857142854</v>
      </c>
      <c r="D39" s="49">
        <f>AVERAGE('01.08 KIREKA-NAMUGONGO'!D39,'02.08 KIREKA-NAMUGONGO'!D39,'04.08 KIREKA-NAMUGONGO'!D39,'29.07 KIREKA-NAMUGONGO'!D39,'03.08 KIREKA-NAMUGONGO-24h'!D39,'31.07 KIREKA-NAMUGONGO-24h'!D39,'30.07 KIREKA-NAMUGONGO'!D39)</f>
        <v>14.857142857142858</v>
      </c>
      <c r="E39" s="49">
        <f>AVERAGE('01.08 KIREKA-NAMUGONGO'!E39,'02.08 KIREKA-NAMUGONGO'!E39,'04.08 KIREKA-NAMUGONGO'!E39,'29.07 KIREKA-NAMUGONGO'!E39,'03.08 KIREKA-NAMUGONGO-24h'!E39,'31.07 KIREKA-NAMUGONGO-24h'!E39,'30.07 KIREKA-NAMUGONGO'!E39)</f>
        <v>8</v>
      </c>
      <c r="F39" s="49">
        <f>AVERAGE('01.08 KIREKA-NAMUGONGO'!F39,'02.08 KIREKA-NAMUGONGO'!F39,'04.08 KIREKA-NAMUGONGO'!F39,'29.07 KIREKA-NAMUGONGO'!F39,'03.08 KIREKA-NAMUGONGO-24h'!F39,'31.07 KIREKA-NAMUGONGO-24h'!F39,'30.07 KIREKA-NAMUGONGO'!F39)</f>
        <v>17.571428571428573</v>
      </c>
      <c r="G39" s="49">
        <f>AVERAGE('01.08 KIREKA-NAMUGONGO'!G39,'02.08 KIREKA-NAMUGONGO'!G39,'04.08 KIREKA-NAMUGONGO'!G39,'29.07 KIREKA-NAMUGONGO'!G39,'03.08 KIREKA-NAMUGONGO-24h'!G39,'31.07 KIREKA-NAMUGONGO-24h'!G39,'30.07 KIREKA-NAMUGONGO'!G39)</f>
        <v>0.5714285714285714</v>
      </c>
      <c r="H39" s="49">
        <f>AVERAGE('01.08 KIREKA-NAMUGONGO'!H39,'02.08 KIREKA-NAMUGONGO'!H39,'04.08 KIREKA-NAMUGONGO'!H39,'29.07 KIREKA-NAMUGONGO'!H39,'03.08 KIREKA-NAMUGONGO-24h'!H39,'31.07 KIREKA-NAMUGONGO-24h'!H39,'30.07 KIREKA-NAMUGONGO'!H39)</f>
        <v>0</v>
      </c>
      <c r="I39" s="49">
        <f>AVERAGE('01.08 KIREKA-NAMUGONGO'!I39,'02.08 KIREKA-NAMUGONGO'!I39,'04.08 KIREKA-NAMUGONGO'!I39,'29.07 KIREKA-NAMUGONGO'!I39,'03.08 KIREKA-NAMUGONGO-24h'!I39,'31.07 KIREKA-NAMUGONGO-24h'!I39,'30.07 KIREKA-NAMUGONGO'!I39)</f>
        <v>6.8571428571428568</v>
      </c>
      <c r="J39" s="49">
        <f>AVERAGE('01.08 KIREKA-NAMUGONGO'!J39,'02.08 KIREKA-NAMUGONGO'!J39,'04.08 KIREKA-NAMUGONGO'!J39,'29.07 KIREKA-NAMUGONGO'!J39,'03.08 KIREKA-NAMUGONGO-24h'!J39,'31.07 KIREKA-NAMUGONGO-24h'!J39,'30.07 KIREKA-NAMUGONGO'!J39)</f>
        <v>2.4285714285714284</v>
      </c>
      <c r="K39" s="49">
        <f>AVERAGE('01.08 KIREKA-NAMUGONGO'!K39,'02.08 KIREKA-NAMUGONGO'!K39,'04.08 KIREKA-NAMUGONGO'!K39,'29.07 KIREKA-NAMUGONGO'!K39,'03.08 KIREKA-NAMUGONGO-24h'!K39,'31.07 KIREKA-NAMUGONGO-24h'!K39,'30.07 KIREKA-NAMUGONGO'!K39)</f>
        <v>1</v>
      </c>
      <c r="L39" s="49">
        <f>AVERAGE('01.08 KIREKA-NAMUGONGO'!L39,'02.08 KIREKA-NAMUGONGO'!L39,'04.08 KIREKA-NAMUGONGO'!L39,'29.07 KIREKA-NAMUGONGO'!L39,'03.08 KIREKA-NAMUGONGO-24h'!L39,'31.07 KIREKA-NAMUGONGO-24h'!L39,'30.07 KIREKA-NAMUGONGO'!L39)</f>
        <v>0.42857142857142855</v>
      </c>
      <c r="M39" s="49">
        <f>AVERAGE('01.08 KIREKA-NAMUGONGO'!M39,'02.08 KIREKA-NAMUGONGO'!M39,'04.08 KIREKA-NAMUGONGO'!M39,'29.07 KIREKA-NAMUGONGO'!M39,'03.08 KIREKA-NAMUGONGO-24h'!M39,'31.07 KIREKA-NAMUGONGO-24h'!M39,'30.07 KIREKA-NAMUGONGO'!M39)</f>
        <v>110.28571428571429</v>
      </c>
      <c r="N39" s="49">
        <f>AVERAGE('01.08 KIREKA-NAMUGONGO'!N39,'02.08 KIREKA-NAMUGONGO'!N39,'04.08 KIREKA-NAMUGONGO'!N39,'29.07 KIREKA-NAMUGONGO'!N39,'03.08 KIREKA-NAMUGONGO-24h'!N39,'31.07 KIREKA-NAMUGONGO-24h'!N39,'30.07 KIREKA-NAMUGONGO'!N39)</f>
        <v>0</v>
      </c>
      <c r="O39" s="15">
        <f t="shared" si="0"/>
        <v>109.57142857142857</v>
      </c>
      <c r="P39" s="15">
        <f t="shared" si="1"/>
        <v>219.85714285714286</v>
      </c>
      <c r="R39" s="29" t="s">
        <v>87</v>
      </c>
      <c r="S39" s="16">
        <f t="shared" ref="S39:AF39" si="31">SUM(S19:S21)</f>
        <v>1054.8571428571429</v>
      </c>
      <c r="T39" s="16">
        <f t="shared" si="31"/>
        <v>287.28571428571433</v>
      </c>
      <c r="U39" s="16">
        <f t="shared" si="31"/>
        <v>148.14285714285714</v>
      </c>
      <c r="V39" s="16">
        <f t="shared" si="31"/>
        <v>233.71428571428572</v>
      </c>
      <c r="W39" s="16">
        <f t="shared" si="31"/>
        <v>14</v>
      </c>
      <c r="X39" s="16">
        <f t="shared" si="31"/>
        <v>3.1428571428571423</v>
      </c>
      <c r="Y39" s="16">
        <f t="shared" si="31"/>
        <v>60.857142857142847</v>
      </c>
      <c r="Z39" s="16">
        <f t="shared" si="31"/>
        <v>19.571428571428569</v>
      </c>
      <c r="AA39" s="16">
        <f t="shared" si="31"/>
        <v>11.142857142857142</v>
      </c>
      <c r="AB39" s="16">
        <f t="shared" si="31"/>
        <v>49.285714285714278</v>
      </c>
      <c r="AC39" s="16">
        <f t="shared" si="31"/>
        <v>1564.1428571428571</v>
      </c>
      <c r="AD39" s="16">
        <f t="shared" si="31"/>
        <v>0.14285714285714285</v>
      </c>
      <c r="AE39" s="32">
        <f t="shared" si="31"/>
        <v>1882.1428571428571</v>
      </c>
      <c r="AF39" s="32">
        <f t="shared" si="31"/>
        <v>3446.2857142857147</v>
      </c>
    </row>
    <row r="40" spans="2:32" ht="23.1" customHeight="1" x14ac:dyDescent="0.25">
      <c r="B40" s="24" t="s">
        <v>67</v>
      </c>
      <c r="C40" s="49">
        <f>AVERAGE('01.08 KIREKA-NAMUGONGO'!C40,'02.08 KIREKA-NAMUGONGO'!C40,'04.08 KIREKA-NAMUGONGO'!C40,'29.07 KIREKA-NAMUGONGO'!C40,'03.08 KIREKA-NAMUGONGO-24h'!C40,'31.07 KIREKA-NAMUGONGO-24h'!C40,'30.07 KIREKA-NAMUGONGO'!C40)</f>
        <v>51.714285714285715</v>
      </c>
      <c r="D40" s="49">
        <f>AVERAGE('01.08 KIREKA-NAMUGONGO'!D40,'02.08 KIREKA-NAMUGONGO'!D40,'04.08 KIREKA-NAMUGONGO'!D40,'29.07 KIREKA-NAMUGONGO'!D40,'03.08 KIREKA-NAMUGONGO-24h'!D40,'31.07 KIREKA-NAMUGONGO-24h'!D40,'30.07 KIREKA-NAMUGONGO'!D40)</f>
        <v>13.571428571428571</v>
      </c>
      <c r="E40" s="49">
        <f>AVERAGE('01.08 KIREKA-NAMUGONGO'!E40,'02.08 KIREKA-NAMUGONGO'!E40,'04.08 KIREKA-NAMUGONGO'!E40,'29.07 KIREKA-NAMUGONGO'!E40,'03.08 KIREKA-NAMUGONGO-24h'!E40,'31.07 KIREKA-NAMUGONGO-24h'!E40,'30.07 KIREKA-NAMUGONGO'!E40)</f>
        <v>8.5714285714285712</v>
      </c>
      <c r="F40" s="49">
        <f>AVERAGE('01.08 KIREKA-NAMUGONGO'!F40,'02.08 KIREKA-NAMUGONGO'!F40,'04.08 KIREKA-NAMUGONGO'!F40,'29.07 KIREKA-NAMUGONGO'!F40,'03.08 KIREKA-NAMUGONGO-24h'!F40,'31.07 KIREKA-NAMUGONGO-24h'!F40,'30.07 KIREKA-NAMUGONGO'!F40)</f>
        <v>14</v>
      </c>
      <c r="G40" s="49">
        <f>AVERAGE('01.08 KIREKA-NAMUGONGO'!G40,'02.08 KIREKA-NAMUGONGO'!G40,'04.08 KIREKA-NAMUGONGO'!G40,'29.07 KIREKA-NAMUGONGO'!G40,'03.08 KIREKA-NAMUGONGO-24h'!G40,'31.07 KIREKA-NAMUGONGO-24h'!G40,'30.07 KIREKA-NAMUGONGO'!G40)</f>
        <v>0.2857142857142857</v>
      </c>
      <c r="H40" s="49">
        <f>AVERAGE('01.08 KIREKA-NAMUGONGO'!H40,'02.08 KIREKA-NAMUGONGO'!H40,'04.08 KIREKA-NAMUGONGO'!H40,'29.07 KIREKA-NAMUGONGO'!H40,'03.08 KIREKA-NAMUGONGO-24h'!H40,'31.07 KIREKA-NAMUGONGO-24h'!H40,'30.07 KIREKA-NAMUGONGO'!H40)</f>
        <v>0</v>
      </c>
      <c r="I40" s="49">
        <f>AVERAGE('01.08 KIREKA-NAMUGONGO'!I40,'02.08 KIREKA-NAMUGONGO'!I40,'04.08 KIREKA-NAMUGONGO'!I40,'29.07 KIREKA-NAMUGONGO'!I40,'03.08 KIREKA-NAMUGONGO-24h'!I40,'31.07 KIREKA-NAMUGONGO-24h'!I40,'30.07 KIREKA-NAMUGONGO'!I40)</f>
        <v>6.5714285714285712</v>
      </c>
      <c r="J40" s="49">
        <f>AVERAGE('01.08 KIREKA-NAMUGONGO'!J40,'02.08 KIREKA-NAMUGONGO'!J40,'04.08 KIREKA-NAMUGONGO'!J40,'29.07 KIREKA-NAMUGONGO'!J40,'03.08 KIREKA-NAMUGONGO-24h'!J40,'31.07 KIREKA-NAMUGONGO-24h'!J40,'30.07 KIREKA-NAMUGONGO'!J40)</f>
        <v>1.7142857142857142</v>
      </c>
      <c r="K40" s="49">
        <f>AVERAGE('01.08 KIREKA-NAMUGONGO'!K40,'02.08 KIREKA-NAMUGONGO'!K40,'04.08 KIREKA-NAMUGONGO'!K40,'29.07 KIREKA-NAMUGONGO'!K40,'03.08 KIREKA-NAMUGONGO-24h'!K40,'31.07 KIREKA-NAMUGONGO-24h'!K40,'30.07 KIREKA-NAMUGONGO'!K40)</f>
        <v>1.1428571428571428</v>
      </c>
      <c r="L40" s="49">
        <f>AVERAGE('01.08 KIREKA-NAMUGONGO'!L40,'02.08 KIREKA-NAMUGONGO'!L40,'04.08 KIREKA-NAMUGONGO'!L40,'29.07 KIREKA-NAMUGONGO'!L40,'03.08 KIREKA-NAMUGONGO-24h'!L40,'31.07 KIREKA-NAMUGONGO-24h'!L40,'30.07 KIREKA-NAMUGONGO'!L40)</f>
        <v>0</v>
      </c>
      <c r="M40" s="49">
        <f>AVERAGE('01.08 KIREKA-NAMUGONGO'!M40,'02.08 KIREKA-NAMUGONGO'!M40,'04.08 KIREKA-NAMUGONGO'!M40,'29.07 KIREKA-NAMUGONGO'!M40,'03.08 KIREKA-NAMUGONGO-24h'!M40,'31.07 KIREKA-NAMUGONGO-24h'!M40,'30.07 KIREKA-NAMUGONGO'!M40)</f>
        <v>114.14285714285714</v>
      </c>
      <c r="N40" s="49">
        <f>AVERAGE('01.08 KIREKA-NAMUGONGO'!N40,'02.08 KIREKA-NAMUGONGO'!N40,'04.08 KIREKA-NAMUGONGO'!N40,'29.07 KIREKA-NAMUGONGO'!N40,'03.08 KIREKA-NAMUGONGO-24h'!N40,'31.07 KIREKA-NAMUGONGO-24h'!N40,'30.07 KIREKA-NAMUGONGO'!N40)</f>
        <v>0</v>
      </c>
      <c r="O40" s="15">
        <f t="shared" si="0"/>
        <v>97.571428571428569</v>
      </c>
      <c r="P40" s="15">
        <f t="shared" si="1"/>
        <v>211.71428571428572</v>
      </c>
      <c r="R40" s="5" t="s">
        <v>17</v>
      </c>
      <c r="S40" s="16">
        <f t="shared" ref="S40:AF40" si="32">SUM(S10:S21)</f>
        <v>2593.8571428571431</v>
      </c>
      <c r="T40" s="16">
        <f t="shared" si="32"/>
        <v>696.85714285714289</v>
      </c>
      <c r="U40" s="16">
        <f t="shared" si="32"/>
        <v>386.42857142857144</v>
      </c>
      <c r="V40" s="16">
        <f t="shared" si="32"/>
        <v>723.28571428571422</v>
      </c>
      <c r="W40" s="16">
        <f t="shared" si="32"/>
        <v>32.142857142857139</v>
      </c>
      <c r="X40" s="16">
        <f t="shared" si="32"/>
        <v>14.285714285714286</v>
      </c>
      <c r="Y40" s="16">
        <f t="shared" si="32"/>
        <v>254.57142857142856</v>
      </c>
      <c r="Z40" s="16">
        <f t="shared" si="32"/>
        <v>94.285714285714278</v>
      </c>
      <c r="AA40" s="16">
        <f t="shared" si="32"/>
        <v>48.571428571428569</v>
      </c>
      <c r="AB40" s="16">
        <f t="shared" si="32"/>
        <v>59.857142857142847</v>
      </c>
      <c r="AC40" s="16">
        <f t="shared" si="32"/>
        <v>5419.4285714285725</v>
      </c>
      <c r="AD40" s="16">
        <f t="shared" si="32"/>
        <v>0.2857142857142857</v>
      </c>
      <c r="AE40" s="32">
        <f t="shared" si="32"/>
        <v>4904.4285714285716</v>
      </c>
      <c r="AF40" s="32">
        <f t="shared" si="32"/>
        <v>10323.857142857141</v>
      </c>
    </row>
    <row r="41" spans="2:32" ht="23.1" customHeight="1" x14ac:dyDescent="0.25">
      <c r="B41" s="23" t="s">
        <v>68</v>
      </c>
      <c r="C41" s="49">
        <f>AVERAGE('01.08 KIREKA-NAMUGONGO'!C41,'02.08 KIREKA-NAMUGONGO'!C41,'04.08 KIREKA-NAMUGONGO'!C41,'29.07 KIREKA-NAMUGONGO'!C41,'03.08 KIREKA-NAMUGONGO-24h'!C41,'31.07 KIREKA-NAMUGONGO-24h'!C41,'30.07 KIREKA-NAMUGONGO'!C41)</f>
        <v>53.714285714285715</v>
      </c>
      <c r="D41" s="49">
        <f>AVERAGE('01.08 KIREKA-NAMUGONGO'!D41,'02.08 KIREKA-NAMUGONGO'!D41,'04.08 KIREKA-NAMUGONGO'!D41,'29.07 KIREKA-NAMUGONGO'!D41,'03.08 KIREKA-NAMUGONGO-24h'!D41,'31.07 KIREKA-NAMUGONGO-24h'!D41,'30.07 KIREKA-NAMUGONGO'!D41)</f>
        <v>15.857142857142858</v>
      </c>
      <c r="E41" s="49">
        <f>AVERAGE('01.08 KIREKA-NAMUGONGO'!E41,'02.08 KIREKA-NAMUGONGO'!E41,'04.08 KIREKA-NAMUGONGO'!E41,'29.07 KIREKA-NAMUGONGO'!E41,'03.08 KIREKA-NAMUGONGO-24h'!E41,'31.07 KIREKA-NAMUGONGO-24h'!E41,'30.07 KIREKA-NAMUGONGO'!E41)</f>
        <v>7.1428571428571432</v>
      </c>
      <c r="F41" s="49">
        <f>AVERAGE('01.08 KIREKA-NAMUGONGO'!F41,'02.08 KIREKA-NAMUGONGO'!F41,'04.08 KIREKA-NAMUGONGO'!F41,'29.07 KIREKA-NAMUGONGO'!F41,'03.08 KIREKA-NAMUGONGO-24h'!F41,'31.07 KIREKA-NAMUGONGO-24h'!F41,'30.07 KIREKA-NAMUGONGO'!F41)</f>
        <v>15.714285714285714</v>
      </c>
      <c r="G41" s="49">
        <f>AVERAGE('01.08 KIREKA-NAMUGONGO'!G41,'02.08 KIREKA-NAMUGONGO'!G41,'04.08 KIREKA-NAMUGONGO'!G41,'29.07 KIREKA-NAMUGONGO'!G41,'03.08 KIREKA-NAMUGONGO-24h'!G41,'31.07 KIREKA-NAMUGONGO-24h'!G41,'30.07 KIREKA-NAMUGONGO'!G41)</f>
        <v>0.8571428571428571</v>
      </c>
      <c r="H41" s="49">
        <f>AVERAGE('01.08 KIREKA-NAMUGONGO'!H41,'02.08 KIREKA-NAMUGONGO'!H41,'04.08 KIREKA-NAMUGONGO'!H41,'29.07 KIREKA-NAMUGONGO'!H41,'03.08 KIREKA-NAMUGONGO-24h'!H41,'31.07 KIREKA-NAMUGONGO-24h'!H41,'30.07 KIREKA-NAMUGONGO'!H41)</f>
        <v>0</v>
      </c>
      <c r="I41" s="49">
        <f>AVERAGE('01.08 KIREKA-NAMUGONGO'!I41,'02.08 KIREKA-NAMUGONGO'!I41,'04.08 KIREKA-NAMUGONGO'!I41,'29.07 KIREKA-NAMUGONGO'!I41,'03.08 KIREKA-NAMUGONGO-24h'!I41,'31.07 KIREKA-NAMUGONGO-24h'!I41,'30.07 KIREKA-NAMUGONGO'!I41)</f>
        <v>5.2857142857142856</v>
      </c>
      <c r="J41" s="49">
        <f>AVERAGE('01.08 KIREKA-NAMUGONGO'!J41,'02.08 KIREKA-NAMUGONGO'!J41,'04.08 KIREKA-NAMUGONGO'!J41,'29.07 KIREKA-NAMUGONGO'!J41,'03.08 KIREKA-NAMUGONGO-24h'!J41,'31.07 KIREKA-NAMUGONGO-24h'!J41,'30.07 KIREKA-NAMUGONGO'!J41)</f>
        <v>1.5714285714285714</v>
      </c>
      <c r="K41" s="49">
        <f>AVERAGE('01.08 KIREKA-NAMUGONGO'!K41,'02.08 KIREKA-NAMUGONGO'!K41,'04.08 KIREKA-NAMUGONGO'!K41,'29.07 KIREKA-NAMUGONGO'!K41,'03.08 KIREKA-NAMUGONGO-24h'!K41,'31.07 KIREKA-NAMUGONGO-24h'!K41,'30.07 KIREKA-NAMUGONGO'!K41)</f>
        <v>0.5714285714285714</v>
      </c>
      <c r="L41" s="49">
        <f>AVERAGE('01.08 KIREKA-NAMUGONGO'!L41,'02.08 KIREKA-NAMUGONGO'!L41,'04.08 KIREKA-NAMUGONGO'!L41,'29.07 KIREKA-NAMUGONGO'!L41,'03.08 KIREKA-NAMUGONGO-24h'!L41,'31.07 KIREKA-NAMUGONGO-24h'!L41,'30.07 KIREKA-NAMUGONGO'!L41)</f>
        <v>0.2857142857142857</v>
      </c>
      <c r="M41" s="49">
        <f>AVERAGE('01.08 KIREKA-NAMUGONGO'!M41,'02.08 KIREKA-NAMUGONGO'!M41,'04.08 KIREKA-NAMUGONGO'!M41,'29.07 KIREKA-NAMUGONGO'!M41,'03.08 KIREKA-NAMUGONGO-24h'!M41,'31.07 KIREKA-NAMUGONGO-24h'!M41,'30.07 KIREKA-NAMUGONGO'!M41)</f>
        <v>83.857142857142861</v>
      </c>
      <c r="N41" s="49">
        <f>AVERAGE('01.08 KIREKA-NAMUGONGO'!N41,'02.08 KIREKA-NAMUGONGO'!N41,'04.08 KIREKA-NAMUGONGO'!N41,'29.07 KIREKA-NAMUGONGO'!N41,'03.08 KIREKA-NAMUGONGO-24h'!N41,'31.07 KIREKA-NAMUGONGO-24h'!N41,'30.07 KIREKA-NAMUGONGO'!N41)</f>
        <v>0</v>
      </c>
      <c r="O41" s="15">
        <f t="shared" si="0"/>
        <v>101</v>
      </c>
      <c r="P41" s="15">
        <f t="shared" si="1"/>
        <v>184.85714285714286</v>
      </c>
      <c r="R41" s="5" t="s">
        <v>179</v>
      </c>
      <c r="S41" s="53">
        <f>SUM(S10:S33)</f>
        <v>3394.3571428571431</v>
      </c>
      <c r="T41" s="53">
        <f t="shared" ref="T41:AD41" si="33">SUM(T10:T33)</f>
        <v>1006.3571428571429</v>
      </c>
      <c r="U41" s="53">
        <f t="shared" si="33"/>
        <v>478.92857142857144</v>
      </c>
      <c r="V41" s="53">
        <f t="shared" si="33"/>
        <v>938.78571428571422</v>
      </c>
      <c r="W41" s="53">
        <f t="shared" si="33"/>
        <v>32.642857142857139</v>
      </c>
      <c r="X41" s="53">
        <f t="shared" si="33"/>
        <v>15.285714285714286</v>
      </c>
      <c r="Y41" s="53">
        <f t="shared" si="33"/>
        <v>283.07142857142856</v>
      </c>
      <c r="Z41" s="53">
        <f t="shared" si="33"/>
        <v>114.28571428571428</v>
      </c>
      <c r="AA41" s="53">
        <f t="shared" si="33"/>
        <v>50.071428571428569</v>
      </c>
      <c r="AB41" s="53">
        <f t="shared" si="33"/>
        <v>60.357142857142847</v>
      </c>
      <c r="AC41" s="53">
        <f t="shared" si="33"/>
        <v>7032.4285714285725</v>
      </c>
      <c r="AD41" s="53">
        <f t="shared" si="33"/>
        <v>0.2857142857142857</v>
      </c>
      <c r="AE41" s="54">
        <f>SUM(AE10:AE33)</f>
        <v>6374.4285714285716</v>
      </c>
      <c r="AF41" s="54">
        <f>SUM(AF10:AF33)</f>
        <v>13406.857142857141</v>
      </c>
    </row>
    <row r="42" spans="2:32" ht="23.1" customHeight="1" x14ac:dyDescent="0.25">
      <c r="B42" s="24" t="s">
        <v>69</v>
      </c>
      <c r="C42" s="49">
        <f>AVERAGE('01.08 KIREKA-NAMUGONGO'!C42,'02.08 KIREKA-NAMUGONGO'!C42,'04.08 KIREKA-NAMUGONGO'!C42,'29.07 KIREKA-NAMUGONGO'!C42,'03.08 KIREKA-NAMUGONGO-24h'!C42,'31.07 KIREKA-NAMUGONGO-24h'!C42,'30.07 KIREKA-NAMUGONGO'!C42)</f>
        <v>61.571428571428569</v>
      </c>
      <c r="D42" s="49">
        <f>AVERAGE('01.08 KIREKA-NAMUGONGO'!D42,'02.08 KIREKA-NAMUGONGO'!D42,'04.08 KIREKA-NAMUGONGO'!D42,'29.07 KIREKA-NAMUGONGO'!D42,'03.08 KIREKA-NAMUGONGO-24h'!D42,'31.07 KIREKA-NAMUGONGO-24h'!D42,'30.07 KIREKA-NAMUGONGO'!D42)</f>
        <v>22.571428571428573</v>
      </c>
      <c r="E42" s="49">
        <f>AVERAGE('01.08 KIREKA-NAMUGONGO'!E42,'02.08 KIREKA-NAMUGONGO'!E42,'04.08 KIREKA-NAMUGONGO'!E42,'29.07 KIREKA-NAMUGONGO'!E42,'03.08 KIREKA-NAMUGONGO-24h'!E42,'31.07 KIREKA-NAMUGONGO-24h'!E42,'30.07 KIREKA-NAMUGONGO'!E42)</f>
        <v>10.142857142857142</v>
      </c>
      <c r="F42" s="49">
        <f>AVERAGE('01.08 KIREKA-NAMUGONGO'!F42,'02.08 KIREKA-NAMUGONGO'!F42,'04.08 KIREKA-NAMUGONGO'!F42,'29.07 KIREKA-NAMUGONGO'!F42,'03.08 KIREKA-NAMUGONGO-24h'!F42,'31.07 KIREKA-NAMUGONGO-24h'!F42,'30.07 KIREKA-NAMUGONGO'!F42)</f>
        <v>14.857142857142858</v>
      </c>
      <c r="G42" s="49">
        <f>AVERAGE('01.08 KIREKA-NAMUGONGO'!G42,'02.08 KIREKA-NAMUGONGO'!G42,'04.08 KIREKA-NAMUGONGO'!G42,'29.07 KIREKA-NAMUGONGO'!G42,'03.08 KIREKA-NAMUGONGO-24h'!G42,'31.07 KIREKA-NAMUGONGO-24h'!G42,'30.07 KIREKA-NAMUGONGO'!G42)</f>
        <v>0.2857142857142857</v>
      </c>
      <c r="H42" s="49">
        <f>AVERAGE('01.08 KIREKA-NAMUGONGO'!H42,'02.08 KIREKA-NAMUGONGO'!H42,'04.08 KIREKA-NAMUGONGO'!H42,'29.07 KIREKA-NAMUGONGO'!H42,'03.08 KIREKA-NAMUGONGO-24h'!H42,'31.07 KIREKA-NAMUGONGO-24h'!H42,'30.07 KIREKA-NAMUGONGO'!H42)</f>
        <v>0.5714285714285714</v>
      </c>
      <c r="I42" s="49">
        <f>AVERAGE('01.08 KIREKA-NAMUGONGO'!I42,'02.08 KIREKA-NAMUGONGO'!I42,'04.08 KIREKA-NAMUGONGO'!I42,'29.07 KIREKA-NAMUGONGO'!I42,'03.08 KIREKA-NAMUGONGO-24h'!I42,'31.07 KIREKA-NAMUGONGO-24h'!I42,'30.07 KIREKA-NAMUGONGO'!I42)</f>
        <v>7.7142857142857144</v>
      </c>
      <c r="J42" s="49">
        <f>AVERAGE('01.08 KIREKA-NAMUGONGO'!J42,'02.08 KIREKA-NAMUGONGO'!J42,'04.08 KIREKA-NAMUGONGO'!J42,'29.07 KIREKA-NAMUGONGO'!J42,'03.08 KIREKA-NAMUGONGO-24h'!J42,'31.07 KIREKA-NAMUGONGO-24h'!J42,'30.07 KIREKA-NAMUGONGO'!J42)</f>
        <v>3.8571428571428572</v>
      </c>
      <c r="K42" s="49">
        <f>AVERAGE('01.08 KIREKA-NAMUGONGO'!K42,'02.08 KIREKA-NAMUGONGO'!K42,'04.08 KIREKA-NAMUGONGO'!K42,'29.07 KIREKA-NAMUGONGO'!K42,'03.08 KIREKA-NAMUGONGO-24h'!K42,'31.07 KIREKA-NAMUGONGO-24h'!K42,'30.07 KIREKA-NAMUGONGO'!K42)</f>
        <v>0.8571428571428571</v>
      </c>
      <c r="L42" s="49">
        <f>AVERAGE('01.08 KIREKA-NAMUGONGO'!L42,'02.08 KIREKA-NAMUGONGO'!L42,'04.08 KIREKA-NAMUGONGO'!L42,'29.07 KIREKA-NAMUGONGO'!L42,'03.08 KIREKA-NAMUGONGO-24h'!L42,'31.07 KIREKA-NAMUGONGO-24h'!L42,'30.07 KIREKA-NAMUGONGO'!L42)</f>
        <v>0.14285714285714285</v>
      </c>
      <c r="M42" s="49">
        <f>AVERAGE('01.08 KIREKA-NAMUGONGO'!M42,'02.08 KIREKA-NAMUGONGO'!M42,'04.08 KIREKA-NAMUGONGO'!M42,'29.07 KIREKA-NAMUGONGO'!M42,'03.08 KIREKA-NAMUGONGO-24h'!M42,'31.07 KIREKA-NAMUGONGO-24h'!M42,'30.07 KIREKA-NAMUGONGO'!M42)</f>
        <v>119.42857142857143</v>
      </c>
      <c r="N42" s="49">
        <f>AVERAGE('01.08 KIREKA-NAMUGONGO'!N42,'02.08 KIREKA-NAMUGONGO'!N42,'04.08 KIREKA-NAMUGONGO'!N42,'29.07 KIREKA-NAMUGONGO'!N42,'03.08 KIREKA-NAMUGONGO-24h'!N42,'31.07 KIREKA-NAMUGONGO-24h'!N42,'30.07 KIREKA-NAMUGONGO'!N42)</f>
        <v>0</v>
      </c>
      <c r="O42" s="15">
        <f t="shared" si="0"/>
        <v>122.57142857142857</v>
      </c>
      <c r="P42" s="15">
        <f t="shared" si="1"/>
        <v>242</v>
      </c>
      <c r="R42" s="5" t="s">
        <v>160</v>
      </c>
      <c r="S42" s="48">
        <f>S41/S40</f>
        <v>1.3086137577793688</v>
      </c>
      <c r="T42" s="48">
        <f t="shared" ref="T42:AF42" si="34">T41/T40</f>
        <v>1.4441369413694136</v>
      </c>
      <c r="U42" s="48">
        <f t="shared" si="34"/>
        <v>1.2393715341959335</v>
      </c>
      <c r="V42" s="48">
        <f t="shared" si="34"/>
        <v>1.2979458818882086</v>
      </c>
      <c r="W42" s="48">
        <f t="shared" si="34"/>
        <v>1.0155555555555555</v>
      </c>
      <c r="X42" s="48">
        <f t="shared" si="34"/>
        <v>1.07</v>
      </c>
      <c r="Y42" s="48">
        <f t="shared" si="34"/>
        <v>1.111952861952862</v>
      </c>
      <c r="Z42" s="48">
        <f t="shared" si="34"/>
        <v>1.2121212121212122</v>
      </c>
      <c r="AA42" s="48">
        <f t="shared" si="34"/>
        <v>1.0308823529411764</v>
      </c>
      <c r="AB42" s="48">
        <f t="shared" si="34"/>
        <v>1.0083532219570406</v>
      </c>
      <c r="AC42" s="48">
        <f t="shared" si="34"/>
        <v>1.2976328553353016</v>
      </c>
      <c r="AD42" s="48">
        <f>AD41/AD40</f>
        <v>1</v>
      </c>
      <c r="AE42" s="52">
        <f t="shared" si="34"/>
        <v>1.299729107803443</v>
      </c>
      <c r="AF42" s="52">
        <f t="shared" si="34"/>
        <v>1.2986286963621017</v>
      </c>
    </row>
    <row r="43" spans="2:32" ht="23.1" customHeight="1" x14ac:dyDescent="0.25">
      <c r="B43" s="23" t="s">
        <v>70</v>
      </c>
      <c r="C43" s="49">
        <f>AVERAGE('01.08 KIREKA-NAMUGONGO'!C43,'02.08 KIREKA-NAMUGONGO'!C43,'04.08 KIREKA-NAMUGONGO'!C43,'29.07 KIREKA-NAMUGONGO'!C43,'03.08 KIREKA-NAMUGONGO-24h'!C43,'31.07 KIREKA-NAMUGONGO-24h'!C43,'30.07 KIREKA-NAMUGONGO'!C43)</f>
        <v>56.142857142857146</v>
      </c>
      <c r="D43" s="49">
        <f>AVERAGE('01.08 KIREKA-NAMUGONGO'!D43,'02.08 KIREKA-NAMUGONGO'!D43,'04.08 KIREKA-NAMUGONGO'!D43,'29.07 KIREKA-NAMUGONGO'!D43,'03.08 KIREKA-NAMUGONGO-24h'!D43,'31.07 KIREKA-NAMUGONGO-24h'!D43,'30.07 KIREKA-NAMUGONGO'!D43)</f>
        <v>20.285714285714285</v>
      </c>
      <c r="E43" s="49">
        <f>AVERAGE('01.08 KIREKA-NAMUGONGO'!E43,'02.08 KIREKA-NAMUGONGO'!E43,'04.08 KIREKA-NAMUGONGO'!E43,'29.07 KIREKA-NAMUGONGO'!E43,'03.08 KIREKA-NAMUGONGO-24h'!E43,'31.07 KIREKA-NAMUGONGO-24h'!E43,'30.07 KIREKA-NAMUGONGO'!E43)</f>
        <v>5.8571428571428568</v>
      </c>
      <c r="F43" s="49">
        <f>AVERAGE('01.08 KIREKA-NAMUGONGO'!F43,'02.08 KIREKA-NAMUGONGO'!F43,'04.08 KIREKA-NAMUGONGO'!F43,'29.07 KIREKA-NAMUGONGO'!F43,'03.08 KIREKA-NAMUGONGO-24h'!F43,'31.07 KIREKA-NAMUGONGO-24h'!F43,'30.07 KIREKA-NAMUGONGO'!F43)</f>
        <v>14.571428571428571</v>
      </c>
      <c r="G43" s="49">
        <f>AVERAGE('01.08 KIREKA-NAMUGONGO'!G43,'02.08 KIREKA-NAMUGONGO'!G43,'04.08 KIREKA-NAMUGONGO'!G43,'29.07 KIREKA-NAMUGONGO'!G43,'03.08 KIREKA-NAMUGONGO-24h'!G43,'31.07 KIREKA-NAMUGONGO-24h'!G43,'30.07 KIREKA-NAMUGONGO'!G43)</f>
        <v>0.42857142857142855</v>
      </c>
      <c r="H43" s="49">
        <f>AVERAGE('01.08 KIREKA-NAMUGONGO'!H43,'02.08 KIREKA-NAMUGONGO'!H43,'04.08 KIREKA-NAMUGONGO'!H43,'29.07 KIREKA-NAMUGONGO'!H43,'03.08 KIREKA-NAMUGONGO-24h'!H43,'31.07 KIREKA-NAMUGONGO-24h'!H43,'30.07 KIREKA-NAMUGONGO'!H43)</f>
        <v>0.14285714285714285</v>
      </c>
      <c r="I43" s="49">
        <f>AVERAGE('01.08 KIREKA-NAMUGONGO'!I43,'02.08 KIREKA-NAMUGONGO'!I43,'04.08 KIREKA-NAMUGONGO'!I43,'29.07 KIREKA-NAMUGONGO'!I43,'03.08 KIREKA-NAMUGONGO-24h'!I43,'31.07 KIREKA-NAMUGONGO-24h'!I43,'30.07 KIREKA-NAMUGONGO'!I43)</f>
        <v>6</v>
      </c>
      <c r="J43" s="49">
        <f>AVERAGE('01.08 KIREKA-NAMUGONGO'!J43,'02.08 KIREKA-NAMUGONGO'!J43,'04.08 KIREKA-NAMUGONGO'!J43,'29.07 KIREKA-NAMUGONGO'!J43,'03.08 KIREKA-NAMUGONGO-24h'!J43,'31.07 KIREKA-NAMUGONGO-24h'!J43,'30.07 KIREKA-NAMUGONGO'!J43)</f>
        <v>1.7142857142857142</v>
      </c>
      <c r="K43" s="49">
        <f>AVERAGE('01.08 KIREKA-NAMUGONGO'!K43,'02.08 KIREKA-NAMUGONGO'!K43,'04.08 KIREKA-NAMUGONGO'!K43,'29.07 KIREKA-NAMUGONGO'!K43,'03.08 KIREKA-NAMUGONGO-24h'!K43,'31.07 KIREKA-NAMUGONGO-24h'!K43,'30.07 KIREKA-NAMUGONGO'!K43)</f>
        <v>0.8571428571428571</v>
      </c>
      <c r="L43" s="49">
        <f>AVERAGE('01.08 KIREKA-NAMUGONGO'!L43,'02.08 KIREKA-NAMUGONGO'!L43,'04.08 KIREKA-NAMUGONGO'!L43,'29.07 KIREKA-NAMUGONGO'!L43,'03.08 KIREKA-NAMUGONGO-24h'!L43,'31.07 KIREKA-NAMUGONGO-24h'!L43,'30.07 KIREKA-NAMUGONGO'!L43)</f>
        <v>0.2857142857142857</v>
      </c>
      <c r="M43" s="49">
        <f>AVERAGE('01.08 KIREKA-NAMUGONGO'!M43,'02.08 KIREKA-NAMUGONGO'!M43,'04.08 KIREKA-NAMUGONGO'!M43,'29.07 KIREKA-NAMUGONGO'!M43,'03.08 KIREKA-NAMUGONGO-24h'!M43,'31.07 KIREKA-NAMUGONGO-24h'!M43,'30.07 KIREKA-NAMUGONGO'!M43)</f>
        <v>111.71428571428571</v>
      </c>
      <c r="N43" s="49">
        <f>AVERAGE('01.08 KIREKA-NAMUGONGO'!N43,'02.08 KIREKA-NAMUGONGO'!N43,'04.08 KIREKA-NAMUGONGO'!N43,'29.07 KIREKA-NAMUGONGO'!N43,'03.08 KIREKA-NAMUGONGO-24h'!N43,'31.07 KIREKA-NAMUGONGO-24h'!N43,'30.07 KIREKA-NAMUGONGO'!N43)</f>
        <v>0</v>
      </c>
      <c r="O43" s="15">
        <f t="shared" si="0"/>
        <v>106.28571428571429</v>
      </c>
      <c r="P43" s="15">
        <f t="shared" si="1"/>
        <v>218</v>
      </c>
    </row>
    <row r="44" spans="2:32" ht="23.1" customHeight="1" x14ac:dyDescent="0.25">
      <c r="B44" s="25" t="s">
        <v>71</v>
      </c>
      <c r="C44" s="49">
        <f>AVERAGE('01.08 KIREKA-NAMUGONGO'!C44,'02.08 KIREKA-NAMUGONGO'!C44,'04.08 KIREKA-NAMUGONGO'!C44,'29.07 KIREKA-NAMUGONGO'!C44,'03.08 KIREKA-NAMUGONGO-24h'!C44,'31.07 KIREKA-NAMUGONGO-24h'!C44,'30.07 KIREKA-NAMUGONGO'!C44)</f>
        <v>57.142857142857146</v>
      </c>
      <c r="D44" s="49">
        <f>AVERAGE('01.08 KIREKA-NAMUGONGO'!D44,'02.08 KIREKA-NAMUGONGO'!D44,'04.08 KIREKA-NAMUGONGO'!D44,'29.07 KIREKA-NAMUGONGO'!D44,'03.08 KIREKA-NAMUGONGO-24h'!D44,'31.07 KIREKA-NAMUGONGO-24h'!D44,'30.07 KIREKA-NAMUGONGO'!D44)</f>
        <v>15.428571428571429</v>
      </c>
      <c r="E44" s="49">
        <f>AVERAGE('01.08 KIREKA-NAMUGONGO'!E44,'02.08 KIREKA-NAMUGONGO'!E44,'04.08 KIREKA-NAMUGONGO'!E44,'29.07 KIREKA-NAMUGONGO'!E44,'03.08 KIREKA-NAMUGONGO-24h'!E44,'31.07 KIREKA-NAMUGONGO-24h'!E44,'30.07 KIREKA-NAMUGONGO'!E44)</f>
        <v>8.1428571428571423</v>
      </c>
      <c r="F44" s="49">
        <f>AVERAGE('01.08 KIREKA-NAMUGONGO'!F44,'02.08 KIREKA-NAMUGONGO'!F44,'04.08 KIREKA-NAMUGONGO'!F44,'29.07 KIREKA-NAMUGONGO'!F44,'03.08 KIREKA-NAMUGONGO-24h'!F44,'31.07 KIREKA-NAMUGONGO-24h'!F44,'30.07 KIREKA-NAMUGONGO'!F44)</f>
        <v>10.428571428571429</v>
      </c>
      <c r="G44" s="49">
        <f>AVERAGE('01.08 KIREKA-NAMUGONGO'!G44,'02.08 KIREKA-NAMUGONGO'!G44,'04.08 KIREKA-NAMUGONGO'!G44,'29.07 KIREKA-NAMUGONGO'!G44,'03.08 KIREKA-NAMUGONGO-24h'!G44,'31.07 KIREKA-NAMUGONGO-24h'!G44,'30.07 KIREKA-NAMUGONGO'!G44)</f>
        <v>0.14285714285714285</v>
      </c>
      <c r="H44" s="49">
        <f>AVERAGE('01.08 KIREKA-NAMUGONGO'!H44,'02.08 KIREKA-NAMUGONGO'!H44,'04.08 KIREKA-NAMUGONGO'!H44,'29.07 KIREKA-NAMUGONGO'!H44,'03.08 KIREKA-NAMUGONGO-24h'!H44,'31.07 KIREKA-NAMUGONGO-24h'!H44,'30.07 KIREKA-NAMUGONGO'!H44)</f>
        <v>0</v>
      </c>
      <c r="I44" s="49">
        <f>AVERAGE('01.08 KIREKA-NAMUGONGO'!I44,'02.08 KIREKA-NAMUGONGO'!I44,'04.08 KIREKA-NAMUGONGO'!I44,'29.07 KIREKA-NAMUGONGO'!I44,'03.08 KIREKA-NAMUGONGO-24h'!I44,'31.07 KIREKA-NAMUGONGO-24h'!I44,'30.07 KIREKA-NAMUGONGO'!I44)</f>
        <v>6.5714285714285712</v>
      </c>
      <c r="J44" s="49">
        <f>AVERAGE('01.08 KIREKA-NAMUGONGO'!J44,'02.08 KIREKA-NAMUGONGO'!J44,'04.08 KIREKA-NAMUGONGO'!J44,'29.07 KIREKA-NAMUGONGO'!J44,'03.08 KIREKA-NAMUGONGO-24h'!J44,'31.07 KIREKA-NAMUGONGO-24h'!J44,'30.07 KIREKA-NAMUGONGO'!J44)</f>
        <v>1.8571428571428572</v>
      </c>
      <c r="K44" s="49">
        <f>AVERAGE('01.08 KIREKA-NAMUGONGO'!K44,'02.08 KIREKA-NAMUGONGO'!K44,'04.08 KIREKA-NAMUGONGO'!K44,'29.07 KIREKA-NAMUGONGO'!K44,'03.08 KIREKA-NAMUGONGO-24h'!K44,'31.07 KIREKA-NAMUGONGO-24h'!K44,'30.07 KIREKA-NAMUGONGO'!K44)</f>
        <v>1</v>
      </c>
      <c r="L44" s="49">
        <f>AVERAGE('01.08 KIREKA-NAMUGONGO'!L44,'02.08 KIREKA-NAMUGONGO'!L44,'04.08 KIREKA-NAMUGONGO'!L44,'29.07 KIREKA-NAMUGONGO'!L44,'03.08 KIREKA-NAMUGONGO-24h'!L44,'31.07 KIREKA-NAMUGONGO-24h'!L44,'30.07 KIREKA-NAMUGONGO'!L44)</f>
        <v>0.42857142857142855</v>
      </c>
      <c r="M44" s="49">
        <f>AVERAGE('01.08 KIREKA-NAMUGONGO'!M44,'02.08 KIREKA-NAMUGONGO'!M44,'04.08 KIREKA-NAMUGONGO'!M44,'29.07 KIREKA-NAMUGONGO'!M44,'03.08 KIREKA-NAMUGONGO-24h'!M44,'31.07 KIREKA-NAMUGONGO-24h'!M44,'30.07 KIREKA-NAMUGONGO'!M44)</f>
        <v>115.42857142857143</v>
      </c>
      <c r="N44" s="49">
        <f>AVERAGE('01.08 KIREKA-NAMUGONGO'!N44,'02.08 KIREKA-NAMUGONGO'!N44,'04.08 KIREKA-NAMUGONGO'!N44,'29.07 KIREKA-NAMUGONGO'!N44,'03.08 KIREKA-NAMUGONGO-24h'!N44,'31.07 KIREKA-NAMUGONGO-24h'!N44,'30.07 KIREKA-NAMUGONGO'!N44)</f>
        <v>0</v>
      </c>
      <c r="O44" s="15">
        <f t="shared" si="0"/>
        <v>101.14285714285714</v>
      </c>
      <c r="P44" s="15">
        <f t="shared" si="1"/>
        <v>216.57142857142856</v>
      </c>
    </row>
    <row r="45" spans="2:32" ht="23.1" customHeight="1" x14ac:dyDescent="0.25">
      <c r="B45" s="23" t="s">
        <v>72</v>
      </c>
      <c r="C45" s="49">
        <f>AVERAGE('01.08 KIREKA-NAMUGONGO'!C45,'02.08 KIREKA-NAMUGONGO'!C45,'04.08 KIREKA-NAMUGONGO'!C45,'29.07 KIREKA-NAMUGONGO'!C45,'03.08 KIREKA-NAMUGONGO-24h'!C45,'31.07 KIREKA-NAMUGONGO-24h'!C45,'30.07 KIREKA-NAMUGONGO'!C45)</f>
        <v>53.714285714285715</v>
      </c>
      <c r="D45" s="49">
        <f>AVERAGE('01.08 KIREKA-NAMUGONGO'!D45,'02.08 KIREKA-NAMUGONGO'!D45,'04.08 KIREKA-NAMUGONGO'!D45,'29.07 KIREKA-NAMUGONGO'!D45,'03.08 KIREKA-NAMUGONGO-24h'!D45,'31.07 KIREKA-NAMUGONGO-24h'!D45,'30.07 KIREKA-NAMUGONGO'!D45)</f>
        <v>14.142857142857142</v>
      </c>
      <c r="E45" s="49">
        <f>AVERAGE('01.08 KIREKA-NAMUGONGO'!E45,'02.08 KIREKA-NAMUGONGO'!E45,'04.08 KIREKA-NAMUGONGO'!E45,'29.07 KIREKA-NAMUGONGO'!E45,'03.08 KIREKA-NAMUGONGO-24h'!E45,'31.07 KIREKA-NAMUGONGO-24h'!E45,'30.07 KIREKA-NAMUGONGO'!E45)</f>
        <v>8.8571428571428577</v>
      </c>
      <c r="F45" s="49">
        <f>AVERAGE('01.08 KIREKA-NAMUGONGO'!F45,'02.08 KIREKA-NAMUGONGO'!F45,'04.08 KIREKA-NAMUGONGO'!F45,'29.07 KIREKA-NAMUGONGO'!F45,'03.08 KIREKA-NAMUGONGO-24h'!F45,'31.07 KIREKA-NAMUGONGO-24h'!F45,'30.07 KIREKA-NAMUGONGO'!F45)</f>
        <v>16.142857142857142</v>
      </c>
      <c r="G45" s="49">
        <f>AVERAGE('01.08 KIREKA-NAMUGONGO'!G45,'02.08 KIREKA-NAMUGONGO'!G45,'04.08 KIREKA-NAMUGONGO'!G45,'29.07 KIREKA-NAMUGONGO'!G45,'03.08 KIREKA-NAMUGONGO-24h'!G45,'31.07 KIREKA-NAMUGONGO-24h'!G45,'30.07 KIREKA-NAMUGONGO'!G45)</f>
        <v>0.5714285714285714</v>
      </c>
      <c r="H45" s="49">
        <f>AVERAGE('01.08 KIREKA-NAMUGONGO'!H45,'02.08 KIREKA-NAMUGONGO'!H45,'04.08 KIREKA-NAMUGONGO'!H45,'29.07 KIREKA-NAMUGONGO'!H45,'03.08 KIREKA-NAMUGONGO-24h'!H45,'31.07 KIREKA-NAMUGONGO-24h'!H45,'30.07 KIREKA-NAMUGONGO'!H45)</f>
        <v>1.1428571428571428</v>
      </c>
      <c r="I45" s="49">
        <f>AVERAGE('01.08 KIREKA-NAMUGONGO'!I45,'02.08 KIREKA-NAMUGONGO'!I45,'04.08 KIREKA-NAMUGONGO'!I45,'29.07 KIREKA-NAMUGONGO'!I45,'03.08 KIREKA-NAMUGONGO-24h'!I45,'31.07 KIREKA-NAMUGONGO-24h'!I45,'30.07 KIREKA-NAMUGONGO'!I45)</f>
        <v>4</v>
      </c>
      <c r="J45" s="49">
        <f>AVERAGE('01.08 KIREKA-NAMUGONGO'!J45,'02.08 KIREKA-NAMUGONGO'!J45,'04.08 KIREKA-NAMUGONGO'!J45,'29.07 KIREKA-NAMUGONGO'!J45,'03.08 KIREKA-NAMUGONGO-24h'!J45,'31.07 KIREKA-NAMUGONGO-24h'!J45,'30.07 KIREKA-NAMUGONGO'!J45)</f>
        <v>2.5714285714285716</v>
      </c>
      <c r="K45" s="49">
        <f>AVERAGE('01.08 KIREKA-NAMUGONGO'!K45,'02.08 KIREKA-NAMUGONGO'!K45,'04.08 KIREKA-NAMUGONGO'!K45,'29.07 KIREKA-NAMUGONGO'!K45,'03.08 KIREKA-NAMUGONGO-24h'!K45,'31.07 KIREKA-NAMUGONGO-24h'!K45,'30.07 KIREKA-NAMUGONGO'!K45)</f>
        <v>0.7142857142857143</v>
      </c>
      <c r="L45" s="49">
        <f>AVERAGE('01.08 KIREKA-NAMUGONGO'!L45,'02.08 KIREKA-NAMUGONGO'!L45,'04.08 KIREKA-NAMUGONGO'!L45,'29.07 KIREKA-NAMUGONGO'!L45,'03.08 KIREKA-NAMUGONGO-24h'!L45,'31.07 KIREKA-NAMUGONGO-24h'!L45,'30.07 KIREKA-NAMUGONGO'!L45)</f>
        <v>0.42857142857142855</v>
      </c>
      <c r="M45" s="49">
        <f>AVERAGE('01.08 KIREKA-NAMUGONGO'!M45,'02.08 KIREKA-NAMUGONGO'!M45,'04.08 KIREKA-NAMUGONGO'!M45,'29.07 KIREKA-NAMUGONGO'!M45,'03.08 KIREKA-NAMUGONGO-24h'!M45,'31.07 KIREKA-NAMUGONGO-24h'!M45,'30.07 KIREKA-NAMUGONGO'!M45)</f>
        <v>109.42857142857143</v>
      </c>
      <c r="N45" s="49">
        <f>AVERAGE('01.08 KIREKA-NAMUGONGO'!N45,'02.08 KIREKA-NAMUGONGO'!N45,'04.08 KIREKA-NAMUGONGO'!N45,'29.07 KIREKA-NAMUGONGO'!N45,'03.08 KIREKA-NAMUGONGO-24h'!N45,'31.07 KIREKA-NAMUGONGO-24h'!N45,'30.07 KIREKA-NAMUGONGO'!N45)</f>
        <v>0</v>
      </c>
      <c r="O45" s="15">
        <f t="shared" si="0"/>
        <v>102.28571428571428</v>
      </c>
      <c r="P45" s="15">
        <f t="shared" si="1"/>
        <v>211.71428571428572</v>
      </c>
    </row>
    <row r="46" spans="2:32" ht="23.1" customHeight="1" x14ac:dyDescent="0.25">
      <c r="B46" s="24" t="s">
        <v>73</v>
      </c>
      <c r="C46" s="49">
        <f>AVERAGE('01.08 KIREKA-NAMUGONGO'!C46,'02.08 KIREKA-NAMUGONGO'!C46,'04.08 KIREKA-NAMUGONGO'!C46,'29.07 KIREKA-NAMUGONGO'!C46,'03.08 KIREKA-NAMUGONGO-24h'!C46,'31.07 KIREKA-NAMUGONGO-24h'!C46,'30.07 KIREKA-NAMUGONGO'!C46)</f>
        <v>62</v>
      </c>
      <c r="D46" s="49">
        <f>AVERAGE('01.08 KIREKA-NAMUGONGO'!D46,'02.08 KIREKA-NAMUGONGO'!D46,'04.08 KIREKA-NAMUGONGO'!D46,'29.07 KIREKA-NAMUGONGO'!D46,'03.08 KIREKA-NAMUGONGO-24h'!D46,'31.07 KIREKA-NAMUGONGO-24h'!D46,'30.07 KIREKA-NAMUGONGO'!D46)</f>
        <v>20.714285714285715</v>
      </c>
      <c r="E46" s="49">
        <f>AVERAGE('01.08 KIREKA-NAMUGONGO'!E46,'02.08 KIREKA-NAMUGONGO'!E46,'04.08 KIREKA-NAMUGONGO'!E46,'29.07 KIREKA-NAMUGONGO'!E46,'03.08 KIREKA-NAMUGONGO-24h'!E46,'31.07 KIREKA-NAMUGONGO-24h'!E46,'30.07 KIREKA-NAMUGONGO'!E46)</f>
        <v>9.7142857142857135</v>
      </c>
      <c r="F46" s="49">
        <f>AVERAGE('01.08 KIREKA-NAMUGONGO'!F46,'02.08 KIREKA-NAMUGONGO'!F46,'04.08 KIREKA-NAMUGONGO'!F46,'29.07 KIREKA-NAMUGONGO'!F46,'03.08 KIREKA-NAMUGONGO-24h'!F46,'31.07 KIREKA-NAMUGONGO-24h'!F46,'30.07 KIREKA-NAMUGONGO'!F46)</f>
        <v>14.142857142857142</v>
      </c>
      <c r="G46" s="49">
        <f>AVERAGE('01.08 KIREKA-NAMUGONGO'!G46,'02.08 KIREKA-NAMUGONGO'!G46,'04.08 KIREKA-NAMUGONGO'!G46,'29.07 KIREKA-NAMUGONGO'!G46,'03.08 KIREKA-NAMUGONGO-24h'!G46,'31.07 KIREKA-NAMUGONGO-24h'!G46,'30.07 KIREKA-NAMUGONGO'!G46)</f>
        <v>0.2857142857142857</v>
      </c>
      <c r="H46" s="49">
        <f>AVERAGE('01.08 KIREKA-NAMUGONGO'!H46,'02.08 KIREKA-NAMUGONGO'!H46,'04.08 KIREKA-NAMUGONGO'!H46,'29.07 KIREKA-NAMUGONGO'!H46,'03.08 KIREKA-NAMUGONGO-24h'!H46,'31.07 KIREKA-NAMUGONGO-24h'!H46,'30.07 KIREKA-NAMUGONGO'!H46)</f>
        <v>1.1428571428571428</v>
      </c>
      <c r="I46" s="49">
        <f>AVERAGE('01.08 KIREKA-NAMUGONGO'!I46,'02.08 KIREKA-NAMUGONGO'!I46,'04.08 KIREKA-NAMUGONGO'!I46,'29.07 KIREKA-NAMUGONGO'!I46,'03.08 KIREKA-NAMUGONGO-24h'!I46,'31.07 KIREKA-NAMUGONGO-24h'!I46,'30.07 KIREKA-NAMUGONGO'!I46)</f>
        <v>5.5714285714285712</v>
      </c>
      <c r="J46" s="49">
        <f>AVERAGE('01.08 KIREKA-NAMUGONGO'!J46,'02.08 KIREKA-NAMUGONGO'!J46,'04.08 KIREKA-NAMUGONGO'!J46,'29.07 KIREKA-NAMUGONGO'!J46,'03.08 KIREKA-NAMUGONGO-24h'!J46,'31.07 KIREKA-NAMUGONGO-24h'!J46,'30.07 KIREKA-NAMUGONGO'!J46)</f>
        <v>0.8571428571428571</v>
      </c>
      <c r="K46" s="49">
        <f>AVERAGE('01.08 KIREKA-NAMUGONGO'!K46,'02.08 KIREKA-NAMUGONGO'!K46,'04.08 KIREKA-NAMUGONGO'!K46,'29.07 KIREKA-NAMUGONGO'!K46,'03.08 KIREKA-NAMUGONGO-24h'!K46,'31.07 KIREKA-NAMUGONGO-24h'!K46,'30.07 KIREKA-NAMUGONGO'!K46)</f>
        <v>0</v>
      </c>
      <c r="L46" s="49">
        <f>AVERAGE('01.08 KIREKA-NAMUGONGO'!L46,'02.08 KIREKA-NAMUGONGO'!L46,'04.08 KIREKA-NAMUGONGO'!L46,'29.07 KIREKA-NAMUGONGO'!L46,'03.08 KIREKA-NAMUGONGO-24h'!L46,'31.07 KIREKA-NAMUGONGO-24h'!L46,'30.07 KIREKA-NAMUGONGO'!L46)</f>
        <v>0.14285714285714285</v>
      </c>
      <c r="M46" s="49">
        <f>AVERAGE('01.08 KIREKA-NAMUGONGO'!M46,'02.08 KIREKA-NAMUGONGO'!M46,'04.08 KIREKA-NAMUGONGO'!M46,'29.07 KIREKA-NAMUGONGO'!M46,'03.08 KIREKA-NAMUGONGO-24h'!M46,'31.07 KIREKA-NAMUGONGO-24h'!M46,'30.07 KIREKA-NAMUGONGO'!M46)</f>
        <v>120.14285714285714</v>
      </c>
      <c r="N46" s="49">
        <f>AVERAGE('01.08 KIREKA-NAMUGONGO'!N46,'02.08 KIREKA-NAMUGONGO'!N46,'04.08 KIREKA-NAMUGONGO'!N46,'29.07 KIREKA-NAMUGONGO'!N46,'03.08 KIREKA-NAMUGONGO-24h'!N46,'31.07 KIREKA-NAMUGONGO-24h'!N46,'30.07 KIREKA-NAMUGONGO'!N46)</f>
        <v>0</v>
      </c>
      <c r="O46" s="15">
        <f t="shared" si="0"/>
        <v>114.57142857142857</v>
      </c>
      <c r="P46" s="15">
        <f t="shared" si="1"/>
        <v>234.71428571428572</v>
      </c>
    </row>
    <row r="47" spans="2:32" ht="23.1" customHeight="1" x14ac:dyDescent="0.25">
      <c r="B47" s="24" t="s">
        <v>74</v>
      </c>
      <c r="C47" s="49">
        <f>AVERAGE('01.08 KIREKA-NAMUGONGO'!C47,'02.08 KIREKA-NAMUGONGO'!C47,'04.08 KIREKA-NAMUGONGO'!C47,'29.07 KIREKA-NAMUGONGO'!C47,'03.08 KIREKA-NAMUGONGO-24h'!C47,'31.07 KIREKA-NAMUGONGO-24h'!C47,'30.07 KIREKA-NAMUGONGO'!C47)</f>
        <v>77.285714285714292</v>
      </c>
      <c r="D47" s="49">
        <f>AVERAGE('01.08 KIREKA-NAMUGONGO'!D47,'02.08 KIREKA-NAMUGONGO'!D47,'04.08 KIREKA-NAMUGONGO'!D47,'29.07 KIREKA-NAMUGONGO'!D47,'03.08 KIREKA-NAMUGONGO-24h'!D47,'31.07 KIREKA-NAMUGONGO-24h'!D47,'30.07 KIREKA-NAMUGONGO'!D47)</f>
        <v>19</v>
      </c>
      <c r="E47" s="49">
        <f>AVERAGE('01.08 KIREKA-NAMUGONGO'!E47,'02.08 KIREKA-NAMUGONGO'!E47,'04.08 KIREKA-NAMUGONGO'!E47,'29.07 KIREKA-NAMUGONGO'!E47,'03.08 KIREKA-NAMUGONGO-24h'!E47,'31.07 KIREKA-NAMUGONGO-24h'!E47,'30.07 KIREKA-NAMUGONGO'!E47)</f>
        <v>12.285714285714286</v>
      </c>
      <c r="F47" s="49">
        <f>AVERAGE('01.08 KIREKA-NAMUGONGO'!F47,'02.08 KIREKA-NAMUGONGO'!F47,'04.08 KIREKA-NAMUGONGO'!F47,'29.07 KIREKA-NAMUGONGO'!F47,'03.08 KIREKA-NAMUGONGO-24h'!F47,'31.07 KIREKA-NAMUGONGO-24h'!F47,'30.07 KIREKA-NAMUGONGO'!F47)</f>
        <v>18.857142857142858</v>
      </c>
      <c r="G47" s="49">
        <f>AVERAGE('01.08 KIREKA-NAMUGONGO'!G47,'02.08 KIREKA-NAMUGONGO'!G47,'04.08 KIREKA-NAMUGONGO'!G47,'29.07 KIREKA-NAMUGONGO'!G47,'03.08 KIREKA-NAMUGONGO-24h'!G47,'31.07 KIREKA-NAMUGONGO-24h'!G47,'30.07 KIREKA-NAMUGONGO'!G47)</f>
        <v>0.14285714285714285</v>
      </c>
      <c r="H47" s="49">
        <f>AVERAGE('01.08 KIREKA-NAMUGONGO'!H47,'02.08 KIREKA-NAMUGONGO'!H47,'04.08 KIREKA-NAMUGONGO'!H47,'29.07 KIREKA-NAMUGONGO'!H47,'03.08 KIREKA-NAMUGONGO-24h'!H47,'31.07 KIREKA-NAMUGONGO-24h'!H47,'30.07 KIREKA-NAMUGONGO'!H47)</f>
        <v>0</v>
      </c>
      <c r="I47" s="49">
        <f>AVERAGE('01.08 KIREKA-NAMUGONGO'!I47,'02.08 KIREKA-NAMUGONGO'!I47,'04.08 KIREKA-NAMUGONGO'!I47,'29.07 KIREKA-NAMUGONGO'!I47,'03.08 KIREKA-NAMUGONGO-24h'!I47,'31.07 KIREKA-NAMUGONGO-24h'!I47,'30.07 KIREKA-NAMUGONGO'!I47)</f>
        <v>7.4285714285714288</v>
      </c>
      <c r="J47" s="49">
        <f>AVERAGE('01.08 KIREKA-NAMUGONGO'!J47,'02.08 KIREKA-NAMUGONGO'!J47,'04.08 KIREKA-NAMUGONGO'!J47,'29.07 KIREKA-NAMUGONGO'!J47,'03.08 KIREKA-NAMUGONGO-24h'!J47,'31.07 KIREKA-NAMUGONGO-24h'!J47,'30.07 KIREKA-NAMUGONGO'!J47)</f>
        <v>1.2857142857142858</v>
      </c>
      <c r="K47" s="49">
        <f>AVERAGE('01.08 KIREKA-NAMUGONGO'!K47,'02.08 KIREKA-NAMUGONGO'!K47,'04.08 KIREKA-NAMUGONGO'!K47,'29.07 KIREKA-NAMUGONGO'!K47,'03.08 KIREKA-NAMUGONGO-24h'!K47,'31.07 KIREKA-NAMUGONGO-24h'!K47,'30.07 KIREKA-NAMUGONGO'!K47)</f>
        <v>1.2857142857142858</v>
      </c>
      <c r="L47" s="49">
        <f>AVERAGE('01.08 KIREKA-NAMUGONGO'!L47,'02.08 KIREKA-NAMUGONGO'!L47,'04.08 KIREKA-NAMUGONGO'!L47,'29.07 KIREKA-NAMUGONGO'!L47,'03.08 KIREKA-NAMUGONGO-24h'!L47,'31.07 KIREKA-NAMUGONGO-24h'!L47,'30.07 KIREKA-NAMUGONGO'!L47)</f>
        <v>0.14285714285714285</v>
      </c>
      <c r="M47" s="49">
        <f>AVERAGE('01.08 KIREKA-NAMUGONGO'!M47,'02.08 KIREKA-NAMUGONGO'!M47,'04.08 KIREKA-NAMUGONGO'!M47,'29.07 KIREKA-NAMUGONGO'!M47,'03.08 KIREKA-NAMUGONGO-24h'!M47,'31.07 KIREKA-NAMUGONGO-24h'!M47,'30.07 KIREKA-NAMUGONGO'!M47)</f>
        <v>110</v>
      </c>
      <c r="N47" s="49">
        <f>AVERAGE('01.08 KIREKA-NAMUGONGO'!N47,'02.08 KIREKA-NAMUGONGO'!N47,'04.08 KIREKA-NAMUGONGO'!N47,'29.07 KIREKA-NAMUGONGO'!N47,'03.08 KIREKA-NAMUGONGO-24h'!N47,'31.07 KIREKA-NAMUGONGO-24h'!N47,'30.07 KIREKA-NAMUGONGO'!N47)</f>
        <v>0</v>
      </c>
      <c r="O47" s="15">
        <f t="shared" si="0"/>
        <v>137.71428571428569</v>
      </c>
      <c r="P47" s="15">
        <f t="shared" si="1"/>
        <v>247.71428571428569</v>
      </c>
    </row>
    <row r="48" spans="2:32" ht="23.1" customHeight="1" x14ac:dyDescent="0.25">
      <c r="B48" s="24" t="s">
        <v>75</v>
      </c>
      <c r="C48" s="49">
        <f>AVERAGE('01.08 KIREKA-NAMUGONGO'!C48,'02.08 KIREKA-NAMUGONGO'!C48,'04.08 KIREKA-NAMUGONGO'!C48,'29.07 KIREKA-NAMUGONGO'!C48,'03.08 KIREKA-NAMUGONGO-24h'!C48,'31.07 KIREKA-NAMUGONGO-24h'!C48,'30.07 KIREKA-NAMUGONGO'!C48)</f>
        <v>85.714285714285708</v>
      </c>
      <c r="D48" s="49">
        <f>AVERAGE('01.08 KIREKA-NAMUGONGO'!D48,'02.08 KIREKA-NAMUGONGO'!D48,'04.08 KIREKA-NAMUGONGO'!D48,'29.07 KIREKA-NAMUGONGO'!D48,'03.08 KIREKA-NAMUGONGO-24h'!D48,'31.07 KIREKA-NAMUGONGO-24h'!D48,'30.07 KIREKA-NAMUGONGO'!D48)</f>
        <v>20.571428571428573</v>
      </c>
      <c r="E48" s="49">
        <f>AVERAGE('01.08 KIREKA-NAMUGONGO'!E48,'02.08 KIREKA-NAMUGONGO'!E48,'04.08 KIREKA-NAMUGONGO'!E48,'29.07 KIREKA-NAMUGONGO'!E48,'03.08 KIREKA-NAMUGONGO-24h'!E48,'31.07 KIREKA-NAMUGONGO-24h'!E48,'30.07 KIREKA-NAMUGONGO'!E48)</f>
        <v>8.7142857142857135</v>
      </c>
      <c r="F48" s="49">
        <f>AVERAGE('01.08 KIREKA-NAMUGONGO'!F48,'02.08 KIREKA-NAMUGONGO'!F48,'04.08 KIREKA-NAMUGONGO'!F48,'29.07 KIREKA-NAMUGONGO'!F48,'03.08 KIREKA-NAMUGONGO-24h'!F48,'31.07 KIREKA-NAMUGONGO-24h'!F48,'30.07 KIREKA-NAMUGONGO'!F48)</f>
        <v>15.714285714285714</v>
      </c>
      <c r="G48" s="49">
        <f>AVERAGE('01.08 KIREKA-NAMUGONGO'!G48,'02.08 KIREKA-NAMUGONGO'!G48,'04.08 KIREKA-NAMUGONGO'!G48,'29.07 KIREKA-NAMUGONGO'!G48,'03.08 KIREKA-NAMUGONGO-24h'!G48,'31.07 KIREKA-NAMUGONGO-24h'!G48,'30.07 KIREKA-NAMUGONGO'!G48)</f>
        <v>0.5714285714285714</v>
      </c>
      <c r="H48" s="49">
        <f>AVERAGE('01.08 KIREKA-NAMUGONGO'!H48,'02.08 KIREKA-NAMUGONGO'!H48,'04.08 KIREKA-NAMUGONGO'!H48,'29.07 KIREKA-NAMUGONGO'!H48,'03.08 KIREKA-NAMUGONGO-24h'!H48,'31.07 KIREKA-NAMUGONGO-24h'!H48,'30.07 KIREKA-NAMUGONGO'!H48)</f>
        <v>0</v>
      </c>
      <c r="I48" s="49">
        <f>AVERAGE('01.08 KIREKA-NAMUGONGO'!I48,'02.08 KIREKA-NAMUGONGO'!I48,'04.08 KIREKA-NAMUGONGO'!I48,'29.07 KIREKA-NAMUGONGO'!I48,'03.08 KIREKA-NAMUGONGO-24h'!I48,'31.07 KIREKA-NAMUGONGO-24h'!I48,'30.07 KIREKA-NAMUGONGO'!I48)</f>
        <v>5.1428571428571432</v>
      </c>
      <c r="J48" s="49">
        <f>AVERAGE('01.08 KIREKA-NAMUGONGO'!J48,'02.08 KIREKA-NAMUGONGO'!J48,'04.08 KIREKA-NAMUGONGO'!J48,'29.07 KIREKA-NAMUGONGO'!J48,'03.08 KIREKA-NAMUGONGO-24h'!J48,'31.07 KIREKA-NAMUGONGO-24h'!J48,'30.07 KIREKA-NAMUGONGO'!J48)</f>
        <v>1.5714285714285714</v>
      </c>
      <c r="K48" s="49">
        <f>AVERAGE('01.08 KIREKA-NAMUGONGO'!K48,'02.08 KIREKA-NAMUGONGO'!K48,'04.08 KIREKA-NAMUGONGO'!K48,'29.07 KIREKA-NAMUGONGO'!K48,'03.08 KIREKA-NAMUGONGO-24h'!K48,'31.07 KIREKA-NAMUGONGO-24h'!K48,'30.07 KIREKA-NAMUGONGO'!K48)</f>
        <v>0.8571428571428571</v>
      </c>
      <c r="L48" s="49">
        <f>AVERAGE('01.08 KIREKA-NAMUGONGO'!L48,'02.08 KIREKA-NAMUGONGO'!L48,'04.08 KIREKA-NAMUGONGO'!L48,'29.07 KIREKA-NAMUGONGO'!L48,'03.08 KIREKA-NAMUGONGO-24h'!L48,'31.07 KIREKA-NAMUGONGO-24h'!L48,'30.07 KIREKA-NAMUGONGO'!L48)</f>
        <v>0.2857142857142857</v>
      </c>
      <c r="M48" s="49">
        <f>AVERAGE('01.08 KIREKA-NAMUGONGO'!M48,'02.08 KIREKA-NAMUGONGO'!M48,'04.08 KIREKA-NAMUGONGO'!M48,'29.07 KIREKA-NAMUGONGO'!M48,'03.08 KIREKA-NAMUGONGO-24h'!M48,'31.07 KIREKA-NAMUGONGO-24h'!M48,'30.07 KIREKA-NAMUGONGO'!M48)</f>
        <v>118</v>
      </c>
      <c r="N48" s="49">
        <f>AVERAGE('01.08 KIREKA-NAMUGONGO'!N48,'02.08 KIREKA-NAMUGONGO'!N48,'04.08 KIREKA-NAMUGONGO'!N48,'29.07 KIREKA-NAMUGONGO'!N48,'03.08 KIREKA-NAMUGONGO-24h'!N48,'31.07 KIREKA-NAMUGONGO-24h'!N48,'30.07 KIREKA-NAMUGONGO'!N48)</f>
        <v>0</v>
      </c>
      <c r="O48" s="15">
        <f t="shared" si="0"/>
        <v>139.14285714285714</v>
      </c>
      <c r="P48" s="15">
        <f t="shared" si="1"/>
        <v>257.14285714285711</v>
      </c>
    </row>
    <row r="49" spans="2:20" ht="23.1" customHeight="1" x14ac:dyDescent="0.25">
      <c r="B49" s="23" t="s">
        <v>76</v>
      </c>
      <c r="C49" s="49">
        <f>AVERAGE('01.08 KIREKA-NAMUGONGO'!C49,'02.08 KIREKA-NAMUGONGO'!C49,'04.08 KIREKA-NAMUGONGO'!C49,'29.07 KIREKA-NAMUGONGO'!C49,'03.08 KIREKA-NAMUGONGO-24h'!C49,'31.07 KIREKA-NAMUGONGO-24h'!C49,'30.07 KIREKA-NAMUGONGO'!C49)</f>
        <v>83.285714285714292</v>
      </c>
      <c r="D49" s="49">
        <f>AVERAGE('01.08 KIREKA-NAMUGONGO'!D49,'02.08 KIREKA-NAMUGONGO'!D49,'04.08 KIREKA-NAMUGONGO'!D49,'29.07 KIREKA-NAMUGONGO'!D49,'03.08 KIREKA-NAMUGONGO-24h'!D49,'31.07 KIREKA-NAMUGONGO-24h'!D49,'30.07 KIREKA-NAMUGONGO'!D49)</f>
        <v>18.571428571428573</v>
      </c>
      <c r="E49" s="49">
        <f>AVERAGE('01.08 KIREKA-NAMUGONGO'!E49,'02.08 KIREKA-NAMUGONGO'!E49,'04.08 KIREKA-NAMUGONGO'!E49,'29.07 KIREKA-NAMUGONGO'!E49,'03.08 KIREKA-NAMUGONGO-24h'!E49,'31.07 KIREKA-NAMUGONGO-24h'!E49,'30.07 KIREKA-NAMUGONGO'!E49)</f>
        <v>10.857142857142858</v>
      </c>
      <c r="F49" s="49">
        <f>AVERAGE('01.08 KIREKA-NAMUGONGO'!F49,'02.08 KIREKA-NAMUGONGO'!F49,'04.08 KIREKA-NAMUGONGO'!F49,'29.07 KIREKA-NAMUGONGO'!F49,'03.08 KIREKA-NAMUGONGO-24h'!F49,'31.07 KIREKA-NAMUGONGO-24h'!F49,'30.07 KIREKA-NAMUGONGO'!F49)</f>
        <v>18.428571428571427</v>
      </c>
      <c r="G49" s="49">
        <f>AVERAGE('01.08 KIREKA-NAMUGONGO'!G49,'02.08 KIREKA-NAMUGONGO'!G49,'04.08 KIREKA-NAMUGONGO'!G49,'29.07 KIREKA-NAMUGONGO'!G49,'03.08 KIREKA-NAMUGONGO-24h'!G49,'31.07 KIREKA-NAMUGONGO-24h'!G49,'30.07 KIREKA-NAMUGONGO'!G49)</f>
        <v>0.8571428571428571</v>
      </c>
      <c r="H49" s="49">
        <f>AVERAGE('01.08 KIREKA-NAMUGONGO'!H49,'02.08 KIREKA-NAMUGONGO'!H49,'04.08 KIREKA-NAMUGONGO'!H49,'29.07 KIREKA-NAMUGONGO'!H49,'03.08 KIREKA-NAMUGONGO-24h'!H49,'31.07 KIREKA-NAMUGONGO-24h'!H49,'30.07 KIREKA-NAMUGONGO'!H49)</f>
        <v>0</v>
      </c>
      <c r="I49" s="49">
        <f>AVERAGE('01.08 KIREKA-NAMUGONGO'!I49,'02.08 KIREKA-NAMUGONGO'!I49,'04.08 KIREKA-NAMUGONGO'!I49,'29.07 KIREKA-NAMUGONGO'!I49,'03.08 KIREKA-NAMUGONGO-24h'!I49,'31.07 KIREKA-NAMUGONGO-24h'!I49,'30.07 KIREKA-NAMUGONGO'!I49)</f>
        <v>7.2857142857142856</v>
      </c>
      <c r="J49" s="49">
        <f>AVERAGE('01.08 KIREKA-NAMUGONGO'!J49,'02.08 KIREKA-NAMUGONGO'!J49,'04.08 KIREKA-NAMUGONGO'!J49,'29.07 KIREKA-NAMUGONGO'!J49,'03.08 KIREKA-NAMUGONGO-24h'!J49,'31.07 KIREKA-NAMUGONGO-24h'!J49,'30.07 KIREKA-NAMUGONGO'!J49)</f>
        <v>1.7142857142857142</v>
      </c>
      <c r="K49" s="49">
        <f>AVERAGE('01.08 KIREKA-NAMUGONGO'!K49,'02.08 KIREKA-NAMUGONGO'!K49,'04.08 KIREKA-NAMUGONGO'!K49,'29.07 KIREKA-NAMUGONGO'!K49,'03.08 KIREKA-NAMUGONGO-24h'!K49,'31.07 KIREKA-NAMUGONGO-24h'!K49,'30.07 KIREKA-NAMUGONGO'!K49)</f>
        <v>0.42857142857142855</v>
      </c>
      <c r="L49" s="49">
        <f>AVERAGE('01.08 KIREKA-NAMUGONGO'!L49,'02.08 KIREKA-NAMUGONGO'!L49,'04.08 KIREKA-NAMUGONGO'!L49,'29.07 KIREKA-NAMUGONGO'!L49,'03.08 KIREKA-NAMUGONGO-24h'!L49,'31.07 KIREKA-NAMUGONGO-24h'!L49,'30.07 KIREKA-NAMUGONGO'!L49)</f>
        <v>0</v>
      </c>
      <c r="M49" s="49">
        <f>AVERAGE('01.08 KIREKA-NAMUGONGO'!M49,'02.08 KIREKA-NAMUGONGO'!M49,'04.08 KIREKA-NAMUGONGO'!M49,'29.07 KIREKA-NAMUGONGO'!M49,'03.08 KIREKA-NAMUGONGO-24h'!M49,'31.07 KIREKA-NAMUGONGO-24h'!M49,'30.07 KIREKA-NAMUGONGO'!M49)</f>
        <v>132.14285714285714</v>
      </c>
      <c r="N49" s="49">
        <f>AVERAGE('01.08 KIREKA-NAMUGONGO'!N49,'02.08 KIREKA-NAMUGONGO'!N49,'04.08 KIREKA-NAMUGONGO'!N49,'29.07 KIREKA-NAMUGONGO'!N49,'03.08 KIREKA-NAMUGONGO-24h'!N49,'31.07 KIREKA-NAMUGONGO-24h'!N49,'30.07 KIREKA-NAMUGONGO'!N49)</f>
        <v>0</v>
      </c>
      <c r="O49" s="15">
        <f t="shared" si="0"/>
        <v>141.42857142857142</v>
      </c>
      <c r="P49" s="15">
        <f t="shared" si="1"/>
        <v>273.57142857142856</v>
      </c>
    </row>
    <row r="50" spans="2:20" ht="23.1" customHeight="1" x14ac:dyDescent="0.25">
      <c r="B50" s="24" t="s">
        <v>77</v>
      </c>
      <c r="C50" s="49">
        <f>AVERAGE('01.08 KIREKA-NAMUGONGO'!C50,'02.08 KIREKA-NAMUGONGO'!C50,'04.08 KIREKA-NAMUGONGO'!C50,'29.07 KIREKA-NAMUGONGO'!C50,'03.08 KIREKA-NAMUGONGO-24h'!C50,'31.07 KIREKA-NAMUGONGO-24h'!C50,'30.07 KIREKA-NAMUGONGO'!C50)</f>
        <v>95</v>
      </c>
      <c r="D50" s="49">
        <f>AVERAGE('01.08 KIREKA-NAMUGONGO'!D50,'02.08 KIREKA-NAMUGONGO'!D50,'04.08 KIREKA-NAMUGONGO'!D50,'29.07 KIREKA-NAMUGONGO'!D50,'03.08 KIREKA-NAMUGONGO-24h'!D50,'31.07 KIREKA-NAMUGONGO-24h'!D50,'30.07 KIREKA-NAMUGONGO'!D50)</f>
        <v>23.142857142857142</v>
      </c>
      <c r="E50" s="49">
        <f>AVERAGE('01.08 KIREKA-NAMUGONGO'!E50,'02.08 KIREKA-NAMUGONGO'!E50,'04.08 KIREKA-NAMUGONGO'!E50,'29.07 KIREKA-NAMUGONGO'!E50,'03.08 KIREKA-NAMUGONGO-24h'!E50,'31.07 KIREKA-NAMUGONGO-24h'!E50,'30.07 KIREKA-NAMUGONGO'!E50)</f>
        <v>11.285714285714286</v>
      </c>
      <c r="F50" s="49">
        <f>AVERAGE('01.08 KIREKA-NAMUGONGO'!F50,'02.08 KIREKA-NAMUGONGO'!F50,'04.08 KIREKA-NAMUGONGO'!F50,'29.07 KIREKA-NAMUGONGO'!F50,'03.08 KIREKA-NAMUGONGO-24h'!F50,'31.07 KIREKA-NAMUGONGO-24h'!F50,'30.07 KIREKA-NAMUGONGO'!F50)</f>
        <v>18.285714285714285</v>
      </c>
      <c r="G50" s="49">
        <f>AVERAGE('01.08 KIREKA-NAMUGONGO'!G50,'02.08 KIREKA-NAMUGONGO'!G50,'04.08 KIREKA-NAMUGONGO'!G50,'29.07 KIREKA-NAMUGONGO'!G50,'03.08 KIREKA-NAMUGONGO-24h'!G50,'31.07 KIREKA-NAMUGONGO-24h'!G50,'30.07 KIREKA-NAMUGONGO'!G50)</f>
        <v>2.8571428571428572</v>
      </c>
      <c r="H50" s="49">
        <f>AVERAGE('01.08 KIREKA-NAMUGONGO'!H50,'02.08 KIREKA-NAMUGONGO'!H50,'04.08 KIREKA-NAMUGONGO'!H50,'29.07 KIREKA-NAMUGONGO'!H50,'03.08 KIREKA-NAMUGONGO-24h'!H50,'31.07 KIREKA-NAMUGONGO-24h'!H50,'30.07 KIREKA-NAMUGONGO'!H50)</f>
        <v>0.2857142857142857</v>
      </c>
      <c r="I50" s="49">
        <f>AVERAGE('01.08 KIREKA-NAMUGONGO'!I50,'02.08 KIREKA-NAMUGONGO'!I50,'04.08 KIREKA-NAMUGONGO'!I50,'29.07 KIREKA-NAMUGONGO'!I50,'03.08 KIREKA-NAMUGONGO-24h'!I50,'31.07 KIREKA-NAMUGONGO-24h'!I50,'30.07 KIREKA-NAMUGONGO'!I50)</f>
        <v>4.7142857142857144</v>
      </c>
      <c r="J50" s="49">
        <f>AVERAGE('01.08 KIREKA-NAMUGONGO'!J50,'02.08 KIREKA-NAMUGONGO'!J50,'04.08 KIREKA-NAMUGONGO'!J50,'29.07 KIREKA-NAMUGONGO'!J50,'03.08 KIREKA-NAMUGONGO-24h'!J50,'31.07 KIREKA-NAMUGONGO-24h'!J50,'30.07 KIREKA-NAMUGONGO'!J50)</f>
        <v>2.2857142857142856</v>
      </c>
      <c r="K50" s="49">
        <f>AVERAGE('01.08 KIREKA-NAMUGONGO'!K50,'02.08 KIREKA-NAMUGONGO'!K50,'04.08 KIREKA-NAMUGONGO'!K50,'29.07 KIREKA-NAMUGONGO'!K50,'03.08 KIREKA-NAMUGONGO-24h'!K50,'31.07 KIREKA-NAMUGONGO-24h'!K50,'30.07 KIREKA-NAMUGONGO'!K50)</f>
        <v>1.5714285714285714</v>
      </c>
      <c r="L50" s="49">
        <f>AVERAGE('01.08 KIREKA-NAMUGONGO'!L50,'02.08 KIREKA-NAMUGONGO'!L50,'04.08 KIREKA-NAMUGONGO'!L50,'29.07 KIREKA-NAMUGONGO'!L50,'03.08 KIREKA-NAMUGONGO-24h'!L50,'31.07 KIREKA-NAMUGONGO-24h'!L50,'30.07 KIREKA-NAMUGONGO'!L50)</f>
        <v>0.5714285714285714</v>
      </c>
      <c r="M50" s="49">
        <f>AVERAGE('01.08 KIREKA-NAMUGONGO'!M50,'02.08 KIREKA-NAMUGONGO'!M50,'04.08 KIREKA-NAMUGONGO'!M50,'29.07 KIREKA-NAMUGONGO'!M50,'03.08 KIREKA-NAMUGONGO-24h'!M50,'31.07 KIREKA-NAMUGONGO-24h'!M50,'30.07 KIREKA-NAMUGONGO'!M50)</f>
        <v>127</v>
      </c>
      <c r="N50" s="49">
        <f>AVERAGE('01.08 KIREKA-NAMUGONGO'!N50,'02.08 KIREKA-NAMUGONGO'!N50,'04.08 KIREKA-NAMUGONGO'!N50,'29.07 KIREKA-NAMUGONGO'!N50,'03.08 KIREKA-NAMUGONGO-24h'!N50,'31.07 KIREKA-NAMUGONGO-24h'!N50,'30.07 KIREKA-NAMUGONGO'!N50)</f>
        <v>0</v>
      </c>
      <c r="O50" s="15">
        <f t="shared" si="0"/>
        <v>160</v>
      </c>
      <c r="P50" s="15">
        <f t="shared" si="1"/>
        <v>287</v>
      </c>
    </row>
    <row r="51" spans="2:20" ht="23.1" customHeight="1" x14ac:dyDescent="0.25">
      <c r="B51" s="24" t="s">
        <v>78</v>
      </c>
      <c r="C51" s="49">
        <f>AVERAGE('01.08 KIREKA-NAMUGONGO'!C51,'02.08 KIREKA-NAMUGONGO'!C51,'04.08 KIREKA-NAMUGONGO'!C51,'29.07 KIREKA-NAMUGONGO'!C51,'03.08 KIREKA-NAMUGONGO-24h'!C51,'31.07 KIREKA-NAMUGONGO-24h'!C51,'30.07 KIREKA-NAMUGONGO'!C51)</f>
        <v>96.571428571428569</v>
      </c>
      <c r="D51" s="49">
        <f>AVERAGE('01.08 KIREKA-NAMUGONGO'!D51,'02.08 KIREKA-NAMUGONGO'!D51,'04.08 KIREKA-NAMUGONGO'!D51,'29.07 KIREKA-NAMUGONGO'!D51,'03.08 KIREKA-NAMUGONGO-24h'!D51,'31.07 KIREKA-NAMUGONGO-24h'!D51,'30.07 KIREKA-NAMUGONGO'!D51)</f>
        <v>27.714285714285715</v>
      </c>
      <c r="E51" s="49">
        <f>AVERAGE('01.08 KIREKA-NAMUGONGO'!E51,'02.08 KIREKA-NAMUGONGO'!E51,'04.08 KIREKA-NAMUGONGO'!E51,'29.07 KIREKA-NAMUGONGO'!E51,'03.08 KIREKA-NAMUGONGO-24h'!E51,'31.07 KIREKA-NAMUGONGO-24h'!E51,'30.07 KIREKA-NAMUGONGO'!E51)</f>
        <v>14.142857142857142</v>
      </c>
      <c r="F51" s="49">
        <f>AVERAGE('01.08 KIREKA-NAMUGONGO'!F51,'02.08 KIREKA-NAMUGONGO'!F51,'04.08 KIREKA-NAMUGONGO'!F51,'29.07 KIREKA-NAMUGONGO'!F51,'03.08 KIREKA-NAMUGONGO-24h'!F51,'31.07 KIREKA-NAMUGONGO-24h'!F51,'30.07 KIREKA-NAMUGONGO'!F51)</f>
        <v>22.571428571428573</v>
      </c>
      <c r="G51" s="49">
        <f>AVERAGE('01.08 KIREKA-NAMUGONGO'!G51,'02.08 KIREKA-NAMUGONGO'!G51,'04.08 KIREKA-NAMUGONGO'!G51,'29.07 KIREKA-NAMUGONGO'!G51,'03.08 KIREKA-NAMUGONGO-24h'!G51,'31.07 KIREKA-NAMUGONGO-24h'!G51,'30.07 KIREKA-NAMUGONGO'!G51)</f>
        <v>1.8571428571428572</v>
      </c>
      <c r="H51" s="49">
        <f>AVERAGE('01.08 KIREKA-NAMUGONGO'!H51,'02.08 KIREKA-NAMUGONGO'!H51,'04.08 KIREKA-NAMUGONGO'!H51,'29.07 KIREKA-NAMUGONGO'!H51,'03.08 KIREKA-NAMUGONGO-24h'!H51,'31.07 KIREKA-NAMUGONGO-24h'!H51,'30.07 KIREKA-NAMUGONGO'!H51)</f>
        <v>0</v>
      </c>
      <c r="I51" s="49">
        <f>AVERAGE('01.08 KIREKA-NAMUGONGO'!I51,'02.08 KIREKA-NAMUGONGO'!I51,'04.08 KIREKA-NAMUGONGO'!I51,'29.07 KIREKA-NAMUGONGO'!I51,'03.08 KIREKA-NAMUGONGO-24h'!I51,'31.07 KIREKA-NAMUGONGO-24h'!I51,'30.07 KIREKA-NAMUGONGO'!I51)</f>
        <v>7.1428571428571432</v>
      </c>
      <c r="J51" s="49">
        <f>AVERAGE('01.08 KIREKA-NAMUGONGO'!J51,'02.08 KIREKA-NAMUGONGO'!J51,'04.08 KIREKA-NAMUGONGO'!J51,'29.07 KIREKA-NAMUGONGO'!J51,'03.08 KIREKA-NAMUGONGO-24h'!J51,'31.07 KIREKA-NAMUGONGO-24h'!J51,'30.07 KIREKA-NAMUGONGO'!J51)</f>
        <v>2</v>
      </c>
      <c r="K51" s="49">
        <f>AVERAGE('01.08 KIREKA-NAMUGONGO'!K51,'02.08 KIREKA-NAMUGONGO'!K51,'04.08 KIREKA-NAMUGONGO'!K51,'29.07 KIREKA-NAMUGONGO'!K51,'03.08 KIREKA-NAMUGONGO-24h'!K51,'31.07 KIREKA-NAMUGONGO-24h'!K51,'30.07 KIREKA-NAMUGONGO'!K51)</f>
        <v>1.4285714285714286</v>
      </c>
      <c r="L51" s="49">
        <f>AVERAGE('01.08 KIREKA-NAMUGONGO'!L51,'02.08 KIREKA-NAMUGONGO'!L51,'04.08 KIREKA-NAMUGONGO'!L51,'29.07 KIREKA-NAMUGONGO'!L51,'03.08 KIREKA-NAMUGONGO-24h'!L51,'31.07 KIREKA-NAMUGONGO-24h'!L51,'30.07 KIREKA-NAMUGONGO'!L51)</f>
        <v>0.7142857142857143</v>
      </c>
      <c r="M51" s="49">
        <f>AVERAGE('01.08 KIREKA-NAMUGONGO'!M51,'02.08 KIREKA-NAMUGONGO'!M51,'04.08 KIREKA-NAMUGONGO'!M51,'29.07 KIREKA-NAMUGONGO'!M51,'03.08 KIREKA-NAMUGONGO-24h'!M51,'31.07 KIREKA-NAMUGONGO-24h'!M51,'30.07 KIREKA-NAMUGONGO'!M51)</f>
        <v>136.71428571428572</v>
      </c>
      <c r="N51" s="49">
        <f>AVERAGE('01.08 KIREKA-NAMUGONGO'!N51,'02.08 KIREKA-NAMUGONGO'!N51,'04.08 KIREKA-NAMUGONGO'!N51,'29.07 KIREKA-NAMUGONGO'!N51,'03.08 KIREKA-NAMUGONGO-24h'!N51,'31.07 KIREKA-NAMUGONGO-24h'!N51,'30.07 KIREKA-NAMUGONGO'!N51)</f>
        <v>0</v>
      </c>
      <c r="O51" s="15">
        <f t="shared" si="0"/>
        <v>174.14285714285714</v>
      </c>
      <c r="P51" s="15">
        <f t="shared" si="1"/>
        <v>310.85714285714289</v>
      </c>
    </row>
    <row r="52" spans="2:20" ht="23.1" customHeight="1" x14ac:dyDescent="0.25">
      <c r="B52" s="24" t="s">
        <v>79</v>
      </c>
      <c r="C52" s="49">
        <f>AVERAGE('01.08 KIREKA-NAMUGONGO'!C52,'02.08 KIREKA-NAMUGONGO'!C52,'04.08 KIREKA-NAMUGONGO'!C52,'29.07 KIREKA-NAMUGONGO'!C52,'03.08 KIREKA-NAMUGONGO-24h'!C52,'31.07 KIREKA-NAMUGONGO-24h'!C52,'30.07 KIREKA-NAMUGONGO'!C52)</f>
        <v>100.14285714285714</v>
      </c>
      <c r="D52" s="49">
        <f>AVERAGE('01.08 KIREKA-NAMUGONGO'!D52,'02.08 KIREKA-NAMUGONGO'!D52,'04.08 KIREKA-NAMUGONGO'!D52,'29.07 KIREKA-NAMUGONGO'!D52,'03.08 KIREKA-NAMUGONGO-24h'!D52,'31.07 KIREKA-NAMUGONGO-24h'!D52,'30.07 KIREKA-NAMUGONGO'!D52)</f>
        <v>23.714285714285715</v>
      </c>
      <c r="E52" s="49">
        <f>AVERAGE('01.08 KIREKA-NAMUGONGO'!E52,'02.08 KIREKA-NAMUGONGO'!E52,'04.08 KIREKA-NAMUGONGO'!E52,'29.07 KIREKA-NAMUGONGO'!E52,'03.08 KIREKA-NAMUGONGO-24h'!E52,'31.07 KIREKA-NAMUGONGO-24h'!E52,'30.07 KIREKA-NAMUGONGO'!E52)</f>
        <v>11</v>
      </c>
      <c r="F52" s="49">
        <f>AVERAGE('01.08 KIREKA-NAMUGONGO'!F52,'02.08 KIREKA-NAMUGONGO'!F52,'04.08 KIREKA-NAMUGONGO'!F52,'29.07 KIREKA-NAMUGONGO'!F52,'03.08 KIREKA-NAMUGONGO-24h'!F52,'31.07 KIREKA-NAMUGONGO-24h'!F52,'30.07 KIREKA-NAMUGONGO'!F52)</f>
        <v>20.857142857142858</v>
      </c>
      <c r="G52" s="49">
        <f>AVERAGE('01.08 KIREKA-NAMUGONGO'!G52,'02.08 KIREKA-NAMUGONGO'!G52,'04.08 KIREKA-NAMUGONGO'!G52,'29.07 KIREKA-NAMUGONGO'!G52,'03.08 KIREKA-NAMUGONGO-24h'!G52,'31.07 KIREKA-NAMUGONGO-24h'!G52,'30.07 KIREKA-NAMUGONGO'!G52)</f>
        <v>3.8571428571428572</v>
      </c>
      <c r="H52" s="49">
        <f>AVERAGE('01.08 KIREKA-NAMUGONGO'!H52,'02.08 KIREKA-NAMUGONGO'!H52,'04.08 KIREKA-NAMUGONGO'!H52,'29.07 KIREKA-NAMUGONGO'!H52,'03.08 KIREKA-NAMUGONGO-24h'!H52,'31.07 KIREKA-NAMUGONGO-24h'!H52,'30.07 KIREKA-NAMUGONGO'!H52)</f>
        <v>0</v>
      </c>
      <c r="I52" s="49">
        <f>AVERAGE('01.08 KIREKA-NAMUGONGO'!I52,'02.08 KIREKA-NAMUGONGO'!I52,'04.08 KIREKA-NAMUGONGO'!I52,'29.07 KIREKA-NAMUGONGO'!I52,'03.08 KIREKA-NAMUGONGO-24h'!I52,'31.07 KIREKA-NAMUGONGO-24h'!I52,'30.07 KIREKA-NAMUGONGO'!I52)</f>
        <v>5.4285714285714288</v>
      </c>
      <c r="J52" s="49">
        <f>AVERAGE('01.08 KIREKA-NAMUGONGO'!J52,'02.08 KIREKA-NAMUGONGO'!J52,'04.08 KIREKA-NAMUGONGO'!J52,'29.07 KIREKA-NAMUGONGO'!J52,'03.08 KIREKA-NAMUGONGO-24h'!J52,'31.07 KIREKA-NAMUGONGO-24h'!J52,'30.07 KIREKA-NAMUGONGO'!J52)</f>
        <v>2</v>
      </c>
      <c r="K52" s="49">
        <f>AVERAGE('01.08 KIREKA-NAMUGONGO'!K52,'02.08 KIREKA-NAMUGONGO'!K52,'04.08 KIREKA-NAMUGONGO'!K52,'29.07 KIREKA-NAMUGONGO'!K52,'03.08 KIREKA-NAMUGONGO-24h'!K52,'31.07 KIREKA-NAMUGONGO-24h'!K52,'30.07 KIREKA-NAMUGONGO'!K52)</f>
        <v>0.5714285714285714</v>
      </c>
      <c r="L52" s="49">
        <f>AVERAGE('01.08 KIREKA-NAMUGONGO'!L52,'02.08 KIREKA-NAMUGONGO'!L52,'04.08 KIREKA-NAMUGONGO'!L52,'29.07 KIREKA-NAMUGONGO'!L52,'03.08 KIREKA-NAMUGONGO-24h'!L52,'31.07 KIREKA-NAMUGONGO-24h'!L52,'30.07 KIREKA-NAMUGONGO'!L52)</f>
        <v>0.14285714285714285</v>
      </c>
      <c r="M52" s="49">
        <f>AVERAGE('01.08 KIREKA-NAMUGONGO'!M52,'02.08 KIREKA-NAMUGONGO'!M52,'04.08 KIREKA-NAMUGONGO'!M52,'29.07 KIREKA-NAMUGONGO'!M52,'03.08 KIREKA-NAMUGONGO-24h'!M52,'31.07 KIREKA-NAMUGONGO-24h'!M52,'30.07 KIREKA-NAMUGONGO'!M52)</f>
        <v>136.28571428571428</v>
      </c>
      <c r="N52" s="49">
        <f>AVERAGE('01.08 KIREKA-NAMUGONGO'!N52,'02.08 KIREKA-NAMUGONGO'!N52,'04.08 KIREKA-NAMUGONGO'!N52,'29.07 KIREKA-NAMUGONGO'!N52,'03.08 KIREKA-NAMUGONGO-24h'!N52,'31.07 KIREKA-NAMUGONGO-24h'!N52,'30.07 KIREKA-NAMUGONGO'!N52)</f>
        <v>0</v>
      </c>
      <c r="O52" s="15">
        <f t="shared" si="0"/>
        <v>167.71428571428572</v>
      </c>
      <c r="P52" s="15">
        <f t="shared" si="1"/>
        <v>304</v>
      </c>
    </row>
    <row r="53" spans="2:20" ht="23.1" customHeight="1" x14ac:dyDescent="0.25">
      <c r="B53" s="23" t="s">
        <v>80</v>
      </c>
      <c r="C53" s="49">
        <f>AVERAGE('01.08 KIREKA-NAMUGONGO'!C53,'02.08 KIREKA-NAMUGONGO'!C53,'04.08 KIREKA-NAMUGONGO'!C53,'29.07 KIREKA-NAMUGONGO'!C53,'03.08 KIREKA-NAMUGONGO-24h'!C53,'31.07 KIREKA-NAMUGONGO-24h'!C53,'30.07 KIREKA-NAMUGONGO'!C53)</f>
        <v>81.857142857142861</v>
      </c>
      <c r="D53" s="49">
        <f>AVERAGE('01.08 KIREKA-NAMUGONGO'!D53,'02.08 KIREKA-NAMUGONGO'!D53,'04.08 KIREKA-NAMUGONGO'!D53,'29.07 KIREKA-NAMUGONGO'!D53,'03.08 KIREKA-NAMUGONGO-24h'!D53,'31.07 KIREKA-NAMUGONGO-24h'!D53,'30.07 KIREKA-NAMUGONGO'!D53)</f>
        <v>29.857142857142858</v>
      </c>
      <c r="E53" s="49">
        <f>AVERAGE('01.08 KIREKA-NAMUGONGO'!E53,'02.08 KIREKA-NAMUGONGO'!E53,'04.08 KIREKA-NAMUGONGO'!E53,'29.07 KIREKA-NAMUGONGO'!E53,'03.08 KIREKA-NAMUGONGO-24h'!E53,'31.07 KIREKA-NAMUGONGO-24h'!E53,'30.07 KIREKA-NAMUGONGO'!E53)</f>
        <v>18.142857142857142</v>
      </c>
      <c r="F53" s="49">
        <f>AVERAGE('01.08 KIREKA-NAMUGONGO'!F53,'02.08 KIREKA-NAMUGONGO'!F53,'04.08 KIREKA-NAMUGONGO'!F53,'29.07 KIREKA-NAMUGONGO'!F53,'03.08 KIREKA-NAMUGONGO-24h'!F53,'31.07 KIREKA-NAMUGONGO-24h'!F53,'30.07 KIREKA-NAMUGONGO'!F53)</f>
        <v>13.428571428571429</v>
      </c>
      <c r="G53" s="49">
        <f>AVERAGE('01.08 KIREKA-NAMUGONGO'!G53,'02.08 KIREKA-NAMUGONGO'!G53,'04.08 KIREKA-NAMUGONGO'!G53,'29.07 KIREKA-NAMUGONGO'!G53,'03.08 KIREKA-NAMUGONGO-24h'!G53,'31.07 KIREKA-NAMUGONGO-24h'!G53,'30.07 KIREKA-NAMUGONGO'!G53)</f>
        <v>1.1428571428571428</v>
      </c>
      <c r="H53" s="49">
        <f>AVERAGE('01.08 KIREKA-NAMUGONGO'!H53,'02.08 KIREKA-NAMUGONGO'!H53,'04.08 KIREKA-NAMUGONGO'!H53,'29.07 KIREKA-NAMUGONGO'!H53,'03.08 KIREKA-NAMUGONGO-24h'!H53,'31.07 KIREKA-NAMUGONGO-24h'!H53,'30.07 KIREKA-NAMUGONGO'!H53)</f>
        <v>0</v>
      </c>
      <c r="I53" s="49">
        <f>AVERAGE('01.08 KIREKA-NAMUGONGO'!I53,'02.08 KIREKA-NAMUGONGO'!I53,'04.08 KIREKA-NAMUGONGO'!I53,'29.07 KIREKA-NAMUGONGO'!I53,'03.08 KIREKA-NAMUGONGO-24h'!I53,'31.07 KIREKA-NAMUGONGO-24h'!I53,'30.07 KIREKA-NAMUGONGO'!I53)</f>
        <v>5.5714285714285712</v>
      </c>
      <c r="J53" s="49">
        <f>AVERAGE('01.08 KIREKA-NAMUGONGO'!J53,'02.08 KIREKA-NAMUGONGO'!J53,'04.08 KIREKA-NAMUGONGO'!J53,'29.07 KIREKA-NAMUGONGO'!J53,'03.08 KIREKA-NAMUGONGO-24h'!J53,'31.07 KIREKA-NAMUGONGO-24h'!J53,'30.07 KIREKA-NAMUGONGO'!J53)</f>
        <v>1.4285714285714286</v>
      </c>
      <c r="K53" s="49">
        <f>AVERAGE('01.08 KIREKA-NAMUGONGO'!K53,'02.08 KIREKA-NAMUGONGO'!K53,'04.08 KIREKA-NAMUGONGO'!K53,'29.07 KIREKA-NAMUGONGO'!K53,'03.08 KIREKA-NAMUGONGO-24h'!K53,'31.07 KIREKA-NAMUGONGO-24h'!K53,'30.07 KIREKA-NAMUGONGO'!K53)</f>
        <v>0.2857142857142857</v>
      </c>
      <c r="L53" s="49">
        <f>AVERAGE('01.08 KIREKA-NAMUGONGO'!L53,'02.08 KIREKA-NAMUGONGO'!L53,'04.08 KIREKA-NAMUGONGO'!L53,'29.07 KIREKA-NAMUGONGO'!L53,'03.08 KIREKA-NAMUGONGO-24h'!L53,'31.07 KIREKA-NAMUGONGO-24h'!L53,'30.07 KIREKA-NAMUGONGO'!L53)</f>
        <v>0.14285714285714285</v>
      </c>
      <c r="M53" s="49">
        <f>AVERAGE('01.08 KIREKA-NAMUGONGO'!M53,'02.08 KIREKA-NAMUGONGO'!M53,'04.08 KIREKA-NAMUGONGO'!M53,'29.07 KIREKA-NAMUGONGO'!M53,'03.08 KIREKA-NAMUGONGO-24h'!M53,'31.07 KIREKA-NAMUGONGO-24h'!M53,'30.07 KIREKA-NAMUGONGO'!M53)</f>
        <v>134.85714285714286</v>
      </c>
      <c r="N53" s="49">
        <f>AVERAGE('01.08 KIREKA-NAMUGONGO'!N53,'02.08 KIREKA-NAMUGONGO'!N53,'04.08 KIREKA-NAMUGONGO'!N53,'29.07 KIREKA-NAMUGONGO'!N53,'03.08 KIREKA-NAMUGONGO-24h'!N53,'31.07 KIREKA-NAMUGONGO-24h'!N53,'30.07 KIREKA-NAMUGONGO'!N53)</f>
        <v>0.14285714285714285</v>
      </c>
      <c r="O53" s="15">
        <f t="shared" si="0"/>
        <v>151.99999999999997</v>
      </c>
      <c r="P53" s="15">
        <f t="shared" si="1"/>
        <v>286.85714285714283</v>
      </c>
      <c r="R53" s="8"/>
      <c r="T53"/>
    </row>
    <row r="54" spans="2:20" ht="23.1" customHeight="1" x14ac:dyDescent="0.25">
      <c r="B54" s="23" t="s">
        <v>81</v>
      </c>
      <c r="C54" s="49">
        <f>AVERAGE('01.08 KIREKA-NAMUGONGO'!C54,'02.08 KIREKA-NAMUGONGO'!C54,'04.08 KIREKA-NAMUGONGO'!C54,'29.07 KIREKA-NAMUGONGO'!C54,'03.08 KIREKA-NAMUGONGO-24h'!C54,'31.07 KIREKA-NAMUGONGO-24h'!C54,'30.07 KIREKA-NAMUGONGO'!C54)</f>
        <v>92.428571428571431</v>
      </c>
      <c r="D54" s="49">
        <f>AVERAGE('01.08 KIREKA-NAMUGONGO'!D54,'02.08 KIREKA-NAMUGONGO'!D54,'04.08 KIREKA-NAMUGONGO'!D54,'29.07 KIREKA-NAMUGONGO'!D54,'03.08 KIREKA-NAMUGONGO-24h'!D54,'31.07 KIREKA-NAMUGONGO-24h'!D54,'30.07 KIREKA-NAMUGONGO'!D54)</f>
        <v>21.714285714285715</v>
      </c>
      <c r="E54" s="49">
        <f>AVERAGE('01.08 KIREKA-NAMUGONGO'!E54,'02.08 KIREKA-NAMUGONGO'!E54,'04.08 KIREKA-NAMUGONGO'!E54,'29.07 KIREKA-NAMUGONGO'!E54,'03.08 KIREKA-NAMUGONGO-24h'!E54,'31.07 KIREKA-NAMUGONGO-24h'!E54,'30.07 KIREKA-NAMUGONGO'!E54)</f>
        <v>12.714285714285714</v>
      </c>
      <c r="F54" s="49">
        <f>AVERAGE('01.08 KIREKA-NAMUGONGO'!F54,'02.08 KIREKA-NAMUGONGO'!F54,'04.08 KIREKA-NAMUGONGO'!F54,'29.07 KIREKA-NAMUGONGO'!F54,'03.08 KIREKA-NAMUGONGO-24h'!F54,'31.07 KIREKA-NAMUGONGO-24h'!F54,'30.07 KIREKA-NAMUGONGO'!F54)</f>
        <v>23</v>
      </c>
      <c r="G54" s="49">
        <f>AVERAGE('01.08 KIREKA-NAMUGONGO'!G54,'02.08 KIREKA-NAMUGONGO'!G54,'04.08 KIREKA-NAMUGONGO'!G54,'29.07 KIREKA-NAMUGONGO'!G54,'03.08 KIREKA-NAMUGONGO-24h'!G54,'31.07 KIREKA-NAMUGONGO-24h'!G54,'30.07 KIREKA-NAMUGONGO'!G54)</f>
        <v>0.8571428571428571</v>
      </c>
      <c r="H54" s="49">
        <f>AVERAGE('01.08 KIREKA-NAMUGONGO'!H54,'02.08 KIREKA-NAMUGONGO'!H54,'04.08 KIREKA-NAMUGONGO'!H54,'29.07 KIREKA-NAMUGONGO'!H54,'03.08 KIREKA-NAMUGONGO-24h'!H54,'31.07 KIREKA-NAMUGONGO-24h'!H54,'30.07 KIREKA-NAMUGONGO'!H54)</f>
        <v>1</v>
      </c>
      <c r="I54" s="49">
        <f>AVERAGE('01.08 KIREKA-NAMUGONGO'!I54,'02.08 KIREKA-NAMUGONGO'!I54,'04.08 KIREKA-NAMUGONGO'!I54,'29.07 KIREKA-NAMUGONGO'!I54,'03.08 KIREKA-NAMUGONGO-24h'!I54,'31.07 KIREKA-NAMUGONGO-24h'!I54,'30.07 KIREKA-NAMUGONGO'!I54)</f>
        <v>1.7142857142857142</v>
      </c>
      <c r="J54" s="49">
        <f>AVERAGE('01.08 KIREKA-NAMUGONGO'!J54,'02.08 KIREKA-NAMUGONGO'!J54,'04.08 KIREKA-NAMUGONGO'!J54,'29.07 KIREKA-NAMUGONGO'!J54,'03.08 KIREKA-NAMUGONGO-24h'!J54,'31.07 KIREKA-NAMUGONGO-24h'!J54,'30.07 KIREKA-NAMUGONGO'!J54)</f>
        <v>3.2857142857142856</v>
      </c>
      <c r="K54" s="49">
        <f>AVERAGE('01.08 KIREKA-NAMUGONGO'!K54,'02.08 KIREKA-NAMUGONGO'!K54,'04.08 KIREKA-NAMUGONGO'!K54,'29.07 KIREKA-NAMUGONGO'!K54,'03.08 KIREKA-NAMUGONGO-24h'!K54,'31.07 KIREKA-NAMUGONGO-24h'!K54,'30.07 KIREKA-NAMUGONGO'!K54)</f>
        <v>2.4285714285714284</v>
      </c>
      <c r="L54" s="49">
        <f>AVERAGE('01.08 KIREKA-NAMUGONGO'!L54,'02.08 KIREKA-NAMUGONGO'!L54,'04.08 KIREKA-NAMUGONGO'!L54,'29.07 KIREKA-NAMUGONGO'!L54,'03.08 KIREKA-NAMUGONGO-24h'!L54,'31.07 KIREKA-NAMUGONGO-24h'!L54,'30.07 KIREKA-NAMUGONGO'!L54)</f>
        <v>0.14285714285714285</v>
      </c>
      <c r="M54" s="49">
        <f>AVERAGE('01.08 KIREKA-NAMUGONGO'!M54,'02.08 KIREKA-NAMUGONGO'!M54,'04.08 KIREKA-NAMUGONGO'!M54,'29.07 KIREKA-NAMUGONGO'!M54,'03.08 KIREKA-NAMUGONGO-24h'!M54,'31.07 KIREKA-NAMUGONGO-24h'!M54,'30.07 KIREKA-NAMUGONGO'!M54)</f>
        <v>152.14285714285714</v>
      </c>
      <c r="N54" s="49">
        <f>AVERAGE('01.08 KIREKA-NAMUGONGO'!N54,'02.08 KIREKA-NAMUGONGO'!N54,'04.08 KIREKA-NAMUGONGO'!N54,'29.07 KIREKA-NAMUGONGO'!N54,'03.08 KIREKA-NAMUGONGO-24h'!N54,'31.07 KIREKA-NAMUGONGO-24h'!N54,'30.07 KIREKA-NAMUGONGO'!N54)</f>
        <v>0</v>
      </c>
      <c r="O54" s="15">
        <f t="shared" si="0"/>
        <v>159.28571428571425</v>
      </c>
      <c r="P54" s="15">
        <f t="shared" si="1"/>
        <v>311.42857142857139</v>
      </c>
      <c r="R54" s="8"/>
      <c r="T54"/>
    </row>
    <row r="55" spans="2:20" ht="23.1" customHeight="1" x14ac:dyDescent="0.25">
      <c r="B55" s="23" t="s">
        <v>82</v>
      </c>
      <c r="C55" s="49">
        <f>AVERAGE('01.08 KIREKA-NAMUGONGO'!C55,'02.08 KIREKA-NAMUGONGO'!C55,'04.08 KIREKA-NAMUGONGO'!C55,'29.07 KIREKA-NAMUGONGO'!C55,'03.08 KIREKA-NAMUGONGO-24h'!C55,'31.07 KIREKA-NAMUGONGO-24h'!C55,'30.07 KIREKA-NAMUGONGO'!C55)</f>
        <v>94.714285714285708</v>
      </c>
      <c r="D55" s="49">
        <f>AVERAGE('01.08 KIREKA-NAMUGONGO'!D55,'02.08 KIREKA-NAMUGONGO'!D55,'04.08 KIREKA-NAMUGONGO'!D55,'29.07 KIREKA-NAMUGONGO'!D55,'03.08 KIREKA-NAMUGONGO-24h'!D55,'31.07 KIREKA-NAMUGONGO-24h'!D55,'30.07 KIREKA-NAMUGONGO'!D55)</f>
        <v>25</v>
      </c>
      <c r="E55" s="49">
        <f>AVERAGE('01.08 KIREKA-NAMUGONGO'!E55,'02.08 KIREKA-NAMUGONGO'!E55,'04.08 KIREKA-NAMUGONGO'!E55,'29.07 KIREKA-NAMUGONGO'!E55,'03.08 KIREKA-NAMUGONGO-24h'!E55,'31.07 KIREKA-NAMUGONGO-24h'!E55,'30.07 KIREKA-NAMUGONGO'!E55)</f>
        <v>14.285714285714286</v>
      </c>
      <c r="F55" s="49">
        <f>AVERAGE('01.08 KIREKA-NAMUGONGO'!F55,'02.08 KIREKA-NAMUGONGO'!F55,'04.08 KIREKA-NAMUGONGO'!F55,'29.07 KIREKA-NAMUGONGO'!F55,'03.08 KIREKA-NAMUGONGO-24h'!F55,'31.07 KIREKA-NAMUGONGO-24h'!F55,'30.07 KIREKA-NAMUGONGO'!F55)</f>
        <v>20.571428571428573</v>
      </c>
      <c r="G55" s="49">
        <f>AVERAGE('01.08 KIREKA-NAMUGONGO'!G55,'02.08 KIREKA-NAMUGONGO'!G55,'04.08 KIREKA-NAMUGONGO'!G55,'29.07 KIREKA-NAMUGONGO'!G55,'03.08 KIREKA-NAMUGONGO-24h'!G55,'31.07 KIREKA-NAMUGONGO-24h'!G55,'30.07 KIREKA-NAMUGONGO'!G55)</f>
        <v>1.2857142857142858</v>
      </c>
      <c r="H55" s="49">
        <f>AVERAGE('01.08 KIREKA-NAMUGONGO'!H55,'02.08 KIREKA-NAMUGONGO'!H55,'04.08 KIREKA-NAMUGONGO'!H55,'29.07 KIREKA-NAMUGONGO'!H55,'03.08 KIREKA-NAMUGONGO-24h'!H55,'31.07 KIREKA-NAMUGONGO-24h'!H55,'30.07 KIREKA-NAMUGONGO'!H55)</f>
        <v>0.14285714285714285</v>
      </c>
      <c r="I55" s="49">
        <f>AVERAGE('01.08 KIREKA-NAMUGONGO'!I55,'02.08 KIREKA-NAMUGONGO'!I55,'04.08 KIREKA-NAMUGONGO'!I55,'29.07 KIREKA-NAMUGONGO'!I55,'03.08 KIREKA-NAMUGONGO-24h'!I55,'31.07 KIREKA-NAMUGONGO-24h'!I55,'30.07 KIREKA-NAMUGONGO'!I55)</f>
        <v>3.2857142857142856</v>
      </c>
      <c r="J55" s="49">
        <f>AVERAGE('01.08 KIREKA-NAMUGONGO'!J55,'02.08 KIREKA-NAMUGONGO'!J55,'04.08 KIREKA-NAMUGONGO'!J55,'29.07 KIREKA-NAMUGONGO'!J55,'03.08 KIREKA-NAMUGONGO-24h'!J55,'31.07 KIREKA-NAMUGONGO-24h'!J55,'30.07 KIREKA-NAMUGONGO'!J55)</f>
        <v>1.1428571428571428</v>
      </c>
      <c r="K55" s="49">
        <f>AVERAGE('01.08 KIREKA-NAMUGONGO'!K55,'02.08 KIREKA-NAMUGONGO'!K55,'04.08 KIREKA-NAMUGONGO'!K55,'29.07 KIREKA-NAMUGONGO'!K55,'03.08 KIREKA-NAMUGONGO-24h'!K55,'31.07 KIREKA-NAMUGONGO-24h'!K55,'30.07 KIREKA-NAMUGONGO'!K55)</f>
        <v>1.2857142857142858</v>
      </c>
      <c r="L55" s="49">
        <f>AVERAGE('01.08 KIREKA-NAMUGONGO'!L55,'02.08 KIREKA-NAMUGONGO'!L55,'04.08 KIREKA-NAMUGONGO'!L55,'29.07 KIREKA-NAMUGONGO'!L55,'03.08 KIREKA-NAMUGONGO-24h'!L55,'31.07 KIREKA-NAMUGONGO-24h'!L55,'30.07 KIREKA-NAMUGONGO'!L55)</f>
        <v>0.14285714285714285</v>
      </c>
      <c r="M55" s="49">
        <f>AVERAGE('01.08 KIREKA-NAMUGONGO'!M55,'02.08 KIREKA-NAMUGONGO'!M55,'04.08 KIREKA-NAMUGONGO'!M55,'29.07 KIREKA-NAMUGONGO'!M55,'03.08 KIREKA-NAMUGONGO-24h'!M55,'31.07 KIREKA-NAMUGONGO-24h'!M55,'30.07 KIREKA-NAMUGONGO'!M55)</f>
        <v>150.71428571428572</v>
      </c>
      <c r="N55" s="49">
        <f>AVERAGE('01.08 KIREKA-NAMUGONGO'!N55,'02.08 KIREKA-NAMUGONGO'!N55,'04.08 KIREKA-NAMUGONGO'!N55,'29.07 KIREKA-NAMUGONGO'!N55,'03.08 KIREKA-NAMUGONGO-24h'!N55,'31.07 KIREKA-NAMUGONGO-24h'!N55,'30.07 KIREKA-NAMUGONGO'!N55)</f>
        <v>0</v>
      </c>
      <c r="O55" s="15">
        <f t="shared" si="0"/>
        <v>161.85714285714283</v>
      </c>
      <c r="P55" s="15">
        <f t="shared" si="1"/>
        <v>312.57142857142856</v>
      </c>
      <c r="R55" s="8"/>
      <c r="T55"/>
    </row>
    <row r="56" spans="2:20" ht="23.1" customHeight="1" x14ac:dyDescent="0.25">
      <c r="B56" s="23" t="s">
        <v>83</v>
      </c>
      <c r="C56" s="49">
        <f>AVERAGE('01.08 KIREKA-NAMUGONGO'!C56,'02.08 KIREKA-NAMUGONGO'!C56,'04.08 KIREKA-NAMUGONGO'!C56,'29.07 KIREKA-NAMUGONGO'!C56,'03.08 KIREKA-NAMUGONGO-24h'!C56,'31.07 KIREKA-NAMUGONGO-24h'!C56,'30.07 KIREKA-NAMUGONGO'!C56)</f>
        <v>97.285714285714292</v>
      </c>
      <c r="D56" s="49">
        <f>AVERAGE('01.08 KIREKA-NAMUGONGO'!D56,'02.08 KIREKA-NAMUGONGO'!D56,'04.08 KIREKA-NAMUGONGO'!D56,'29.07 KIREKA-NAMUGONGO'!D56,'03.08 KIREKA-NAMUGONGO-24h'!D56,'31.07 KIREKA-NAMUGONGO-24h'!D56,'30.07 KIREKA-NAMUGONGO'!D56)</f>
        <v>26.714285714285715</v>
      </c>
      <c r="E56" s="49">
        <f>AVERAGE('01.08 KIREKA-NAMUGONGO'!E56,'02.08 KIREKA-NAMUGONGO'!E56,'04.08 KIREKA-NAMUGONGO'!E56,'29.07 KIREKA-NAMUGONGO'!E56,'03.08 KIREKA-NAMUGONGO-24h'!E56,'31.07 KIREKA-NAMUGONGO-24h'!E56,'30.07 KIREKA-NAMUGONGO'!E56)</f>
        <v>12.428571428571429</v>
      </c>
      <c r="F56" s="49">
        <f>AVERAGE('01.08 KIREKA-NAMUGONGO'!F56,'02.08 KIREKA-NAMUGONGO'!F56,'04.08 KIREKA-NAMUGONGO'!F56,'29.07 KIREKA-NAMUGONGO'!F56,'03.08 KIREKA-NAMUGONGO-24h'!F56,'31.07 KIREKA-NAMUGONGO-24h'!F56,'30.07 KIREKA-NAMUGONGO'!F56)</f>
        <v>24.285714285714285</v>
      </c>
      <c r="G56" s="49">
        <f>AVERAGE('01.08 KIREKA-NAMUGONGO'!G56,'02.08 KIREKA-NAMUGONGO'!G56,'04.08 KIREKA-NAMUGONGO'!G56,'29.07 KIREKA-NAMUGONGO'!G56,'03.08 KIREKA-NAMUGONGO-24h'!G56,'31.07 KIREKA-NAMUGONGO-24h'!G56,'30.07 KIREKA-NAMUGONGO'!G56)</f>
        <v>0.2857142857142857</v>
      </c>
      <c r="H56" s="49">
        <f>AVERAGE('01.08 KIREKA-NAMUGONGO'!H56,'02.08 KIREKA-NAMUGONGO'!H56,'04.08 KIREKA-NAMUGONGO'!H56,'29.07 KIREKA-NAMUGONGO'!H56,'03.08 KIREKA-NAMUGONGO-24h'!H56,'31.07 KIREKA-NAMUGONGO-24h'!H56,'30.07 KIREKA-NAMUGONGO'!H56)</f>
        <v>0.5714285714285714</v>
      </c>
      <c r="I56" s="49">
        <f>AVERAGE('01.08 KIREKA-NAMUGONGO'!I56,'02.08 KIREKA-NAMUGONGO'!I56,'04.08 KIREKA-NAMUGONGO'!I56,'29.07 KIREKA-NAMUGONGO'!I56,'03.08 KIREKA-NAMUGONGO-24h'!I56,'31.07 KIREKA-NAMUGONGO-24h'!I56,'30.07 KIREKA-NAMUGONGO'!I56)</f>
        <v>3.2857142857142856</v>
      </c>
      <c r="J56" s="49">
        <f>AVERAGE('01.08 KIREKA-NAMUGONGO'!J56,'02.08 KIREKA-NAMUGONGO'!J56,'04.08 KIREKA-NAMUGONGO'!J56,'29.07 KIREKA-NAMUGONGO'!J56,'03.08 KIREKA-NAMUGONGO-24h'!J56,'31.07 KIREKA-NAMUGONGO-24h'!J56,'30.07 KIREKA-NAMUGONGO'!J56)</f>
        <v>0.8571428571428571</v>
      </c>
      <c r="K56" s="49">
        <f>AVERAGE('01.08 KIREKA-NAMUGONGO'!K56,'02.08 KIREKA-NAMUGONGO'!K56,'04.08 KIREKA-NAMUGONGO'!K56,'29.07 KIREKA-NAMUGONGO'!K56,'03.08 KIREKA-NAMUGONGO-24h'!K56,'31.07 KIREKA-NAMUGONGO-24h'!K56,'30.07 KIREKA-NAMUGONGO'!K56)</f>
        <v>0.2857142857142857</v>
      </c>
      <c r="L56" s="49">
        <f>AVERAGE('01.08 KIREKA-NAMUGONGO'!L56,'02.08 KIREKA-NAMUGONGO'!L56,'04.08 KIREKA-NAMUGONGO'!L56,'29.07 KIREKA-NAMUGONGO'!L56,'03.08 KIREKA-NAMUGONGO-24h'!L56,'31.07 KIREKA-NAMUGONGO-24h'!L56,'30.07 KIREKA-NAMUGONGO'!L56)</f>
        <v>21.142857142857142</v>
      </c>
      <c r="M56" s="49">
        <f>AVERAGE('01.08 KIREKA-NAMUGONGO'!M56,'02.08 KIREKA-NAMUGONGO'!M56,'04.08 KIREKA-NAMUGONGO'!M56,'29.07 KIREKA-NAMUGONGO'!M56,'03.08 KIREKA-NAMUGONGO-24h'!M56,'31.07 KIREKA-NAMUGONGO-24h'!M56,'30.07 KIREKA-NAMUGONGO'!M56)</f>
        <v>125.14285714285714</v>
      </c>
      <c r="N56" s="49">
        <f>AVERAGE('01.08 KIREKA-NAMUGONGO'!N56,'02.08 KIREKA-NAMUGONGO'!N56,'04.08 KIREKA-NAMUGONGO'!N56,'29.07 KIREKA-NAMUGONGO'!N56,'03.08 KIREKA-NAMUGONGO-24h'!N56,'31.07 KIREKA-NAMUGONGO-24h'!N56,'30.07 KIREKA-NAMUGONGO'!N56)</f>
        <v>0</v>
      </c>
      <c r="O56" s="15">
        <f t="shared" si="0"/>
        <v>187.14285714285711</v>
      </c>
      <c r="P56" s="15">
        <f t="shared" si="1"/>
        <v>312.28571428571422</v>
      </c>
      <c r="R56" s="8"/>
      <c r="T56"/>
    </row>
    <row r="57" spans="2:20" ht="23.1" customHeight="1" x14ac:dyDescent="0.25">
      <c r="B57" s="23" t="s">
        <v>84</v>
      </c>
      <c r="C57" s="49">
        <f>AVERAGE('01.08 KIREKA-NAMUGONGO'!C57,'02.08 KIREKA-NAMUGONGO'!C57,'04.08 KIREKA-NAMUGONGO'!C57,'29.07 KIREKA-NAMUGONGO'!C57,'03.08 KIREKA-NAMUGONGO-24h'!C57,'31.07 KIREKA-NAMUGONGO-24h'!C57,'30.07 KIREKA-NAMUGONGO'!C57)</f>
        <v>88.571428571428569</v>
      </c>
      <c r="D57" s="49">
        <f>AVERAGE('01.08 KIREKA-NAMUGONGO'!D57,'02.08 KIREKA-NAMUGONGO'!D57,'04.08 KIREKA-NAMUGONGO'!D57,'29.07 KIREKA-NAMUGONGO'!D57,'03.08 KIREKA-NAMUGONGO-24h'!D57,'31.07 KIREKA-NAMUGONGO-24h'!D57,'30.07 KIREKA-NAMUGONGO'!D57)</f>
        <v>30.571428571428573</v>
      </c>
      <c r="E57" s="49">
        <f>AVERAGE('01.08 KIREKA-NAMUGONGO'!E57,'02.08 KIREKA-NAMUGONGO'!E57,'04.08 KIREKA-NAMUGONGO'!E57,'29.07 KIREKA-NAMUGONGO'!E57,'03.08 KIREKA-NAMUGONGO-24h'!E57,'31.07 KIREKA-NAMUGONGO-24h'!E57,'30.07 KIREKA-NAMUGONGO'!E57)</f>
        <v>12.571428571428571</v>
      </c>
      <c r="F57" s="49">
        <f>AVERAGE('01.08 KIREKA-NAMUGONGO'!F57,'02.08 KIREKA-NAMUGONGO'!F57,'04.08 KIREKA-NAMUGONGO'!F57,'29.07 KIREKA-NAMUGONGO'!F57,'03.08 KIREKA-NAMUGONGO-24h'!F57,'31.07 KIREKA-NAMUGONGO-24h'!F57,'30.07 KIREKA-NAMUGONGO'!F57)</f>
        <v>23.571428571428573</v>
      </c>
      <c r="G57" s="49">
        <f>AVERAGE('01.08 KIREKA-NAMUGONGO'!G57,'02.08 KIREKA-NAMUGONGO'!G57,'04.08 KIREKA-NAMUGONGO'!G57,'29.07 KIREKA-NAMUGONGO'!G57,'03.08 KIREKA-NAMUGONGO-24h'!G57,'31.07 KIREKA-NAMUGONGO-24h'!G57,'30.07 KIREKA-NAMUGONGO'!G57)</f>
        <v>0</v>
      </c>
      <c r="H57" s="49">
        <f>AVERAGE('01.08 KIREKA-NAMUGONGO'!H57,'02.08 KIREKA-NAMUGONGO'!H57,'04.08 KIREKA-NAMUGONGO'!H57,'29.07 KIREKA-NAMUGONGO'!H57,'03.08 KIREKA-NAMUGONGO-24h'!H57,'31.07 KIREKA-NAMUGONGO-24h'!H57,'30.07 KIREKA-NAMUGONGO'!H57)</f>
        <v>0</v>
      </c>
      <c r="I57" s="49">
        <f>AVERAGE('01.08 KIREKA-NAMUGONGO'!I57,'02.08 KIREKA-NAMUGONGO'!I57,'04.08 KIREKA-NAMUGONGO'!I57,'29.07 KIREKA-NAMUGONGO'!I57,'03.08 KIREKA-NAMUGONGO-24h'!I57,'31.07 KIREKA-NAMUGONGO-24h'!I57,'30.07 KIREKA-NAMUGONGO'!I57)</f>
        <v>4.2857142857142856</v>
      </c>
      <c r="J57" s="49">
        <f>AVERAGE('01.08 KIREKA-NAMUGONGO'!J57,'02.08 KIREKA-NAMUGONGO'!J57,'04.08 KIREKA-NAMUGONGO'!J57,'29.07 KIREKA-NAMUGONGO'!J57,'03.08 KIREKA-NAMUGONGO-24h'!J57,'31.07 KIREKA-NAMUGONGO-24h'!J57,'30.07 KIREKA-NAMUGONGO'!J57)</f>
        <v>1.1428571428571428</v>
      </c>
      <c r="K57" s="49">
        <f>AVERAGE('01.08 KIREKA-NAMUGONGO'!K57,'02.08 KIREKA-NAMUGONGO'!K57,'04.08 KIREKA-NAMUGONGO'!K57,'29.07 KIREKA-NAMUGONGO'!K57,'03.08 KIREKA-NAMUGONGO-24h'!K57,'31.07 KIREKA-NAMUGONGO-24h'!K57,'30.07 KIREKA-NAMUGONGO'!K57)</f>
        <v>0.7142857142857143</v>
      </c>
      <c r="L57" s="49">
        <f>AVERAGE('01.08 KIREKA-NAMUGONGO'!L57,'02.08 KIREKA-NAMUGONGO'!L57,'04.08 KIREKA-NAMUGONGO'!L57,'29.07 KIREKA-NAMUGONGO'!L57,'03.08 KIREKA-NAMUGONGO-24h'!L57,'31.07 KIREKA-NAMUGONGO-24h'!L57,'30.07 KIREKA-NAMUGONGO'!L57)</f>
        <v>25.714285714285715</v>
      </c>
      <c r="M57" s="49">
        <f>AVERAGE('01.08 KIREKA-NAMUGONGO'!M57,'02.08 KIREKA-NAMUGONGO'!M57,'04.08 KIREKA-NAMUGONGO'!M57,'29.07 KIREKA-NAMUGONGO'!M57,'03.08 KIREKA-NAMUGONGO-24h'!M57,'31.07 KIREKA-NAMUGONGO-24h'!M57,'30.07 KIREKA-NAMUGONGO'!M57)</f>
        <v>121</v>
      </c>
      <c r="N57" s="49">
        <f>AVERAGE('01.08 KIREKA-NAMUGONGO'!N57,'02.08 KIREKA-NAMUGONGO'!N57,'04.08 KIREKA-NAMUGONGO'!N57,'29.07 KIREKA-NAMUGONGO'!N57,'03.08 KIREKA-NAMUGONGO-24h'!N57,'31.07 KIREKA-NAMUGONGO-24h'!N57,'30.07 KIREKA-NAMUGONGO'!N57)</f>
        <v>0</v>
      </c>
      <c r="O57" s="15">
        <f t="shared" si="0"/>
        <v>187.14285714285717</v>
      </c>
      <c r="P57" s="15">
        <f t="shared" si="1"/>
        <v>308.14285714285717</v>
      </c>
      <c r="R57" s="8"/>
      <c r="T57"/>
    </row>
    <row r="58" spans="2:20" ht="23.1" customHeight="1" x14ac:dyDescent="0.25">
      <c r="B58" s="23" t="s">
        <v>99</v>
      </c>
      <c r="C58" s="49">
        <f>AVERAGE('31.07 KIREKA-NAMUGONGO-24h'!C58,'03.08 KIREKA-NAMUGONGO-24h'!C58)</f>
        <v>5</v>
      </c>
      <c r="D58" s="49">
        <f>AVERAGE('31.07 KIREKA-NAMUGONGO-24h'!D58,'03.08 KIREKA-NAMUGONGO-24h'!D58)</f>
        <v>3.5</v>
      </c>
      <c r="E58" s="49">
        <f>AVERAGE('31.07 KIREKA-NAMUGONGO-24h'!E58,'03.08 KIREKA-NAMUGONGO-24h'!E58)</f>
        <v>1.5</v>
      </c>
      <c r="F58" s="49">
        <f>AVERAGE('31.07 KIREKA-NAMUGONGO-24h'!F58,'03.08 KIREKA-NAMUGONGO-24h'!F58)</f>
        <v>0</v>
      </c>
      <c r="G58" s="49">
        <f>AVERAGE('31.07 KIREKA-NAMUGONGO-24h'!G58,'03.08 KIREKA-NAMUGONGO-24h'!G58)</f>
        <v>0</v>
      </c>
      <c r="H58" s="49">
        <f>AVERAGE('31.07 KIREKA-NAMUGONGO-24h'!H58,'03.08 KIREKA-NAMUGONGO-24h'!H58)</f>
        <v>0</v>
      </c>
      <c r="I58" s="49">
        <f>AVERAGE('31.07 KIREKA-NAMUGONGO-24h'!I58,'03.08 KIREKA-NAMUGONGO-24h'!I58)</f>
        <v>1</v>
      </c>
      <c r="J58" s="49">
        <f>AVERAGE('31.07 KIREKA-NAMUGONGO-24h'!J58,'03.08 KIREKA-NAMUGONGO-24h'!J58)</f>
        <v>0</v>
      </c>
      <c r="K58" s="49">
        <f>AVERAGE('31.07 KIREKA-NAMUGONGO-24h'!K58,'03.08 KIREKA-NAMUGONGO-24h'!K58)</f>
        <v>0</v>
      </c>
      <c r="L58" s="49">
        <f>AVERAGE('31.07 KIREKA-NAMUGONGO-24h'!L58,'03.08 KIREKA-NAMUGONGO-24h'!L58)</f>
        <v>0</v>
      </c>
      <c r="M58" s="49">
        <f>AVERAGE('31.07 KIREKA-NAMUGONGO-24h'!M58,'03.08 KIREKA-NAMUGONGO-24h'!M58)</f>
        <v>19.5</v>
      </c>
      <c r="N58" s="49">
        <f>AVERAGE('31.07 KIREKA-NAMUGONGO-24h'!N58,'03.08 KIREKA-NAMUGONGO-24h'!N58)</f>
        <v>0</v>
      </c>
      <c r="O58" s="15">
        <f t="shared" si="0"/>
        <v>11</v>
      </c>
      <c r="P58" s="15">
        <f t="shared" si="1"/>
        <v>30.5</v>
      </c>
      <c r="R58" s="8"/>
      <c r="T58"/>
    </row>
    <row r="59" spans="2:20" ht="23.1" customHeight="1" x14ac:dyDescent="0.25">
      <c r="B59" s="23" t="s">
        <v>100</v>
      </c>
      <c r="C59" s="49">
        <f>AVERAGE('31.07 KIREKA-NAMUGONGO-24h'!C59,'03.08 KIREKA-NAMUGONGO-24h'!C59)</f>
        <v>41.5</v>
      </c>
      <c r="D59" s="49">
        <f>AVERAGE('31.07 KIREKA-NAMUGONGO-24h'!D59,'03.08 KIREKA-NAMUGONGO-24h'!D59)</f>
        <v>10</v>
      </c>
      <c r="E59" s="49">
        <f>AVERAGE('31.07 KIREKA-NAMUGONGO-24h'!E59,'03.08 KIREKA-NAMUGONGO-24h'!E59)</f>
        <v>2.5</v>
      </c>
      <c r="F59" s="49">
        <f>AVERAGE('31.07 KIREKA-NAMUGONGO-24h'!F59,'03.08 KIREKA-NAMUGONGO-24h'!F59)</f>
        <v>8</v>
      </c>
      <c r="G59" s="49">
        <f>AVERAGE('31.07 KIREKA-NAMUGONGO-24h'!G59,'03.08 KIREKA-NAMUGONGO-24h'!G59)</f>
        <v>0</v>
      </c>
      <c r="H59" s="49">
        <f>AVERAGE('31.07 KIREKA-NAMUGONGO-24h'!H59,'03.08 KIREKA-NAMUGONGO-24h'!H59)</f>
        <v>0</v>
      </c>
      <c r="I59" s="49">
        <f>AVERAGE('31.07 KIREKA-NAMUGONGO-24h'!I59,'03.08 KIREKA-NAMUGONGO-24h'!I59)</f>
        <v>1</v>
      </c>
      <c r="J59" s="49">
        <f>AVERAGE('31.07 KIREKA-NAMUGONGO-24h'!J59,'03.08 KIREKA-NAMUGONGO-24h'!J59)</f>
        <v>0</v>
      </c>
      <c r="K59" s="49">
        <f>AVERAGE('31.07 KIREKA-NAMUGONGO-24h'!K59,'03.08 KIREKA-NAMUGONGO-24h'!K59)</f>
        <v>0</v>
      </c>
      <c r="L59" s="49">
        <f>AVERAGE('31.07 KIREKA-NAMUGONGO-24h'!L59,'03.08 KIREKA-NAMUGONGO-24h'!L59)</f>
        <v>0</v>
      </c>
      <c r="M59" s="49">
        <f>AVERAGE('31.07 KIREKA-NAMUGONGO-24h'!M59,'03.08 KIREKA-NAMUGONGO-24h'!M59)</f>
        <v>81</v>
      </c>
      <c r="N59" s="49">
        <f>AVERAGE('31.07 KIREKA-NAMUGONGO-24h'!N59,'03.08 KIREKA-NAMUGONGO-24h'!N59)</f>
        <v>0</v>
      </c>
      <c r="O59" s="15">
        <f t="shared" ref="O59:O105" si="35">SUM(C59:L59,N59)</f>
        <v>63</v>
      </c>
      <c r="P59" s="15">
        <f t="shared" ref="P59:P105" si="36">SUM(C59:N59)</f>
        <v>144</v>
      </c>
      <c r="R59" s="8"/>
      <c r="T59"/>
    </row>
    <row r="60" spans="2:20" ht="23.1" customHeight="1" x14ac:dyDescent="0.25">
      <c r="B60" s="23" t="s">
        <v>101</v>
      </c>
      <c r="C60" s="49">
        <f>AVERAGE('31.07 KIREKA-NAMUGONGO-24h'!C60,'03.08 KIREKA-NAMUGONGO-24h'!C60)</f>
        <v>30</v>
      </c>
      <c r="D60" s="49">
        <f>AVERAGE('31.07 KIREKA-NAMUGONGO-24h'!D60,'03.08 KIREKA-NAMUGONGO-24h'!D60)</f>
        <v>11.5</v>
      </c>
      <c r="E60" s="49">
        <f>AVERAGE('31.07 KIREKA-NAMUGONGO-24h'!E60,'03.08 KIREKA-NAMUGONGO-24h'!E60)</f>
        <v>1.5</v>
      </c>
      <c r="F60" s="49">
        <f>AVERAGE('31.07 KIREKA-NAMUGONGO-24h'!F60,'03.08 KIREKA-NAMUGONGO-24h'!F60)</f>
        <v>10</v>
      </c>
      <c r="G60" s="49">
        <f>AVERAGE('31.07 KIREKA-NAMUGONGO-24h'!G60,'03.08 KIREKA-NAMUGONGO-24h'!G60)</f>
        <v>0.5</v>
      </c>
      <c r="H60" s="49">
        <f>AVERAGE('31.07 KIREKA-NAMUGONGO-24h'!H60,'03.08 KIREKA-NAMUGONGO-24h'!H60)</f>
        <v>0.5</v>
      </c>
      <c r="I60" s="49">
        <f>AVERAGE('31.07 KIREKA-NAMUGONGO-24h'!I60,'03.08 KIREKA-NAMUGONGO-24h'!I60)</f>
        <v>1</v>
      </c>
      <c r="J60" s="49">
        <f>AVERAGE('31.07 KIREKA-NAMUGONGO-24h'!J60,'03.08 KIREKA-NAMUGONGO-24h'!J60)</f>
        <v>2.5</v>
      </c>
      <c r="K60" s="49">
        <f>AVERAGE('31.07 KIREKA-NAMUGONGO-24h'!K60,'03.08 KIREKA-NAMUGONGO-24h'!K60)</f>
        <v>0</v>
      </c>
      <c r="L60" s="49">
        <f>AVERAGE('31.07 KIREKA-NAMUGONGO-24h'!L60,'03.08 KIREKA-NAMUGONGO-24h'!L60)</f>
        <v>0</v>
      </c>
      <c r="M60" s="49">
        <f>AVERAGE('31.07 KIREKA-NAMUGONGO-24h'!M60,'03.08 KIREKA-NAMUGONGO-24h'!M60)</f>
        <v>89</v>
      </c>
      <c r="N60" s="49">
        <f>AVERAGE('31.07 KIREKA-NAMUGONGO-24h'!N60,'03.08 KIREKA-NAMUGONGO-24h'!N60)</f>
        <v>0</v>
      </c>
      <c r="O60" s="15">
        <f t="shared" si="35"/>
        <v>57.5</v>
      </c>
      <c r="P60" s="15">
        <f t="shared" si="36"/>
        <v>146.5</v>
      </c>
      <c r="R60" s="8"/>
      <c r="T60"/>
    </row>
    <row r="61" spans="2:20" ht="23.1" customHeight="1" x14ac:dyDescent="0.25">
      <c r="B61" s="23" t="s">
        <v>102</v>
      </c>
      <c r="C61" s="49">
        <f>AVERAGE('31.07 KIREKA-NAMUGONGO-24h'!C61,'03.08 KIREKA-NAMUGONGO-24h'!C61)</f>
        <v>42.5</v>
      </c>
      <c r="D61" s="49">
        <f>AVERAGE('31.07 KIREKA-NAMUGONGO-24h'!D61,'03.08 KIREKA-NAMUGONGO-24h'!D61)</f>
        <v>9.5</v>
      </c>
      <c r="E61" s="49">
        <f>AVERAGE('31.07 KIREKA-NAMUGONGO-24h'!E61,'03.08 KIREKA-NAMUGONGO-24h'!E61)</f>
        <v>5.5</v>
      </c>
      <c r="F61" s="49">
        <f>AVERAGE('31.07 KIREKA-NAMUGONGO-24h'!F61,'03.08 KIREKA-NAMUGONGO-24h'!F61)</f>
        <v>12.5</v>
      </c>
      <c r="G61" s="49">
        <f>AVERAGE('31.07 KIREKA-NAMUGONGO-24h'!G61,'03.08 KIREKA-NAMUGONGO-24h'!G61)</f>
        <v>0</v>
      </c>
      <c r="H61" s="49">
        <f>AVERAGE('31.07 KIREKA-NAMUGONGO-24h'!H61,'03.08 KIREKA-NAMUGONGO-24h'!H61)</f>
        <v>0</v>
      </c>
      <c r="I61" s="49">
        <f>AVERAGE('31.07 KIREKA-NAMUGONGO-24h'!I61,'03.08 KIREKA-NAMUGONGO-24h'!I61)</f>
        <v>2.5</v>
      </c>
      <c r="J61" s="49">
        <f>AVERAGE('31.07 KIREKA-NAMUGONGO-24h'!J61,'03.08 KIREKA-NAMUGONGO-24h'!J61)</f>
        <v>1.5</v>
      </c>
      <c r="K61" s="49">
        <f>AVERAGE('31.07 KIREKA-NAMUGONGO-24h'!K61,'03.08 KIREKA-NAMUGONGO-24h'!K61)</f>
        <v>0</v>
      </c>
      <c r="L61" s="49">
        <f>AVERAGE('31.07 KIREKA-NAMUGONGO-24h'!L61,'03.08 KIREKA-NAMUGONGO-24h'!L61)</f>
        <v>0</v>
      </c>
      <c r="M61" s="49">
        <f>AVERAGE('31.07 KIREKA-NAMUGONGO-24h'!M61,'03.08 KIREKA-NAMUGONGO-24h'!M61)</f>
        <v>97</v>
      </c>
      <c r="N61" s="49">
        <f>AVERAGE('31.07 KIREKA-NAMUGONGO-24h'!N61,'03.08 KIREKA-NAMUGONGO-24h'!N61)</f>
        <v>0</v>
      </c>
      <c r="O61" s="15">
        <f t="shared" si="35"/>
        <v>74</v>
      </c>
      <c r="P61" s="15">
        <f t="shared" si="36"/>
        <v>171</v>
      </c>
      <c r="R61" s="8"/>
      <c r="T61"/>
    </row>
    <row r="62" spans="2:20" ht="23.1" customHeight="1" x14ac:dyDescent="0.25">
      <c r="B62" s="23" t="s">
        <v>107</v>
      </c>
      <c r="C62" s="49">
        <f>AVERAGE('31.07 KIREKA-NAMUGONGO-24h'!C62,'03.08 KIREKA-NAMUGONGO-24h'!C62)</f>
        <v>34</v>
      </c>
      <c r="D62" s="49">
        <f>AVERAGE('31.07 KIREKA-NAMUGONGO-24h'!D62,'03.08 KIREKA-NAMUGONGO-24h'!D62)</f>
        <v>6.5</v>
      </c>
      <c r="E62" s="49">
        <f>AVERAGE('31.07 KIREKA-NAMUGONGO-24h'!E62,'03.08 KIREKA-NAMUGONGO-24h'!E62)</f>
        <v>2</v>
      </c>
      <c r="F62" s="49">
        <f>AVERAGE('31.07 KIREKA-NAMUGONGO-24h'!F62,'03.08 KIREKA-NAMUGONGO-24h'!F62)</f>
        <v>11</v>
      </c>
      <c r="G62" s="49">
        <f>AVERAGE('31.07 KIREKA-NAMUGONGO-24h'!G62,'03.08 KIREKA-NAMUGONGO-24h'!G62)</f>
        <v>0</v>
      </c>
      <c r="H62" s="49">
        <f>AVERAGE('31.07 KIREKA-NAMUGONGO-24h'!H62,'03.08 KIREKA-NAMUGONGO-24h'!H62)</f>
        <v>0</v>
      </c>
      <c r="I62" s="49">
        <f>AVERAGE('31.07 KIREKA-NAMUGONGO-24h'!I62,'03.08 KIREKA-NAMUGONGO-24h'!I62)</f>
        <v>1.5</v>
      </c>
      <c r="J62" s="49">
        <f>AVERAGE('31.07 KIREKA-NAMUGONGO-24h'!J62,'03.08 KIREKA-NAMUGONGO-24h'!J62)</f>
        <v>0</v>
      </c>
      <c r="K62" s="49">
        <f>AVERAGE('31.07 KIREKA-NAMUGONGO-24h'!K62,'03.08 KIREKA-NAMUGONGO-24h'!K62)</f>
        <v>0</v>
      </c>
      <c r="L62" s="49">
        <f>AVERAGE('31.07 KIREKA-NAMUGONGO-24h'!L62,'03.08 KIREKA-NAMUGONGO-24h'!L62)</f>
        <v>0</v>
      </c>
      <c r="M62" s="49">
        <f>AVERAGE('31.07 KIREKA-NAMUGONGO-24h'!M62,'03.08 KIREKA-NAMUGONGO-24h'!M62)</f>
        <v>82</v>
      </c>
      <c r="N62" s="49">
        <f>AVERAGE('31.07 KIREKA-NAMUGONGO-24h'!N62,'03.08 KIREKA-NAMUGONGO-24h'!N62)</f>
        <v>0</v>
      </c>
      <c r="O62" s="15">
        <f t="shared" si="35"/>
        <v>55</v>
      </c>
      <c r="P62" s="15">
        <f t="shared" si="36"/>
        <v>137</v>
      </c>
      <c r="R62" s="8"/>
      <c r="T62"/>
    </row>
    <row r="63" spans="2:20" ht="23.1" customHeight="1" x14ac:dyDescent="0.25">
      <c r="B63" s="23" t="s">
        <v>108</v>
      </c>
      <c r="C63" s="49">
        <f>AVERAGE('31.07 KIREKA-NAMUGONGO-24h'!C63,'03.08 KIREKA-NAMUGONGO-24h'!C63)</f>
        <v>38</v>
      </c>
      <c r="D63" s="49">
        <f>AVERAGE('31.07 KIREKA-NAMUGONGO-24h'!D63,'03.08 KIREKA-NAMUGONGO-24h'!D63)</f>
        <v>12.5</v>
      </c>
      <c r="E63" s="49">
        <f>AVERAGE('31.07 KIREKA-NAMUGONGO-24h'!E63,'03.08 KIREKA-NAMUGONGO-24h'!E63)</f>
        <v>5</v>
      </c>
      <c r="F63" s="49">
        <f>AVERAGE('31.07 KIREKA-NAMUGONGO-24h'!F63,'03.08 KIREKA-NAMUGONGO-24h'!F63)</f>
        <v>12</v>
      </c>
      <c r="G63" s="49">
        <f>AVERAGE('31.07 KIREKA-NAMUGONGO-24h'!G63,'03.08 KIREKA-NAMUGONGO-24h'!G63)</f>
        <v>0</v>
      </c>
      <c r="H63" s="49">
        <f>AVERAGE('31.07 KIREKA-NAMUGONGO-24h'!H63,'03.08 KIREKA-NAMUGONGO-24h'!H63)</f>
        <v>0</v>
      </c>
      <c r="I63" s="49">
        <f>AVERAGE('31.07 KIREKA-NAMUGONGO-24h'!I63,'03.08 KIREKA-NAMUGONGO-24h'!I63)</f>
        <v>1</v>
      </c>
      <c r="J63" s="49">
        <f>AVERAGE('31.07 KIREKA-NAMUGONGO-24h'!J63,'03.08 KIREKA-NAMUGONGO-24h'!J63)</f>
        <v>1.5</v>
      </c>
      <c r="K63" s="49">
        <f>AVERAGE('31.07 KIREKA-NAMUGONGO-24h'!K63,'03.08 KIREKA-NAMUGONGO-24h'!K63)</f>
        <v>0</v>
      </c>
      <c r="L63" s="49">
        <f>AVERAGE('31.07 KIREKA-NAMUGONGO-24h'!L63,'03.08 KIREKA-NAMUGONGO-24h'!L63)</f>
        <v>0</v>
      </c>
      <c r="M63" s="49">
        <f>AVERAGE('31.07 KIREKA-NAMUGONGO-24h'!M63,'03.08 KIREKA-NAMUGONGO-24h'!M63)</f>
        <v>76.5</v>
      </c>
      <c r="N63" s="49">
        <f>AVERAGE('31.07 KIREKA-NAMUGONGO-24h'!N63,'03.08 KIREKA-NAMUGONGO-24h'!N63)</f>
        <v>0</v>
      </c>
      <c r="O63" s="15">
        <f t="shared" si="35"/>
        <v>70</v>
      </c>
      <c r="P63" s="15">
        <f t="shared" si="36"/>
        <v>146.5</v>
      </c>
      <c r="R63" s="8"/>
      <c r="T63"/>
    </row>
    <row r="64" spans="2:20" ht="23.1" customHeight="1" x14ac:dyDescent="0.25">
      <c r="B64" s="23" t="s">
        <v>109</v>
      </c>
      <c r="C64" s="49">
        <f>AVERAGE('31.07 KIREKA-NAMUGONGO-24h'!C64,'03.08 KIREKA-NAMUGONGO-24h'!C64)</f>
        <v>45</v>
      </c>
      <c r="D64" s="49">
        <f>AVERAGE('31.07 KIREKA-NAMUGONGO-24h'!D64,'03.08 KIREKA-NAMUGONGO-24h'!D64)</f>
        <v>13</v>
      </c>
      <c r="E64" s="49">
        <f>AVERAGE('31.07 KIREKA-NAMUGONGO-24h'!E64,'03.08 KIREKA-NAMUGONGO-24h'!E64)</f>
        <v>4.5</v>
      </c>
      <c r="F64" s="49">
        <f>AVERAGE('31.07 KIREKA-NAMUGONGO-24h'!F64,'03.08 KIREKA-NAMUGONGO-24h'!F64)</f>
        <v>12.5</v>
      </c>
      <c r="G64" s="49">
        <f>AVERAGE('31.07 KIREKA-NAMUGONGO-24h'!G64,'03.08 KIREKA-NAMUGONGO-24h'!G64)</f>
        <v>0</v>
      </c>
      <c r="H64" s="49">
        <f>AVERAGE('31.07 KIREKA-NAMUGONGO-24h'!H64,'03.08 KIREKA-NAMUGONGO-24h'!H64)</f>
        <v>0</v>
      </c>
      <c r="I64" s="49">
        <f>AVERAGE('31.07 KIREKA-NAMUGONGO-24h'!I64,'03.08 KIREKA-NAMUGONGO-24h'!I64)</f>
        <v>1</v>
      </c>
      <c r="J64" s="49">
        <f>AVERAGE('31.07 KIREKA-NAMUGONGO-24h'!J64,'03.08 KIREKA-NAMUGONGO-24h'!J64)</f>
        <v>1.5</v>
      </c>
      <c r="K64" s="49">
        <f>AVERAGE('31.07 KIREKA-NAMUGONGO-24h'!K64,'03.08 KIREKA-NAMUGONGO-24h'!K64)</f>
        <v>0</v>
      </c>
      <c r="L64" s="49">
        <f>AVERAGE('31.07 KIREKA-NAMUGONGO-24h'!L64,'03.08 KIREKA-NAMUGONGO-24h'!L64)</f>
        <v>0</v>
      </c>
      <c r="M64" s="49">
        <f>AVERAGE('31.07 KIREKA-NAMUGONGO-24h'!M64,'03.08 KIREKA-NAMUGONGO-24h'!M64)</f>
        <v>86</v>
      </c>
      <c r="N64" s="49">
        <f>AVERAGE('31.07 KIREKA-NAMUGONGO-24h'!N64,'03.08 KIREKA-NAMUGONGO-24h'!N64)</f>
        <v>0</v>
      </c>
      <c r="O64" s="15">
        <f t="shared" si="35"/>
        <v>77.5</v>
      </c>
      <c r="P64" s="15">
        <f t="shared" si="36"/>
        <v>163.5</v>
      </c>
      <c r="R64" s="8"/>
      <c r="T64"/>
    </row>
    <row r="65" spans="2:20" ht="23.1" customHeight="1" x14ac:dyDescent="0.25">
      <c r="B65" s="23" t="s">
        <v>158</v>
      </c>
      <c r="C65" s="49">
        <f>AVERAGE('31.07 KIREKA-NAMUGONGO-24h'!C65,'03.08 KIREKA-NAMUGONGO-24h'!C65)</f>
        <v>31</v>
      </c>
      <c r="D65" s="49">
        <f>AVERAGE('31.07 KIREKA-NAMUGONGO-24h'!D65,'03.08 KIREKA-NAMUGONGO-24h'!D65)</f>
        <v>9.5</v>
      </c>
      <c r="E65" s="49">
        <f>AVERAGE('31.07 KIREKA-NAMUGONGO-24h'!E65,'03.08 KIREKA-NAMUGONGO-24h'!E65)</f>
        <v>6</v>
      </c>
      <c r="F65" s="49">
        <f>AVERAGE('31.07 KIREKA-NAMUGONGO-24h'!F65,'03.08 KIREKA-NAMUGONGO-24h'!F65)</f>
        <v>13.5</v>
      </c>
      <c r="G65" s="49">
        <f>AVERAGE('31.07 KIREKA-NAMUGONGO-24h'!G65,'03.08 KIREKA-NAMUGONGO-24h'!G65)</f>
        <v>0</v>
      </c>
      <c r="H65" s="49">
        <f>AVERAGE('31.07 KIREKA-NAMUGONGO-24h'!H65,'03.08 KIREKA-NAMUGONGO-24h'!H65)</f>
        <v>0</v>
      </c>
      <c r="I65" s="49">
        <f>AVERAGE('31.07 KIREKA-NAMUGONGO-24h'!I65,'03.08 KIREKA-NAMUGONGO-24h'!I65)</f>
        <v>0.5</v>
      </c>
      <c r="J65" s="49">
        <f>AVERAGE('31.07 KIREKA-NAMUGONGO-24h'!J65,'03.08 KIREKA-NAMUGONGO-24h'!J65)</f>
        <v>2</v>
      </c>
      <c r="K65" s="49">
        <f>AVERAGE('31.07 KIREKA-NAMUGONGO-24h'!K65,'03.08 KIREKA-NAMUGONGO-24h'!K65)</f>
        <v>0</v>
      </c>
      <c r="L65" s="49">
        <f>AVERAGE('31.07 KIREKA-NAMUGONGO-24h'!L65,'03.08 KIREKA-NAMUGONGO-24h'!L65)</f>
        <v>0</v>
      </c>
      <c r="M65" s="49">
        <f>AVERAGE('31.07 KIREKA-NAMUGONGO-24h'!M65,'03.08 KIREKA-NAMUGONGO-24h'!M65)</f>
        <v>94</v>
      </c>
      <c r="N65" s="49">
        <f>AVERAGE('31.07 KIREKA-NAMUGONGO-24h'!N65,'03.08 KIREKA-NAMUGONGO-24h'!N65)</f>
        <v>0</v>
      </c>
      <c r="O65" s="15">
        <f t="shared" si="35"/>
        <v>62.5</v>
      </c>
      <c r="P65" s="15">
        <f t="shared" si="36"/>
        <v>156.5</v>
      </c>
      <c r="R65" s="8"/>
      <c r="T65"/>
    </row>
    <row r="66" spans="2:20" ht="23.1" customHeight="1" x14ac:dyDescent="0.25">
      <c r="B66" s="23" t="s">
        <v>103</v>
      </c>
      <c r="C66" s="49">
        <f>AVERAGE('31.07 KIREKA-NAMUGONGO-24h'!C66,'03.08 KIREKA-NAMUGONGO-24h'!C66)</f>
        <v>29.5</v>
      </c>
      <c r="D66" s="49">
        <f>AVERAGE('31.07 KIREKA-NAMUGONGO-24h'!D66,'03.08 KIREKA-NAMUGONGO-24h'!D66)</f>
        <v>10</v>
      </c>
      <c r="E66" s="49">
        <f>AVERAGE('31.07 KIREKA-NAMUGONGO-24h'!E66,'03.08 KIREKA-NAMUGONGO-24h'!E66)</f>
        <v>4</v>
      </c>
      <c r="F66" s="49">
        <f>AVERAGE('31.07 KIREKA-NAMUGONGO-24h'!F66,'03.08 KIREKA-NAMUGONGO-24h'!F66)</f>
        <v>11.5</v>
      </c>
      <c r="G66" s="49">
        <f>AVERAGE('31.07 KIREKA-NAMUGONGO-24h'!G66,'03.08 KIREKA-NAMUGONGO-24h'!G66)</f>
        <v>0</v>
      </c>
      <c r="H66" s="49">
        <f>AVERAGE('31.07 KIREKA-NAMUGONGO-24h'!H66,'03.08 KIREKA-NAMUGONGO-24h'!H66)</f>
        <v>0</v>
      </c>
      <c r="I66" s="49">
        <f>AVERAGE('31.07 KIREKA-NAMUGONGO-24h'!I66,'03.08 KIREKA-NAMUGONGO-24h'!I66)</f>
        <v>0.5</v>
      </c>
      <c r="J66" s="49">
        <f>AVERAGE('31.07 KIREKA-NAMUGONGO-24h'!J66,'03.08 KIREKA-NAMUGONGO-24h'!J66)</f>
        <v>0</v>
      </c>
      <c r="K66" s="49">
        <f>AVERAGE('31.07 KIREKA-NAMUGONGO-24h'!K66,'03.08 KIREKA-NAMUGONGO-24h'!K66)</f>
        <v>0</v>
      </c>
      <c r="L66" s="49">
        <f>AVERAGE('31.07 KIREKA-NAMUGONGO-24h'!L66,'03.08 KIREKA-NAMUGONGO-24h'!L66)</f>
        <v>0</v>
      </c>
      <c r="M66" s="49">
        <f>AVERAGE('31.07 KIREKA-NAMUGONGO-24h'!M66,'03.08 KIREKA-NAMUGONGO-24h'!M66)</f>
        <v>67.5</v>
      </c>
      <c r="N66" s="49">
        <f>AVERAGE('31.07 KIREKA-NAMUGONGO-24h'!N66,'03.08 KIREKA-NAMUGONGO-24h'!N66)</f>
        <v>0</v>
      </c>
      <c r="O66" s="15">
        <f t="shared" si="35"/>
        <v>55.5</v>
      </c>
      <c r="P66" s="15">
        <f t="shared" si="36"/>
        <v>123</v>
      </c>
      <c r="R66" s="8"/>
      <c r="T66"/>
    </row>
    <row r="67" spans="2:20" ht="23.1" customHeight="1" x14ac:dyDescent="0.25">
      <c r="B67" s="23" t="s">
        <v>104</v>
      </c>
      <c r="C67" s="49">
        <f>AVERAGE('31.07 KIREKA-NAMUGONGO-24h'!C67,'03.08 KIREKA-NAMUGONGO-24h'!C67)</f>
        <v>17.5</v>
      </c>
      <c r="D67" s="49">
        <f>AVERAGE('31.07 KIREKA-NAMUGONGO-24h'!D67,'03.08 KIREKA-NAMUGONGO-24h'!D67)</f>
        <v>7</v>
      </c>
      <c r="E67" s="49">
        <f>AVERAGE('31.07 KIREKA-NAMUGONGO-24h'!E67,'03.08 KIREKA-NAMUGONGO-24h'!E67)</f>
        <v>2</v>
      </c>
      <c r="F67" s="49">
        <f>AVERAGE('31.07 KIREKA-NAMUGONGO-24h'!F67,'03.08 KIREKA-NAMUGONGO-24h'!F67)</f>
        <v>11</v>
      </c>
      <c r="G67" s="49">
        <f>AVERAGE('31.07 KIREKA-NAMUGONGO-24h'!G67,'03.08 KIREKA-NAMUGONGO-24h'!G67)</f>
        <v>0</v>
      </c>
      <c r="H67" s="49">
        <f>AVERAGE('31.07 KIREKA-NAMUGONGO-24h'!H67,'03.08 KIREKA-NAMUGONGO-24h'!H67)</f>
        <v>0</v>
      </c>
      <c r="I67" s="49">
        <f>AVERAGE('31.07 KIREKA-NAMUGONGO-24h'!I67,'03.08 KIREKA-NAMUGONGO-24h'!I67)</f>
        <v>0.5</v>
      </c>
      <c r="J67" s="49">
        <f>AVERAGE('31.07 KIREKA-NAMUGONGO-24h'!J67,'03.08 KIREKA-NAMUGONGO-24h'!J67)</f>
        <v>0</v>
      </c>
      <c r="K67" s="49">
        <f>AVERAGE('31.07 KIREKA-NAMUGONGO-24h'!K67,'03.08 KIREKA-NAMUGONGO-24h'!K67)</f>
        <v>0</v>
      </c>
      <c r="L67" s="49">
        <f>AVERAGE('31.07 KIREKA-NAMUGONGO-24h'!L67,'03.08 KIREKA-NAMUGONGO-24h'!L67)</f>
        <v>0</v>
      </c>
      <c r="M67" s="49">
        <f>AVERAGE('31.07 KIREKA-NAMUGONGO-24h'!M67,'03.08 KIREKA-NAMUGONGO-24h'!M67)</f>
        <v>67.5</v>
      </c>
      <c r="N67" s="49">
        <f>AVERAGE('31.07 KIREKA-NAMUGONGO-24h'!N67,'03.08 KIREKA-NAMUGONGO-24h'!N67)</f>
        <v>0</v>
      </c>
      <c r="O67" s="15">
        <f t="shared" si="35"/>
        <v>38</v>
      </c>
      <c r="P67" s="15">
        <f t="shared" si="36"/>
        <v>105.5</v>
      </c>
      <c r="R67" s="8"/>
      <c r="T67"/>
    </row>
    <row r="68" spans="2:20" ht="23.1" customHeight="1" x14ac:dyDescent="0.25">
      <c r="B68" s="23" t="s">
        <v>105</v>
      </c>
      <c r="C68" s="49">
        <f>AVERAGE('31.07 KIREKA-NAMUGONGO-24h'!C68,'03.08 KIREKA-NAMUGONGO-24h'!C68)</f>
        <v>21.5</v>
      </c>
      <c r="D68" s="49">
        <f>AVERAGE('31.07 KIREKA-NAMUGONGO-24h'!D68,'03.08 KIREKA-NAMUGONGO-24h'!D68)</f>
        <v>15</v>
      </c>
      <c r="E68" s="49">
        <f>AVERAGE('31.07 KIREKA-NAMUGONGO-24h'!E68,'03.08 KIREKA-NAMUGONGO-24h'!E68)</f>
        <v>7.5</v>
      </c>
      <c r="F68" s="49">
        <f>AVERAGE('31.07 KIREKA-NAMUGONGO-24h'!F68,'03.08 KIREKA-NAMUGONGO-24h'!F68)</f>
        <v>12</v>
      </c>
      <c r="G68" s="49">
        <f>AVERAGE('31.07 KIREKA-NAMUGONGO-24h'!G68,'03.08 KIREKA-NAMUGONGO-24h'!G68)</f>
        <v>0</v>
      </c>
      <c r="H68" s="49">
        <f>AVERAGE('31.07 KIREKA-NAMUGONGO-24h'!H68,'03.08 KIREKA-NAMUGONGO-24h'!H68)</f>
        <v>0</v>
      </c>
      <c r="I68" s="49">
        <f>AVERAGE('31.07 KIREKA-NAMUGONGO-24h'!I68,'03.08 KIREKA-NAMUGONGO-24h'!I68)</f>
        <v>0.5</v>
      </c>
      <c r="J68" s="49">
        <f>AVERAGE('31.07 KIREKA-NAMUGONGO-24h'!J68,'03.08 KIREKA-NAMUGONGO-24h'!J68)</f>
        <v>0</v>
      </c>
      <c r="K68" s="49">
        <f>AVERAGE('31.07 KIREKA-NAMUGONGO-24h'!K68,'03.08 KIREKA-NAMUGONGO-24h'!K68)</f>
        <v>0</v>
      </c>
      <c r="L68" s="49">
        <f>AVERAGE('31.07 KIREKA-NAMUGONGO-24h'!L68,'03.08 KIREKA-NAMUGONGO-24h'!L68)</f>
        <v>0</v>
      </c>
      <c r="M68" s="49">
        <f>AVERAGE('31.07 KIREKA-NAMUGONGO-24h'!M68,'03.08 KIREKA-NAMUGONGO-24h'!M68)</f>
        <v>77</v>
      </c>
      <c r="N68" s="49">
        <f>AVERAGE('31.07 KIREKA-NAMUGONGO-24h'!N68,'03.08 KIREKA-NAMUGONGO-24h'!N68)</f>
        <v>0</v>
      </c>
      <c r="O68" s="15">
        <f t="shared" si="35"/>
        <v>56.5</v>
      </c>
      <c r="P68" s="15">
        <f t="shared" si="36"/>
        <v>133.5</v>
      </c>
      <c r="R68" s="8"/>
      <c r="T68"/>
    </row>
    <row r="69" spans="2:20" ht="23.1" customHeight="1" x14ac:dyDescent="0.25">
      <c r="B69" s="23" t="s">
        <v>106</v>
      </c>
      <c r="C69" s="49">
        <f>AVERAGE('31.07 KIREKA-NAMUGONGO-24h'!C69,'03.08 KIREKA-NAMUGONGO-24h'!C69)</f>
        <v>25</v>
      </c>
      <c r="D69" s="49">
        <f>AVERAGE('31.07 KIREKA-NAMUGONGO-24h'!D69,'03.08 KIREKA-NAMUGONGO-24h'!D69)</f>
        <v>8.5</v>
      </c>
      <c r="E69" s="49">
        <f>AVERAGE('31.07 KIREKA-NAMUGONGO-24h'!E69,'03.08 KIREKA-NAMUGONGO-24h'!E69)</f>
        <v>1.5</v>
      </c>
      <c r="F69" s="49">
        <f>AVERAGE('31.07 KIREKA-NAMUGONGO-24h'!F69,'03.08 KIREKA-NAMUGONGO-24h'!F69)</f>
        <v>7</v>
      </c>
      <c r="G69" s="49">
        <f>AVERAGE('31.07 KIREKA-NAMUGONGO-24h'!G69,'03.08 KIREKA-NAMUGONGO-24h'!G69)</f>
        <v>0</v>
      </c>
      <c r="H69" s="49">
        <f>AVERAGE('31.07 KIREKA-NAMUGONGO-24h'!H69,'03.08 KIREKA-NAMUGONGO-24h'!H69)</f>
        <v>0</v>
      </c>
      <c r="I69" s="49">
        <f>AVERAGE('31.07 KIREKA-NAMUGONGO-24h'!I69,'03.08 KIREKA-NAMUGONGO-24h'!I69)</f>
        <v>1</v>
      </c>
      <c r="J69" s="49">
        <f>AVERAGE('31.07 KIREKA-NAMUGONGO-24h'!J69,'03.08 KIREKA-NAMUGONGO-24h'!J69)</f>
        <v>0</v>
      </c>
      <c r="K69" s="49">
        <f>AVERAGE('31.07 KIREKA-NAMUGONGO-24h'!K69,'03.08 KIREKA-NAMUGONGO-24h'!K69)</f>
        <v>0</v>
      </c>
      <c r="L69" s="49">
        <f>AVERAGE('31.07 KIREKA-NAMUGONGO-24h'!L69,'03.08 KIREKA-NAMUGONGO-24h'!L69)</f>
        <v>0</v>
      </c>
      <c r="M69" s="49">
        <f>AVERAGE('31.07 KIREKA-NAMUGONGO-24h'!M69,'03.08 KIREKA-NAMUGONGO-24h'!M69)</f>
        <v>55</v>
      </c>
      <c r="N69" s="49">
        <f>AVERAGE('31.07 KIREKA-NAMUGONGO-24h'!N69,'03.08 KIREKA-NAMUGONGO-24h'!N69)</f>
        <v>0</v>
      </c>
      <c r="O69" s="15">
        <f t="shared" si="35"/>
        <v>43</v>
      </c>
      <c r="P69" s="15">
        <f t="shared" si="36"/>
        <v>98</v>
      </c>
      <c r="R69" s="8"/>
      <c r="T69"/>
    </row>
    <row r="70" spans="2:20" ht="23.1" customHeight="1" x14ac:dyDescent="0.25">
      <c r="B70" s="23" t="s">
        <v>110</v>
      </c>
      <c r="C70" s="49">
        <f>AVERAGE('31.07 KIREKA-NAMUGONGO-24h'!C70,'03.08 KIREKA-NAMUGONGO-24h'!C70)</f>
        <v>30</v>
      </c>
      <c r="D70" s="49">
        <f>AVERAGE('31.07 KIREKA-NAMUGONGO-24h'!D70,'03.08 KIREKA-NAMUGONGO-24h'!D70)</f>
        <v>18.5</v>
      </c>
      <c r="E70" s="49">
        <f>AVERAGE('31.07 KIREKA-NAMUGONGO-24h'!E70,'03.08 KIREKA-NAMUGONGO-24h'!E70)</f>
        <v>4</v>
      </c>
      <c r="F70" s="49">
        <f>AVERAGE('31.07 KIREKA-NAMUGONGO-24h'!F70,'03.08 KIREKA-NAMUGONGO-24h'!F70)</f>
        <v>4.5</v>
      </c>
      <c r="G70" s="49">
        <f>AVERAGE('31.07 KIREKA-NAMUGONGO-24h'!G70,'03.08 KIREKA-NAMUGONGO-24h'!G70)</f>
        <v>0</v>
      </c>
      <c r="H70" s="49">
        <f>AVERAGE('31.07 KIREKA-NAMUGONGO-24h'!H70,'03.08 KIREKA-NAMUGONGO-24h'!H70)</f>
        <v>0</v>
      </c>
      <c r="I70" s="49">
        <f>AVERAGE('31.07 KIREKA-NAMUGONGO-24h'!I70,'03.08 KIREKA-NAMUGONGO-24h'!I70)</f>
        <v>1.5</v>
      </c>
      <c r="J70" s="49">
        <f>AVERAGE('31.07 KIREKA-NAMUGONGO-24h'!J70,'03.08 KIREKA-NAMUGONGO-24h'!J70)</f>
        <v>0</v>
      </c>
      <c r="K70" s="49">
        <f>AVERAGE('31.07 KIREKA-NAMUGONGO-24h'!K70,'03.08 KIREKA-NAMUGONGO-24h'!K70)</f>
        <v>0</v>
      </c>
      <c r="L70" s="49">
        <f>AVERAGE('31.07 KIREKA-NAMUGONGO-24h'!L70,'03.08 KIREKA-NAMUGONGO-24h'!L70)</f>
        <v>0.5</v>
      </c>
      <c r="M70" s="49">
        <f>AVERAGE('31.07 KIREKA-NAMUGONGO-24h'!M70,'03.08 KIREKA-NAMUGONGO-24h'!M70)</f>
        <v>63</v>
      </c>
      <c r="N70" s="49">
        <f>AVERAGE('31.07 KIREKA-NAMUGONGO-24h'!N70,'03.08 KIREKA-NAMUGONGO-24h'!N70)</f>
        <v>0</v>
      </c>
      <c r="O70" s="15">
        <f t="shared" si="35"/>
        <v>59</v>
      </c>
      <c r="P70" s="15">
        <f t="shared" si="36"/>
        <v>122</v>
      </c>
      <c r="R70" s="8"/>
      <c r="T70"/>
    </row>
    <row r="71" spans="2:20" ht="23.1" customHeight="1" x14ac:dyDescent="0.25">
      <c r="B71" s="23" t="s">
        <v>111</v>
      </c>
      <c r="C71" s="49">
        <f>AVERAGE('31.07 KIREKA-NAMUGONGO-24h'!C71,'03.08 KIREKA-NAMUGONGO-24h'!C71)</f>
        <v>37.5</v>
      </c>
      <c r="D71" s="49">
        <f>AVERAGE('31.07 KIREKA-NAMUGONGO-24h'!D71,'03.08 KIREKA-NAMUGONGO-24h'!D71)</f>
        <v>14</v>
      </c>
      <c r="E71" s="49">
        <f>AVERAGE('31.07 KIREKA-NAMUGONGO-24h'!E71,'03.08 KIREKA-NAMUGONGO-24h'!E71)</f>
        <v>4</v>
      </c>
      <c r="F71" s="49">
        <f>AVERAGE('31.07 KIREKA-NAMUGONGO-24h'!F71,'03.08 KIREKA-NAMUGONGO-24h'!F71)</f>
        <v>11.5</v>
      </c>
      <c r="G71" s="49">
        <f>AVERAGE('31.07 KIREKA-NAMUGONGO-24h'!G71,'03.08 KIREKA-NAMUGONGO-24h'!G71)</f>
        <v>0</v>
      </c>
      <c r="H71" s="49">
        <f>AVERAGE('31.07 KIREKA-NAMUGONGO-24h'!H71,'03.08 KIREKA-NAMUGONGO-24h'!H71)</f>
        <v>0</v>
      </c>
      <c r="I71" s="49">
        <f>AVERAGE('31.07 KIREKA-NAMUGONGO-24h'!I71,'03.08 KIREKA-NAMUGONGO-24h'!I71)</f>
        <v>1.5</v>
      </c>
      <c r="J71" s="49">
        <f>AVERAGE('31.07 KIREKA-NAMUGONGO-24h'!J71,'03.08 KIREKA-NAMUGONGO-24h'!J71)</f>
        <v>0</v>
      </c>
      <c r="K71" s="49">
        <f>AVERAGE('31.07 KIREKA-NAMUGONGO-24h'!K71,'03.08 KIREKA-NAMUGONGO-24h'!K71)</f>
        <v>0</v>
      </c>
      <c r="L71" s="49">
        <f>AVERAGE('31.07 KIREKA-NAMUGONGO-24h'!L71,'03.08 KIREKA-NAMUGONGO-24h'!L71)</f>
        <v>0</v>
      </c>
      <c r="M71" s="49">
        <f>AVERAGE('31.07 KIREKA-NAMUGONGO-24h'!M71,'03.08 KIREKA-NAMUGONGO-24h'!M71)</f>
        <v>67.5</v>
      </c>
      <c r="N71" s="49">
        <f>AVERAGE('31.07 KIREKA-NAMUGONGO-24h'!N71,'03.08 KIREKA-NAMUGONGO-24h'!N71)</f>
        <v>0</v>
      </c>
      <c r="O71" s="15">
        <f t="shared" si="35"/>
        <v>68.5</v>
      </c>
      <c r="P71" s="15">
        <f t="shared" si="36"/>
        <v>136</v>
      </c>
      <c r="R71" s="8"/>
      <c r="T71"/>
    </row>
    <row r="72" spans="2:20" ht="23.1" customHeight="1" x14ac:dyDescent="0.25">
      <c r="B72" s="23" t="s">
        <v>112</v>
      </c>
      <c r="C72" s="49">
        <f>AVERAGE('31.07 KIREKA-NAMUGONGO-24h'!C72,'03.08 KIREKA-NAMUGONGO-24h'!C72)</f>
        <v>45</v>
      </c>
      <c r="D72" s="49">
        <f>AVERAGE('31.07 KIREKA-NAMUGONGO-24h'!D72,'03.08 KIREKA-NAMUGONGO-24h'!D72)</f>
        <v>18.5</v>
      </c>
      <c r="E72" s="49">
        <f>AVERAGE('31.07 KIREKA-NAMUGONGO-24h'!E72,'03.08 KIREKA-NAMUGONGO-24h'!E72)</f>
        <v>7.5</v>
      </c>
      <c r="F72" s="49">
        <f>AVERAGE('31.07 KIREKA-NAMUGONGO-24h'!F72,'03.08 KIREKA-NAMUGONGO-24h'!F72)</f>
        <v>10</v>
      </c>
      <c r="G72" s="49">
        <f>AVERAGE('31.07 KIREKA-NAMUGONGO-24h'!G72,'03.08 KIREKA-NAMUGONGO-24h'!G72)</f>
        <v>0</v>
      </c>
      <c r="H72" s="49">
        <f>AVERAGE('31.07 KIREKA-NAMUGONGO-24h'!H72,'03.08 KIREKA-NAMUGONGO-24h'!H72)</f>
        <v>0</v>
      </c>
      <c r="I72" s="49">
        <f>AVERAGE('31.07 KIREKA-NAMUGONGO-24h'!I72,'03.08 KIREKA-NAMUGONGO-24h'!I72)</f>
        <v>1.5</v>
      </c>
      <c r="J72" s="49">
        <f>AVERAGE('31.07 KIREKA-NAMUGONGO-24h'!J72,'03.08 KIREKA-NAMUGONGO-24h'!J72)</f>
        <v>1</v>
      </c>
      <c r="K72" s="49">
        <f>AVERAGE('31.07 KIREKA-NAMUGONGO-24h'!K72,'03.08 KIREKA-NAMUGONGO-24h'!K72)</f>
        <v>0</v>
      </c>
      <c r="L72" s="49">
        <f>AVERAGE('31.07 KIREKA-NAMUGONGO-24h'!L72,'03.08 KIREKA-NAMUGONGO-24h'!L72)</f>
        <v>0</v>
      </c>
      <c r="M72" s="49">
        <f>AVERAGE('31.07 KIREKA-NAMUGONGO-24h'!M72,'03.08 KIREKA-NAMUGONGO-24h'!M72)</f>
        <v>54</v>
      </c>
      <c r="N72" s="49">
        <f>AVERAGE('31.07 KIREKA-NAMUGONGO-24h'!N72,'03.08 KIREKA-NAMUGONGO-24h'!N72)</f>
        <v>0</v>
      </c>
      <c r="O72" s="15">
        <f t="shared" si="35"/>
        <v>83.5</v>
      </c>
      <c r="P72" s="15">
        <f t="shared" si="36"/>
        <v>137.5</v>
      </c>
      <c r="R72" s="8"/>
      <c r="T72"/>
    </row>
    <row r="73" spans="2:20" ht="23.1" customHeight="1" x14ac:dyDescent="0.25">
      <c r="B73" s="23" t="s">
        <v>113</v>
      </c>
      <c r="C73" s="49">
        <f>AVERAGE('31.07 KIREKA-NAMUGONGO-24h'!C73,'03.08 KIREKA-NAMUGONGO-24h'!C73)</f>
        <v>39.5</v>
      </c>
      <c r="D73" s="49">
        <f>AVERAGE('31.07 KIREKA-NAMUGONGO-24h'!D73,'03.08 KIREKA-NAMUGONGO-24h'!D73)</f>
        <v>20.5</v>
      </c>
      <c r="E73" s="49">
        <f>AVERAGE('31.07 KIREKA-NAMUGONGO-24h'!E73,'03.08 KIREKA-NAMUGONGO-24h'!E73)</f>
        <v>5.5</v>
      </c>
      <c r="F73" s="49">
        <f>AVERAGE('31.07 KIREKA-NAMUGONGO-24h'!F73,'03.08 KIREKA-NAMUGONGO-24h'!F73)</f>
        <v>7.5</v>
      </c>
      <c r="G73" s="49">
        <f>AVERAGE('31.07 KIREKA-NAMUGONGO-24h'!G73,'03.08 KIREKA-NAMUGONGO-24h'!G73)</f>
        <v>0</v>
      </c>
      <c r="H73" s="49">
        <f>AVERAGE('31.07 KIREKA-NAMUGONGO-24h'!H73,'03.08 KIREKA-NAMUGONGO-24h'!H73)</f>
        <v>0</v>
      </c>
      <c r="I73" s="49">
        <f>AVERAGE('31.07 KIREKA-NAMUGONGO-24h'!I73,'03.08 KIREKA-NAMUGONGO-24h'!I73)</f>
        <v>1</v>
      </c>
      <c r="J73" s="49">
        <f>AVERAGE('31.07 KIREKA-NAMUGONGO-24h'!J73,'03.08 KIREKA-NAMUGONGO-24h'!J73)</f>
        <v>0.5</v>
      </c>
      <c r="K73" s="49">
        <f>AVERAGE('31.07 KIREKA-NAMUGONGO-24h'!K73,'03.08 KIREKA-NAMUGONGO-24h'!K73)</f>
        <v>0</v>
      </c>
      <c r="L73" s="49">
        <f>AVERAGE('31.07 KIREKA-NAMUGONGO-24h'!L73,'03.08 KIREKA-NAMUGONGO-24h'!L73)</f>
        <v>0</v>
      </c>
      <c r="M73" s="49">
        <f>AVERAGE('31.07 KIREKA-NAMUGONGO-24h'!M73,'03.08 KIREKA-NAMUGONGO-24h'!M73)</f>
        <v>50.5</v>
      </c>
      <c r="N73" s="49">
        <f>AVERAGE('31.07 KIREKA-NAMUGONGO-24h'!N73,'03.08 KIREKA-NAMUGONGO-24h'!N73)</f>
        <v>0</v>
      </c>
      <c r="O73" s="15">
        <f t="shared" si="35"/>
        <v>74.5</v>
      </c>
      <c r="P73" s="15">
        <f t="shared" si="36"/>
        <v>125</v>
      </c>
      <c r="R73" s="8"/>
      <c r="T73"/>
    </row>
    <row r="74" spans="2:20" ht="23.1" customHeight="1" x14ac:dyDescent="0.25">
      <c r="B74" s="23" t="s">
        <v>114</v>
      </c>
      <c r="C74" s="49">
        <f>AVERAGE('31.07 KIREKA-NAMUGONGO-24h'!C74,'03.08 KIREKA-NAMUGONGO-24h'!C74)</f>
        <v>17.5</v>
      </c>
      <c r="D74" s="49">
        <f>AVERAGE('31.07 KIREKA-NAMUGONGO-24h'!D74,'03.08 KIREKA-NAMUGONGO-24h'!D74)</f>
        <v>14</v>
      </c>
      <c r="E74" s="49">
        <f>AVERAGE('31.07 KIREKA-NAMUGONGO-24h'!E74,'03.08 KIREKA-NAMUGONGO-24h'!E74)</f>
        <v>0.5</v>
      </c>
      <c r="F74" s="49">
        <f>AVERAGE('31.07 KIREKA-NAMUGONGO-24h'!F74,'03.08 KIREKA-NAMUGONGO-24h'!F74)</f>
        <v>3.5</v>
      </c>
      <c r="G74" s="49">
        <f>AVERAGE('31.07 KIREKA-NAMUGONGO-24h'!G74,'03.08 KIREKA-NAMUGONGO-24h'!G74)</f>
        <v>0</v>
      </c>
      <c r="H74" s="49">
        <f>AVERAGE('31.07 KIREKA-NAMUGONGO-24h'!H74,'03.08 KIREKA-NAMUGONGO-24h'!H74)</f>
        <v>0</v>
      </c>
      <c r="I74" s="49">
        <f>AVERAGE('31.07 KIREKA-NAMUGONGO-24h'!I74,'03.08 KIREKA-NAMUGONGO-24h'!I74)</f>
        <v>1.5</v>
      </c>
      <c r="J74" s="49">
        <f>AVERAGE('31.07 KIREKA-NAMUGONGO-24h'!J74,'03.08 KIREKA-NAMUGONGO-24h'!J74)</f>
        <v>3.5</v>
      </c>
      <c r="K74" s="49">
        <f>AVERAGE('31.07 KIREKA-NAMUGONGO-24h'!K74,'03.08 KIREKA-NAMUGONGO-24h'!K74)</f>
        <v>0</v>
      </c>
      <c r="L74" s="49">
        <f>AVERAGE('31.07 KIREKA-NAMUGONGO-24h'!L74,'03.08 KIREKA-NAMUGONGO-24h'!L74)</f>
        <v>0</v>
      </c>
      <c r="M74" s="49">
        <f>AVERAGE('31.07 KIREKA-NAMUGONGO-24h'!M74,'03.08 KIREKA-NAMUGONGO-24h'!M74)</f>
        <v>47</v>
      </c>
      <c r="N74" s="49">
        <f>AVERAGE('31.07 KIREKA-NAMUGONGO-24h'!N74,'03.08 KIREKA-NAMUGONGO-24h'!N74)</f>
        <v>0</v>
      </c>
      <c r="O74" s="15">
        <f t="shared" si="35"/>
        <v>40.5</v>
      </c>
      <c r="P74" s="15">
        <f t="shared" si="36"/>
        <v>87.5</v>
      </c>
      <c r="R74" s="8"/>
      <c r="T74"/>
    </row>
    <row r="75" spans="2:20" ht="23.1" customHeight="1" x14ac:dyDescent="0.25">
      <c r="B75" s="23" t="s">
        <v>115</v>
      </c>
      <c r="C75" s="49">
        <f>AVERAGE('31.07 KIREKA-NAMUGONGO-24h'!C75,'03.08 KIREKA-NAMUGONGO-24h'!C75)</f>
        <v>12.5</v>
      </c>
      <c r="D75" s="49">
        <f>AVERAGE('31.07 KIREKA-NAMUGONGO-24h'!D75,'03.08 KIREKA-NAMUGONGO-24h'!D75)</f>
        <v>15.5</v>
      </c>
      <c r="E75" s="49">
        <f>AVERAGE('31.07 KIREKA-NAMUGONGO-24h'!E75,'03.08 KIREKA-NAMUGONGO-24h'!E75)</f>
        <v>2.5</v>
      </c>
      <c r="F75" s="49">
        <f>AVERAGE('31.07 KIREKA-NAMUGONGO-24h'!F75,'03.08 KIREKA-NAMUGONGO-24h'!F75)</f>
        <v>2.5</v>
      </c>
      <c r="G75" s="49">
        <f>AVERAGE('31.07 KIREKA-NAMUGONGO-24h'!G75,'03.08 KIREKA-NAMUGONGO-24h'!G75)</f>
        <v>0</v>
      </c>
      <c r="H75" s="49">
        <f>AVERAGE('31.07 KIREKA-NAMUGONGO-24h'!H75,'03.08 KIREKA-NAMUGONGO-24h'!H75)</f>
        <v>0</v>
      </c>
      <c r="I75" s="49">
        <f>AVERAGE('31.07 KIREKA-NAMUGONGO-24h'!I75,'03.08 KIREKA-NAMUGONGO-24h'!I75)</f>
        <v>0.5</v>
      </c>
      <c r="J75" s="49">
        <f>AVERAGE('31.07 KIREKA-NAMUGONGO-24h'!J75,'03.08 KIREKA-NAMUGONGO-24h'!J75)</f>
        <v>0.5</v>
      </c>
      <c r="K75" s="49">
        <f>AVERAGE('31.07 KIREKA-NAMUGONGO-24h'!K75,'03.08 KIREKA-NAMUGONGO-24h'!K75)</f>
        <v>0</v>
      </c>
      <c r="L75" s="49">
        <f>AVERAGE('31.07 KIREKA-NAMUGONGO-24h'!L75,'03.08 KIREKA-NAMUGONGO-24h'!L75)</f>
        <v>0</v>
      </c>
      <c r="M75" s="49">
        <f>AVERAGE('31.07 KIREKA-NAMUGONGO-24h'!M75,'03.08 KIREKA-NAMUGONGO-24h'!M75)</f>
        <v>35.5</v>
      </c>
      <c r="N75" s="49">
        <f>AVERAGE('31.07 KIREKA-NAMUGONGO-24h'!N75,'03.08 KIREKA-NAMUGONGO-24h'!N75)</f>
        <v>0</v>
      </c>
      <c r="O75" s="15">
        <f t="shared" si="35"/>
        <v>34</v>
      </c>
      <c r="P75" s="15">
        <f t="shared" si="36"/>
        <v>69.5</v>
      </c>
      <c r="R75" s="8"/>
      <c r="T75"/>
    </row>
    <row r="76" spans="2:20" ht="23.1" customHeight="1" x14ac:dyDescent="0.25">
      <c r="B76" s="23" t="s">
        <v>116</v>
      </c>
      <c r="C76" s="49">
        <f>AVERAGE('31.07 KIREKA-NAMUGONGO-24h'!C76,'03.08 KIREKA-NAMUGONGO-24h'!C76)</f>
        <v>27.5</v>
      </c>
      <c r="D76" s="49">
        <f>AVERAGE('31.07 KIREKA-NAMUGONGO-24h'!D76,'03.08 KIREKA-NAMUGONGO-24h'!D76)</f>
        <v>11.5</v>
      </c>
      <c r="E76" s="49">
        <f>AVERAGE('31.07 KIREKA-NAMUGONGO-24h'!E76,'03.08 KIREKA-NAMUGONGO-24h'!E76)</f>
        <v>1.5</v>
      </c>
      <c r="F76" s="49">
        <f>AVERAGE('31.07 KIREKA-NAMUGONGO-24h'!F76,'03.08 KIREKA-NAMUGONGO-24h'!F76)</f>
        <v>3.5</v>
      </c>
      <c r="G76" s="49">
        <f>AVERAGE('31.07 KIREKA-NAMUGONGO-24h'!G76,'03.08 KIREKA-NAMUGONGO-24h'!G76)</f>
        <v>0</v>
      </c>
      <c r="H76" s="49">
        <f>AVERAGE('31.07 KIREKA-NAMUGONGO-24h'!H76,'03.08 KIREKA-NAMUGONGO-24h'!H76)</f>
        <v>0</v>
      </c>
      <c r="I76" s="49">
        <f>AVERAGE('31.07 KIREKA-NAMUGONGO-24h'!I76,'03.08 KIREKA-NAMUGONGO-24h'!I76)</f>
        <v>0.5</v>
      </c>
      <c r="J76" s="49">
        <f>AVERAGE('31.07 KIREKA-NAMUGONGO-24h'!J76,'03.08 KIREKA-NAMUGONGO-24h'!J76)</f>
        <v>0.5</v>
      </c>
      <c r="K76" s="49">
        <f>AVERAGE('31.07 KIREKA-NAMUGONGO-24h'!K76,'03.08 KIREKA-NAMUGONGO-24h'!K76)</f>
        <v>0</v>
      </c>
      <c r="L76" s="49">
        <f>AVERAGE('31.07 KIREKA-NAMUGONGO-24h'!L76,'03.08 KIREKA-NAMUGONGO-24h'!L76)</f>
        <v>0</v>
      </c>
      <c r="M76" s="49">
        <f>AVERAGE('31.07 KIREKA-NAMUGONGO-24h'!M76,'03.08 KIREKA-NAMUGONGO-24h'!M76)</f>
        <v>25.5</v>
      </c>
      <c r="N76" s="49">
        <f>AVERAGE('31.07 KIREKA-NAMUGONGO-24h'!N76,'03.08 KIREKA-NAMUGONGO-24h'!N76)</f>
        <v>0</v>
      </c>
      <c r="O76" s="15">
        <f t="shared" si="35"/>
        <v>45</v>
      </c>
      <c r="P76" s="15">
        <f t="shared" si="36"/>
        <v>70.5</v>
      </c>
      <c r="R76" s="8"/>
      <c r="T76"/>
    </row>
    <row r="77" spans="2:20" ht="23.1" customHeight="1" x14ac:dyDescent="0.25">
      <c r="B77" s="23" t="s">
        <v>117</v>
      </c>
      <c r="C77" s="49">
        <f>AVERAGE('31.07 KIREKA-NAMUGONGO-24h'!C77,'03.08 KIREKA-NAMUGONGO-24h'!C77)</f>
        <v>14.5</v>
      </c>
      <c r="D77" s="49">
        <f>AVERAGE('31.07 KIREKA-NAMUGONGO-24h'!D77,'03.08 KIREKA-NAMUGONGO-24h'!D77)</f>
        <v>9.5</v>
      </c>
      <c r="E77" s="49">
        <f>AVERAGE('31.07 KIREKA-NAMUGONGO-24h'!E77,'03.08 KIREKA-NAMUGONGO-24h'!E77)</f>
        <v>1</v>
      </c>
      <c r="F77" s="49">
        <f>AVERAGE('31.07 KIREKA-NAMUGONGO-24h'!F77,'03.08 KIREKA-NAMUGONGO-24h'!F77)</f>
        <v>2</v>
      </c>
      <c r="G77" s="49">
        <f>AVERAGE('31.07 KIREKA-NAMUGONGO-24h'!G77,'03.08 KIREKA-NAMUGONGO-24h'!G77)</f>
        <v>0</v>
      </c>
      <c r="H77" s="49">
        <f>AVERAGE('31.07 KIREKA-NAMUGONGO-24h'!H77,'03.08 KIREKA-NAMUGONGO-24h'!H77)</f>
        <v>0</v>
      </c>
      <c r="I77" s="49">
        <f>AVERAGE('31.07 KIREKA-NAMUGONGO-24h'!I77,'03.08 KIREKA-NAMUGONGO-24h'!I77)</f>
        <v>1</v>
      </c>
      <c r="J77" s="49">
        <f>AVERAGE('31.07 KIREKA-NAMUGONGO-24h'!J77,'03.08 KIREKA-NAMUGONGO-24h'!J77)</f>
        <v>0.5</v>
      </c>
      <c r="K77" s="49">
        <f>AVERAGE('31.07 KIREKA-NAMUGONGO-24h'!K77,'03.08 KIREKA-NAMUGONGO-24h'!K77)</f>
        <v>0</v>
      </c>
      <c r="L77" s="49">
        <f>AVERAGE('31.07 KIREKA-NAMUGONGO-24h'!L77,'03.08 KIREKA-NAMUGONGO-24h'!L77)</f>
        <v>0</v>
      </c>
      <c r="M77" s="49">
        <f>AVERAGE('31.07 KIREKA-NAMUGONGO-24h'!M77,'03.08 KIREKA-NAMUGONGO-24h'!M77)</f>
        <v>26.5</v>
      </c>
      <c r="N77" s="49">
        <f>AVERAGE('31.07 KIREKA-NAMUGONGO-24h'!N77,'03.08 KIREKA-NAMUGONGO-24h'!N77)</f>
        <v>0</v>
      </c>
      <c r="O77" s="15">
        <f t="shared" si="35"/>
        <v>28.5</v>
      </c>
      <c r="P77" s="15">
        <f t="shared" si="36"/>
        <v>55</v>
      </c>
      <c r="R77" s="8"/>
      <c r="T77"/>
    </row>
    <row r="78" spans="2:20" ht="23.1" customHeight="1" x14ac:dyDescent="0.25">
      <c r="B78" s="24" t="s">
        <v>118</v>
      </c>
      <c r="C78" s="49">
        <f>AVERAGE('31.07 KIREKA-NAMUGONGO-24h'!C78,'03.08 KIREKA-NAMUGONGO-24h'!C78)</f>
        <v>14</v>
      </c>
      <c r="D78" s="49">
        <f>AVERAGE('31.07 KIREKA-NAMUGONGO-24h'!D78,'03.08 KIREKA-NAMUGONGO-24h'!D78)</f>
        <v>6.5</v>
      </c>
      <c r="E78" s="49">
        <f>AVERAGE('31.07 KIREKA-NAMUGONGO-24h'!E78,'03.08 KIREKA-NAMUGONGO-24h'!E78)</f>
        <v>1</v>
      </c>
      <c r="F78" s="49">
        <f>AVERAGE('31.07 KIREKA-NAMUGONGO-24h'!F78,'03.08 KIREKA-NAMUGONGO-24h'!F78)</f>
        <v>1.5</v>
      </c>
      <c r="G78" s="49">
        <f>AVERAGE('31.07 KIREKA-NAMUGONGO-24h'!G78,'03.08 KIREKA-NAMUGONGO-24h'!G78)</f>
        <v>0</v>
      </c>
      <c r="H78" s="49">
        <f>AVERAGE('31.07 KIREKA-NAMUGONGO-24h'!H78,'03.08 KIREKA-NAMUGONGO-24h'!H78)</f>
        <v>0</v>
      </c>
      <c r="I78" s="49">
        <f>AVERAGE('31.07 KIREKA-NAMUGONGO-24h'!I78,'03.08 KIREKA-NAMUGONGO-24h'!I78)</f>
        <v>1</v>
      </c>
      <c r="J78" s="49">
        <f>AVERAGE('31.07 KIREKA-NAMUGONGO-24h'!J78,'03.08 KIREKA-NAMUGONGO-24h'!J78)</f>
        <v>0</v>
      </c>
      <c r="K78" s="49">
        <f>AVERAGE('31.07 KIREKA-NAMUGONGO-24h'!K78,'03.08 KIREKA-NAMUGONGO-24h'!K78)</f>
        <v>0</v>
      </c>
      <c r="L78" s="49">
        <f>AVERAGE('31.07 KIREKA-NAMUGONGO-24h'!L78,'03.08 KIREKA-NAMUGONGO-24h'!L78)</f>
        <v>0</v>
      </c>
      <c r="M78" s="49">
        <f>AVERAGE('31.07 KIREKA-NAMUGONGO-24h'!M78,'03.08 KIREKA-NAMUGONGO-24h'!M78)</f>
        <v>21</v>
      </c>
      <c r="N78" s="49">
        <f>AVERAGE('31.07 KIREKA-NAMUGONGO-24h'!N78,'03.08 KIREKA-NAMUGONGO-24h'!N78)</f>
        <v>0</v>
      </c>
      <c r="O78" s="15">
        <f t="shared" si="35"/>
        <v>24</v>
      </c>
      <c r="P78" s="15">
        <f t="shared" si="36"/>
        <v>45</v>
      </c>
      <c r="R78" s="8"/>
      <c r="T78"/>
    </row>
    <row r="79" spans="2:20" ht="23.1" customHeight="1" x14ac:dyDescent="0.25">
      <c r="B79" s="23" t="s">
        <v>119</v>
      </c>
      <c r="C79" s="49">
        <f>AVERAGE('31.07 KIREKA-NAMUGONGO-24h'!C79,'03.08 KIREKA-NAMUGONGO-24h'!C79)</f>
        <v>16</v>
      </c>
      <c r="D79" s="49">
        <f>AVERAGE('31.07 KIREKA-NAMUGONGO-24h'!D79,'03.08 KIREKA-NAMUGONGO-24h'!D79)</f>
        <v>9</v>
      </c>
      <c r="E79" s="49">
        <f>AVERAGE('31.07 KIREKA-NAMUGONGO-24h'!E79,'03.08 KIREKA-NAMUGONGO-24h'!E79)</f>
        <v>2</v>
      </c>
      <c r="F79" s="49">
        <f>AVERAGE('31.07 KIREKA-NAMUGONGO-24h'!F79,'03.08 KIREKA-NAMUGONGO-24h'!F79)</f>
        <v>2</v>
      </c>
      <c r="G79" s="49">
        <f>AVERAGE('31.07 KIREKA-NAMUGONGO-24h'!G79,'03.08 KIREKA-NAMUGONGO-24h'!G79)</f>
        <v>0</v>
      </c>
      <c r="H79" s="49">
        <f>AVERAGE('31.07 KIREKA-NAMUGONGO-24h'!H79,'03.08 KIREKA-NAMUGONGO-24h'!H79)</f>
        <v>0</v>
      </c>
      <c r="I79" s="49">
        <f>AVERAGE('31.07 KIREKA-NAMUGONGO-24h'!I79,'03.08 KIREKA-NAMUGONGO-24h'!I79)</f>
        <v>0</v>
      </c>
      <c r="J79" s="49">
        <f>AVERAGE('31.07 KIREKA-NAMUGONGO-24h'!J79,'03.08 KIREKA-NAMUGONGO-24h'!J79)</f>
        <v>0</v>
      </c>
      <c r="K79" s="49">
        <f>AVERAGE('31.07 KIREKA-NAMUGONGO-24h'!K79,'03.08 KIREKA-NAMUGONGO-24h'!K79)</f>
        <v>0</v>
      </c>
      <c r="L79" s="49">
        <f>AVERAGE('31.07 KIREKA-NAMUGONGO-24h'!L79,'03.08 KIREKA-NAMUGONGO-24h'!L79)</f>
        <v>0</v>
      </c>
      <c r="M79" s="49">
        <f>AVERAGE('31.07 KIREKA-NAMUGONGO-24h'!M79,'03.08 KIREKA-NAMUGONGO-24h'!M79)</f>
        <v>29</v>
      </c>
      <c r="N79" s="49">
        <f>AVERAGE('31.07 KIREKA-NAMUGONGO-24h'!N79,'03.08 KIREKA-NAMUGONGO-24h'!N79)</f>
        <v>0</v>
      </c>
      <c r="O79" s="15">
        <f t="shared" si="35"/>
        <v>29</v>
      </c>
      <c r="P79" s="15">
        <f t="shared" si="36"/>
        <v>58</v>
      </c>
      <c r="R79" s="8"/>
      <c r="T79"/>
    </row>
    <row r="80" spans="2:20" ht="23.1" customHeight="1" x14ac:dyDescent="0.25">
      <c r="B80" s="25" t="s">
        <v>120</v>
      </c>
      <c r="C80" s="49">
        <f>AVERAGE('31.07 KIREKA-NAMUGONGO-24h'!C80,'03.08 KIREKA-NAMUGONGO-24h'!C80)</f>
        <v>12</v>
      </c>
      <c r="D80" s="49">
        <f>AVERAGE('31.07 KIREKA-NAMUGONGO-24h'!D80,'03.08 KIREKA-NAMUGONGO-24h'!D80)</f>
        <v>6</v>
      </c>
      <c r="E80" s="49">
        <f>AVERAGE('31.07 KIREKA-NAMUGONGO-24h'!E80,'03.08 KIREKA-NAMUGONGO-24h'!E80)</f>
        <v>2.5</v>
      </c>
      <c r="F80" s="49">
        <f>AVERAGE('31.07 KIREKA-NAMUGONGO-24h'!F80,'03.08 KIREKA-NAMUGONGO-24h'!F80)</f>
        <v>1</v>
      </c>
      <c r="G80" s="49">
        <f>AVERAGE('31.07 KIREKA-NAMUGONGO-24h'!G80,'03.08 KIREKA-NAMUGONGO-24h'!G80)</f>
        <v>0</v>
      </c>
      <c r="H80" s="49">
        <f>AVERAGE('31.07 KIREKA-NAMUGONGO-24h'!H80,'03.08 KIREKA-NAMUGONGO-24h'!H80)</f>
        <v>0</v>
      </c>
      <c r="I80" s="49">
        <f>AVERAGE('31.07 KIREKA-NAMUGONGO-24h'!I80,'03.08 KIREKA-NAMUGONGO-24h'!I80)</f>
        <v>0</v>
      </c>
      <c r="J80" s="49">
        <f>AVERAGE('31.07 KIREKA-NAMUGONGO-24h'!J80,'03.08 KIREKA-NAMUGONGO-24h'!J80)</f>
        <v>0</v>
      </c>
      <c r="K80" s="49">
        <f>AVERAGE('31.07 KIREKA-NAMUGONGO-24h'!K80,'03.08 KIREKA-NAMUGONGO-24h'!K80)</f>
        <v>0</v>
      </c>
      <c r="L80" s="49">
        <f>AVERAGE('31.07 KIREKA-NAMUGONGO-24h'!L80,'03.08 KIREKA-NAMUGONGO-24h'!L80)</f>
        <v>0</v>
      </c>
      <c r="M80" s="49">
        <f>AVERAGE('31.07 KIREKA-NAMUGONGO-24h'!M80,'03.08 KIREKA-NAMUGONGO-24h'!M80)</f>
        <v>23.5</v>
      </c>
      <c r="N80" s="49">
        <f>AVERAGE('31.07 KIREKA-NAMUGONGO-24h'!N80,'03.08 KIREKA-NAMUGONGO-24h'!N80)</f>
        <v>0</v>
      </c>
      <c r="O80" s="15">
        <f t="shared" si="35"/>
        <v>21.5</v>
      </c>
      <c r="P80" s="15">
        <f t="shared" si="36"/>
        <v>45</v>
      </c>
      <c r="R80" s="8"/>
      <c r="T80"/>
    </row>
    <row r="81" spans="2:20" ht="23.1" customHeight="1" x14ac:dyDescent="0.25">
      <c r="B81" s="23" t="s">
        <v>121</v>
      </c>
      <c r="C81" s="49">
        <f>AVERAGE('31.07 KIREKA-NAMUGONGO-24h'!C81,'03.08 KIREKA-NAMUGONGO-24h'!C81)</f>
        <v>9.5</v>
      </c>
      <c r="D81" s="49">
        <f>AVERAGE('31.07 KIREKA-NAMUGONGO-24h'!D81,'03.08 KIREKA-NAMUGONGO-24h'!D81)</f>
        <v>2</v>
      </c>
      <c r="E81" s="49">
        <f>AVERAGE('31.07 KIREKA-NAMUGONGO-24h'!E81,'03.08 KIREKA-NAMUGONGO-24h'!E81)</f>
        <v>1</v>
      </c>
      <c r="F81" s="49">
        <f>AVERAGE('31.07 KIREKA-NAMUGONGO-24h'!F81,'03.08 KIREKA-NAMUGONGO-24h'!F81)</f>
        <v>0.5</v>
      </c>
      <c r="G81" s="49">
        <f>AVERAGE('31.07 KIREKA-NAMUGONGO-24h'!G81,'03.08 KIREKA-NAMUGONGO-24h'!G81)</f>
        <v>0</v>
      </c>
      <c r="H81" s="49">
        <f>AVERAGE('31.07 KIREKA-NAMUGONGO-24h'!H81,'03.08 KIREKA-NAMUGONGO-24h'!H81)</f>
        <v>0</v>
      </c>
      <c r="I81" s="49">
        <f>AVERAGE('31.07 KIREKA-NAMUGONGO-24h'!I81,'03.08 KIREKA-NAMUGONGO-24h'!I81)</f>
        <v>0</v>
      </c>
      <c r="J81" s="49">
        <f>AVERAGE('31.07 KIREKA-NAMUGONGO-24h'!J81,'03.08 KIREKA-NAMUGONGO-24h'!J81)</f>
        <v>0</v>
      </c>
      <c r="K81" s="49">
        <f>AVERAGE('31.07 KIREKA-NAMUGONGO-24h'!K81,'03.08 KIREKA-NAMUGONGO-24h'!K81)</f>
        <v>0</v>
      </c>
      <c r="L81" s="49">
        <f>AVERAGE('31.07 KIREKA-NAMUGONGO-24h'!L81,'03.08 KIREKA-NAMUGONGO-24h'!L81)</f>
        <v>0</v>
      </c>
      <c r="M81" s="49">
        <f>AVERAGE('31.07 KIREKA-NAMUGONGO-24h'!M81,'03.08 KIREKA-NAMUGONGO-24h'!M81)</f>
        <v>11.5</v>
      </c>
      <c r="N81" s="49">
        <f>AVERAGE('31.07 KIREKA-NAMUGONGO-24h'!N81,'03.08 KIREKA-NAMUGONGO-24h'!N81)</f>
        <v>0</v>
      </c>
      <c r="O81" s="15">
        <f t="shared" si="35"/>
        <v>13</v>
      </c>
      <c r="P81" s="15">
        <f t="shared" si="36"/>
        <v>24.5</v>
      </c>
      <c r="R81" s="8"/>
      <c r="T81"/>
    </row>
    <row r="82" spans="2:20" ht="23.1" customHeight="1" x14ac:dyDescent="0.25">
      <c r="B82" s="24" t="s">
        <v>122</v>
      </c>
      <c r="C82" s="49">
        <f>AVERAGE('31.07 KIREKA-NAMUGONGO-24h'!C82,'03.08 KIREKA-NAMUGONGO-24h'!C82)</f>
        <v>7</v>
      </c>
      <c r="D82" s="49">
        <f>AVERAGE('31.07 KIREKA-NAMUGONGO-24h'!D82,'03.08 KIREKA-NAMUGONGO-24h'!D82)</f>
        <v>1.5</v>
      </c>
      <c r="E82" s="49">
        <f>AVERAGE('31.07 KIREKA-NAMUGONGO-24h'!E82,'03.08 KIREKA-NAMUGONGO-24h'!E82)</f>
        <v>0.5</v>
      </c>
      <c r="F82" s="49">
        <f>AVERAGE('31.07 KIREKA-NAMUGONGO-24h'!F82,'03.08 KIREKA-NAMUGONGO-24h'!F82)</f>
        <v>0</v>
      </c>
      <c r="G82" s="49">
        <f>AVERAGE('31.07 KIREKA-NAMUGONGO-24h'!G82,'03.08 KIREKA-NAMUGONGO-24h'!G82)</f>
        <v>0</v>
      </c>
      <c r="H82" s="49">
        <f>AVERAGE('31.07 KIREKA-NAMUGONGO-24h'!H82,'03.08 KIREKA-NAMUGONGO-24h'!H82)</f>
        <v>0</v>
      </c>
      <c r="I82" s="49">
        <f>AVERAGE('31.07 KIREKA-NAMUGONGO-24h'!I82,'03.08 KIREKA-NAMUGONGO-24h'!I82)</f>
        <v>0</v>
      </c>
      <c r="J82" s="49">
        <f>AVERAGE('31.07 KIREKA-NAMUGONGO-24h'!J82,'03.08 KIREKA-NAMUGONGO-24h'!J82)</f>
        <v>1</v>
      </c>
      <c r="K82" s="49">
        <f>AVERAGE('31.07 KIREKA-NAMUGONGO-24h'!K82,'03.08 KIREKA-NAMUGONGO-24h'!K82)</f>
        <v>0</v>
      </c>
      <c r="L82" s="49">
        <f>AVERAGE('31.07 KIREKA-NAMUGONGO-24h'!L82,'03.08 KIREKA-NAMUGONGO-24h'!L82)</f>
        <v>0</v>
      </c>
      <c r="M82" s="49">
        <f>AVERAGE('31.07 KIREKA-NAMUGONGO-24h'!M82,'03.08 KIREKA-NAMUGONGO-24h'!M82)</f>
        <v>20.5</v>
      </c>
      <c r="N82" s="49">
        <f>AVERAGE('31.07 KIREKA-NAMUGONGO-24h'!N82,'03.08 KIREKA-NAMUGONGO-24h'!N82)</f>
        <v>0</v>
      </c>
      <c r="O82" s="15">
        <f t="shared" si="35"/>
        <v>10</v>
      </c>
      <c r="P82" s="15">
        <f t="shared" si="36"/>
        <v>30.5</v>
      </c>
      <c r="R82" s="8"/>
      <c r="T82"/>
    </row>
    <row r="83" spans="2:20" ht="23.1" customHeight="1" x14ac:dyDescent="0.25">
      <c r="B83" s="23" t="s">
        <v>123</v>
      </c>
      <c r="C83" s="49">
        <f>AVERAGE('31.07 KIREKA-NAMUGONGO-24h'!C83,'03.08 KIREKA-NAMUGONGO-24h'!C83)</f>
        <v>8.5</v>
      </c>
      <c r="D83" s="49">
        <f>AVERAGE('31.07 KIREKA-NAMUGONGO-24h'!D83,'03.08 KIREKA-NAMUGONGO-24h'!D83)</f>
        <v>2</v>
      </c>
      <c r="E83" s="49">
        <f>AVERAGE('31.07 KIREKA-NAMUGONGO-24h'!E83,'03.08 KIREKA-NAMUGONGO-24h'!E83)</f>
        <v>0</v>
      </c>
      <c r="F83" s="49">
        <f>AVERAGE('31.07 KIREKA-NAMUGONGO-24h'!F83,'03.08 KIREKA-NAMUGONGO-24h'!F83)</f>
        <v>0.5</v>
      </c>
      <c r="G83" s="49">
        <f>AVERAGE('31.07 KIREKA-NAMUGONGO-24h'!G83,'03.08 KIREKA-NAMUGONGO-24h'!G83)</f>
        <v>0</v>
      </c>
      <c r="H83" s="49">
        <f>AVERAGE('31.07 KIREKA-NAMUGONGO-24h'!H83,'03.08 KIREKA-NAMUGONGO-24h'!H83)</f>
        <v>0</v>
      </c>
      <c r="I83" s="49">
        <f>AVERAGE('31.07 KIREKA-NAMUGONGO-24h'!I83,'03.08 KIREKA-NAMUGONGO-24h'!I83)</f>
        <v>0.5</v>
      </c>
      <c r="J83" s="49">
        <f>AVERAGE('31.07 KIREKA-NAMUGONGO-24h'!J83,'03.08 KIREKA-NAMUGONGO-24h'!J83)</f>
        <v>0.5</v>
      </c>
      <c r="K83" s="49">
        <f>AVERAGE('31.07 KIREKA-NAMUGONGO-24h'!K83,'03.08 KIREKA-NAMUGONGO-24h'!K83)</f>
        <v>0</v>
      </c>
      <c r="L83" s="49">
        <f>AVERAGE('31.07 KIREKA-NAMUGONGO-24h'!L83,'03.08 KIREKA-NAMUGONGO-24h'!L83)</f>
        <v>0</v>
      </c>
      <c r="M83" s="49">
        <f>AVERAGE('31.07 KIREKA-NAMUGONGO-24h'!M83,'03.08 KIREKA-NAMUGONGO-24h'!M83)</f>
        <v>18</v>
      </c>
      <c r="N83" s="49">
        <f>AVERAGE('31.07 KIREKA-NAMUGONGO-24h'!N83,'03.08 KIREKA-NAMUGONGO-24h'!N83)</f>
        <v>0</v>
      </c>
      <c r="O83" s="15">
        <f t="shared" si="35"/>
        <v>12</v>
      </c>
      <c r="P83" s="15">
        <f t="shared" si="36"/>
        <v>30</v>
      </c>
      <c r="R83" s="8"/>
      <c r="T83"/>
    </row>
    <row r="84" spans="2:20" ht="23.1" customHeight="1" x14ac:dyDescent="0.25">
      <c r="B84" s="25" t="s">
        <v>124</v>
      </c>
      <c r="C84" s="49">
        <f>AVERAGE('31.07 KIREKA-NAMUGONGO-24h'!C84,'03.08 KIREKA-NAMUGONGO-24h'!C84)</f>
        <v>6.5</v>
      </c>
      <c r="D84" s="49">
        <f>AVERAGE('31.07 KIREKA-NAMUGONGO-24h'!D84,'03.08 KIREKA-NAMUGONGO-24h'!D84)</f>
        <v>1</v>
      </c>
      <c r="E84" s="49">
        <f>AVERAGE('31.07 KIREKA-NAMUGONGO-24h'!E84,'03.08 KIREKA-NAMUGONGO-24h'!E84)</f>
        <v>0</v>
      </c>
      <c r="F84" s="49">
        <f>AVERAGE('31.07 KIREKA-NAMUGONGO-24h'!F84,'03.08 KIREKA-NAMUGONGO-24h'!F84)</f>
        <v>0</v>
      </c>
      <c r="G84" s="49">
        <f>AVERAGE('31.07 KIREKA-NAMUGONGO-24h'!G84,'03.08 KIREKA-NAMUGONGO-24h'!G84)</f>
        <v>0</v>
      </c>
      <c r="H84" s="49">
        <f>AVERAGE('31.07 KIREKA-NAMUGONGO-24h'!H84,'03.08 KIREKA-NAMUGONGO-24h'!H84)</f>
        <v>0</v>
      </c>
      <c r="I84" s="49">
        <f>AVERAGE('31.07 KIREKA-NAMUGONGO-24h'!I84,'03.08 KIREKA-NAMUGONGO-24h'!I84)</f>
        <v>0</v>
      </c>
      <c r="J84" s="49">
        <f>AVERAGE('31.07 KIREKA-NAMUGONGO-24h'!J84,'03.08 KIREKA-NAMUGONGO-24h'!J84)</f>
        <v>0</v>
      </c>
      <c r="K84" s="49">
        <f>AVERAGE('31.07 KIREKA-NAMUGONGO-24h'!K84,'03.08 KIREKA-NAMUGONGO-24h'!K84)</f>
        <v>0</v>
      </c>
      <c r="L84" s="49">
        <f>AVERAGE('31.07 KIREKA-NAMUGONGO-24h'!L84,'03.08 KIREKA-NAMUGONGO-24h'!L84)</f>
        <v>0</v>
      </c>
      <c r="M84" s="49">
        <f>AVERAGE('31.07 KIREKA-NAMUGONGO-24h'!M84,'03.08 KIREKA-NAMUGONGO-24h'!M84)</f>
        <v>15</v>
      </c>
      <c r="N84" s="49">
        <f>AVERAGE('31.07 KIREKA-NAMUGONGO-24h'!N84,'03.08 KIREKA-NAMUGONGO-24h'!N84)</f>
        <v>0</v>
      </c>
      <c r="O84" s="15">
        <f t="shared" si="35"/>
        <v>7.5</v>
      </c>
      <c r="P84" s="15">
        <f t="shared" si="36"/>
        <v>22.5</v>
      </c>
      <c r="R84" s="8"/>
      <c r="T84"/>
    </row>
    <row r="85" spans="2:20" ht="23.1" customHeight="1" x14ac:dyDescent="0.25">
      <c r="B85" s="23" t="s">
        <v>125</v>
      </c>
      <c r="C85" s="49">
        <f>AVERAGE('31.07 KIREKA-NAMUGONGO-24h'!C85,'03.08 KIREKA-NAMUGONGO-24h'!C85)</f>
        <v>10.5</v>
      </c>
      <c r="D85" s="49">
        <f>AVERAGE('31.07 KIREKA-NAMUGONGO-24h'!D85,'03.08 KIREKA-NAMUGONGO-24h'!D85)</f>
        <v>3</v>
      </c>
      <c r="E85" s="49">
        <f>AVERAGE('31.07 KIREKA-NAMUGONGO-24h'!E85,'03.08 KIREKA-NAMUGONGO-24h'!E85)</f>
        <v>0</v>
      </c>
      <c r="F85" s="49">
        <f>AVERAGE('31.07 KIREKA-NAMUGONGO-24h'!F85,'03.08 KIREKA-NAMUGONGO-24h'!F85)</f>
        <v>0</v>
      </c>
      <c r="G85" s="49">
        <f>AVERAGE('31.07 KIREKA-NAMUGONGO-24h'!G85,'03.08 KIREKA-NAMUGONGO-24h'!G85)</f>
        <v>0</v>
      </c>
      <c r="H85" s="49">
        <f>AVERAGE('31.07 KIREKA-NAMUGONGO-24h'!H85,'03.08 KIREKA-NAMUGONGO-24h'!H85)</f>
        <v>0</v>
      </c>
      <c r="I85" s="49">
        <f>AVERAGE('31.07 KIREKA-NAMUGONGO-24h'!I85,'03.08 KIREKA-NAMUGONGO-24h'!I85)</f>
        <v>0.5</v>
      </c>
      <c r="J85" s="49">
        <f>AVERAGE('31.07 KIREKA-NAMUGONGO-24h'!J85,'03.08 KIREKA-NAMUGONGO-24h'!J85)</f>
        <v>0</v>
      </c>
      <c r="K85" s="49">
        <f>AVERAGE('31.07 KIREKA-NAMUGONGO-24h'!K85,'03.08 KIREKA-NAMUGONGO-24h'!K85)</f>
        <v>0</v>
      </c>
      <c r="L85" s="49">
        <f>AVERAGE('31.07 KIREKA-NAMUGONGO-24h'!L85,'03.08 KIREKA-NAMUGONGO-24h'!L85)</f>
        <v>0</v>
      </c>
      <c r="M85" s="49">
        <f>AVERAGE('31.07 KIREKA-NAMUGONGO-24h'!M85,'03.08 KIREKA-NAMUGONGO-24h'!M85)</f>
        <v>19.5</v>
      </c>
      <c r="N85" s="49">
        <f>AVERAGE('31.07 KIREKA-NAMUGONGO-24h'!N85,'03.08 KIREKA-NAMUGONGO-24h'!N85)</f>
        <v>0</v>
      </c>
      <c r="O85" s="15">
        <f t="shared" si="35"/>
        <v>14</v>
      </c>
      <c r="P85" s="15">
        <f t="shared" si="36"/>
        <v>33.5</v>
      </c>
      <c r="R85" s="8"/>
      <c r="T85"/>
    </row>
    <row r="86" spans="2:20" ht="23.1" customHeight="1" x14ac:dyDescent="0.25">
      <c r="B86" s="24" t="s">
        <v>126</v>
      </c>
      <c r="C86" s="49">
        <f>AVERAGE('31.07 KIREKA-NAMUGONGO-24h'!C86,'03.08 KIREKA-NAMUGONGO-24h'!C86)</f>
        <v>7</v>
      </c>
      <c r="D86" s="49">
        <f>AVERAGE('31.07 KIREKA-NAMUGONGO-24h'!D86,'03.08 KIREKA-NAMUGONGO-24h'!D86)</f>
        <v>1.5</v>
      </c>
      <c r="E86" s="49">
        <f>AVERAGE('31.07 KIREKA-NAMUGONGO-24h'!E86,'03.08 KIREKA-NAMUGONGO-24h'!E86)</f>
        <v>0.5</v>
      </c>
      <c r="F86" s="49">
        <f>AVERAGE('31.07 KIREKA-NAMUGONGO-24h'!F86,'03.08 KIREKA-NAMUGONGO-24h'!F86)</f>
        <v>0</v>
      </c>
      <c r="G86" s="49">
        <f>AVERAGE('31.07 KIREKA-NAMUGONGO-24h'!G86,'03.08 KIREKA-NAMUGONGO-24h'!G86)</f>
        <v>0</v>
      </c>
      <c r="H86" s="49">
        <f>AVERAGE('31.07 KIREKA-NAMUGONGO-24h'!H86,'03.08 KIREKA-NAMUGONGO-24h'!H86)</f>
        <v>0</v>
      </c>
      <c r="I86" s="49">
        <f>AVERAGE('31.07 KIREKA-NAMUGONGO-24h'!I86,'03.08 KIREKA-NAMUGONGO-24h'!I86)</f>
        <v>0</v>
      </c>
      <c r="J86" s="49">
        <f>AVERAGE('31.07 KIREKA-NAMUGONGO-24h'!J86,'03.08 KIREKA-NAMUGONGO-24h'!J86)</f>
        <v>0</v>
      </c>
      <c r="K86" s="49">
        <f>AVERAGE('31.07 KIREKA-NAMUGONGO-24h'!K86,'03.08 KIREKA-NAMUGONGO-24h'!K86)</f>
        <v>0</v>
      </c>
      <c r="L86" s="49">
        <f>AVERAGE('31.07 KIREKA-NAMUGONGO-24h'!L86,'03.08 KIREKA-NAMUGONGO-24h'!L86)</f>
        <v>0</v>
      </c>
      <c r="M86" s="49">
        <f>AVERAGE('31.07 KIREKA-NAMUGONGO-24h'!M86,'03.08 KIREKA-NAMUGONGO-24h'!M86)</f>
        <v>7.5</v>
      </c>
      <c r="N86" s="49">
        <f>AVERAGE('31.07 KIREKA-NAMUGONGO-24h'!N86,'03.08 KIREKA-NAMUGONGO-24h'!N86)</f>
        <v>0</v>
      </c>
      <c r="O86" s="15">
        <f t="shared" si="35"/>
        <v>9</v>
      </c>
      <c r="P86" s="15">
        <f t="shared" si="36"/>
        <v>16.5</v>
      </c>
      <c r="R86" s="8"/>
      <c r="T86"/>
    </row>
    <row r="87" spans="2:20" ht="23.1" customHeight="1" x14ac:dyDescent="0.25">
      <c r="B87" s="23" t="s">
        <v>127</v>
      </c>
      <c r="C87" s="49">
        <f>AVERAGE('31.07 KIREKA-NAMUGONGO-24h'!C87,'03.08 KIREKA-NAMUGONGO-24h'!C87)</f>
        <v>6.5</v>
      </c>
      <c r="D87" s="49">
        <f>AVERAGE('31.07 KIREKA-NAMUGONGO-24h'!D87,'03.08 KIREKA-NAMUGONGO-24h'!D87)</f>
        <v>3.5</v>
      </c>
      <c r="E87" s="49">
        <f>AVERAGE('31.07 KIREKA-NAMUGONGO-24h'!E87,'03.08 KIREKA-NAMUGONGO-24h'!E87)</f>
        <v>0.5</v>
      </c>
      <c r="F87" s="49">
        <f>AVERAGE('31.07 KIREKA-NAMUGONGO-24h'!F87,'03.08 KIREKA-NAMUGONGO-24h'!F87)</f>
        <v>1.5</v>
      </c>
      <c r="G87" s="49">
        <f>AVERAGE('31.07 KIREKA-NAMUGONGO-24h'!G87,'03.08 KIREKA-NAMUGONGO-24h'!G87)</f>
        <v>0</v>
      </c>
      <c r="H87" s="49">
        <f>AVERAGE('31.07 KIREKA-NAMUGONGO-24h'!H87,'03.08 KIREKA-NAMUGONGO-24h'!H87)</f>
        <v>0</v>
      </c>
      <c r="I87" s="49">
        <f>AVERAGE('31.07 KIREKA-NAMUGONGO-24h'!I87,'03.08 KIREKA-NAMUGONGO-24h'!I87)</f>
        <v>0</v>
      </c>
      <c r="J87" s="49">
        <f>AVERAGE('31.07 KIREKA-NAMUGONGO-24h'!J87,'03.08 KIREKA-NAMUGONGO-24h'!J87)</f>
        <v>0</v>
      </c>
      <c r="K87" s="49">
        <f>AVERAGE('31.07 KIREKA-NAMUGONGO-24h'!K87,'03.08 KIREKA-NAMUGONGO-24h'!K87)</f>
        <v>0</v>
      </c>
      <c r="L87" s="49">
        <f>AVERAGE('31.07 KIREKA-NAMUGONGO-24h'!L87,'03.08 KIREKA-NAMUGONGO-24h'!L87)</f>
        <v>0</v>
      </c>
      <c r="M87" s="49">
        <f>AVERAGE('31.07 KIREKA-NAMUGONGO-24h'!M87,'03.08 KIREKA-NAMUGONGO-24h'!M87)</f>
        <v>9</v>
      </c>
      <c r="N87" s="49">
        <f>AVERAGE('31.07 KIREKA-NAMUGONGO-24h'!N87,'03.08 KIREKA-NAMUGONGO-24h'!N87)</f>
        <v>0</v>
      </c>
      <c r="O87" s="15">
        <f t="shared" si="35"/>
        <v>12</v>
      </c>
      <c r="P87" s="15">
        <f t="shared" si="36"/>
        <v>21</v>
      </c>
      <c r="R87" s="8"/>
      <c r="T87"/>
    </row>
    <row r="88" spans="2:20" ht="23.1" customHeight="1" x14ac:dyDescent="0.25">
      <c r="B88" s="25" t="s">
        <v>128</v>
      </c>
      <c r="C88" s="49">
        <f>AVERAGE('31.07 KIREKA-NAMUGONGO-24h'!C88,'03.08 KIREKA-NAMUGONGO-24h'!C88)</f>
        <v>9</v>
      </c>
      <c r="D88" s="49">
        <f>AVERAGE('31.07 KIREKA-NAMUGONGO-24h'!D88,'03.08 KIREKA-NAMUGONGO-24h'!D88)</f>
        <v>1.5</v>
      </c>
      <c r="E88" s="49">
        <f>AVERAGE('31.07 KIREKA-NAMUGONGO-24h'!E88,'03.08 KIREKA-NAMUGONGO-24h'!E88)</f>
        <v>0.5</v>
      </c>
      <c r="F88" s="49">
        <f>AVERAGE('31.07 KIREKA-NAMUGONGO-24h'!F88,'03.08 KIREKA-NAMUGONGO-24h'!F88)</f>
        <v>1.5</v>
      </c>
      <c r="G88" s="49">
        <f>AVERAGE('31.07 KIREKA-NAMUGONGO-24h'!G88,'03.08 KIREKA-NAMUGONGO-24h'!G88)</f>
        <v>0</v>
      </c>
      <c r="H88" s="49">
        <f>AVERAGE('31.07 KIREKA-NAMUGONGO-24h'!H88,'03.08 KIREKA-NAMUGONGO-24h'!H88)</f>
        <v>0</v>
      </c>
      <c r="I88" s="49">
        <f>AVERAGE('31.07 KIREKA-NAMUGONGO-24h'!I88,'03.08 KIREKA-NAMUGONGO-24h'!I88)</f>
        <v>0</v>
      </c>
      <c r="J88" s="49">
        <f>AVERAGE('31.07 KIREKA-NAMUGONGO-24h'!J88,'03.08 KIREKA-NAMUGONGO-24h'!J88)</f>
        <v>0</v>
      </c>
      <c r="K88" s="49">
        <f>AVERAGE('31.07 KIREKA-NAMUGONGO-24h'!K88,'03.08 KIREKA-NAMUGONGO-24h'!K88)</f>
        <v>0</v>
      </c>
      <c r="L88" s="49">
        <f>AVERAGE('31.07 KIREKA-NAMUGONGO-24h'!L88,'03.08 KIREKA-NAMUGONGO-24h'!L88)</f>
        <v>0</v>
      </c>
      <c r="M88" s="49">
        <f>AVERAGE('31.07 KIREKA-NAMUGONGO-24h'!M88,'03.08 KIREKA-NAMUGONGO-24h'!M88)</f>
        <v>13</v>
      </c>
      <c r="N88" s="49">
        <f>AVERAGE('31.07 KIREKA-NAMUGONGO-24h'!N88,'03.08 KIREKA-NAMUGONGO-24h'!N88)</f>
        <v>0</v>
      </c>
      <c r="O88" s="15">
        <f t="shared" si="35"/>
        <v>12.5</v>
      </c>
      <c r="P88" s="15">
        <f t="shared" si="36"/>
        <v>25.5</v>
      </c>
      <c r="R88" s="8"/>
      <c r="T88"/>
    </row>
    <row r="89" spans="2:20" ht="23.1" customHeight="1" x14ac:dyDescent="0.25">
      <c r="B89" s="23" t="s">
        <v>129</v>
      </c>
      <c r="C89" s="49">
        <f>AVERAGE('31.07 KIREKA-NAMUGONGO-24h'!C89,'03.08 KIREKA-NAMUGONGO-24h'!C89)</f>
        <v>6.5</v>
      </c>
      <c r="D89" s="49">
        <f>AVERAGE('31.07 KIREKA-NAMUGONGO-24h'!D89,'03.08 KIREKA-NAMUGONGO-24h'!D89)</f>
        <v>2.5</v>
      </c>
      <c r="E89" s="49">
        <f>AVERAGE('31.07 KIREKA-NAMUGONGO-24h'!E89,'03.08 KIREKA-NAMUGONGO-24h'!E89)</f>
        <v>0.5</v>
      </c>
      <c r="F89" s="49">
        <f>AVERAGE('31.07 KIREKA-NAMUGONGO-24h'!F89,'03.08 KIREKA-NAMUGONGO-24h'!F89)</f>
        <v>0.5</v>
      </c>
      <c r="G89" s="49">
        <f>AVERAGE('31.07 KIREKA-NAMUGONGO-24h'!G89,'03.08 KIREKA-NAMUGONGO-24h'!G89)</f>
        <v>0</v>
      </c>
      <c r="H89" s="49">
        <f>AVERAGE('31.07 KIREKA-NAMUGONGO-24h'!H89,'03.08 KIREKA-NAMUGONGO-24h'!H89)</f>
        <v>0</v>
      </c>
      <c r="I89" s="49">
        <f>AVERAGE('31.07 KIREKA-NAMUGONGO-24h'!I89,'03.08 KIREKA-NAMUGONGO-24h'!I89)</f>
        <v>0</v>
      </c>
      <c r="J89" s="49">
        <f>AVERAGE('31.07 KIREKA-NAMUGONGO-24h'!J89,'03.08 KIREKA-NAMUGONGO-24h'!J89)</f>
        <v>0.5</v>
      </c>
      <c r="K89" s="49">
        <f>AVERAGE('31.07 KIREKA-NAMUGONGO-24h'!K89,'03.08 KIREKA-NAMUGONGO-24h'!K89)</f>
        <v>0</v>
      </c>
      <c r="L89" s="49">
        <f>AVERAGE('31.07 KIREKA-NAMUGONGO-24h'!L89,'03.08 KIREKA-NAMUGONGO-24h'!L89)</f>
        <v>0</v>
      </c>
      <c r="M89" s="49">
        <f>AVERAGE('31.07 KIREKA-NAMUGONGO-24h'!M89,'03.08 KIREKA-NAMUGONGO-24h'!M89)</f>
        <v>6.5</v>
      </c>
      <c r="N89" s="49">
        <f>AVERAGE('31.07 KIREKA-NAMUGONGO-24h'!N89,'03.08 KIREKA-NAMUGONGO-24h'!N89)</f>
        <v>0</v>
      </c>
      <c r="O89" s="15">
        <f t="shared" si="35"/>
        <v>10.5</v>
      </c>
      <c r="P89" s="15">
        <f t="shared" si="36"/>
        <v>17</v>
      </c>
      <c r="R89" s="8"/>
      <c r="T89"/>
    </row>
    <row r="90" spans="2:20" ht="23.1" customHeight="1" x14ac:dyDescent="0.25">
      <c r="B90" s="24" t="s">
        <v>130</v>
      </c>
      <c r="C90" s="49">
        <f>AVERAGE('31.07 KIREKA-NAMUGONGO-24h'!C90,'03.08 KIREKA-NAMUGONGO-24h'!C90)</f>
        <v>5.5</v>
      </c>
      <c r="D90" s="49">
        <f>AVERAGE('31.07 KIREKA-NAMUGONGO-24h'!D90,'03.08 KIREKA-NAMUGONGO-24h'!D90)</f>
        <v>1.5</v>
      </c>
      <c r="E90" s="49">
        <f>AVERAGE('31.07 KIREKA-NAMUGONGO-24h'!E90,'03.08 KIREKA-NAMUGONGO-24h'!E90)</f>
        <v>0.5</v>
      </c>
      <c r="F90" s="49">
        <f>AVERAGE('31.07 KIREKA-NAMUGONGO-24h'!F90,'03.08 KIREKA-NAMUGONGO-24h'!F90)</f>
        <v>1.5</v>
      </c>
      <c r="G90" s="49">
        <f>AVERAGE('31.07 KIREKA-NAMUGONGO-24h'!G90,'03.08 KIREKA-NAMUGONGO-24h'!G90)</f>
        <v>0</v>
      </c>
      <c r="H90" s="49">
        <f>AVERAGE('31.07 KIREKA-NAMUGONGO-24h'!H90,'03.08 KIREKA-NAMUGONGO-24h'!H90)</f>
        <v>0</v>
      </c>
      <c r="I90" s="49">
        <f>AVERAGE('31.07 KIREKA-NAMUGONGO-24h'!I90,'03.08 KIREKA-NAMUGONGO-24h'!I90)</f>
        <v>0.5</v>
      </c>
      <c r="J90" s="49">
        <f>AVERAGE('31.07 KIREKA-NAMUGONGO-24h'!J90,'03.08 KIREKA-NAMUGONGO-24h'!J90)</f>
        <v>0</v>
      </c>
      <c r="K90" s="49">
        <f>AVERAGE('31.07 KIREKA-NAMUGONGO-24h'!K90,'03.08 KIREKA-NAMUGONGO-24h'!K90)</f>
        <v>0</v>
      </c>
      <c r="L90" s="49">
        <f>AVERAGE('31.07 KIREKA-NAMUGONGO-24h'!L90,'03.08 KIREKA-NAMUGONGO-24h'!L90)</f>
        <v>0</v>
      </c>
      <c r="M90" s="49">
        <f>AVERAGE('31.07 KIREKA-NAMUGONGO-24h'!M90,'03.08 KIREKA-NAMUGONGO-24h'!M90)</f>
        <v>11</v>
      </c>
      <c r="N90" s="49">
        <f>AVERAGE('31.07 KIREKA-NAMUGONGO-24h'!N90,'03.08 KIREKA-NAMUGONGO-24h'!N90)</f>
        <v>0</v>
      </c>
      <c r="O90" s="15">
        <f t="shared" si="35"/>
        <v>9.5</v>
      </c>
      <c r="P90" s="15">
        <f t="shared" si="36"/>
        <v>20.5</v>
      </c>
      <c r="R90" s="8"/>
      <c r="T90"/>
    </row>
    <row r="91" spans="2:20" ht="23.1" customHeight="1" x14ac:dyDescent="0.25">
      <c r="B91" s="23" t="s">
        <v>131</v>
      </c>
      <c r="C91" s="49">
        <f>AVERAGE('31.07 KIREKA-NAMUGONGO-24h'!C91,'03.08 KIREKA-NAMUGONGO-24h'!C91)</f>
        <v>8</v>
      </c>
      <c r="D91" s="49">
        <f>AVERAGE('31.07 KIREKA-NAMUGONGO-24h'!D91,'03.08 KIREKA-NAMUGONGO-24h'!D91)</f>
        <v>3.5</v>
      </c>
      <c r="E91" s="49">
        <f>AVERAGE('31.07 KIREKA-NAMUGONGO-24h'!E91,'03.08 KIREKA-NAMUGONGO-24h'!E91)</f>
        <v>0</v>
      </c>
      <c r="F91" s="49">
        <f>AVERAGE('31.07 KIREKA-NAMUGONGO-24h'!F91,'03.08 KIREKA-NAMUGONGO-24h'!F91)</f>
        <v>1</v>
      </c>
      <c r="G91" s="49">
        <f>AVERAGE('31.07 KIREKA-NAMUGONGO-24h'!G91,'03.08 KIREKA-NAMUGONGO-24h'!G91)</f>
        <v>0</v>
      </c>
      <c r="H91" s="49">
        <f>AVERAGE('31.07 KIREKA-NAMUGONGO-24h'!H91,'03.08 KIREKA-NAMUGONGO-24h'!H91)</f>
        <v>0</v>
      </c>
      <c r="I91" s="49">
        <f>AVERAGE('31.07 KIREKA-NAMUGONGO-24h'!I91,'03.08 KIREKA-NAMUGONGO-24h'!I91)</f>
        <v>0</v>
      </c>
      <c r="J91" s="49">
        <f>AVERAGE('31.07 KIREKA-NAMUGONGO-24h'!J91,'03.08 KIREKA-NAMUGONGO-24h'!J91)</f>
        <v>0</v>
      </c>
      <c r="K91" s="49">
        <f>AVERAGE('31.07 KIREKA-NAMUGONGO-24h'!K91,'03.08 KIREKA-NAMUGONGO-24h'!K91)</f>
        <v>0</v>
      </c>
      <c r="L91" s="49">
        <f>AVERAGE('31.07 KIREKA-NAMUGONGO-24h'!L91,'03.08 KIREKA-NAMUGONGO-24h'!L91)</f>
        <v>0</v>
      </c>
      <c r="M91" s="49">
        <f>AVERAGE('31.07 KIREKA-NAMUGONGO-24h'!M91,'03.08 KIREKA-NAMUGONGO-24h'!M91)</f>
        <v>7.5</v>
      </c>
      <c r="N91" s="49">
        <f>AVERAGE('31.07 KIREKA-NAMUGONGO-24h'!N91,'03.08 KIREKA-NAMUGONGO-24h'!N91)</f>
        <v>0</v>
      </c>
      <c r="O91" s="15">
        <f t="shared" si="35"/>
        <v>12.5</v>
      </c>
      <c r="P91" s="15">
        <f t="shared" si="36"/>
        <v>20</v>
      </c>
      <c r="R91" s="8"/>
      <c r="T91"/>
    </row>
    <row r="92" spans="2:20" ht="23.1" customHeight="1" x14ac:dyDescent="0.25">
      <c r="B92" s="25" t="s">
        <v>132</v>
      </c>
      <c r="C92" s="49">
        <f>AVERAGE('31.07 KIREKA-NAMUGONGO-24h'!C92,'03.08 KIREKA-NAMUGONGO-24h'!C92)</f>
        <v>5</v>
      </c>
      <c r="D92" s="49">
        <f>AVERAGE('31.07 KIREKA-NAMUGONGO-24h'!D92,'03.08 KIREKA-NAMUGONGO-24h'!D92)</f>
        <v>0.5</v>
      </c>
      <c r="E92" s="49">
        <f>AVERAGE('31.07 KIREKA-NAMUGONGO-24h'!E92,'03.08 KIREKA-NAMUGONGO-24h'!E92)</f>
        <v>0</v>
      </c>
      <c r="F92" s="49">
        <f>AVERAGE('31.07 KIREKA-NAMUGONGO-24h'!F92,'03.08 KIREKA-NAMUGONGO-24h'!F92)</f>
        <v>0.5</v>
      </c>
      <c r="G92" s="49">
        <f>AVERAGE('31.07 KIREKA-NAMUGONGO-24h'!G92,'03.08 KIREKA-NAMUGONGO-24h'!G92)</f>
        <v>0</v>
      </c>
      <c r="H92" s="49">
        <f>AVERAGE('31.07 KIREKA-NAMUGONGO-24h'!H92,'03.08 KIREKA-NAMUGONGO-24h'!H92)</f>
        <v>0</v>
      </c>
      <c r="I92" s="49">
        <f>AVERAGE('31.07 KIREKA-NAMUGONGO-24h'!I92,'03.08 KIREKA-NAMUGONGO-24h'!I92)</f>
        <v>0.5</v>
      </c>
      <c r="J92" s="49">
        <f>AVERAGE('31.07 KIREKA-NAMUGONGO-24h'!J92,'03.08 KIREKA-NAMUGONGO-24h'!J92)</f>
        <v>0.5</v>
      </c>
      <c r="K92" s="49">
        <f>AVERAGE('31.07 KIREKA-NAMUGONGO-24h'!K92,'03.08 KIREKA-NAMUGONGO-24h'!K92)</f>
        <v>0</v>
      </c>
      <c r="L92" s="49">
        <f>AVERAGE('31.07 KIREKA-NAMUGONGO-24h'!L92,'03.08 KIREKA-NAMUGONGO-24h'!L92)</f>
        <v>0</v>
      </c>
      <c r="M92" s="49">
        <f>AVERAGE('31.07 KIREKA-NAMUGONGO-24h'!M92,'03.08 KIREKA-NAMUGONGO-24h'!M92)</f>
        <v>6.5</v>
      </c>
      <c r="N92" s="49">
        <f>AVERAGE('31.07 KIREKA-NAMUGONGO-24h'!N92,'03.08 KIREKA-NAMUGONGO-24h'!N92)</f>
        <v>0</v>
      </c>
      <c r="O92" s="15">
        <f t="shared" si="35"/>
        <v>7</v>
      </c>
      <c r="P92" s="15">
        <f t="shared" si="36"/>
        <v>13.5</v>
      </c>
      <c r="R92" s="8"/>
      <c r="T92"/>
    </row>
    <row r="93" spans="2:20" ht="23.1" customHeight="1" x14ac:dyDescent="0.25">
      <c r="B93" s="23" t="s">
        <v>133</v>
      </c>
      <c r="C93" s="49">
        <f>AVERAGE('31.07 KIREKA-NAMUGONGO-24h'!C93,'03.08 KIREKA-NAMUGONGO-24h'!C93)</f>
        <v>10</v>
      </c>
      <c r="D93" s="49">
        <f>AVERAGE('31.07 KIREKA-NAMUGONGO-24h'!D93,'03.08 KIREKA-NAMUGONGO-24h'!D93)</f>
        <v>4</v>
      </c>
      <c r="E93" s="49">
        <f>AVERAGE('31.07 KIREKA-NAMUGONGO-24h'!E93,'03.08 KIREKA-NAMUGONGO-24h'!E93)</f>
        <v>0</v>
      </c>
      <c r="F93" s="49">
        <f>AVERAGE('31.07 KIREKA-NAMUGONGO-24h'!F93,'03.08 KIREKA-NAMUGONGO-24h'!F93)</f>
        <v>1.5</v>
      </c>
      <c r="G93" s="49">
        <f>AVERAGE('31.07 KIREKA-NAMUGONGO-24h'!G93,'03.08 KIREKA-NAMUGONGO-24h'!G93)</f>
        <v>0</v>
      </c>
      <c r="H93" s="49">
        <f>AVERAGE('31.07 KIREKA-NAMUGONGO-24h'!H93,'03.08 KIREKA-NAMUGONGO-24h'!H93)</f>
        <v>0</v>
      </c>
      <c r="I93" s="49">
        <f>AVERAGE('31.07 KIREKA-NAMUGONGO-24h'!I93,'03.08 KIREKA-NAMUGONGO-24h'!I93)</f>
        <v>0</v>
      </c>
      <c r="J93" s="49">
        <f>AVERAGE('31.07 KIREKA-NAMUGONGO-24h'!J93,'03.08 KIREKA-NAMUGONGO-24h'!J93)</f>
        <v>0</v>
      </c>
      <c r="K93" s="49">
        <f>AVERAGE('31.07 KIREKA-NAMUGONGO-24h'!K93,'03.08 KIREKA-NAMUGONGO-24h'!K93)</f>
        <v>0</v>
      </c>
      <c r="L93" s="49">
        <f>AVERAGE('31.07 KIREKA-NAMUGONGO-24h'!L93,'03.08 KIREKA-NAMUGONGO-24h'!L93)</f>
        <v>0</v>
      </c>
      <c r="M93" s="49">
        <f>AVERAGE('31.07 KIREKA-NAMUGONGO-24h'!M93,'03.08 KIREKA-NAMUGONGO-24h'!M93)</f>
        <v>5.5</v>
      </c>
      <c r="N93" s="49">
        <f>AVERAGE('31.07 KIREKA-NAMUGONGO-24h'!N93,'03.08 KIREKA-NAMUGONGO-24h'!N93)</f>
        <v>0</v>
      </c>
      <c r="O93" s="15">
        <f t="shared" si="35"/>
        <v>15.5</v>
      </c>
      <c r="P93" s="15">
        <f t="shared" si="36"/>
        <v>21</v>
      </c>
      <c r="R93" s="8"/>
      <c r="T93"/>
    </row>
    <row r="94" spans="2:20" ht="23.1" customHeight="1" x14ac:dyDescent="0.25">
      <c r="B94" s="24" t="s">
        <v>134</v>
      </c>
      <c r="C94" s="49">
        <f>AVERAGE('31.07 KIREKA-NAMUGONGO-24h'!C94,'03.08 KIREKA-NAMUGONGO-24h'!C94)</f>
        <v>7.5</v>
      </c>
      <c r="D94" s="49">
        <f>AVERAGE('31.07 KIREKA-NAMUGONGO-24h'!D94,'03.08 KIREKA-NAMUGONGO-24h'!D94)</f>
        <v>1</v>
      </c>
      <c r="E94" s="49">
        <f>AVERAGE('31.07 KIREKA-NAMUGONGO-24h'!E94,'03.08 KIREKA-NAMUGONGO-24h'!E94)</f>
        <v>1.5</v>
      </c>
      <c r="F94" s="49">
        <f>AVERAGE('31.07 KIREKA-NAMUGONGO-24h'!F94,'03.08 KIREKA-NAMUGONGO-24h'!F94)</f>
        <v>2</v>
      </c>
      <c r="G94" s="49">
        <f>AVERAGE('31.07 KIREKA-NAMUGONGO-24h'!G94,'03.08 KIREKA-NAMUGONGO-24h'!G94)</f>
        <v>0</v>
      </c>
      <c r="H94" s="49">
        <f>AVERAGE('31.07 KIREKA-NAMUGONGO-24h'!H94,'03.08 KIREKA-NAMUGONGO-24h'!H94)</f>
        <v>0</v>
      </c>
      <c r="I94" s="49">
        <f>AVERAGE('31.07 KIREKA-NAMUGONGO-24h'!I94,'03.08 KIREKA-NAMUGONGO-24h'!I94)</f>
        <v>0.5</v>
      </c>
      <c r="J94" s="49">
        <f>AVERAGE('31.07 KIREKA-NAMUGONGO-24h'!J94,'03.08 KIREKA-NAMUGONGO-24h'!J94)</f>
        <v>0</v>
      </c>
      <c r="K94" s="49">
        <f>AVERAGE('31.07 KIREKA-NAMUGONGO-24h'!K94,'03.08 KIREKA-NAMUGONGO-24h'!K94)</f>
        <v>0</v>
      </c>
      <c r="L94" s="49">
        <f>AVERAGE('31.07 KIREKA-NAMUGONGO-24h'!L94,'03.08 KIREKA-NAMUGONGO-24h'!L94)</f>
        <v>0</v>
      </c>
      <c r="M94" s="49">
        <f>AVERAGE('31.07 KIREKA-NAMUGONGO-24h'!M94,'03.08 KIREKA-NAMUGONGO-24h'!M94)</f>
        <v>7.5</v>
      </c>
      <c r="N94" s="49">
        <f>AVERAGE('31.07 KIREKA-NAMUGONGO-24h'!N94,'03.08 KIREKA-NAMUGONGO-24h'!N94)</f>
        <v>0</v>
      </c>
      <c r="O94" s="15">
        <f t="shared" si="35"/>
        <v>12.5</v>
      </c>
      <c r="P94" s="15">
        <f t="shared" si="36"/>
        <v>20</v>
      </c>
      <c r="R94" s="8"/>
      <c r="T94"/>
    </row>
    <row r="95" spans="2:20" ht="23.1" customHeight="1" x14ac:dyDescent="0.25">
      <c r="B95" s="23" t="s">
        <v>135</v>
      </c>
      <c r="C95" s="49">
        <f>AVERAGE('31.07 KIREKA-NAMUGONGO-24h'!C95,'03.08 KIREKA-NAMUGONGO-24h'!C95)</f>
        <v>6.5</v>
      </c>
      <c r="D95" s="49">
        <f>AVERAGE('31.07 KIREKA-NAMUGONGO-24h'!D95,'03.08 KIREKA-NAMUGONGO-24h'!D95)</f>
        <v>1</v>
      </c>
      <c r="E95" s="49">
        <f>AVERAGE('31.07 KIREKA-NAMUGONGO-24h'!E95,'03.08 KIREKA-NAMUGONGO-24h'!E95)</f>
        <v>0</v>
      </c>
      <c r="F95" s="49">
        <f>AVERAGE('31.07 KIREKA-NAMUGONGO-24h'!F95,'03.08 KIREKA-NAMUGONGO-24h'!F95)</f>
        <v>2</v>
      </c>
      <c r="G95" s="49">
        <f>AVERAGE('31.07 KIREKA-NAMUGONGO-24h'!G95,'03.08 KIREKA-NAMUGONGO-24h'!G95)</f>
        <v>0</v>
      </c>
      <c r="H95" s="49">
        <f>AVERAGE('31.07 KIREKA-NAMUGONGO-24h'!H95,'03.08 KIREKA-NAMUGONGO-24h'!H95)</f>
        <v>0</v>
      </c>
      <c r="I95" s="49">
        <f>AVERAGE('31.07 KIREKA-NAMUGONGO-24h'!I95,'03.08 KIREKA-NAMUGONGO-24h'!I95)</f>
        <v>0.5</v>
      </c>
      <c r="J95" s="49">
        <f>AVERAGE('31.07 KIREKA-NAMUGONGO-24h'!J95,'03.08 KIREKA-NAMUGONGO-24h'!J95)</f>
        <v>0.5</v>
      </c>
      <c r="K95" s="49">
        <f>AVERAGE('31.07 KIREKA-NAMUGONGO-24h'!K95,'03.08 KIREKA-NAMUGONGO-24h'!K95)</f>
        <v>0</v>
      </c>
      <c r="L95" s="49">
        <f>AVERAGE('31.07 KIREKA-NAMUGONGO-24h'!L95,'03.08 KIREKA-NAMUGONGO-24h'!L95)</f>
        <v>0</v>
      </c>
      <c r="M95" s="49">
        <f>AVERAGE('31.07 KIREKA-NAMUGONGO-24h'!M95,'03.08 KIREKA-NAMUGONGO-24h'!M95)</f>
        <v>5</v>
      </c>
      <c r="N95" s="49">
        <f>AVERAGE('31.07 KIREKA-NAMUGONGO-24h'!N95,'03.08 KIREKA-NAMUGONGO-24h'!N95)</f>
        <v>0</v>
      </c>
      <c r="O95" s="15">
        <f t="shared" si="35"/>
        <v>10.5</v>
      </c>
      <c r="P95" s="15">
        <f t="shared" si="36"/>
        <v>15.5</v>
      </c>
      <c r="R95" s="8"/>
      <c r="T95"/>
    </row>
    <row r="96" spans="2:20" ht="23.1" customHeight="1" x14ac:dyDescent="0.25">
      <c r="B96" s="25" t="s">
        <v>136</v>
      </c>
      <c r="C96" s="49">
        <f>AVERAGE('31.07 KIREKA-NAMUGONGO-24h'!C96,'03.08 KIREKA-NAMUGONGO-24h'!C96)</f>
        <v>8</v>
      </c>
      <c r="D96" s="49">
        <f>AVERAGE('31.07 KIREKA-NAMUGONGO-24h'!D96,'03.08 KIREKA-NAMUGONGO-24h'!D96)</f>
        <v>2.5</v>
      </c>
      <c r="E96" s="49">
        <f>AVERAGE('31.07 KIREKA-NAMUGONGO-24h'!E96,'03.08 KIREKA-NAMUGONGO-24h'!E96)</f>
        <v>1</v>
      </c>
      <c r="F96" s="49">
        <f>AVERAGE('31.07 KIREKA-NAMUGONGO-24h'!F96,'03.08 KIREKA-NAMUGONGO-24h'!F96)</f>
        <v>4</v>
      </c>
      <c r="G96" s="49">
        <f>AVERAGE('31.07 KIREKA-NAMUGONGO-24h'!G96,'03.08 KIREKA-NAMUGONGO-24h'!G96)</f>
        <v>0</v>
      </c>
      <c r="H96" s="49">
        <f>AVERAGE('31.07 KIREKA-NAMUGONGO-24h'!H96,'03.08 KIREKA-NAMUGONGO-24h'!H96)</f>
        <v>0</v>
      </c>
      <c r="I96" s="49">
        <f>AVERAGE('31.07 KIREKA-NAMUGONGO-24h'!I96,'03.08 KIREKA-NAMUGONGO-24h'!I96)</f>
        <v>1</v>
      </c>
      <c r="J96" s="49">
        <f>AVERAGE('31.07 KIREKA-NAMUGONGO-24h'!J96,'03.08 KIREKA-NAMUGONGO-24h'!J96)</f>
        <v>0.5</v>
      </c>
      <c r="K96" s="49">
        <f>AVERAGE('31.07 KIREKA-NAMUGONGO-24h'!K96,'03.08 KIREKA-NAMUGONGO-24h'!K96)</f>
        <v>0</v>
      </c>
      <c r="L96" s="49">
        <f>AVERAGE('31.07 KIREKA-NAMUGONGO-24h'!L96,'03.08 KIREKA-NAMUGONGO-24h'!L96)</f>
        <v>0</v>
      </c>
      <c r="M96" s="49">
        <f>AVERAGE('31.07 KIREKA-NAMUGONGO-24h'!M96,'03.08 KIREKA-NAMUGONGO-24h'!M96)</f>
        <v>3</v>
      </c>
      <c r="N96" s="49">
        <f>AVERAGE('31.07 KIREKA-NAMUGONGO-24h'!N96,'03.08 KIREKA-NAMUGONGO-24h'!N96)</f>
        <v>0</v>
      </c>
      <c r="O96" s="15">
        <f t="shared" si="35"/>
        <v>17</v>
      </c>
      <c r="P96" s="15">
        <f t="shared" si="36"/>
        <v>20</v>
      </c>
      <c r="R96" s="8"/>
      <c r="T96"/>
    </row>
    <row r="97" spans="2:20" ht="23.1" customHeight="1" x14ac:dyDescent="0.25">
      <c r="B97" s="23" t="s">
        <v>137</v>
      </c>
      <c r="C97" s="49">
        <f>AVERAGE('31.07 KIREKA-NAMUGONGO-24h'!C97,'03.08 KIREKA-NAMUGONGO-24h'!C97)</f>
        <v>11</v>
      </c>
      <c r="D97" s="49">
        <f>AVERAGE('31.07 KIREKA-NAMUGONGO-24h'!D97,'03.08 KIREKA-NAMUGONGO-24h'!D97)</f>
        <v>7</v>
      </c>
      <c r="E97" s="49">
        <f>AVERAGE('31.07 KIREKA-NAMUGONGO-24h'!E97,'03.08 KIREKA-NAMUGONGO-24h'!E97)</f>
        <v>0</v>
      </c>
      <c r="F97" s="49">
        <f>AVERAGE('31.07 KIREKA-NAMUGONGO-24h'!F97,'03.08 KIREKA-NAMUGONGO-24h'!F97)</f>
        <v>8</v>
      </c>
      <c r="G97" s="49">
        <f>AVERAGE('31.07 KIREKA-NAMUGONGO-24h'!G97,'03.08 KIREKA-NAMUGONGO-24h'!G97)</f>
        <v>0</v>
      </c>
      <c r="H97" s="49">
        <f>AVERAGE('31.07 KIREKA-NAMUGONGO-24h'!H97,'03.08 KIREKA-NAMUGONGO-24h'!H97)</f>
        <v>0</v>
      </c>
      <c r="I97" s="49">
        <f>AVERAGE('31.07 KIREKA-NAMUGONGO-24h'!I97,'03.08 KIREKA-NAMUGONGO-24h'!I97)</f>
        <v>0</v>
      </c>
      <c r="J97" s="49">
        <f>AVERAGE('31.07 KIREKA-NAMUGONGO-24h'!J97,'03.08 KIREKA-NAMUGONGO-24h'!J97)</f>
        <v>0</v>
      </c>
      <c r="K97" s="49">
        <f>AVERAGE('31.07 KIREKA-NAMUGONGO-24h'!K97,'03.08 KIREKA-NAMUGONGO-24h'!K97)</f>
        <v>0</v>
      </c>
      <c r="L97" s="49">
        <f>AVERAGE('31.07 KIREKA-NAMUGONGO-24h'!L97,'03.08 KIREKA-NAMUGONGO-24h'!L97)</f>
        <v>0</v>
      </c>
      <c r="M97" s="49">
        <f>AVERAGE('31.07 KIREKA-NAMUGONGO-24h'!M97,'03.08 KIREKA-NAMUGONGO-24h'!M97)</f>
        <v>4.5</v>
      </c>
      <c r="N97" s="49">
        <f>AVERAGE('31.07 KIREKA-NAMUGONGO-24h'!N97,'03.08 KIREKA-NAMUGONGO-24h'!N97)</f>
        <v>0</v>
      </c>
      <c r="O97" s="15">
        <f t="shared" si="35"/>
        <v>26</v>
      </c>
      <c r="P97" s="15">
        <f t="shared" si="36"/>
        <v>30.5</v>
      </c>
      <c r="R97" s="8"/>
      <c r="T97"/>
    </row>
    <row r="98" spans="2:20" ht="23.1" customHeight="1" x14ac:dyDescent="0.25">
      <c r="B98" s="24" t="s">
        <v>138</v>
      </c>
      <c r="C98" s="49">
        <f>AVERAGE('31.07 KIREKA-NAMUGONGO-24h'!C98,'03.08 KIREKA-NAMUGONGO-24h'!C98)</f>
        <v>12</v>
      </c>
      <c r="D98" s="49">
        <f>AVERAGE('31.07 KIREKA-NAMUGONGO-24h'!D98,'03.08 KIREKA-NAMUGONGO-24h'!D98)</f>
        <v>6.5</v>
      </c>
      <c r="E98" s="49">
        <f>AVERAGE('31.07 KIREKA-NAMUGONGO-24h'!E98,'03.08 KIREKA-NAMUGONGO-24h'!E98)</f>
        <v>4.5</v>
      </c>
      <c r="F98" s="49">
        <f>AVERAGE('31.07 KIREKA-NAMUGONGO-24h'!F98,'03.08 KIREKA-NAMUGONGO-24h'!F98)</f>
        <v>5.5</v>
      </c>
      <c r="G98" s="49">
        <f>AVERAGE('31.07 KIREKA-NAMUGONGO-24h'!G98,'03.08 KIREKA-NAMUGONGO-24h'!G98)</f>
        <v>0</v>
      </c>
      <c r="H98" s="49">
        <f>AVERAGE('31.07 KIREKA-NAMUGONGO-24h'!H98,'03.08 KIREKA-NAMUGONGO-24h'!H98)</f>
        <v>0</v>
      </c>
      <c r="I98" s="49">
        <f>AVERAGE('31.07 KIREKA-NAMUGONGO-24h'!I98,'03.08 KIREKA-NAMUGONGO-24h'!I98)</f>
        <v>0</v>
      </c>
      <c r="J98" s="49">
        <f>AVERAGE('31.07 KIREKA-NAMUGONGO-24h'!J98,'03.08 KIREKA-NAMUGONGO-24h'!J98)</f>
        <v>0.5</v>
      </c>
      <c r="K98" s="49">
        <f>AVERAGE('31.07 KIREKA-NAMUGONGO-24h'!K98,'03.08 KIREKA-NAMUGONGO-24h'!K98)</f>
        <v>0.5</v>
      </c>
      <c r="L98" s="49">
        <f>AVERAGE('31.07 KIREKA-NAMUGONGO-24h'!L98,'03.08 KIREKA-NAMUGONGO-24h'!L98)</f>
        <v>0</v>
      </c>
      <c r="M98" s="49">
        <f>AVERAGE('31.07 KIREKA-NAMUGONGO-24h'!M98,'03.08 KIREKA-NAMUGONGO-24h'!M98)</f>
        <v>6.5</v>
      </c>
      <c r="N98" s="49">
        <f>AVERAGE('31.07 KIREKA-NAMUGONGO-24h'!N98,'03.08 KIREKA-NAMUGONGO-24h'!N98)</f>
        <v>0</v>
      </c>
      <c r="O98" s="15">
        <f t="shared" si="35"/>
        <v>29.5</v>
      </c>
      <c r="P98" s="15">
        <f t="shared" si="36"/>
        <v>36</v>
      </c>
      <c r="R98" s="8"/>
      <c r="T98"/>
    </row>
    <row r="99" spans="2:20" ht="23.1" customHeight="1" x14ac:dyDescent="0.25">
      <c r="B99" s="23" t="s">
        <v>139</v>
      </c>
      <c r="C99" s="49">
        <f>AVERAGE('31.07 KIREKA-NAMUGONGO-24h'!C99,'03.08 KIREKA-NAMUGONGO-24h'!C99)</f>
        <v>6</v>
      </c>
      <c r="D99" s="49">
        <f>AVERAGE('31.07 KIREKA-NAMUGONGO-24h'!D99,'03.08 KIREKA-NAMUGONGO-24h'!D99)</f>
        <v>0</v>
      </c>
      <c r="E99" s="49">
        <f>AVERAGE('31.07 KIREKA-NAMUGONGO-24h'!E99,'03.08 KIREKA-NAMUGONGO-24h'!E99)</f>
        <v>1</v>
      </c>
      <c r="F99" s="49">
        <f>AVERAGE('31.07 KIREKA-NAMUGONGO-24h'!F99,'03.08 KIREKA-NAMUGONGO-24h'!F99)</f>
        <v>0.5</v>
      </c>
      <c r="G99" s="49">
        <f>AVERAGE('31.07 KIREKA-NAMUGONGO-24h'!G99,'03.08 KIREKA-NAMUGONGO-24h'!G99)</f>
        <v>0</v>
      </c>
      <c r="H99" s="49">
        <f>AVERAGE('31.07 KIREKA-NAMUGONGO-24h'!H99,'03.08 KIREKA-NAMUGONGO-24h'!H99)</f>
        <v>0</v>
      </c>
      <c r="I99" s="49">
        <f>AVERAGE('31.07 KIREKA-NAMUGONGO-24h'!I99,'03.08 KIREKA-NAMUGONGO-24h'!I99)</f>
        <v>0.5</v>
      </c>
      <c r="J99" s="49">
        <f>AVERAGE('31.07 KIREKA-NAMUGONGO-24h'!J99,'03.08 KIREKA-NAMUGONGO-24h'!J99)</f>
        <v>0</v>
      </c>
      <c r="K99" s="49">
        <f>AVERAGE('31.07 KIREKA-NAMUGONGO-24h'!K99,'03.08 KIREKA-NAMUGONGO-24h'!K99)</f>
        <v>0</v>
      </c>
      <c r="L99" s="49">
        <f>AVERAGE('31.07 KIREKA-NAMUGONGO-24h'!L99,'03.08 KIREKA-NAMUGONGO-24h'!L99)</f>
        <v>0</v>
      </c>
      <c r="M99" s="49">
        <f>AVERAGE('31.07 KIREKA-NAMUGONGO-24h'!M99,'03.08 KIREKA-NAMUGONGO-24h'!M99)</f>
        <v>7.5</v>
      </c>
      <c r="N99" s="49">
        <f>AVERAGE('31.07 KIREKA-NAMUGONGO-24h'!N99,'03.08 KIREKA-NAMUGONGO-24h'!N99)</f>
        <v>0</v>
      </c>
      <c r="O99" s="15">
        <f t="shared" si="35"/>
        <v>8</v>
      </c>
      <c r="P99" s="15">
        <f t="shared" si="36"/>
        <v>15.5</v>
      </c>
      <c r="R99" s="8"/>
      <c r="T99"/>
    </row>
    <row r="100" spans="2:20" ht="23.1" customHeight="1" x14ac:dyDescent="0.25">
      <c r="B100" s="25" t="s">
        <v>140</v>
      </c>
      <c r="C100" s="49">
        <f>AVERAGE('31.07 KIREKA-NAMUGONGO-24h'!C100,'03.08 KIREKA-NAMUGONGO-24h'!C100)</f>
        <v>3</v>
      </c>
      <c r="D100" s="49">
        <f>AVERAGE('31.07 KIREKA-NAMUGONGO-24h'!D100,'03.08 KIREKA-NAMUGONGO-24h'!D100)</f>
        <v>0</v>
      </c>
      <c r="E100" s="49">
        <f>AVERAGE('31.07 KIREKA-NAMUGONGO-24h'!E100,'03.08 KIREKA-NAMUGONGO-24h'!E100)</f>
        <v>1.5</v>
      </c>
      <c r="F100" s="49">
        <f>AVERAGE('31.07 KIREKA-NAMUGONGO-24h'!F100,'03.08 KIREKA-NAMUGONGO-24h'!F100)</f>
        <v>1.5</v>
      </c>
      <c r="G100" s="49">
        <f>AVERAGE('31.07 KIREKA-NAMUGONGO-24h'!G100,'03.08 KIREKA-NAMUGONGO-24h'!G100)</f>
        <v>0</v>
      </c>
      <c r="H100" s="49">
        <f>AVERAGE('31.07 KIREKA-NAMUGONGO-24h'!H100,'03.08 KIREKA-NAMUGONGO-24h'!H100)</f>
        <v>0</v>
      </c>
      <c r="I100" s="49">
        <f>AVERAGE('31.07 KIREKA-NAMUGONGO-24h'!I100,'03.08 KIREKA-NAMUGONGO-24h'!I100)</f>
        <v>0</v>
      </c>
      <c r="J100" s="49">
        <f>AVERAGE('31.07 KIREKA-NAMUGONGO-24h'!J100,'03.08 KIREKA-NAMUGONGO-24h'!J100)</f>
        <v>0</v>
      </c>
      <c r="K100" s="49">
        <f>AVERAGE('31.07 KIREKA-NAMUGONGO-24h'!K100,'03.08 KIREKA-NAMUGONGO-24h'!K100)</f>
        <v>0</v>
      </c>
      <c r="L100" s="49">
        <f>AVERAGE('31.07 KIREKA-NAMUGONGO-24h'!L100,'03.08 KIREKA-NAMUGONGO-24h'!L100)</f>
        <v>0</v>
      </c>
      <c r="M100" s="49">
        <f>AVERAGE('31.07 KIREKA-NAMUGONGO-24h'!M100,'03.08 KIREKA-NAMUGONGO-24h'!M100)</f>
        <v>8.5</v>
      </c>
      <c r="N100" s="49">
        <f>AVERAGE('31.07 KIREKA-NAMUGONGO-24h'!N100,'03.08 KIREKA-NAMUGONGO-24h'!N100)</f>
        <v>0</v>
      </c>
      <c r="O100" s="15">
        <f t="shared" si="35"/>
        <v>6</v>
      </c>
      <c r="P100" s="15">
        <f t="shared" si="36"/>
        <v>14.5</v>
      </c>
      <c r="R100" s="8"/>
      <c r="T100"/>
    </row>
    <row r="101" spans="2:20" ht="23.1" customHeight="1" x14ac:dyDescent="0.25">
      <c r="B101" s="23" t="s">
        <v>141</v>
      </c>
      <c r="C101" s="49">
        <f>AVERAGE('31.07 KIREKA-NAMUGONGO-24h'!C101,'03.08 KIREKA-NAMUGONGO-24h'!C101)</f>
        <v>4</v>
      </c>
      <c r="D101" s="49">
        <f>AVERAGE('31.07 KIREKA-NAMUGONGO-24h'!D101,'03.08 KIREKA-NAMUGONGO-24h'!D101)</f>
        <v>1</v>
      </c>
      <c r="E101" s="49">
        <f>AVERAGE('31.07 KIREKA-NAMUGONGO-24h'!E101,'03.08 KIREKA-NAMUGONGO-24h'!E101)</f>
        <v>1</v>
      </c>
      <c r="F101" s="49">
        <f>AVERAGE('31.07 KIREKA-NAMUGONGO-24h'!F101,'03.08 KIREKA-NAMUGONGO-24h'!F101)</f>
        <v>0.5</v>
      </c>
      <c r="G101" s="49">
        <f>AVERAGE('31.07 KIREKA-NAMUGONGO-24h'!G101,'03.08 KIREKA-NAMUGONGO-24h'!G101)</f>
        <v>0</v>
      </c>
      <c r="H101" s="49">
        <f>AVERAGE('31.07 KIREKA-NAMUGONGO-24h'!H101,'03.08 KIREKA-NAMUGONGO-24h'!H101)</f>
        <v>0</v>
      </c>
      <c r="I101" s="49">
        <f>AVERAGE('31.07 KIREKA-NAMUGONGO-24h'!I101,'03.08 KIREKA-NAMUGONGO-24h'!I101)</f>
        <v>0.5</v>
      </c>
      <c r="J101" s="49">
        <f>AVERAGE('31.07 KIREKA-NAMUGONGO-24h'!J101,'03.08 KIREKA-NAMUGONGO-24h'!J101)</f>
        <v>0</v>
      </c>
      <c r="K101" s="49">
        <f>AVERAGE('31.07 KIREKA-NAMUGONGO-24h'!K101,'03.08 KIREKA-NAMUGONGO-24h'!K101)</f>
        <v>0.5</v>
      </c>
      <c r="L101" s="49">
        <f>AVERAGE('31.07 KIREKA-NAMUGONGO-24h'!L101,'03.08 KIREKA-NAMUGONGO-24h'!L101)</f>
        <v>0</v>
      </c>
      <c r="M101" s="49">
        <f>AVERAGE('31.07 KIREKA-NAMUGONGO-24h'!M101,'03.08 KIREKA-NAMUGONGO-24h'!M101)</f>
        <v>13.5</v>
      </c>
      <c r="N101" s="49">
        <f>AVERAGE('31.07 KIREKA-NAMUGONGO-24h'!N101,'03.08 KIREKA-NAMUGONGO-24h'!N101)</f>
        <v>0</v>
      </c>
      <c r="O101" s="15">
        <f t="shared" si="35"/>
        <v>7.5</v>
      </c>
      <c r="P101" s="15">
        <f t="shared" si="36"/>
        <v>21</v>
      </c>
      <c r="R101" s="8"/>
      <c r="T101"/>
    </row>
    <row r="102" spans="2:20" ht="23.1" customHeight="1" x14ac:dyDescent="0.25">
      <c r="B102" s="24" t="s">
        <v>142</v>
      </c>
      <c r="C102" s="49">
        <f>AVERAGE('31.07 KIREKA-NAMUGONGO-24h'!C102,'03.08 KIREKA-NAMUGONGO-24h'!C102)</f>
        <v>2.5</v>
      </c>
      <c r="D102" s="49">
        <f>AVERAGE('31.07 KIREKA-NAMUGONGO-24h'!D102,'03.08 KIREKA-NAMUGONGO-24h'!D102)</f>
        <v>0.5</v>
      </c>
      <c r="E102" s="49">
        <f>AVERAGE('31.07 KIREKA-NAMUGONGO-24h'!E102,'03.08 KIREKA-NAMUGONGO-24h'!E102)</f>
        <v>1</v>
      </c>
      <c r="F102" s="49">
        <f>AVERAGE('31.07 KIREKA-NAMUGONGO-24h'!F102,'03.08 KIREKA-NAMUGONGO-24h'!F102)</f>
        <v>2.5</v>
      </c>
      <c r="G102" s="49">
        <f>AVERAGE('31.07 KIREKA-NAMUGONGO-24h'!G102,'03.08 KIREKA-NAMUGONGO-24h'!G102)</f>
        <v>0</v>
      </c>
      <c r="H102" s="49">
        <f>AVERAGE('31.07 KIREKA-NAMUGONGO-24h'!H102,'03.08 KIREKA-NAMUGONGO-24h'!H102)</f>
        <v>0</v>
      </c>
      <c r="I102" s="49">
        <f>AVERAGE('31.07 KIREKA-NAMUGONGO-24h'!I102,'03.08 KIREKA-NAMUGONGO-24h'!I102)</f>
        <v>0.5</v>
      </c>
      <c r="J102" s="49">
        <f>AVERAGE('31.07 KIREKA-NAMUGONGO-24h'!J102,'03.08 KIREKA-NAMUGONGO-24h'!J102)</f>
        <v>0</v>
      </c>
      <c r="K102" s="49">
        <f>AVERAGE('31.07 KIREKA-NAMUGONGO-24h'!K102,'03.08 KIREKA-NAMUGONGO-24h'!K102)</f>
        <v>0</v>
      </c>
      <c r="L102" s="49">
        <f>AVERAGE('31.07 KIREKA-NAMUGONGO-24h'!L102,'03.08 KIREKA-NAMUGONGO-24h'!L102)</f>
        <v>0</v>
      </c>
      <c r="M102" s="49">
        <f>AVERAGE('31.07 KIREKA-NAMUGONGO-24h'!M102,'03.08 KIREKA-NAMUGONGO-24h'!M102)</f>
        <v>10</v>
      </c>
      <c r="N102" s="49">
        <f>AVERAGE('31.07 KIREKA-NAMUGONGO-24h'!N102,'03.08 KIREKA-NAMUGONGO-24h'!N102)</f>
        <v>0</v>
      </c>
      <c r="O102" s="15">
        <f t="shared" si="35"/>
        <v>7</v>
      </c>
      <c r="P102" s="15">
        <f t="shared" si="36"/>
        <v>17</v>
      </c>
      <c r="R102" s="8"/>
      <c r="T102"/>
    </row>
    <row r="103" spans="2:20" ht="23.1" customHeight="1" x14ac:dyDescent="0.25">
      <c r="B103" s="23" t="s">
        <v>143</v>
      </c>
      <c r="C103" s="49">
        <f>AVERAGE('31.07 KIREKA-NAMUGONGO-24h'!C103,'03.08 KIREKA-NAMUGONGO-24h'!C103)</f>
        <v>4</v>
      </c>
      <c r="D103" s="49">
        <f>AVERAGE('31.07 KIREKA-NAMUGONGO-24h'!D103,'03.08 KIREKA-NAMUGONGO-24h'!D103)</f>
        <v>0</v>
      </c>
      <c r="E103" s="49">
        <f>AVERAGE('31.07 KIREKA-NAMUGONGO-24h'!E103,'03.08 KIREKA-NAMUGONGO-24h'!E103)</f>
        <v>0</v>
      </c>
      <c r="F103" s="49">
        <f>AVERAGE('31.07 KIREKA-NAMUGONGO-24h'!F103,'03.08 KIREKA-NAMUGONGO-24h'!F103)</f>
        <v>1.5</v>
      </c>
      <c r="G103" s="49">
        <f>AVERAGE('31.07 KIREKA-NAMUGONGO-24h'!G103,'03.08 KIREKA-NAMUGONGO-24h'!G103)</f>
        <v>0</v>
      </c>
      <c r="H103" s="49">
        <f>AVERAGE('31.07 KIREKA-NAMUGONGO-24h'!H103,'03.08 KIREKA-NAMUGONGO-24h'!H103)</f>
        <v>0</v>
      </c>
      <c r="I103" s="49">
        <f>AVERAGE('31.07 KIREKA-NAMUGONGO-24h'!I103,'03.08 KIREKA-NAMUGONGO-24h'!I103)</f>
        <v>0</v>
      </c>
      <c r="J103" s="49">
        <f>AVERAGE('31.07 KIREKA-NAMUGONGO-24h'!J103,'03.08 KIREKA-NAMUGONGO-24h'!J103)</f>
        <v>0</v>
      </c>
      <c r="K103" s="49">
        <f>AVERAGE('31.07 KIREKA-NAMUGONGO-24h'!K103,'03.08 KIREKA-NAMUGONGO-24h'!K103)</f>
        <v>0</v>
      </c>
      <c r="L103" s="49">
        <f>AVERAGE('31.07 KIREKA-NAMUGONGO-24h'!L103,'03.08 KIREKA-NAMUGONGO-24h'!L103)</f>
        <v>0</v>
      </c>
      <c r="M103" s="49">
        <f>AVERAGE('31.07 KIREKA-NAMUGONGO-24h'!M103,'03.08 KIREKA-NAMUGONGO-24h'!M103)</f>
        <v>18</v>
      </c>
      <c r="N103" s="49">
        <f>AVERAGE('31.07 KIREKA-NAMUGONGO-24h'!N103,'03.08 KIREKA-NAMUGONGO-24h'!N103)</f>
        <v>0</v>
      </c>
      <c r="O103" s="15">
        <f t="shared" si="35"/>
        <v>5.5</v>
      </c>
      <c r="P103" s="15">
        <f t="shared" si="36"/>
        <v>23.5</v>
      </c>
      <c r="R103" s="8"/>
      <c r="T103"/>
    </row>
    <row r="104" spans="2:20" ht="23.1" customHeight="1" x14ac:dyDescent="0.25">
      <c r="B104" s="25" t="s">
        <v>144</v>
      </c>
      <c r="C104" s="49">
        <f>AVERAGE('31.07 KIREKA-NAMUGONGO-24h'!C104,'03.08 KIREKA-NAMUGONGO-24h'!C104)</f>
        <v>4</v>
      </c>
      <c r="D104" s="49">
        <f>AVERAGE('31.07 KIREKA-NAMUGONGO-24h'!D104,'03.08 KIREKA-NAMUGONGO-24h'!D104)</f>
        <v>0.5</v>
      </c>
      <c r="E104" s="49">
        <f>AVERAGE('31.07 KIREKA-NAMUGONGO-24h'!E104,'03.08 KIREKA-NAMUGONGO-24h'!E104)</f>
        <v>0.5</v>
      </c>
      <c r="F104" s="49">
        <f>AVERAGE('31.07 KIREKA-NAMUGONGO-24h'!F104,'03.08 KIREKA-NAMUGONGO-24h'!F104)</f>
        <v>3.5</v>
      </c>
      <c r="G104" s="49">
        <f>AVERAGE('31.07 KIREKA-NAMUGONGO-24h'!G104,'03.08 KIREKA-NAMUGONGO-24h'!G104)</f>
        <v>0</v>
      </c>
      <c r="H104" s="49">
        <f>AVERAGE('31.07 KIREKA-NAMUGONGO-24h'!H104,'03.08 KIREKA-NAMUGONGO-24h'!H104)</f>
        <v>0</v>
      </c>
      <c r="I104" s="49">
        <f>AVERAGE('31.07 KIREKA-NAMUGONGO-24h'!I104,'03.08 KIREKA-NAMUGONGO-24h'!I104)</f>
        <v>1</v>
      </c>
      <c r="J104" s="49">
        <f>AVERAGE('31.07 KIREKA-NAMUGONGO-24h'!J104,'03.08 KIREKA-NAMUGONGO-24h'!J104)</f>
        <v>0</v>
      </c>
      <c r="K104" s="49">
        <f>AVERAGE('31.07 KIREKA-NAMUGONGO-24h'!K104,'03.08 KIREKA-NAMUGONGO-24h'!K104)</f>
        <v>0</v>
      </c>
      <c r="L104" s="49">
        <f>AVERAGE('31.07 KIREKA-NAMUGONGO-24h'!L104,'03.08 KIREKA-NAMUGONGO-24h'!L104)</f>
        <v>0</v>
      </c>
      <c r="M104" s="49">
        <f>AVERAGE('31.07 KIREKA-NAMUGONGO-24h'!M104,'03.08 KIREKA-NAMUGONGO-24h'!M104)</f>
        <v>22</v>
      </c>
      <c r="N104" s="49">
        <f>AVERAGE('31.07 KIREKA-NAMUGONGO-24h'!N104,'03.08 KIREKA-NAMUGONGO-24h'!N104)</f>
        <v>0</v>
      </c>
      <c r="O104" s="15">
        <f t="shared" si="35"/>
        <v>9.5</v>
      </c>
      <c r="P104" s="15">
        <f t="shared" si="36"/>
        <v>31.5</v>
      </c>
      <c r="R104" s="8"/>
      <c r="T104"/>
    </row>
    <row r="105" spans="2:20" ht="23.1" customHeight="1" x14ac:dyDescent="0.25">
      <c r="B105" s="23" t="s">
        <v>145</v>
      </c>
      <c r="C105" s="49">
        <f>AVERAGE('31.07 KIREKA-NAMUGONGO-24h'!C105,'03.08 KIREKA-NAMUGONGO-24h'!C105)</f>
        <v>6</v>
      </c>
      <c r="D105" s="49">
        <f>AVERAGE('31.07 KIREKA-NAMUGONGO-24h'!D105,'03.08 KIREKA-NAMUGONGO-24h'!D105)</f>
        <v>1.5</v>
      </c>
      <c r="E105" s="49">
        <f>AVERAGE('31.07 KIREKA-NAMUGONGO-24h'!E105,'03.08 KIREKA-NAMUGONGO-24h'!E105)</f>
        <v>1</v>
      </c>
      <c r="F105" s="49">
        <f>AVERAGE('31.07 KIREKA-NAMUGONGO-24h'!F105,'03.08 KIREKA-NAMUGONGO-24h'!F105)</f>
        <v>4.5</v>
      </c>
      <c r="G105" s="49">
        <f>AVERAGE('31.07 KIREKA-NAMUGONGO-24h'!G105,'03.08 KIREKA-NAMUGONGO-24h'!G105)</f>
        <v>0</v>
      </c>
      <c r="H105" s="49">
        <f>AVERAGE('31.07 KIREKA-NAMUGONGO-24h'!H105,'03.08 KIREKA-NAMUGONGO-24h'!H105)</f>
        <v>0.5</v>
      </c>
      <c r="I105" s="49">
        <f>AVERAGE('31.07 KIREKA-NAMUGONGO-24h'!I105,'03.08 KIREKA-NAMUGONGO-24h'!I105)</f>
        <v>0</v>
      </c>
      <c r="J105" s="49">
        <f>AVERAGE('31.07 KIREKA-NAMUGONGO-24h'!J105,'03.08 KIREKA-NAMUGONGO-24h'!J105)</f>
        <v>0.5</v>
      </c>
      <c r="K105" s="49">
        <f>AVERAGE('31.07 KIREKA-NAMUGONGO-24h'!K105,'03.08 KIREKA-NAMUGONGO-24h'!K105)</f>
        <v>0.5</v>
      </c>
      <c r="L105" s="49">
        <f>AVERAGE('31.07 KIREKA-NAMUGONGO-24h'!L105,'03.08 KIREKA-NAMUGONGO-24h'!L105)</f>
        <v>0</v>
      </c>
      <c r="M105" s="49">
        <f>AVERAGE('31.07 KIREKA-NAMUGONGO-24h'!M105,'03.08 KIREKA-NAMUGONGO-24h'!M105)</f>
        <v>21</v>
      </c>
      <c r="N105" s="49">
        <f>AVERAGE('31.07 KIREKA-NAMUGONGO-24h'!N105,'03.08 KIREKA-NAMUGONGO-24h'!N105)</f>
        <v>0</v>
      </c>
      <c r="O105" s="15">
        <f t="shared" si="35"/>
        <v>14.5</v>
      </c>
      <c r="P105" s="15">
        <f t="shared" si="36"/>
        <v>35.5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3394.3571428571431</v>
      </c>
      <c r="D106" s="16">
        <f t="shared" ref="D106:O106" si="37">SUM(D10:D105)</f>
        <v>1006.3571428571427</v>
      </c>
      <c r="E106" s="16">
        <f t="shared" si="37"/>
        <v>478.92857142857144</v>
      </c>
      <c r="F106" s="16">
        <f t="shared" si="37"/>
        <v>938.78571428571433</v>
      </c>
      <c r="G106" s="16">
        <f t="shared" si="37"/>
        <v>32.642857142857146</v>
      </c>
      <c r="H106" s="16">
        <f t="shared" si="37"/>
        <v>15.285714285714283</v>
      </c>
      <c r="I106" s="16">
        <f t="shared" si="37"/>
        <v>283.07142857142856</v>
      </c>
      <c r="J106" s="16">
        <f t="shared" si="37"/>
        <v>114.28571428571431</v>
      </c>
      <c r="K106" s="16">
        <f t="shared" si="37"/>
        <v>50.071428571428562</v>
      </c>
      <c r="L106" s="16">
        <f t="shared" si="37"/>
        <v>60.357142857142854</v>
      </c>
      <c r="M106" s="16">
        <f t="shared" si="37"/>
        <v>7032.4285714285716</v>
      </c>
      <c r="N106" s="16">
        <f t="shared" si="37"/>
        <v>0.2857142857142857</v>
      </c>
      <c r="O106" s="16">
        <f t="shared" si="37"/>
        <v>6374.4285714285716</v>
      </c>
      <c r="P106" s="16">
        <f>SUM(P10:P105)</f>
        <v>13406.857142857139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0.25318067513425974</v>
      </c>
      <c r="D107" s="43">
        <f t="shared" si="38"/>
        <v>7.5062867615719037E-2</v>
      </c>
      <c r="E107" s="43">
        <f t="shared" si="38"/>
        <v>3.5722657914926272E-2</v>
      </c>
      <c r="F107" s="43">
        <f t="shared" si="38"/>
        <v>7.0022802830108283E-2</v>
      </c>
      <c r="G107" s="43">
        <f t="shared" si="38"/>
        <v>2.4347881681016119E-3</v>
      </c>
      <c r="H107" s="43">
        <f t="shared" si="38"/>
        <v>1.1401415054130084E-3</v>
      </c>
      <c r="I107" s="43">
        <f t="shared" si="38"/>
        <v>2.1113928906316602E-2</v>
      </c>
      <c r="J107" s="43">
        <f t="shared" si="38"/>
        <v>8.5244224703776364E-3</v>
      </c>
      <c r="K107" s="43">
        <f t="shared" si="38"/>
        <v>3.7347625948342001E-3</v>
      </c>
      <c r="L107" s="43">
        <f t="shared" si="38"/>
        <v>4.5019606171681874E-3</v>
      </c>
      <c r="M107" s="43">
        <f t="shared" si="38"/>
        <v>0.52453968118659977</v>
      </c>
      <c r="N107" s="43">
        <f t="shared" si="38"/>
        <v>2.1311056175944084E-5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0.53249590999753482</v>
      </c>
      <c r="D108" s="44">
        <f t="shared" ref="D108:N108" si="39">D106/$O$106</f>
        <v>0.15787409515698883</v>
      </c>
      <c r="E108" s="44">
        <f t="shared" si="39"/>
        <v>7.513278501154165E-2</v>
      </c>
      <c r="F108" s="44">
        <f t="shared" si="39"/>
        <v>0.14727370520606889</v>
      </c>
      <c r="G108" s="44">
        <f t="shared" si="39"/>
        <v>5.120907196163242E-3</v>
      </c>
      <c r="H108" s="44">
        <f t="shared" si="39"/>
        <v>2.3979740480939461E-3</v>
      </c>
      <c r="I108" s="44">
        <f t="shared" si="39"/>
        <v>4.44073418345622E-2</v>
      </c>
      <c r="J108" s="44">
        <f t="shared" si="39"/>
        <v>1.7928777929674372E-2</v>
      </c>
      <c r="K108" s="44">
        <f t="shared" si="39"/>
        <v>7.8550458304385805E-3</v>
      </c>
      <c r="L108" s="44">
        <f t="shared" si="39"/>
        <v>9.4686358441092751E-3</v>
      </c>
      <c r="M108" s="44"/>
      <c r="N108" s="44">
        <f t="shared" si="39"/>
        <v>4.482194482418592E-5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tabSelected="1" view="pageBreakPreview" topLeftCell="J31" zoomScale="60" workbookViewId="0">
      <selection activeCell="AD58" sqref="AD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0" t="str">
        <f>'30.07 KIREKA-NAMUGONGO'!C3:G3</f>
        <v>MCC - C1 - STN039 - NAMUGONGO ROAD</v>
      </c>
      <c r="D3" s="60"/>
      <c r="E3" s="60"/>
      <c r="F3" s="60"/>
      <c r="G3" s="6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6" t="s">
        <v>162</v>
      </c>
      <c r="E5" s="67"/>
      <c r="F5" s="41" t="s">
        <v>1</v>
      </c>
      <c r="G5" s="56" t="str">
        <f>'Avg Week Kireka-Namugongo'!G5:H5</f>
        <v>AGENDA</v>
      </c>
      <c r="H5" s="57"/>
      <c r="I5" s="14"/>
      <c r="J5" s="2" t="s">
        <v>5</v>
      </c>
      <c r="K5" s="56" t="str">
        <f>'Avg Week Kireka-Namugongo'!K5:L5</f>
        <v>STEVEN</v>
      </c>
      <c r="L5" s="57"/>
      <c r="M5" s="10"/>
      <c r="N5" s="10"/>
      <c r="O5" s="3"/>
      <c r="P5" s="3"/>
    </row>
    <row r="6" spans="2:32" ht="23.25" customHeight="1" x14ac:dyDescent="0.25">
      <c r="C6" s="2" t="s">
        <v>4</v>
      </c>
      <c r="D6" s="68" t="s">
        <v>161</v>
      </c>
      <c r="E6" s="69"/>
      <c r="F6" s="2" t="s">
        <v>2</v>
      </c>
      <c r="G6" s="68" t="s">
        <v>161</v>
      </c>
      <c r="H6" s="69"/>
      <c r="J6" s="2" t="s">
        <v>21</v>
      </c>
      <c r="K6" s="56" t="str">
        <f>'Avg Week Kireka-Namugongo'!K6:L6</f>
        <v>NAIDO GRACE BRENDA</v>
      </c>
      <c r="L6" s="5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5" t="s">
        <v>88</v>
      </c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Namugongo-Kireka'!C10+'Avg Week Kireka-Namugongo'!C10</f>
        <v>72.857142857142861</v>
      </c>
      <c r="D10" s="49">
        <f>'Avg Week Namugongo-Kireka'!D10+'Avg Week Kireka-Namugongo'!D10</f>
        <v>11.571428571428571</v>
      </c>
      <c r="E10" s="49">
        <f>'Avg Week Namugongo-Kireka'!E10+'Avg Week Kireka-Namugongo'!E10</f>
        <v>7.7142857142857144</v>
      </c>
      <c r="F10" s="49">
        <f>'Avg Week Namugongo-Kireka'!F10+'Avg Week Kireka-Namugongo'!F10</f>
        <v>26.428571428571431</v>
      </c>
      <c r="G10" s="49">
        <f>'Avg Week Namugongo-Kireka'!G10+'Avg Week Kireka-Namugongo'!G10</f>
        <v>0.42857142857142855</v>
      </c>
      <c r="H10" s="49">
        <f>'Avg Week Namugongo-Kireka'!H10+'Avg Week Kireka-Namugongo'!H10</f>
        <v>0.8571428571428571</v>
      </c>
      <c r="I10" s="49">
        <f>'Avg Week Namugongo-Kireka'!I10+'Avg Week Kireka-Namugongo'!I10</f>
        <v>3.4285714285714288</v>
      </c>
      <c r="J10" s="49">
        <f>'Avg Week Namugongo-Kireka'!J10+'Avg Week Kireka-Namugongo'!J10</f>
        <v>1.4285714285714284</v>
      </c>
      <c r="K10" s="49">
        <f>'Avg Week Namugongo-Kireka'!K10+'Avg Week Kireka-Namugongo'!K10</f>
        <v>1.7142857142857144</v>
      </c>
      <c r="L10" s="49">
        <f>'Avg Week Namugongo-Kireka'!L10+'Avg Week Kireka-Namugongo'!L10</f>
        <v>1</v>
      </c>
      <c r="M10" s="49">
        <f>'Avg Week Namugongo-Kireka'!M10+'Avg Week Kireka-Namugongo'!M10</f>
        <v>135.42857142857144</v>
      </c>
      <c r="N10" s="49">
        <f>'Avg Week Namugongo-Kireka'!N10+'Avg Week Kireka-Namugongo'!N10</f>
        <v>0</v>
      </c>
      <c r="O10" s="15">
        <f t="shared" ref="O10:O58" si="0">SUM(C10:L10,N10)</f>
        <v>127.42857142857143</v>
      </c>
      <c r="P10" s="15">
        <f t="shared" ref="P10:P58" si="1">SUM(C10:N10)</f>
        <v>262.85714285714289</v>
      </c>
      <c r="R10" s="1" t="s">
        <v>6</v>
      </c>
      <c r="S10" s="17">
        <f t="shared" ref="S10:AF10" si="2">SUM(C10:C13)</f>
        <v>390.71428571428572</v>
      </c>
      <c r="T10" s="17">
        <f t="shared" si="2"/>
        <v>55.571428571428569</v>
      </c>
      <c r="U10" s="17">
        <f t="shared" si="2"/>
        <v>47.428571428571431</v>
      </c>
      <c r="V10" s="17">
        <f t="shared" si="2"/>
        <v>143</v>
      </c>
      <c r="W10" s="17">
        <f t="shared" si="2"/>
        <v>3.6904761904761902</v>
      </c>
      <c r="X10" s="17">
        <f t="shared" si="2"/>
        <v>1.1428571428571428</v>
      </c>
      <c r="Y10" s="17">
        <f t="shared" si="2"/>
        <v>20.142857142857142</v>
      </c>
      <c r="Z10" s="17">
        <f t="shared" si="2"/>
        <v>8</v>
      </c>
      <c r="AA10" s="17">
        <f t="shared" si="2"/>
        <v>4</v>
      </c>
      <c r="AB10" s="17">
        <f t="shared" si="2"/>
        <v>2.1428571428571428</v>
      </c>
      <c r="AC10" s="17">
        <f t="shared" si="2"/>
        <v>728.71428571428567</v>
      </c>
      <c r="AD10" s="17">
        <f t="shared" si="2"/>
        <v>0</v>
      </c>
      <c r="AE10" s="31">
        <f t="shared" si="2"/>
        <v>675.83333333333326</v>
      </c>
      <c r="AF10" s="31">
        <f t="shared" si="2"/>
        <v>1404.547619047619</v>
      </c>
    </row>
    <row r="11" spans="2:32" s="6" customFormat="1" ht="23.1" customHeight="1" x14ac:dyDescent="0.25">
      <c r="B11" s="23" t="s">
        <v>38</v>
      </c>
      <c r="C11" s="49">
        <f>'Avg Week Namugongo-Kireka'!C11+'Avg Week Kireka-Namugongo'!C11</f>
        <v>105.28571428571428</v>
      </c>
      <c r="D11" s="49">
        <f>'Avg Week Namugongo-Kireka'!D11+'Avg Week Kireka-Namugongo'!D11</f>
        <v>14</v>
      </c>
      <c r="E11" s="49">
        <f>'Avg Week Namugongo-Kireka'!E11+'Avg Week Kireka-Namugongo'!E11</f>
        <v>10</v>
      </c>
      <c r="F11" s="49">
        <f>'Avg Week Namugongo-Kireka'!F11+'Avg Week Kireka-Namugongo'!F11</f>
        <v>39</v>
      </c>
      <c r="G11" s="49">
        <f>'Avg Week Namugongo-Kireka'!G11+'Avg Week Kireka-Namugongo'!G11</f>
        <v>1.7142857142857144</v>
      </c>
      <c r="H11" s="49">
        <f>'Avg Week Namugongo-Kireka'!H11+'Avg Week Kireka-Namugongo'!H11</f>
        <v>0</v>
      </c>
      <c r="I11" s="49">
        <f>'Avg Week Namugongo-Kireka'!I11+'Avg Week Kireka-Namugongo'!I11</f>
        <v>5.7142857142857144</v>
      </c>
      <c r="J11" s="49">
        <f>'Avg Week Namugongo-Kireka'!J11+'Avg Week Kireka-Namugongo'!J11</f>
        <v>1.5714285714285716</v>
      </c>
      <c r="K11" s="49">
        <f>'Avg Week Namugongo-Kireka'!K11+'Avg Week Kireka-Namugongo'!K11</f>
        <v>0.42857142857142855</v>
      </c>
      <c r="L11" s="49">
        <f>'Avg Week Namugongo-Kireka'!L11+'Avg Week Kireka-Namugongo'!L11</f>
        <v>0.42857142857142855</v>
      </c>
      <c r="M11" s="49">
        <f>'Avg Week Namugongo-Kireka'!M11+'Avg Week Kireka-Namugongo'!M11</f>
        <v>172.28571428571428</v>
      </c>
      <c r="N11" s="49">
        <f>'Avg Week Namugongo-Kireka'!N11+'Avg Week Kireka-Namugongo'!N11</f>
        <v>0</v>
      </c>
      <c r="O11" s="15">
        <f t="shared" si="0"/>
        <v>178.14285714285714</v>
      </c>
      <c r="P11" s="15">
        <f t="shared" si="1"/>
        <v>350.42857142857144</v>
      </c>
      <c r="R11" s="1" t="s">
        <v>7</v>
      </c>
      <c r="S11" s="17">
        <f t="shared" ref="S11:AF11" si="3">SUM(C14:C17)</f>
        <v>435.57142857142856</v>
      </c>
      <c r="T11" s="17">
        <f t="shared" si="3"/>
        <v>60.857142857142861</v>
      </c>
      <c r="U11" s="17">
        <f t="shared" si="3"/>
        <v>50.142857142857139</v>
      </c>
      <c r="V11" s="17">
        <f t="shared" si="3"/>
        <v>153.42857142857142</v>
      </c>
      <c r="W11" s="17">
        <f t="shared" si="3"/>
        <v>2.1428571428571428</v>
      </c>
      <c r="X11" s="17">
        <f t="shared" si="3"/>
        <v>3.4285714285714279</v>
      </c>
      <c r="Y11" s="17">
        <f t="shared" si="3"/>
        <v>26.285714285714285</v>
      </c>
      <c r="Z11" s="17">
        <f t="shared" si="3"/>
        <v>9.1428571428571441</v>
      </c>
      <c r="AA11" s="17">
        <f t="shared" si="3"/>
        <v>6.8571428571428577</v>
      </c>
      <c r="AB11" s="17">
        <f t="shared" si="3"/>
        <v>0.71428571428571419</v>
      </c>
      <c r="AC11" s="17">
        <f t="shared" si="3"/>
        <v>961.71428571428567</v>
      </c>
      <c r="AD11" s="17">
        <f t="shared" si="3"/>
        <v>0</v>
      </c>
      <c r="AE11" s="31">
        <f t="shared" si="3"/>
        <v>748.57142857142844</v>
      </c>
      <c r="AF11" s="31">
        <f t="shared" si="3"/>
        <v>1710.285714285714</v>
      </c>
    </row>
    <row r="12" spans="2:32" ht="23.1" customHeight="1" x14ac:dyDescent="0.25">
      <c r="B12" s="23" t="s">
        <v>39</v>
      </c>
      <c r="C12" s="49">
        <f>'Avg Week Namugongo-Kireka'!C12+'Avg Week Kireka-Namugongo'!C12</f>
        <v>106.57142857142858</v>
      </c>
      <c r="D12" s="49">
        <f>'Avg Week Namugongo-Kireka'!D12+'Avg Week Kireka-Namugongo'!D12</f>
        <v>14.571428571428573</v>
      </c>
      <c r="E12" s="49">
        <f>'Avg Week Namugongo-Kireka'!E12+'Avg Week Kireka-Namugongo'!E12</f>
        <v>13.857142857142858</v>
      </c>
      <c r="F12" s="49">
        <f>'Avg Week Namugongo-Kireka'!F12+'Avg Week Kireka-Namugongo'!F12</f>
        <v>36.857142857142861</v>
      </c>
      <c r="G12" s="49">
        <f>'Avg Week Namugongo-Kireka'!G12+'Avg Week Kireka-Namugongo'!G12</f>
        <v>1.2619047619047619</v>
      </c>
      <c r="H12" s="49">
        <f>'Avg Week Namugongo-Kireka'!H12+'Avg Week Kireka-Namugongo'!H12</f>
        <v>0.2857142857142857</v>
      </c>
      <c r="I12" s="49">
        <f>'Avg Week Namugongo-Kireka'!I12+'Avg Week Kireka-Namugongo'!I12</f>
        <v>5</v>
      </c>
      <c r="J12" s="49">
        <f>'Avg Week Namugongo-Kireka'!J12+'Avg Week Kireka-Namugongo'!J12</f>
        <v>2.4285714285714288</v>
      </c>
      <c r="K12" s="49">
        <f>'Avg Week Namugongo-Kireka'!K12+'Avg Week Kireka-Namugongo'!K12</f>
        <v>1</v>
      </c>
      <c r="L12" s="49">
        <f>'Avg Week Namugongo-Kireka'!L12+'Avg Week Kireka-Namugongo'!L12</f>
        <v>0.42857142857142855</v>
      </c>
      <c r="M12" s="49">
        <f>'Avg Week Namugongo-Kireka'!M12+'Avg Week Kireka-Namugongo'!M12</f>
        <v>199.85714285714286</v>
      </c>
      <c r="N12" s="49">
        <f>'Avg Week Namugongo-Kireka'!N12+'Avg Week Kireka-Namugongo'!N12</f>
        <v>0</v>
      </c>
      <c r="O12" s="15">
        <f t="shared" si="0"/>
        <v>182.26190476190473</v>
      </c>
      <c r="P12" s="15">
        <f t="shared" si="1"/>
        <v>382.11904761904759</v>
      </c>
      <c r="R12" s="1" t="s">
        <v>8</v>
      </c>
      <c r="S12" s="17">
        <f t="shared" ref="S12:AF12" si="4">SUM(C18:C21)</f>
        <v>405.42857142857139</v>
      </c>
      <c r="T12" s="17">
        <f t="shared" si="4"/>
        <v>62.714285714285715</v>
      </c>
      <c r="U12" s="17">
        <f t="shared" si="4"/>
        <v>51.857142857142854</v>
      </c>
      <c r="V12" s="17">
        <f t="shared" si="4"/>
        <v>134.28571428571428</v>
      </c>
      <c r="W12" s="17">
        <f t="shared" si="4"/>
        <v>1.4285714285714286</v>
      </c>
      <c r="X12" s="17">
        <f t="shared" si="4"/>
        <v>2.1428571428571428</v>
      </c>
      <c r="Y12" s="17">
        <f t="shared" si="4"/>
        <v>33.285714285714292</v>
      </c>
      <c r="Z12" s="17">
        <f t="shared" si="4"/>
        <v>12.571428571428573</v>
      </c>
      <c r="AA12" s="17">
        <f t="shared" si="4"/>
        <v>8.4285714285714288</v>
      </c>
      <c r="AB12" s="17">
        <f t="shared" si="4"/>
        <v>2.4285714285714284</v>
      </c>
      <c r="AC12" s="17">
        <f t="shared" si="4"/>
        <v>926.14285714285711</v>
      </c>
      <c r="AD12" s="17">
        <f t="shared" si="4"/>
        <v>0</v>
      </c>
      <c r="AE12" s="31">
        <f t="shared" si="4"/>
        <v>714.57142857142844</v>
      </c>
      <c r="AF12" s="31">
        <f t="shared" si="4"/>
        <v>1640.7142857142856</v>
      </c>
    </row>
    <row r="13" spans="2:32" ht="23.1" customHeight="1" x14ac:dyDescent="0.25">
      <c r="B13" s="23" t="s">
        <v>40</v>
      </c>
      <c r="C13" s="49">
        <f>'Avg Week Namugongo-Kireka'!C13+'Avg Week Kireka-Namugongo'!C13</f>
        <v>106</v>
      </c>
      <c r="D13" s="49">
        <f>'Avg Week Namugongo-Kireka'!D13+'Avg Week Kireka-Namugongo'!D13</f>
        <v>15.428571428571427</v>
      </c>
      <c r="E13" s="49">
        <f>'Avg Week Namugongo-Kireka'!E13+'Avg Week Kireka-Namugongo'!E13</f>
        <v>15.857142857142858</v>
      </c>
      <c r="F13" s="49">
        <f>'Avg Week Namugongo-Kireka'!F13+'Avg Week Kireka-Namugongo'!F13</f>
        <v>40.714285714285715</v>
      </c>
      <c r="G13" s="49">
        <f>'Avg Week Namugongo-Kireka'!G13+'Avg Week Kireka-Namugongo'!G13</f>
        <v>0.2857142857142857</v>
      </c>
      <c r="H13" s="49">
        <f>'Avg Week Namugongo-Kireka'!H13+'Avg Week Kireka-Namugongo'!H13</f>
        <v>0</v>
      </c>
      <c r="I13" s="49">
        <f>'Avg Week Namugongo-Kireka'!I13+'Avg Week Kireka-Namugongo'!I13</f>
        <v>6</v>
      </c>
      <c r="J13" s="49">
        <f>'Avg Week Namugongo-Kireka'!J13+'Avg Week Kireka-Namugongo'!J13</f>
        <v>2.5714285714285712</v>
      </c>
      <c r="K13" s="49">
        <f>'Avg Week Namugongo-Kireka'!K13+'Avg Week Kireka-Namugongo'!K13</f>
        <v>0.8571428571428571</v>
      </c>
      <c r="L13" s="49">
        <f>'Avg Week Namugongo-Kireka'!L13+'Avg Week Kireka-Namugongo'!L13</f>
        <v>0.2857142857142857</v>
      </c>
      <c r="M13" s="49">
        <f>'Avg Week Namugongo-Kireka'!M13+'Avg Week Kireka-Namugongo'!M13</f>
        <v>221.14285714285714</v>
      </c>
      <c r="N13" s="49">
        <f>'Avg Week Namugongo-Kireka'!N13+'Avg Week Kireka-Namugongo'!N13</f>
        <v>0</v>
      </c>
      <c r="O13" s="15">
        <f t="shared" si="0"/>
        <v>188</v>
      </c>
      <c r="P13" s="15">
        <f t="shared" si="1"/>
        <v>409.14285714285711</v>
      </c>
      <c r="R13" s="1" t="s">
        <v>9</v>
      </c>
      <c r="S13" s="17">
        <f t="shared" ref="S13:AF13" si="5">SUM(C22:C25)</f>
        <v>439.57142857142856</v>
      </c>
      <c r="T13" s="17">
        <f t="shared" si="5"/>
        <v>85.857142857142861</v>
      </c>
      <c r="U13" s="17">
        <f t="shared" si="5"/>
        <v>58.714285714285715</v>
      </c>
      <c r="V13" s="17">
        <f t="shared" si="5"/>
        <v>137.42857142857142</v>
      </c>
      <c r="W13" s="17">
        <f t="shared" si="5"/>
        <v>7.1428571428571423</v>
      </c>
      <c r="X13" s="17">
        <f t="shared" si="5"/>
        <v>3.8571428571428568</v>
      </c>
      <c r="Y13" s="17">
        <f t="shared" si="5"/>
        <v>40.571428571428569</v>
      </c>
      <c r="Z13" s="17">
        <f t="shared" si="5"/>
        <v>19</v>
      </c>
      <c r="AA13" s="17">
        <f t="shared" si="5"/>
        <v>9</v>
      </c>
      <c r="AB13" s="17">
        <f t="shared" si="5"/>
        <v>3.7142857142857144</v>
      </c>
      <c r="AC13" s="17">
        <f t="shared" si="5"/>
        <v>980.71428571428567</v>
      </c>
      <c r="AD13" s="17">
        <f t="shared" si="5"/>
        <v>0</v>
      </c>
      <c r="AE13" s="31">
        <f t="shared" si="5"/>
        <v>804.85714285714289</v>
      </c>
      <c r="AF13" s="31">
        <f t="shared" si="5"/>
        <v>1785.5714285714284</v>
      </c>
    </row>
    <row r="14" spans="2:32" ht="23.1" customHeight="1" x14ac:dyDescent="0.25">
      <c r="B14" s="23" t="s">
        <v>41</v>
      </c>
      <c r="C14" s="49">
        <f>'Avg Week Namugongo-Kireka'!C14+'Avg Week Kireka-Namugongo'!C14</f>
        <v>107.57142857142857</v>
      </c>
      <c r="D14" s="49">
        <f>'Avg Week Namugongo-Kireka'!D14+'Avg Week Kireka-Namugongo'!D14</f>
        <v>14</v>
      </c>
      <c r="E14" s="49">
        <f>'Avg Week Namugongo-Kireka'!E14+'Avg Week Kireka-Namugongo'!E14</f>
        <v>10</v>
      </c>
      <c r="F14" s="49">
        <f>'Avg Week Namugongo-Kireka'!F14+'Avg Week Kireka-Namugongo'!F14</f>
        <v>37.142857142857139</v>
      </c>
      <c r="G14" s="49">
        <f>'Avg Week Namugongo-Kireka'!G14+'Avg Week Kireka-Namugongo'!G14</f>
        <v>0.8571428571428571</v>
      </c>
      <c r="H14" s="49">
        <f>'Avg Week Namugongo-Kireka'!H14+'Avg Week Kireka-Namugongo'!H14</f>
        <v>1.1428571428571428</v>
      </c>
      <c r="I14" s="49">
        <f>'Avg Week Namugongo-Kireka'!I14+'Avg Week Kireka-Namugongo'!I14</f>
        <v>4.4285714285714288</v>
      </c>
      <c r="J14" s="49">
        <f>'Avg Week Namugongo-Kireka'!J14+'Avg Week Kireka-Namugongo'!J14</f>
        <v>1.2857142857142856</v>
      </c>
      <c r="K14" s="49">
        <f>'Avg Week Namugongo-Kireka'!K14+'Avg Week Kireka-Namugongo'!K14</f>
        <v>1.5714285714285714</v>
      </c>
      <c r="L14" s="49">
        <f>'Avg Week Namugongo-Kireka'!L14+'Avg Week Kireka-Namugongo'!L14</f>
        <v>0.2857142857142857</v>
      </c>
      <c r="M14" s="49">
        <f>'Avg Week Namugongo-Kireka'!M14+'Avg Week Kireka-Namugongo'!M14</f>
        <v>277.71428571428572</v>
      </c>
      <c r="N14" s="49">
        <f>'Avg Week Namugongo-Kireka'!N14+'Avg Week Kireka-Namugongo'!N14</f>
        <v>0</v>
      </c>
      <c r="O14" s="15">
        <f t="shared" si="0"/>
        <v>178.28571428571425</v>
      </c>
      <c r="P14" s="15">
        <f t="shared" si="1"/>
        <v>456</v>
      </c>
      <c r="R14" s="1" t="s">
        <v>10</v>
      </c>
      <c r="S14" s="17">
        <f t="shared" ref="S14:AF14" si="6">SUM(C26:C29)</f>
        <v>431.57142857142856</v>
      </c>
      <c r="T14" s="17">
        <f t="shared" si="6"/>
        <v>69.571428571428569</v>
      </c>
      <c r="U14" s="17">
        <f t="shared" si="6"/>
        <v>65.571428571428569</v>
      </c>
      <c r="V14" s="17">
        <f t="shared" si="6"/>
        <v>138.28571428571428</v>
      </c>
      <c r="W14" s="17">
        <f t="shared" si="6"/>
        <v>5.1428571428571423</v>
      </c>
      <c r="X14" s="17">
        <f t="shared" si="6"/>
        <v>3.4285714285714284</v>
      </c>
      <c r="Y14" s="17">
        <f t="shared" si="6"/>
        <v>49.428571428571431</v>
      </c>
      <c r="Z14" s="17">
        <f t="shared" si="6"/>
        <v>13.571428571428569</v>
      </c>
      <c r="AA14" s="17">
        <f t="shared" si="6"/>
        <v>11.928571428571429</v>
      </c>
      <c r="AB14" s="17">
        <f t="shared" si="6"/>
        <v>2.9999999999999996</v>
      </c>
      <c r="AC14" s="17">
        <f t="shared" si="6"/>
        <v>969.71428571428567</v>
      </c>
      <c r="AD14" s="17">
        <f t="shared" si="6"/>
        <v>0</v>
      </c>
      <c r="AE14" s="31">
        <f t="shared" si="6"/>
        <v>791.49999999999989</v>
      </c>
      <c r="AF14" s="31">
        <f t="shared" si="6"/>
        <v>1761.2142857142858</v>
      </c>
    </row>
    <row r="15" spans="2:32" ht="23.1" customHeight="1" x14ac:dyDescent="0.25">
      <c r="B15" s="23" t="s">
        <v>42</v>
      </c>
      <c r="C15" s="49">
        <f>'Avg Week Namugongo-Kireka'!C15+'Avg Week Kireka-Namugongo'!C15</f>
        <v>106.42857142857142</v>
      </c>
      <c r="D15" s="49">
        <f>'Avg Week Namugongo-Kireka'!D15+'Avg Week Kireka-Namugongo'!D15</f>
        <v>14.142857142857142</v>
      </c>
      <c r="E15" s="49">
        <f>'Avg Week Namugongo-Kireka'!E15+'Avg Week Kireka-Namugongo'!E15</f>
        <v>12.857142857142858</v>
      </c>
      <c r="F15" s="49">
        <f>'Avg Week Namugongo-Kireka'!F15+'Avg Week Kireka-Namugongo'!F15</f>
        <v>45.428571428571431</v>
      </c>
      <c r="G15" s="49">
        <f>'Avg Week Namugongo-Kireka'!G15+'Avg Week Kireka-Namugongo'!G15</f>
        <v>0.42857142857142855</v>
      </c>
      <c r="H15" s="49">
        <f>'Avg Week Namugongo-Kireka'!H15+'Avg Week Kireka-Namugongo'!H15</f>
        <v>1</v>
      </c>
      <c r="I15" s="49">
        <f>'Avg Week Namugongo-Kireka'!I15+'Avg Week Kireka-Namugongo'!I15</f>
        <v>6.4285714285714288</v>
      </c>
      <c r="J15" s="49">
        <f>'Avg Week Namugongo-Kireka'!J15+'Avg Week Kireka-Namugongo'!J15</f>
        <v>2.7142857142857144</v>
      </c>
      <c r="K15" s="49">
        <f>'Avg Week Namugongo-Kireka'!K15+'Avg Week Kireka-Namugongo'!K15</f>
        <v>2.5714285714285716</v>
      </c>
      <c r="L15" s="49">
        <f>'Avg Week Namugongo-Kireka'!L15+'Avg Week Kireka-Namugongo'!L15</f>
        <v>0</v>
      </c>
      <c r="M15" s="49">
        <f>'Avg Week Namugongo-Kireka'!M15+'Avg Week Kireka-Namugongo'!M15</f>
        <v>242.42857142857142</v>
      </c>
      <c r="N15" s="49">
        <f>'Avg Week Namugongo-Kireka'!N15+'Avg Week Kireka-Namugongo'!N15</f>
        <v>0</v>
      </c>
      <c r="O15" s="15">
        <f t="shared" si="0"/>
        <v>191.99999999999997</v>
      </c>
      <c r="P15" s="15">
        <f t="shared" si="1"/>
        <v>434.42857142857139</v>
      </c>
      <c r="R15" s="1" t="s">
        <v>11</v>
      </c>
      <c r="S15" s="17">
        <f t="shared" ref="S15:AF15" si="7">SUM(C30:C33)</f>
        <v>412.42857142857144</v>
      </c>
      <c r="T15" s="17">
        <f t="shared" si="7"/>
        <v>71.714285714285722</v>
      </c>
      <c r="U15" s="17">
        <f t="shared" si="7"/>
        <v>64.428571428571431</v>
      </c>
      <c r="V15" s="17">
        <f t="shared" si="7"/>
        <v>129.71428571428572</v>
      </c>
      <c r="W15" s="17">
        <f t="shared" si="7"/>
        <v>2.6428571428571423</v>
      </c>
      <c r="X15" s="17">
        <f t="shared" si="7"/>
        <v>4.4285714285714288</v>
      </c>
      <c r="Y15" s="17">
        <f t="shared" si="7"/>
        <v>50.428571428571431</v>
      </c>
      <c r="Z15" s="17">
        <f t="shared" si="7"/>
        <v>18.714285714285715</v>
      </c>
      <c r="AA15" s="17">
        <f t="shared" si="7"/>
        <v>9.7142857142857153</v>
      </c>
      <c r="AB15" s="17">
        <f t="shared" si="7"/>
        <v>1.714285714285714</v>
      </c>
      <c r="AC15" s="17">
        <f t="shared" si="7"/>
        <v>894.42857142857144</v>
      </c>
      <c r="AD15" s="17">
        <f t="shared" si="7"/>
        <v>0.14285714285714285</v>
      </c>
      <c r="AE15" s="31">
        <f t="shared" si="7"/>
        <v>766.07142857142856</v>
      </c>
      <c r="AF15" s="31">
        <f t="shared" si="7"/>
        <v>1660.5000000000002</v>
      </c>
    </row>
    <row r="16" spans="2:32" ht="23.1" customHeight="1" x14ac:dyDescent="0.25">
      <c r="B16" s="23" t="s">
        <v>43</v>
      </c>
      <c r="C16" s="49">
        <f>'Avg Week Namugongo-Kireka'!C16+'Avg Week Kireka-Namugongo'!C16</f>
        <v>110.14285714285714</v>
      </c>
      <c r="D16" s="49">
        <f>'Avg Week Namugongo-Kireka'!D16+'Avg Week Kireka-Namugongo'!D16</f>
        <v>15.571428571428573</v>
      </c>
      <c r="E16" s="49">
        <f>'Avg Week Namugongo-Kireka'!E16+'Avg Week Kireka-Namugongo'!E16</f>
        <v>12.714285714285714</v>
      </c>
      <c r="F16" s="49">
        <f>'Avg Week Namugongo-Kireka'!F16+'Avg Week Kireka-Namugongo'!F16</f>
        <v>35.714285714285715</v>
      </c>
      <c r="G16" s="49">
        <f>'Avg Week Namugongo-Kireka'!G16+'Avg Week Kireka-Namugongo'!G16</f>
        <v>0.42857142857142855</v>
      </c>
      <c r="H16" s="49">
        <f>'Avg Week Namugongo-Kireka'!H16+'Avg Week Kireka-Namugongo'!H16</f>
        <v>0.71428571428571419</v>
      </c>
      <c r="I16" s="49">
        <f>'Avg Week Namugongo-Kireka'!I16+'Avg Week Kireka-Namugongo'!I16</f>
        <v>5.7142857142857144</v>
      </c>
      <c r="J16" s="49">
        <f>'Avg Week Namugongo-Kireka'!J16+'Avg Week Kireka-Namugongo'!J16</f>
        <v>3.285714285714286</v>
      </c>
      <c r="K16" s="49">
        <f>'Avg Week Namugongo-Kireka'!K16+'Avg Week Kireka-Namugongo'!K16</f>
        <v>1.5714285714285714</v>
      </c>
      <c r="L16" s="49">
        <f>'Avg Week Namugongo-Kireka'!L16+'Avg Week Kireka-Namugongo'!L16</f>
        <v>0.2857142857142857</v>
      </c>
      <c r="M16" s="49">
        <f>'Avg Week Namugongo-Kireka'!M16+'Avg Week Kireka-Namugongo'!M16</f>
        <v>219.57142857142856</v>
      </c>
      <c r="N16" s="49">
        <f>'Avg Week Namugongo-Kireka'!N16+'Avg Week Kireka-Namugongo'!N16</f>
        <v>0</v>
      </c>
      <c r="O16" s="15">
        <f t="shared" si="0"/>
        <v>186.14285714285714</v>
      </c>
      <c r="P16" s="15">
        <f t="shared" si="1"/>
        <v>405.71428571428567</v>
      </c>
      <c r="R16" s="1" t="s">
        <v>12</v>
      </c>
      <c r="S16" s="17">
        <f t="shared" ref="S16:AF16" si="8">SUM(C34:C37)</f>
        <v>408.42857142857144</v>
      </c>
      <c r="T16" s="17">
        <f t="shared" si="8"/>
        <v>73.714285714285722</v>
      </c>
      <c r="U16" s="17">
        <f t="shared" si="8"/>
        <v>68.142857142857139</v>
      </c>
      <c r="V16" s="17">
        <f t="shared" si="8"/>
        <v>137</v>
      </c>
      <c r="W16" s="17">
        <f t="shared" si="8"/>
        <v>3.1428571428571428</v>
      </c>
      <c r="X16" s="17">
        <f t="shared" si="8"/>
        <v>1.5714285714285712</v>
      </c>
      <c r="Y16" s="17">
        <f t="shared" si="8"/>
        <v>49.142857142857139</v>
      </c>
      <c r="Z16" s="17">
        <f t="shared" si="8"/>
        <v>18.285714285714285</v>
      </c>
      <c r="AA16" s="17">
        <f t="shared" si="8"/>
        <v>8.8571428571428577</v>
      </c>
      <c r="AB16" s="17">
        <f t="shared" si="8"/>
        <v>1.857142857142857</v>
      </c>
      <c r="AC16" s="17">
        <f t="shared" si="8"/>
        <v>822.71428571428578</v>
      </c>
      <c r="AD16" s="17">
        <f t="shared" si="8"/>
        <v>0.14285714285714285</v>
      </c>
      <c r="AE16" s="31">
        <f t="shared" si="8"/>
        <v>770.28571428571433</v>
      </c>
      <c r="AF16" s="31">
        <f t="shared" si="8"/>
        <v>1593</v>
      </c>
    </row>
    <row r="17" spans="2:32" ht="23.1" customHeight="1" x14ac:dyDescent="0.25">
      <c r="B17" s="23" t="s">
        <v>44</v>
      </c>
      <c r="C17" s="49">
        <f>'Avg Week Namugongo-Kireka'!C17+'Avg Week Kireka-Namugongo'!C17</f>
        <v>111.42857142857143</v>
      </c>
      <c r="D17" s="49">
        <f>'Avg Week Namugongo-Kireka'!D17+'Avg Week Kireka-Namugongo'!D17</f>
        <v>17.142857142857142</v>
      </c>
      <c r="E17" s="49">
        <f>'Avg Week Namugongo-Kireka'!E17+'Avg Week Kireka-Namugongo'!E17</f>
        <v>14.571428571428569</v>
      </c>
      <c r="F17" s="49">
        <f>'Avg Week Namugongo-Kireka'!F17+'Avg Week Kireka-Namugongo'!F17</f>
        <v>35.142857142857139</v>
      </c>
      <c r="G17" s="49">
        <f>'Avg Week Namugongo-Kireka'!G17+'Avg Week Kireka-Namugongo'!G17</f>
        <v>0.42857142857142855</v>
      </c>
      <c r="H17" s="49">
        <f>'Avg Week Namugongo-Kireka'!H17+'Avg Week Kireka-Namugongo'!H17</f>
        <v>0.5714285714285714</v>
      </c>
      <c r="I17" s="49">
        <f>'Avg Week Namugongo-Kireka'!I17+'Avg Week Kireka-Namugongo'!I17</f>
        <v>9.7142857142857135</v>
      </c>
      <c r="J17" s="49">
        <f>'Avg Week Namugongo-Kireka'!J17+'Avg Week Kireka-Namugongo'!J17</f>
        <v>1.8571428571428572</v>
      </c>
      <c r="K17" s="49">
        <f>'Avg Week Namugongo-Kireka'!K17+'Avg Week Kireka-Namugongo'!K17</f>
        <v>1.1428571428571428</v>
      </c>
      <c r="L17" s="49">
        <f>'Avg Week Namugongo-Kireka'!L17+'Avg Week Kireka-Namugongo'!L17</f>
        <v>0.14285714285714285</v>
      </c>
      <c r="M17" s="49">
        <f>'Avg Week Namugongo-Kireka'!M17+'Avg Week Kireka-Namugongo'!M17</f>
        <v>222</v>
      </c>
      <c r="N17" s="49">
        <f>'Avg Week Namugongo-Kireka'!N17+'Avg Week Kireka-Namugongo'!N17</f>
        <v>0</v>
      </c>
      <c r="O17" s="15">
        <f t="shared" si="0"/>
        <v>192.14285714285717</v>
      </c>
      <c r="P17" s="15">
        <f t="shared" si="1"/>
        <v>414.14285714285717</v>
      </c>
      <c r="R17" s="1" t="s">
        <v>13</v>
      </c>
      <c r="S17" s="17">
        <f t="shared" ref="S17:AF17" si="9">SUM(C38:C41)</f>
        <v>413.85714285714289</v>
      </c>
      <c r="T17" s="17">
        <f t="shared" si="9"/>
        <v>79.142857142857153</v>
      </c>
      <c r="U17" s="17">
        <f t="shared" si="9"/>
        <v>58.285714285714278</v>
      </c>
      <c r="V17" s="17">
        <f t="shared" si="9"/>
        <v>145.71428571428572</v>
      </c>
      <c r="W17" s="17">
        <f t="shared" si="9"/>
        <v>3.5714285714285712</v>
      </c>
      <c r="X17" s="17">
        <f t="shared" si="9"/>
        <v>2.1428571428571428</v>
      </c>
      <c r="Y17" s="17">
        <f t="shared" si="9"/>
        <v>43.857142857142854</v>
      </c>
      <c r="Z17" s="17">
        <f t="shared" si="9"/>
        <v>17</v>
      </c>
      <c r="AA17" s="17">
        <f t="shared" si="9"/>
        <v>6.5714285714285712</v>
      </c>
      <c r="AB17" s="17">
        <f t="shared" si="9"/>
        <v>2.1428571428571428</v>
      </c>
      <c r="AC17" s="17">
        <f t="shared" si="9"/>
        <v>875.28571428571422</v>
      </c>
      <c r="AD17" s="17">
        <f t="shared" si="9"/>
        <v>0.14285714285714285</v>
      </c>
      <c r="AE17" s="31">
        <f t="shared" si="9"/>
        <v>772.42857142857133</v>
      </c>
      <c r="AF17" s="31">
        <f t="shared" si="9"/>
        <v>1647.7142857142858</v>
      </c>
    </row>
    <row r="18" spans="2:32" ht="23.1" customHeight="1" x14ac:dyDescent="0.25">
      <c r="B18" s="23" t="s">
        <v>45</v>
      </c>
      <c r="C18" s="49">
        <f>'Avg Week Namugongo-Kireka'!C18+'Avg Week Kireka-Namugongo'!C18</f>
        <v>96.857142857142861</v>
      </c>
      <c r="D18" s="49">
        <f>'Avg Week Namugongo-Kireka'!D18+'Avg Week Kireka-Namugongo'!D18</f>
        <v>18</v>
      </c>
      <c r="E18" s="49">
        <f>'Avg Week Namugongo-Kireka'!E18+'Avg Week Kireka-Namugongo'!E18</f>
        <v>13.285714285714286</v>
      </c>
      <c r="F18" s="49">
        <f>'Avg Week Namugongo-Kireka'!F18+'Avg Week Kireka-Namugongo'!F18</f>
        <v>34.428571428571431</v>
      </c>
      <c r="G18" s="49">
        <f>'Avg Week Namugongo-Kireka'!G18+'Avg Week Kireka-Namugongo'!G18</f>
        <v>0.42857142857142855</v>
      </c>
      <c r="H18" s="49">
        <f>'Avg Week Namugongo-Kireka'!H18+'Avg Week Kireka-Namugongo'!H18</f>
        <v>0.14285714285714285</v>
      </c>
      <c r="I18" s="49">
        <f>'Avg Week Namugongo-Kireka'!I18+'Avg Week Kireka-Namugongo'!I18</f>
        <v>9.4285714285714288</v>
      </c>
      <c r="J18" s="49">
        <f>'Avg Week Namugongo-Kireka'!J18+'Avg Week Kireka-Namugongo'!J18</f>
        <v>3.4285714285714288</v>
      </c>
      <c r="K18" s="49">
        <f>'Avg Week Namugongo-Kireka'!K18+'Avg Week Kireka-Namugongo'!K18</f>
        <v>1.5714285714285714</v>
      </c>
      <c r="L18" s="49">
        <f>'Avg Week Namugongo-Kireka'!L18+'Avg Week Kireka-Namugongo'!L18</f>
        <v>0.42857142857142855</v>
      </c>
      <c r="M18" s="49">
        <f>'Avg Week Namugongo-Kireka'!M18+'Avg Week Kireka-Namugongo'!M18</f>
        <v>230.14285714285714</v>
      </c>
      <c r="N18" s="49">
        <f>'Avg Week Namugongo-Kireka'!N18+'Avg Week Kireka-Namugongo'!N18</f>
        <v>0</v>
      </c>
      <c r="O18" s="15">
        <f t="shared" si="0"/>
        <v>177.99999999999994</v>
      </c>
      <c r="P18" s="15">
        <f t="shared" si="1"/>
        <v>408.14285714285711</v>
      </c>
      <c r="R18" s="1" t="s">
        <v>14</v>
      </c>
      <c r="S18" s="17">
        <f t="shared" ref="S18:AF18" si="10">SUM(C42:C45)</f>
        <v>419.57142857142856</v>
      </c>
      <c r="T18" s="17">
        <f t="shared" si="10"/>
        <v>96.857142857142861</v>
      </c>
      <c r="U18" s="17">
        <f t="shared" si="10"/>
        <v>67.571428571428569</v>
      </c>
      <c r="V18" s="17">
        <f t="shared" si="10"/>
        <v>122.28571428571428</v>
      </c>
      <c r="W18" s="17">
        <f t="shared" si="10"/>
        <v>4</v>
      </c>
      <c r="X18" s="17">
        <f t="shared" si="10"/>
        <v>2.5714285714285712</v>
      </c>
      <c r="Y18" s="17">
        <f t="shared" si="10"/>
        <v>45.857142857142854</v>
      </c>
      <c r="Z18" s="17">
        <f t="shared" si="10"/>
        <v>19</v>
      </c>
      <c r="AA18" s="17">
        <f t="shared" si="10"/>
        <v>8.8571428571428577</v>
      </c>
      <c r="AB18" s="17">
        <f t="shared" si="10"/>
        <v>3.1428571428571428</v>
      </c>
      <c r="AC18" s="17">
        <f t="shared" si="10"/>
        <v>891.14285714285711</v>
      </c>
      <c r="AD18" s="17">
        <f t="shared" si="10"/>
        <v>0</v>
      </c>
      <c r="AE18" s="31">
        <f t="shared" si="10"/>
        <v>789.71428571428578</v>
      </c>
      <c r="AF18" s="31">
        <f t="shared" si="10"/>
        <v>1680.8571428571429</v>
      </c>
    </row>
    <row r="19" spans="2:32" ht="23.1" customHeight="1" x14ac:dyDescent="0.25">
      <c r="B19" s="23" t="s">
        <v>46</v>
      </c>
      <c r="C19" s="49">
        <f>'Avg Week Namugongo-Kireka'!C19+'Avg Week Kireka-Namugongo'!C19</f>
        <v>96.285714285714278</v>
      </c>
      <c r="D19" s="49">
        <f>'Avg Week Namugongo-Kireka'!D19+'Avg Week Kireka-Namugongo'!D19</f>
        <v>13.714285714285715</v>
      </c>
      <c r="E19" s="49">
        <f>'Avg Week Namugongo-Kireka'!E19+'Avg Week Kireka-Namugongo'!E19</f>
        <v>14.285714285714285</v>
      </c>
      <c r="F19" s="49">
        <f>'Avg Week Namugongo-Kireka'!F19+'Avg Week Kireka-Namugongo'!F19</f>
        <v>30.142857142857142</v>
      </c>
      <c r="G19" s="49">
        <f>'Avg Week Namugongo-Kireka'!G19+'Avg Week Kireka-Namugongo'!G19</f>
        <v>0.14285714285714285</v>
      </c>
      <c r="H19" s="49">
        <f>'Avg Week Namugongo-Kireka'!H19+'Avg Week Kireka-Namugongo'!H19</f>
        <v>0.42857142857142855</v>
      </c>
      <c r="I19" s="49">
        <f>'Avg Week Namugongo-Kireka'!I19+'Avg Week Kireka-Namugongo'!I19</f>
        <v>7.1428571428571432</v>
      </c>
      <c r="J19" s="49">
        <f>'Avg Week Namugongo-Kireka'!J19+'Avg Week Kireka-Namugongo'!J19</f>
        <v>3.4285714285714288</v>
      </c>
      <c r="K19" s="49">
        <f>'Avg Week Namugongo-Kireka'!K19+'Avg Week Kireka-Namugongo'!K19</f>
        <v>2</v>
      </c>
      <c r="L19" s="49">
        <f>'Avg Week Namugongo-Kireka'!L19+'Avg Week Kireka-Namugongo'!L19</f>
        <v>0.71428571428571419</v>
      </c>
      <c r="M19" s="49">
        <f>'Avg Week Namugongo-Kireka'!M19+'Avg Week Kireka-Namugongo'!M19</f>
        <v>238.71428571428572</v>
      </c>
      <c r="N19" s="49">
        <f>'Avg Week Namugongo-Kireka'!N19+'Avg Week Kireka-Namugongo'!N19</f>
        <v>0</v>
      </c>
      <c r="O19" s="15">
        <f t="shared" si="0"/>
        <v>168.28571428571425</v>
      </c>
      <c r="P19" s="15">
        <f t="shared" si="1"/>
        <v>407</v>
      </c>
      <c r="R19" s="1" t="s">
        <v>15</v>
      </c>
      <c r="S19" s="17">
        <f t="shared" ref="S19:AF19" si="11">SUM(C46:C49)</f>
        <v>521.42857142857144</v>
      </c>
      <c r="T19" s="17">
        <f t="shared" si="11"/>
        <v>106.71428571428572</v>
      </c>
      <c r="U19" s="17">
        <f t="shared" si="11"/>
        <v>69.428571428571416</v>
      </c>
      <c r="V19" s="17">
        <f t="shared" si="11"/>
        <v>146.57142857142856</v>
      </c>
      <c r="W19" s="17">
        <f t="shared" si="11"/>
        <v>3.714285714285714</v>
      </c>
      <c r="X19" s="17">
        <f t="shared" si="11"/>
        <v>1.857142857142857</v>
      </c>
      <c r="Y19" s="17">
        <f t="shared" si="11"/>
        <v>50.428571428571431</v>
      </c>
      <c r="Z19" s="17">
        <f t="shared" si="11"/>
        <v>11.428571428571427</v>
      </c>
      <c r="AA19" s="17">
        <f t="shared" si="11"/>
        <v>5</v>
      </c>
      <c r="AB19" s="17">
        <f t="shared" si="11"/>
        <v>2.2857142857142856</v>
      </c>
      <c r="AC19" s="17">
        <f t="shared" si="11"/>
        <v>948.42857142857156</v>
      </c>
      <c r="AD19" s="17">
        <f t="shared" si="11"/>
        <v>0</v>
      </c>
      <c r="AE19" s="31">
        <f t="shared" si="11"/>
        <v>918.85714285714289</v>
      </c>
      <c r="AF19" s="31">
        <f t="shared" si="11"/>
        <v>1867.2857142857142</v>
      </c>
    </row>
    <row r="20" spans="2:32" ht="23.1" customHeight="1" x14ac:dyDescent="0.25">
      <c r="B20" s="23" t="s">
        <v>47</v>
      </c>
      <c r="C20" s="49">
        <f>'Avg Week Namugongo-Kireka'!C20+'Avg Week Kireka-Namugongo'!C20</f>
        <v>104</v>
      </c>
      <c r="D20" s="49">
        <f>'Avg Week Namugongo-Kireka'!D20+'Avg Week Kireka-Namugongo'!D20</f>
        <v>15.285714285714285</v>
      </c>
      <c r="E20" s="49">
        <f>'Avg Week Namugongo-Kireka'!E20+'Avg Week Kireka-Namugongo'!E20</f>
        <v>11.714285714285715</v>
      </c>
      <c r="F20" s="49">
        <f>'Avg Week Namugongo-Kireka'!F20+'Avg Week Kireka-Namugongo'!F20</f>
        <v>37.142857142857139</v>
      </c>
      <c r="G20" s="49">
        <f>'Avg Week Namugongo-Kireka'!G20+'Avg Week Kireka-Namugongo'!G20</f>
        <v>0.42857142857142855</v>
      </c>
      <c r="H20" s="49">
        <f>'Avg Week Namugongo-Kireka'!H20+'Avg Week Kireka-Namugongo'!H20</f>
        <v>1.5714285714285714</v>
      </c>
      <c r="I20" s="49">
        <f>'Avg Week Namugongo-Kireka'!I20+'Avg Week Kireka-Namugongo'!I20</f>
        <v>7.2857142857142865</v>
      </c>
      <c r="J20" s="49">
        <f>'Avg Week Namugongo-Kireka'!J20+'Avg Week Kireka-Namugongo'!J20</f>
        <v>2.8571428571428572</v>
      </c>
      <c r="K20" s="49">
        <f>'Avg Week Namugongo-Kireka'!K20+'Avg Week Kireka-Namugongo'!K20</f>
        <v>2.4285714285714288</v>
      </c>
      <c r="L20" s="49">
        <f>'Avg Week Namugongo-Kireka'!L20+'Avg Week Kireka-Namugongo'!L20</f>
        <v>0.42857142857142855</v>
      </c>
      <c r="M20" s="49">
        <f>'Avg Week Namugongo-Kireka'!M20+'Avg Week Kireka-Namugongo'!M20</f>
        <v>234.57142857142856</v>
      </c>
      <c r="N20" s="49">
        <f>'Avg Week Namugongo-Kireka'!N20+'Avg Week Kireka-Namugongo'!N20</f>
        <v>0</v>
      </c>
      <c r="O20" s="15">
        <f t="shared" si="0"/>
        <v>183.14285714285711</v>
      </c>
      <c r="P20" s="15">
        <f t="shared" si="1"/>
        <v>417.71428571428567</v>
      </c>
      <c r="R20" s="1" t="s">
        <v>16</v>
      </c>
      <c r="S20" s="17">
        <f t="shared" ref="S20:AF20" si="12">SUM(C50:C53)</f>
        <v>596.71428571428567</v>
      </c>
      <c r="T20" s="17">
        <f t="shared" si="12"/>
        <v>128.14285714285717</v>
      </c>
      <c r="U20" s="17">
        <f t="shared" si="12"/>
        <v>87.571428571428569</v>
      </c>
      <c r="V20" s="17">
        <f t="shared" si="12"/>
        <v>159.57142857142856</v>
      </c>
      <c r="W20" s="17">
        <f t="shared" si="12"/>
        <v>13.428571428571429</v>
      </c>
      <c r="X20" s="17">
        <f t="shared" si="12"/>
        <v>0.2857142857142857</v>
      </c>
      <c r="Y20" s="17">
        <f t="shared" si="12"/>
        <v>40.571428571428569</v>
      </c>
      <c r="Z20" s="17">
        <f t="shared" si="12"/>
        <v>16.428571428571427</v>
      </c>
      <c r="AA20" s="17">
        <f t="shared" si="12"/>
        <v>7.7142857142857135</v>
      </c>
      <c r="AB20" s="17">
        <f t="shared" si="12"/>
        <v>2.9999999999999996</v>
      </c>
      <c r="AC20" s="17">
        <f t="shared" si="12"/>
        <v>1043.4285714285713</v>
      </c>
      <c r="AD20" s="17">
        <f t="shared" si="12"/>
        <v>0.14285714285714285</v>
      </c>
      <c r="AE20" s="31">
        <f t="shared" si="12"/>
        <v>1053.5714285714287</v>
      </c>
      <c r="AF20" s="31">
        <f t="shared" si="12"/>
        <v>2097</v>
      </c>
    </row>
    <row r="21" spans="2:32" ht="23.1" customHeight="1" x14ac:dyDescent="0.25">
      <c r="B21" s="23" t="s">
        <v>48</v>
      </c>
      <c r="C21" s="49">
        <f>'Avg Week Namugongo-Kireka'!C21+'Avg Week Kireka-Namugongo'!C21</f>
        <v>108.28571428571429</v>
      </c>
      <c r="D21" s="49">
        <f>'Avg Week Namugongo-Kireka'!D21+'Avg Week Kireka-Namugongo'!D21</f>
        <v>15.714285714285714</v>
      </c>
      <c r="E21" s="49">
        <f>'Avg Week Namugongo-Kireka'!E21+'Avg Week Kireka-Namugongo'!E21</f>
        <v>12.571428571428571</v>
      </c>
      <c r="F21" s="49">
        <f>'Avg Week Namugongo-Kireka'!F21+'Avg Week Kireka-Namugongo'!F21</f>
        <v>32.571428571428569</v>
      </c>
      <c r="G21" s="49">
        <f>'Avg Week Namugongo-Kireka'!G21+'Avg Week Kireka-Namugongo'!G21</f>
        <v>0.42857142857142855</v>
      </c>
      <c r="H21" s="49">
        <f>'Avg Week Namugongo-Kireka'!H21+'Avg Week Kireka-Namugongo'!H21</f>
        <v>0</v>
      </c>
      <c r="I21" s="49">
        <f>'Avg Week Namugongo-Kireka'!I21+'Avg Week Kireka-Namugongo'!I21</f>
        <v>9.4285714285714288</v>
      </c>
      <c r="J21" s="49">
        <f>'Avg Week Namugongo-Kireka'!J21+'Avg Week Kireka-Namugongo'!J21</f>
        <v>2.8571428571428568</v>
      </c>
      <c r="K21" s="49">
        <f>'Avg Week Namugongo-Kireka'!K21+'Avg Week Kireka-Namugongo'!K21</f>
        <v>2.4285714285714284</v>
      </c>
      <c r="L21" s="49">
        <f>'Avg Week Namugongo-Kireka'!L21+'Avg Week Kireka-Namugongo'!L21</f>
        <v>0.8571428571428571</v>
      </c>
      <c r="M21" s="49">
        <f>'Avg Week Namugongo-Kireka'!M21+'Avg Week Kireka-Namugongo'!M21</f>
        <v>222.71428571428572</v>
      </c>
      <c r="N21" s="49">
        <f>'Avg Week Namugongo-Kireka'!N21+'Avg Week Kireka-Namugongo'!N21</f>
        <v>0</v>
      </c>
      <c r="O21" s="15">
        <f t="shared" si="0"/>
        <v>185.14285714285714</v>
      </c>
      <c r="P21" s="15">
        <f t="shared" si="1"/>
        <v>407.85714285714289</v>
      </c>
      <c r="R21" s="36" t="s">
        <v>20</v>
      </c>
      <c r="S21" s="34">
        <f t="shared" ref="S21:AF21" si="13">SUM(C54:C57)</f>
        <v>568.85714285714278</v>
      </c>
      <c r="T21" s="17">
        <f t="shared" si="13"/>
        <v>131.57142857142856</v>
      </c>
      <c r="U21" s="17">
        <f t="shared" si="13"/>
        <v>86.714285714285722</v>
      </c>
      <c r="V21" s="17">
        <f t="shared" si="13"/>
        <v>177.99999999999997</v>
      </c>
      <c r="W21" s="17">
        <f t="shared" si="13"/>
        <v>6.2857142857142847</v>
      </c>
      <c r="X21" s="17">
        <f t="shared" si="13"/>
        <v>2.4285714285714284</v>
      </c>
      <c r="Y21" s="17">
        <f t="shared" si="13"/>
        <v>27</v>
      </c>
      <c r="Z21" s="17">
        <f t="shared" si="13"/>
        <v>13.666666666666668</v>
      </c>
      <c r="AA21" s="17">
        <f t="shared" si="13"/>
        <v>7.1428571428571423</v>
      </c>
      <c r="AB21" s="17">
        <f t="shared" si="13"/>
        <v>47.571428571428569</v>
      </c>
      <c r="AC21" s="17">
        <f t="shared" si="13"/>
        <v>1116.4285714285713</v>
      </c>
      <c r="AD21" s="17">
        <f t="shared" si="13"/>
        <v>0</v>
      </c>
      <c r="AE21" s="31">
        <f t="shared" si="13"/>
        <v>1069.2380952380954</v>
      </c>
      <c r="AF21" s="31">
        <f t="shared" si="13"/>
        <v>2185.6666666666665</v>
      </c>
    </row>
    <row r="22" spans="2:32" ht="23.1" customHeight="1" x14ac:dyDescent="0.25">
      <c r="B22" s="23" t="s">
        <v>49</v>
      </c>
      <c r="C22" s="49">
        <f>'Avg Week Namugongo-Kireka'!C22+'Avg Week Kireka-Namugongo'!C22</f>
        <v>107.85714285714286</v>
      </c>
      <c r="D22" s="49">
        <f>'Avg Week Namugongo-Kireka'!D22+'Avg Week Kireka-Namugongo'!D22</f>
        <v>21</v>
      </c>
      <c r="E22" s="49">
        <f>'Avg Week Namugongo-Kireka'!E22+'Avg Week Kireka-Namugongo'!E22</f>
        <v>14.857142857142858</v>
      </c>
      <c r="F22" s="49">
        <f>'Avg Week Namugongo-Kireka'!F22+'Avg Week Kireka-Namugongo'!F22</f>
        <v>32.428571428571431</v>
      </c>
      <c r="G22" s="49">
        <f>'Avg Week Namugongo-Kireka'!G22+'Avg Week Kireka-Namugongo'!G22</f>
        <v>1</v>
      </c>
      <c r="H22" s="49">
        <f>'Avg Week Namugongo-Kireka'!H22+'Avg Week Kireka-Namugongo'!H22</f>
        <v>0.8571428571428571</v>
      </c>
      <c r="I22" s="49">
        <f>'Avg Week Namugongo-Kireka'!I22+'Avg Week Kireka-Namugongo'!I22</f>
        <v>8.2857142857142847</v>
      </c>
      <c r="J22" s="49">
        <f>'Avg Week Namugongo-Kireka'!J22+'Avg Week Kireka-Namugongo'!J22</f>
        <v>4.5714285714285712</v>
      </c>
      <c r="K22" s="49">
        <f>'Avg Week Namugongo-Kireka'!K22+'Avg Week Kireka-Namugongo'!K22</f>
        <v>2.5714285714285712</v>
      </c>
      <c r="L22" s="49">
        <f>'Avg Week Namugongo-Kireka'!L22+'Avg Week Kireka-Namugongo'!L22</f>
        <v>0.5714285714285714</v>
      </c>
      <c r="M22" s="49">
        <f>'Avg Week Namugongo-Kireka'!M22+'Avg Week Kireka-Namugongo'!M22</f>
        <v>237.42857142857144</v>
      </c>
      <c r="N22" s="49">
        <f>'Avg Week Namugongo-Kireka'!N22+'Avg Week Kireka-Namugongo'!N22</f>
        <v>0</v>
      </c>
      <c r="O22" s="15">
        <f t="shared" si="0"/>
        <v>194.00000000000006</v>
      </c>
      <c r="P22" s="15">
        <f t="shared" si="1"/>
        <v>431.4285714285715</v>
      </c>
      <c r="R22" s="1" t="s">
        <v>146</v>
      </c>
      <c r="S22" s="34">
        <f>SUM(C58:C61)</f>
        <v>248.5</v>
      </c>
      <c r="T22" s="34">
        <f t="shared" ref="T22:AF22" si="14">SUM(D58:D61)</f>
        <v>46</v>
      </c>
      <c r="U22" s="34">
        <f t="shared" si="14"/>
        <v>23</v>
      </c>
      <c r="V22" s="34">
        <f t="shared" si="14"/>
        <v>78</v>
      </c>
      <c r="W22" s="34">
        <f t="shared" si="14"/>
        <v>2</v>
      </c>
      <c r="X22" s="34">
        <f t="shared" si="14"/>
        <v>0.5</v>
      </c>
      <c r="Y22" s="34">
        <f t="shared" si="14"/>
        <v>9.5</v>
      </c>
      <c r="Z22" s="34">
        <f t="shared" si="14"/>
        <v>7.5</v>
      </c>
      <c r="AA22" s="34">
        <f t="shared" si="14"/>
        <v>3.5</v>
      </c>
      <c r="AB22" s="34">
        <f t="shared" si="14"/>
        <v>0</v>
      </c>
      <c r="AC22" s="34">
        <f t="shared" si="14"/>
        <v>678</v>
      </c>
      <c r="AD22" s="34">
        <f t="shared" si="14"/>
        <v>0</v>
      </c>
      <c r="AE22" s="51">
        <f t="shared" si="14"/>
        <v>418.5</v>
      </c>
      <c r="AF22" s="51">
        <f t="shared" si="14"/>
        <v>1096.5</v>
      </c>
    </row>
    <row r="23" spans="2:32" ht="23.1" customHeight="1" x14ac:dyDescent="0.25">
      <c r="B23" s="23" t="s">
        <v>50</v>
      </c>
      <c r="C23" s="49">
        <f>'Avg Week Namugongo-Kireka'!C23+'Avg Week Kireka-Namugongo'!C23</f>
        <v>114.85714285714286</v>
      </c>
      <c r="D23" s="49">
        <f>'Avg Week Namugongo-Kireka'!D23+'Avg Week Kireka-Namugongo'!D23</f>
        <v>20.714285714285715</v>
      </c>
      <c r="E23" s="49">
        <f>'Avg Week Namugongo-Kireka'!E23+'Avg Week Kireka-Namugongo'!E23</f>
        <v>16.714285714285715</v>
      </c>
      <c r="F23" s="49">
        <f>'Avg Week Namugongo-Kireka'!F23+'Avg Week Kireka-Namugongo'!F23</f>
        <v>38.428571428571431</v>
      </c>
      <c r="G23" s="49">
        <f>'Avg Week Namugongo-Kireka'!G23+'Avg Week Kireka-Namugongo'!G23</f>
        <v>1</v>
      </c>
      <c r="H23" s="49">
        <f>'Avg Week Namugongo-Kireka'!H23+'Avg Week Kireka-Namugongo'!H23</f>
        <v>0.7142857142857143</v>
      </c>
      <c r="I23" s="49">
        <f>'Avg Week Namugongo-Kireka'!I23+'Avg Week Kireka-Namugongo'!I23</f>
        <v>12.571428571428573</v>
      </c>
      <c r="J23" s="49">
        <f>'Avg Week Namugongo-Kireka'!J23+'Avg Week Kireka-Namugongo'!J23</f>
        <v>5.2857142857142865</v>
      </c>
      <c r="K23" s="49">
        <f>'Avg Week Namugongo-Kireka'!K23+'Avg Week Kireka-Namugongo'!K23</f>
        <v>1.7142857142857144</v>
      </c>
      <c r="L23" s="49">
        <f>'Avg Week Namugongo-Kireka'!L23+'Avg Week Kireka-Namugongo'!L23</f>
        <v>0.5714285714285714</v>
      </c>
      <c r="M23" s="49">
        <f>'Avg Week Namugongo-Kireka'!M23+'Avg Week Kireka-Namugongo'!M23</f>
        <v>267.57142857142856</v>
      </c>
      <c r="N23" s="49">
        <f>'Avg Week Namugongo-Kireka'!N23+'Avg Week Kireka-Namugongo'!N23</f>
        <v>0</v>
      </c>
      <c r="O23" s="15">
        <f t="shared" si="0"/>
        <v>212.57142857142861</v>
      </c>
      <c r="P23" s="15">
        <f t="shared" si="1"/>
        <v>480.14285714285717</v>
      </c>
      <c r="R23" s="1" t="s">
        <v>147</v>
      </c>
      <c r="S23" s="34">
        <f>SUM(C62:C65)</f>
        <v>256.5</v>
      </c>
      <c r="T23" s="34">
        <f t="shared" ref="T23:AF23" si="15">SUM(D62:D65)</f>
        <v>46</v>
      </c>
      <c r="U23" s="34">
        <f t="shared" si="15"/>
        <v>26.5</v>
      </c>
      <c r="V23" s="34">
        <f t="shared" si="15"/>
        <v>96.5</v>
      </c>
      <c r="W23" s="34">
        <f t="shared" si="15"/>
        <v>0</v>
      </c>
      <c r="X23" s="34">
        <f t="shared" si="15"/>
        <v>0</v>
      </c>
      <c r="Y23" s="34">
        <f t="shared" si="15"/>
        <v>13</v>
      </c>
      <c r="Z23" s="34">
        <f t="shared" si="15"/>
        <v>7</v>
      </c>
      <c r="AA23" s="34">
        <f t="shared" si="15"/>
        <v>2</v>
      </c>
      <c r="AB23" s="34">
        <f t="shared" si="15"/>
        <v>0</v>
      </c>
      <c r="AC23" s="34">
        <f t="shared" si="15"/>
        <v>595.5</v>
      </c>
      <c r="AD23" s="34">
        <f t="shared" si="15"/>
        <v>0</v>
      </c>
      <c r="AE23" s="51">
        <f t="shared" si="15"/>
        <v>447.5</v>
      </c>
      <c r="AF23" s="51">
        <f t="shared" si="15"/>
        <v>1043</v>
      </c>
    </row>
    <row r="24" spans="2:32" ht="23.1" customHeight="1" x14ac:dyDescent="0.25">
      <c r="B24" s="23" t="s">
        <v>51</v>
      </c>
      <c r="C24" s="49">
        <f>'Avg Week Namugongo-Kireka'!C24+'Avg Week Kireka-Namugongo'!C24</f>
        <v>109.71428571428572</v>
      </c>
      <c r="D24" s="49">
        <f>'Avg Week Namugongo-Kireka'!D24+'Avg Week Kireka-Namugongo'!D24</f>
        <v>21.571428571428573</v>
      </c>
      <c r="E24" s="49">
        <f>'Avg Week Namugongo-Kireka'!E24+'Avg Week Kireka-Namugongo'!E24</f>
        <v>12.142857142857142</v>
      </c>
      <c r="F24" s="49">
        <f>'Avg Week Namugongo-Kireka'!F24+'Avg Week Kireka-Namugongo'!F24</f>
        <v>32.285714285714285</v>
      </c>
      <c r="G24" s="49">
        <f>'Avg Week Namugongo-Kireka'!G24+'Avg Week Kireka-Namugongo'!G24</f>
        <v>2.714285714285714</v>
      </c>
      <c r="H24" s="49">
        <f>'Avg Week Namugongo-Kireka'!H24+'Avg Week Kireka-Namugongo'!H24</f>
        <v>1</v>
      </c>
      <c r="I24" s="49">
        <f>'Avg Week Namugongo-Kireka'!I24+'Avg Week Kireka-Namugongo'!I24</f>
        <v>9.7142857142857135</v>
      </c>
      <c r="J24" s="49">
        <f>'Avg Week Namugongo-Kireka'!J24+'Avg Week Kireka-Namugongo'!J24</f>
        <v>6</v>
      </c>
      <c r="K24" s="49">
        <f>'Avg Week Namugongo-Kireka'!K24+'Avg Week Kireka-Namugongo'!K24</f>
        <v>2</v>
      </c>
      <c r="L24" s="49">
        <f>'Avg Week Namugongo-Kireka'!L24+'Avg Week Kireka-Namugongo'!L24</f>
        <v>2</v>
      </c>
      <c r="M24" s="49">
        <f>'Avg Week Namugongo-Kireka'!M24+'Avg Week Kireka-Namugongo'!M24</f>
        <v>242.28571428571428</v>
      </c>
      <c r="N24" s="49">
        <f>'Avg Week Namugongo-Kireka'!N24+'Avg Week Kireka-Namugongo'!N24</f>
        <v>0</v>
      </c>
      <c r="O24" s="15">
        <f t="shared" si="0"/>
        <v>199.14285714285717</v>
      </c>
      <c r="P24" s="15">
        <f t="shared" si="1"/>
        <v>441.42857142857144</v>
      </c>
      <c r="R24" s="1" t="s">
        <v>148</v>
      </c>
      <c r="S24" s="34">
        <f>SUM(C66:C69)</f>
        <v>168.5</v>
      </c>
      <c r="T24" s="34">
        <f t="shared" ref="T24:AF24" si="16">SUM(D66:D69)</f>
        <v>47.5</v>
      </c>
      <c r="U24" s="34">
        <f t="shared" si="16"/>
        <v>23.5</v>
      </c>
      <c r="V24" s="34">
        <f t="shared" si="16"/>
        <v>74</v>
      </c>
      <c r="W24" s="34">
        <f t="shared" si="16"/>
        <v>1</v>
      </c>
      <c r="X24" s="34">
        <f t="shared" si="16"/>
        <v>0</v>
      </c>
      <c r="Y24" s="34">
        <f t="shared" si="16"/>
        <v>8.5</v>
      </c>
      <c r="Z24" s="34">
        <f t="shared" si="16"/>
        <v>2.5</v>
      </c>
      <c r="AA24" s="34">
        <f t="shared" si="16"/>
        <v>1</v>
      </c>
      <c r="AB24" s="34">
        <f t="shared" si="16"/>
        <v>0</v>
      </c>
      <c r="AC24" s="34">
        <f t="shared" si="16"/>
        <v>414.5</v>
      </c>
      <c r="AD24" s="34">
        <f t="shared" si="16"/>
        <v>0</v>
      </c>
      <c r="AE24" s="51">
        <f t="shared" si="16"/>
        <v>326.5</v>
      </c>
      <c r="AF24" s="51">
        <f t="shared" si="16"/>
        <v>741</v>
      </c>
    </row>
    <row r="25" spans="2:32" ht="23.1" customHeight="1" x14ac:dyDescent="0.25">
      <c r="B25" s="23" t="s">
        <v>52</v>
      </c>
      <c r="C25" s="49">
        <f>'Avg Week Namugongo-Kireka'!C25+'Avg Week Kireka-Namugongo'!C25</f>
        <v>107.14285714285714</v>
      </c>
      <c r="D25" s="49">
        <f>'Avg Week Namugongo-Kireka'!D25+'Avg Week Kireka-Namugongo'!D25</f>
        <v>22.571428571428569</v>
      </c>
      <c r="E25" s="49">
        <f>'Avg Week Namugongo-Kireka'!E25+'Avg Week Kireka-Namugongo'!E25</f>
        <v>15</v>
      </c>
      <c r="F25" s="49">
        <f>'Avg Week Namugongo-Kireka'!F25+'Avg Week Kireka-Namugongo'!F25</f>
        <v>34.285714285714285</v>
      </c>
      <c r="G25" s="49">
        <f>'Avg Week Namugongo-Kireka'!G25+'Avg Week Kireka-Namugongo'!G25</f>
        <v>2.4285714285714288</v>
      </c>
      <c r="H25" s="49">
        <f>'Avg Week Namugongo-Kireka'!H25+'Avg Week Kireka-Namugongo'!H25</f>
        <v>1.2857142857142856</v>
      </c>
      <c r="I25" s="49">
        <f>'Avg Week Namugongo-Kireka'!I25+'Avg Week Kireka-Namugongo'!I25</f>
        <v>10</v>
      </c>
      <c r="J25" s="49">
        <f>'Avg Week Namugongo-Kireka'!J25+'Avg Week Kireka-Namugongo'!J25</f>
        <v>3.1428571428571428</v>
      </c>
      <c r="K25" s="49">
        <f>'Avg Week Namugongo-Kireka'!K25+'Avg Week Kireka-Namugongo'!K25</f>
        <v>2.714285714285714</v>
      </c>
      <c r="L25" s="49">
        <f>'Avg Week Namugongo-Kireka'!L25+'Avg Week Kireka-Namugongo'!L25</f>
        <v>0.5714285714285714</v>
      </c>
      <c r="M25" s="49">
        <f>'Avg Week Namugongo-Kireka'!M25+'Avg Week Kireka-Namugongo'!M25</f>
        <v>233.42857142857144</v>
      </c>
      <c r="N25" s="49">
        <f>'Avg Week Namugongo-Kireka'!N25+'Avg Week Kireka-Namugongo'!N25</f>
        <v>0</v>
      </c>
      <c r="O25" s="15">
        <f t="shared" si="0"/>
        <v>199.14285714285714</v>
      </c>
      <c r="P25" s="15">
        <f t="shared" si="1"/>
        <v>432.57142857142856</v>
      </c>
      <c r="R25" s="1" t="s">
        <v>149</v>
      </c>
      <c r="S25" s="34">
        <f>SUM(C70:C73)</f>
        <v>252.5</v>
      </c>
      <c r="T25" s="34">
        <f t="shared" ref="T25:AF25" si="17">SUM(D70:D73)</f>
        <v>75.5</v>
      </c>
      <c r="U25" s="34">
        <f t="shared" si="17"/>
        <v>28</v>
      </c>
      <c r="V25" s="34">
        <f t="shared" si="17"/>
        <v>58.5</v>
      </c>
      <c r="W25" s="34">
        <f t="shared" si="17"/>
        <v>1</v>
      </c>
      <c r="X25" s="34">
        <f t="shared" si="17"/>
        <v>0</v>
      </c>
      <c r="Y25" s="34">
        <f t="shared" si="17"/>
        <v>9</v>
      </c>
      <c r="Z25" s="34">
        <f t="shared" si="17"/>
        <v>3.5</v>
      </c>
      <c r="AA25" s="34">
        <f t="shared" si="17"/>
        <v>1</v>
      </c>
      <c r="AB25" s="34">
        <f t="shared" si="17"/>
        <v>0.5</v>
      </c>
      <c r="AC25" s="34">
        <f t="shared" si="17"/>
        <v>335.5</v>
      </c>
      <c r="AD25" s="34">
        <f t="shared" si="17"/>
        <v>0</v>
      </c>
      <c r="AE25" s="51">
        <f t="shared" si="17"/>
        <v>429.5</v>
      </c>
      <c r="AF25" s="51">
        <f t="shared" si="17"/>
        <v>765</v>
      </c>
    </row>
    <row r="26" spans="2:32" ht="23.1" customHeight="1" x14ac:dyDescent="0.25">
      <c r="B26" s="23" t="s">
        <v>53</v>
      </c>
      <c r="C26" s="49">
        <f>'Avg Week Namugongo-Kireka'!C26+'Avg Week Kireka-Namugongo'!C26</f>
        <v>111.28571428571428</v>
      </c>
      <c r="D26" s="49">
        <f>'Avg Week Namugongo-Kireka'!D26+'Avg Week Kireka-Namugongo'!D26</f>
        <v>17.142857142857142</v>
      </c>
      <c r="E26" s="49">
        <f>'Avg Week Namugongo-Kireka'!E26+'Avg Week Kireka-Namugongo'!E26</f>
        <v>19.571428571428573</v>
      </c>
      <c r="F26" s="49">
        <f>'Avg Week Namugongo-Kireka'!F26+'Avg Week Kireka-Namugongo'!F26</f>
        <v>26.285714285714285</v>
      </c>
      <c r="G26" s="49">
        <f>'Avg Week Namugongo-Kireka'!G26+'Avg Week Kireka-Namugongo'!G26</f>
        <v>2.1428571428571428</v>
      </c>
      <c r="H26" s="49">
        <f>'Avg Week Namugongo-Kireka'!H26+'Avg Week Kireka-Namugongo'!H26</f>
        <v>2.1428571428571428</v>
      </c>
      <c r="I26" s="49">
        <f>'Avg Week Namugongo-Kireka'!I26+'Avg Week Kireka-Namugongo'!I26</f>
        <v>9.5714285714285712</v>
      </c>
      <c r="J26" s="49">
        <f>'Avg Week Namugongo-Kireka'!J26+'Avg Week Kireka-Namugongo'!J26</f>
        <v>3.8571428571428568</v>
      </c>
      <c r="K26" s="49">
        <f>'Avg Week Namugongo-Kireka'!K26+'Avg Week Kireka-Namugongo'!K26</f>
        <v>2.4285714285714284</v>
      </c>
      <c r="L26" s="49">
        <f>'Avg Week Namugongo-Kireka'!L26+'Avg Week Kireka-Namugongo'!L26</f>
        <v>1.2857142857142856</v>
      </c>
      <c r="M26" s="49">
        <f>'Avg Week Namugongo-Kireka'!M26+'Avg Week Kireka-Namugongo'!M26</f>
        <v>248.28571428571428</v>
      </c>
      <c r="N26" s="49">
        <f>'Avg Week Namugongo-Kireka'!N26+'Avg Week Kireka-Namugongo'!N26</f>
        <v>0</v>
      </c>
      <c r="O26" s="15">
        <f t="shared" si="0"/>
        <v>195.71428571428569</v>
      </c>
      <c r="P26" s="15">
        <f t="shared" si="1"/>
        <v>444</v>
      </c>
      <c r="R26" s="1" t="s">
        <v>150</v>
      </c>
      <c r="S26" s="34">
        <f>SUM(C74:C77)</f>
        <v>169.5</v>
      </c>
      <c r="T26" s="34">
        <f t="shared" ref="T26:AF26" si="18">SUM(D74:D77)</f>
        <v>52.5</v>
      </c>
      <c r="U26" s="34">
        <f t="shared" si="18"/>
        <v>10</v>
      </c>
      <c r="V26" s="34">
        <f t="shared" si="18"/>
        <v>35.5</v>
      </c>
      <c r="W26" s="34">
        <f t="shared" si="18"/>
        <v>0.5</v>
      </c>
      <c r="X26" s="34">
        <f t="shared" si="18"/>
        <v>1.5</v>
      </c>
      <c r="Y26" s="34">
        <f t="shared" si="18"/>
        <v>7.5</v>
      </c>
      <c r="Z26" s="34">
        <f t="shared" si="18"/>
        <v>6</v>
      </c>
      <c r="AA26" s="34">
        <f t="shared" si="18"/>
        <v>0.5</v>
      </c>
      <c r="AB26" s="34">
        <f t="shared" si="18"/>
        <v>0</v>
      </c>
      <c r="AC26" s="34">
        <f t="shared" si="18"/>
        <v>255</v>
      </c>
      <c r="AD26" s="34">
        <f t="shared" si="18"/>
        <v>0</v>
      </c>
      <c r="AE26" s="51">
        <f t="shared" si="18"/>
        <v>283.5</v>
      </c>
      <c r="AF26" s="51">
        <f t="shared" si="18"/>
        <v>538.5</v>
      </c>
    </row>
    <row r="27" spans="2:32" ht="23.1" customHeight="1" x14ac:dyDescent="0.25">
      <c r="B27" s="23" t="s">
        <v>54</v>
      </c>
      <c r="C27" s="49">
        <f>'Avg Week Namugongo-Kireka'!C27+'Avg Week Kireka-Namugongo'!C27</f>
        <v>116.85714285714286</v>
      </c>
      <c r="D27" s="49">
        <f>'Avg Week Namugongo-Kireka'!D27+'Avg Week Kireka-Namugongo'!D27</f>
        <v>19.142857142857142</v>
      </c>
      <c r="E27" s="49">
        <f>'Avg Week Namugongo-Kireka'!E27+'Avg Week Kireka-Namugongo'!E27</f>
        <v>15.571428571428573</v>
      </c>
      <c r="F27" s="49">
        <f>'Avg Week Namugongo-Kireka'!F27+'Avg Week Kireka-Namugongo'!F27</f>
        <v>37.857142857142861</v>
      </c>
      <c r="G27" s="49">
        <f>'Avg Week Namugongo-Kireka'!G27+'Avg Week Kireka-Namugongo'!G27</f>
        <v>0.8571428571428571</v>
      </c>
      <c r="H27" s="49">
        <f>'Avg Week Namugongo-Kireka'!H27+'Avg Week Kireka-Namugongo'!H27</f>
        <v>0.14285714285714285</v>
      </c>
      <c r="I27" s="49">
        <f>'Avg Week Namugongo-Kireka'!I27+'Avg Week Kireka-Namugongo'!I27</f>
        <v>11.428571428571429</v>
      </c>
      <c r="J27" s="49">
        <f>'Avg Week Namugongo-Kireka'!J27+'Avg Week Kireka-Namugongo'!J27</f>
        <v>3.4285714285714284</v>
      </c>
      <c r="K27" s="49">
        <f>'Avg Week Namugongo-Kireka'!K27+'Avg Week Kireka-Namugongo'!K27</f>
        <v>2.5</v>
      </c>
      <c r="L27" s="49">
        <f>'Avg Week Namugongo-Kireka'!L27+'Avg Week Kireka-Namugongo'!L27</f>
        <v>1.1428571428571428</v>
      </c>
      <c r="M27" s="49">
        <f>'Avg Week Namugongo-Kireka'!M27+'Avg Week Kireka-Namugongo'!M27</f>
        <v>241</v>
      </c>
      <c r="N27" s="49">
        <f>'Avg Week Namugongo-Kireka'!N27+'Avg Week Kireka-Namugongo'!N27</f>
        <v>0</v>
      </c>
      <c r="O27" s="15">
        <f t="shared" si="0"/>
        <v>208.92857142857142</v>
      </c>
      <c r="P27" s="15">
        <f t="shared" si="1"/>
        <v>449.92857142857144</v>
      </c>
      <c r="R27" s="1" t="s">
        <v>151</v>
      </c>
      <c r="S27" s="34">
        <f>SUM(C78:C81)</f>
        <v>111</v>
      </c>
      <c r="T27" s="34">
        <f t="shared" ref="T27:AF27" si="19">SUM(D78:D81)</f>
        <v>26.5</v>
      </c>
      <c r="U27" s="34">
        <f t="shared" si="19"/>
        <v>10.5</v>
      </c>
      <c r="V27" s="34">
        <f t="shared" si="19"/>
        <v>41</v>
      </c>
      <c r="W27" s="34">
        <f t="shared" si="19"/>
        <v>0</v>
      </c>
      <c r="X27" s="34">
        <f t="shared" si="19"/>
        <v>0</v>
      </c>
      <c r="Y27" s="34">
        <f t="shared" si="19"/>
        <v>2.5</v>
      </c>
      <c r="Z27" s="34">
        <f t="shared" si="19"/>
        <v>1</v>
      </c>
      <c r="AA27" s="34">
        <f t="shared" si="19"/>
        <v>0</v>
      </c>
      <c r="AB27" s="34">
        <f t="shared" si="19"/>
        <v>0</v>
      </c>
      <c r="AC27" s="34">
        <f t="shared" si="19"/>
        <v>163.5</v>
      </c>
      <c r="AD27" s="34">
        <f t="shared" si="19"/>
        <v>0</v>
      </c>
      <c r="AE27" s="51">
        <f t="shared" si="19"/>
        <v>192.5</v>
      </c>
      <c r="AF27" s="51">
        <f t="shared" si="19"/>
        <v>356</v>
      </c>
    </row>
    <row r="28" spans="2:32" ht="23.1" customHeight="1" x14ac:dyDescent="0.25">
      <c r="B28" s="23" t="s">
        <v>55</v>
      </c>
      <c r="C28" s="49">
        <f>'Avg Week Namugongo-Kireka'!C28+'Avg Week Kireka-Namugongo'!C28</f>
        <v>104.42857142857143</v>
      </c>
      <c r="D28" s="49">
        <f>'Avg Week Namugongo-Kireka'!D28+'Avg Week Kireka-Namugongo'!D28</f>
        <v>17</v>
      </c>
      <c r="E28" s="49">
        <f>'Avg Week Namugongo-Kireka'!E28+'Avg Week Kireka-Namugongo'!E28</f>
        <v>17.857142857142858</v>
      </c>
      <c r="F28" s="49">
        <f>'Avg Week Namugongo-Kireka'!F28+'Avg Week Kireka-Namugongo'!F28</f>
        <v>36.142857142857139</v>
      </c>
      <c r="G28" s="49">
        <f>'Avg Week Namugongo-Kireka'!G28+'Avg Week Kireka-Namugongo'!G28</f>
        <v>0.42857142857142855</v>
      </c>
      <c r="H28" s="49">
        <f>'Avg Week Namugongo-Kireka'!H28+'Avg Week Kireka-Namugongo'!H28</f>
        <v>0.7142857142857143</v>
      </c>
      <c r="I28" s="49">
        <f>'Avg Week Namugongo-Kireka'!I28+'Avg Week Kireka-Namugongo'!I28</f>
        <v>15</v>
      </c>
      <c r="J28" s="49">
        <f>'Avg Week Namugongo-Kireka'!J28+'Avg Week Kireka-Namugongo'!J28</f>
        <v>3.1428571428571432</v>
      </c>
      <c r="K28" s="49">
        <f>'Avg Week Namugongo-Kireka'!K28+'Avg Week Kireka-Namugongo'!K28</f>
        <v>2.7142857142857144</v>
      </c>
      <c r="L28" s="49">
        <f>'Avg Week Namugongo-Kireka'!L28+'Avg Week Kireka-Namugongo'!L28</f>
        <v>0.2857142857142857</v>
      </c>
      <c r="M28" s="49">
        <f>'Avg Week Namugongo-Kireka'!M28+'Avg Week Kireka-Namugongo'!M28</f>
        <v>245.28571428571428</v>
      </c>
      <c r="N28" s="49">
        <f>'Avg Week Namugongo-Kireka'!N28+'Avg Week Kireka-Namugongo'!N28</f>
        <v>0</v>
      </c>
      <c r="O28" s="15">
        <f t="shared" si="0"/>
        <v>197.71428571428569</v>
      </c>
      <c r="P28" s="15">
        <f t="shared" si="1"/>
        <v>443</v>
      </c>
      <c r="R28" s="1" t="s">
        <v>152</v>
      </c>
      <c r="S28" s="34">
        <f>SUM(C82:C85)</f>
        <v>69</v>
      </c>
      <c r="T28" s="34">
        <f t="shared" ref="T28:AF28" si="20">SUM(D82:D85)</f>
        <v>8.5</v>
      </c>
      <c r="U28" s="34">
        <f t="shared" si="20"/>
        <v>3.5</v>
      </c>
      <c r="V28" s="34">
        <f t="shared" si="20"/>
        <v>4</v>
      </c>
      <c r="W28" s="34">
        <f t="shared" si="20"/>
        <v>0</v>
      </c>
      <c r="X28" s="34">
        <f t="shared" si="20"/>
        <v>0</v>
      </c>
      <c r="Y28" s="34">
        <f t="shared" si="20"/>
        <v>2</v>
      </c>
      <c r="Z28" s="34">
        <f t="shared" si="20"/>
        <v>3.5</v>
      </c>
      <c r="AA28" s="34">
        <f t="shared" si="20"/>
        <v>0</v>
      </c>
      <c r="AB28" s="34">
        <f t="shared" si="20"/>
        <v>0</v>
      </c>
      <c r="AC28" s="34">
        <f t="shared" si="20"/>
        <v>131.5</v>
      </c>
      <c r="AD28" s="34">
        <f t="shared" si="20"/>
        <v>0</v>
      </c>
      <c r="AE28" s="51">
        <f t="shared" si="20"/>
        <v>90.5</v>
      </c>
      <c r="AF28" s="51">
        <f t="shared" si="20"/>
        <v>222</v>
      </c>
    </row>
    <row r="29" spans="2:32" ht="23.1" customHeight="1" x14ac:dyDescent="0.25">
      <c r="B29" s="23" t="s">
        <v>56</v>
      </c>
      <c r="C29" s="49">
        <f>'Avg Week Namugongo-Kireka'!C29+'Avg Week Kireka-Namugongo'!C29</f>
        <v>99</v>
      </c>
      <c r="D29" s="49">
        <f>'Avg Week Namugongo-Kireka'!D29+'Avg Week Kireka-Namugongo'!D29</f>
        <v>16.285714285714285</v>
      </c>
      <c r="E29" s="49">
        <f>'Avg Week Namugongo-Kireka'!E29+'Avg Week Kireka-Namugongo'!E29</f>
        <v>12.571428571428571</v>
      </c>
      <c r="F29" s="49">
        <f>'Avg Week Namugongo-Kireka'!F29+'Avg Week Kireka-Namugongo'!F29</f>
        <v>38</v>
      </c>
      <c r="G29" s="49">
        <f>'Avg Week Namugongo-Kireka'!G29+'Avg Week Kireka-Namugongo'!G29</f>
        <v>1.7142857142857144</v>
      </c>
      <c r="H29" s="49">
        <f>'Avg Week Namugongo-Kireka'!H29+'Avg Week Kireka-Namugongo'!H29</f>
        <v>0.42857142857142855</v>
      </c>
      <c r="I29" s="49">
        <f>'Avg Week Namugongo-Kireka'!I29+'Avg Week Kireka-Namugongo'!I29</f>
        <v>13.428571428571429</v>
      </c>
      <c r="J29" s="49">
        <f>'Avg Week Namugongo-Kireka'!J29+'Avg Week Kireka-Namugongo'!J29</f>
        <v>3.1428571428571432</v>
      </c>
      <c r="K29" s="49">
        <f>'Avg Week Namugongo-Kireka'!K29+'Avg Week Kireka-Namugongo'!K29</f>
        <v>4.2857142857142856</v>
      </c>
      <c r="L29" s="49">
        <f>'Avg Week Namugongo-Kireka'!L29+'Avg Week Kireka-Namugongo'!L29</f>
        <v>0.2857142857142857</v>
      </c>
      <c r="M29" s="49">
        <f>'Avg Week Namugongo-Kireka'!M29+'Avg Week Kireka-Namugongo'!M29</f>
        <v>235.14285714285714</v>
      </c>
      <c r="N29" s="49">
        <f>'Avg Week Namugongo-Kireka'!N29+'Avg Week Kireka-Namugongo'!N29</f>
        <v>0</v>
      </c>
      <c r="O29" s="15">
        <f t="shared" si="0"/>
        <v>189.14285714285708</v>
      </c>
      <c r="P29" s="15">
        <f t="shared" si="1"/>
        <v>424.28571428571422</v>
      </c>
      <c r="R29" s="1" t="s">
        <v>153</v>
      </c>
      <c r="S29" s="34">
        <f>SUM(C86:C89)</f>
        <v>50.5</v>
      </c>
      <c r="T29" s="34">
        <f t="shared" ref="T29:AF29" si="21">SUM(D86:D89)</f>
        <v>10</v>
      </c>
      <c r="U29" s="34">
        <f t="shared" si="21"/>
        <v>4</v>
      </c>
      <c r="V29" s="34">
        <f t="shared" si="21"/>
        <v>8.5</v>
      </c>
      <c r="W29" s="34">
        <f t="shared" si="21"/>
        <v>0</v>
      </c>
      <c r="X29" s="34">
        <f t="shared" si="21"/>
        <v>0</v>
      </c>
      <c r="Y29" s="34">
        <f t="shared" si="21"/>
        <v>1</v>
      </c>
      <c r="Z29" s="34">
        <f t="shared" si="21"/>
        <v>0.5</v>
      </c>
      <c r="AA29" s="34">
        <f t="shared" si="21"/>
        <v>0</v>
      </c>
      <c r="AB29" s="34">
        <f t="shared" si="21"/>
        <v>0</v>
      </c>
      <c r="AC29" s="34">
        <f t="shared" si="21"/>
        <v>79</v>
      </c>
      <c r="AD29" s="34">
        <f t="shared" si="21"/>
        <v>0</v>
      </c>
      <c r="AE29" s="51">
        <f t="shared" si="21"/>
        <v>74.5</v>
      </c>
      <c r="AF29" s="51">
        <f t="shared" si="21"/>
        <v>153.5</v>
      </c>
    </row>
    <row r="30" spans="2:32" ht="23.1" customHeight="1" x14ac:dyDescent="0.25">
      <c r="B30" s="23" t="s">
        <v>57</v>
      </c>
      <c r="C30" s="49">
        <f>'Avg Week Namugongo-Kireka'!C30+'Avg Week Kireka-Namugongo'!C30</f>
        <v>101.57142857142857</v>
      </c>
      <c r="D30" s="49">
        <f>'Avg Week Namugongo-Kireka'!D30+'Avg Week Kireka-Namugongo'!D30</f>
        <v>18.142857142857142</v>
      </c>
      <c r="E30" s="49">
        <f>'Avg Week Namugongo-Kireka'!E30+'Avg Week Kireka-Namugongo'!E30</f>
        <v>15</v>
      </c>
      <c r="F30" s="49">
        <f>'Avg Week Namugongo-Kireka'!F30+'Avg Week Kireka-Namugongo'!F30</f>
        <v>33.142857142857146</v>
      </c>
      <c r="G30" s="49">
        <f>'Avg Week Namugongo-Kireka'!G30+'Avg Week Kireka-Namugongo'!G30</f>
        <v>0</v>
      </c>
      <c r="H30" s="49">
        <f>'Avg Week Namugongo-Kireka'!H30+'Avg Week Kireka-Namugongo'!H30</f>
        <v>2.4285714285714284</v>
      </c>
      <c r="I30" s="49">
        <f>'Avg Week Namugongo-Kireka'!I30+'Avg Week Kireka-Namugongo'!I30</f>
        <v>14.857142857142858</v>
      </c>
      <c r="J30" s="49">
        <f>'Avg Week Namugongo-Kireka'!J30+'Avg Week Kireka-Namugongo'!J30</f>
        <v>5.1428571428571423</v>
      </c>
      <c r="K30" s="49">
        <f>'Avg Week Namugongo-Kireka'!K30+'Avg Week Kireka-Namugongo'!K30</f>
        <v>1.5714285714285714</v>
      </c>
      <c r="L30" s="49">
        <f>'Avg Week Namugongo-Kireka'!L30+'Avg Week Kireka-Namugongo'!L30</f>
        <v>0.2857142857142857</v>
      </c>
      <c r="M30" s="49">
        <f>'Avg Week Namugongo-Kireka'!M30+'Avg Week Kireka-Namugongo'!M30</f>
        <v>230.28571428571428</v>
      </c>
      <c r="N30" s="49">
        <f>'Avg Week Namugongo-Kireka'!N30+'Avg Week Kireka-Namugongo'!N30</f>
        <v>0.14285714285714285</v>
      </c>
      <c r="O30" s="15">
        <f t="shared" si="0"/>
        <v>192.28571428571428</v>
      </c>
      <c r="P30" s="15">
        <f t="shared" si="1"/>
        <v>422.57142857142861</v>
      </c>
      <c r="R30" s="1" t="s">
        <v>154</v>
      </c>
      <c r="S30" s="34">
        <f>SUM(C90:C93)</f>
        <v>43</v>
      </c>
      <c r="T30" s="34">
        <f t="shared" ref="T30:AF30" si="22">SUM(D90:D93)</f>
        <v>10.5</v>
      </c>
      <c r="U30" s="34">
        <f t="shared" si="22"/>
        <v>1.5</v>
      </c>
      <c r="V30" s="34">
        <f t="shared" si="22"/>
        <v>5</v>
      </c>
      <c r="W30" s="34">
        <f t="shared" si="22"/>
        <v>0</v>
      </c>
      <c r="X30" s="34">
        <f t="shared" si="22"/>
        <v>0</v>
      </c>
      <c r="Y30" s="34">
        <f t="shared" si="22"/>
        <v>2.5</v>
      </c>
      <c r="Z30" s="34">
        <f t="shared" si="22"/>
        <v>2</v>
      </c>
      <c r="AA30" s="34">
        <f t="shared" si="22"/>
        <v>0.5</v>
      </c>
      <c r="AB30" s="34">
        <f t="shared" si="22"/>
        <v>0</v>
      </c>
      <c r="AC30" s="34">
        <f t="shared" si="22"/>
        <v>63.5</v>
      </c>
      <c r="AD30" s="34">
        <f t="shared" si="22"/>
        <v>0</v>
      </c>
      <c r="AE30" s="51">
        <f t="shared" si="22"/>
        <v>65</v>
      </c>
      <c r="AF30" s="51">
        <f t="shared" si="22"/>
        <v>128.5</v>
      </c>
    </row>
    <row r="31" spans="2:32" ht="23.1" customHeight="1" x14ac:dyDescent="0.25">
      <c r="B31" s="24" t="s">
        <v>58</v>
      </c>
      <c r="C31" s="49">
        <f>'Avg Week Namugongo-Kireka'!C31+'Avg Week Kireka-Namugongo'!C31</f>
        <v>103.42857142857142</v>
      </c>
      <c r="D31" s="49">
        <f>'Avg Week Namugongo-Kireka'!D31+'Avg Week Kireka-Namugongo'!D31</f>
        <v>19</v>
      </c>
      <c r="E31" s="49">
        <f>'Avg Week Namugongo-Kireka'!E31+'Avg Week Kireka-Namugongo'!E31</f>
        <v>14.714285714285715</v>
      </c>
      <c r="F31" s="49">
        <f>'Avg Week Namugongo-Kireka'!F31+'Avg Week Kireka-Namugongo'!F31</f>
        <v>30.571428571428569</v>
      </c>
      <c r="G31" s="49">
        <f>'Avg Week Namugongo-Kireka'!G31+'Avg Week Kireka-Namugongo'!G31</f>
        <v>0.8571428571428571</v>
      </c>
      <c r="H31" s="49">
        <f>'Avg Week Namugongo-Kireka'!H31+'Avg Week Kireka-Namugongo'!H31</f>
        <v>0.42857142857142855</v>
      </c>
      <c r="I31" s="49">
        <f>'Avg Week Namugongo-Kireka'!I31+'Avg Week Kireka-Namugongo'!I31</f>
        <v>12.857142857142858</v>
      </c>
      <c r="J31" s="49">
        <f>'Avg Week Namugongo-Kireka'!J31+'Avg Week Kireka-Namugongo'!J31</f>
        <v>4.1428571428571432</v>
      </c>
      <c r="K31" s="49">
        <f>'Avg Week Namugongo-Kireka'!K31+'Avg Week Kireka-Namugongo'!K31</f>
        <v>2.8571428571428572</v>
      </c>
      <c r="L31" s="49">
        <f>'Avg Week Namugongo-Kireka'!L31+'Avg Week Kireka-Namugongo'!L31</f>
        <v>0.71428571428571419</v>
      </c>
      <c r="M31" s="49">
        <f>'Avg Week Namugongo-Kireka'!M31+'Avg Week Kireka-Namugongo'!M31</f>
        <v>233.14285714285717</v>
      </c>
      <c r="N31" s="49">
        <f>'Avg Week Namugongo-Kireka'!N31+'Avg Week Kireka-Namugongo'!N31</f>
        <v>0</v>
      </c>
      <c r="O31" s="15">
        <f t="shared" si="0"/>
        <v>189.57142857142858</v>
      </c>
      <c r="P31" s="15">
        <f t="shared" si="1"/>
        <v>422.71428571428578</v>
      </c>
      <c r="R31" s="1" t="s">
        <v>155</v>
      </c>
      <c r="S31" s="34">
        <f>SUM(C94:C97)</f>
        <v>48.5</v>
      </c>
      <c r="T31" s="34">
        <f t="shared" ref="T31:AF31" si="23">SUM(D94:D97)</f>
        <v>11.5</v>
      </c>
      <c r="U31" s="34">
        <f t="shared" si="23"/>
        <v>2.5</v>
      </c>
      <c r="V31" s="34">
        <f t="shared" si="23"/>
        <v>16.5</v>
      </c>
      <c r="W31" s="34">
        <f t="shared" si="23"/>
        <v>0</v>
      </c>
      <c r="X31" s="34">
        <f t="shared" si="23"/>
        <v>0</v>
      </c>
      <c r="Y31" s="34">
        <f t="shared" si="23"/>
        <v>2.5</v>
      </c>
      <c r="Z31" s="34">
        <f t="shared" si="23"/>
        <v>3</v>
      </c>
      <c r="AA31" s="34">
        <f t="shared" si="23"/>
        <v>0</v>
      </c>
      <c r="AB31" s="34">
        <f t="shared" si="23"/>
        <v>0.5</v>
      </c>
      <c r="AC31" s="34">
        <f t="shared" si="23"/>
        <v>50.5</v>
      </c>
      <c r="AD31" s="34">
        <f t="shared" si="23"/>
        <v>0</v>
      </c>
      <c r="AE31" s="51">
        <f t="shared" si="23"/>
        <v>85</v>
      </c>
      <c r="AF31" s="51">
        <f t="shared" si="23"/>
        <v>135.5</v>
      </c>
    </row>
    <row r="32" spans="2:32" ht="23.1" customHeight="1" x14ac:dyDescent="0.25">
      <c r="B32" s="24" t="s">
        <v>59</v>
      </c>
      <c r="C32" s="49">
        <f>'Avg Week Namugongo-Kireka'!C32+'Avg Week Kireka-Namugongo'!C32</f>
        <v>106.85714285714286</v>
      </c>
      <c r="D32" s="49">
        <f>'Avg Week Namugongo-Kireka'!D32+'Avg Week Kireka-Namugongo'!D32</f>
        <v>19.857142857142858</v>
      </c>
      <c r="E32" s="49">
        <f>'Avg Week Namugongo-Kireka'!E32+'Avg Week Kireka-Namugongo'!E32</f>
        <v>15.142857142857142</v>
      </c>
      <c r="F32" s="49">
        <f>'Avg Week Namugongo-Kireka'!F32+'Avg Week Kireka-Namugongo'!F32</f>
        <v>35</v>
      </c>
      <c r="G32" s="49">
        <f>'Avg Week Namugongo-Kireka'!G32+'Avg Week Kireka-Namugongo'!G32</f>
        <v>0.71428571428571419</v>
      </c>
      <c r="H32" s="49">
        <f>'Avg Week Namugongo-Kireka'!H32+'Avg Week Kireka-Namugongo'!H32</f>
        <v>0.7142857142857143</v>
      </c>
      <c r="I32" s="49">
        <f>'Avg Week Namugongo-Kireka'!I32+'Avg Week Kireka-Namugongo'!I32</f>
        <v>12.714285714285715</v>
      </c>
      <c r="J32" s="49">
        <f>'Avg Week Namugongo-Kireka'!J32+'Avg Week Kireka-Namugongo'!J32</f>
        <v>3.7142857142857144</v>
      </c>
      <c r="K32" s="49">
        <f>'Avg Week Namugongo-Kireka'!K32+'Avg Week Kireka-Namugongo'!K32</f>
        <v>1.8571428571428572</v>
      </c>
      <c r="L32" s="49">
        <f>'Avg Week Namugongo-Kireka'!L32+'Avg Week Kireka-Namugongo'!L32</f>
        <v>0.42857142857142855</v>
      </c>
      <c r="M32" s="49">
        <f>'Avg Week Namugongo-Kireka'!M32+'Avg Week Kireka-Namugongo'!M32</f>
        <v>207.57142857142856</v>
      </c>
      <c r="N32" s="49">
        <f>'Avg Week Namugongo-Kireka'!N32+'Avg Week Kireka-Namugongo'!N32</f>
        <v>0</v>
      </c>
      <c r="O32" s="15">
        <f t="shared" si="0"/>
        <v>197.00000000000003</v>
      </c>
      <c r="P32" s="15">
        <f t="shared" si="1"/>
        <v>404.57142857142856</v>
      </c>
      <c r="R32" s="1" t="s">
        <v>156</v>
      </c>
      <c r="S32" s="34">
        <f>SUM(C98:C101)</f>
        <v>40</v>
      </c>
      <c r="T32" s="34">
        <f t="shared" ref="T32:AF32" si="24">SUM(D98:D101)</f>
        <v>8.5</v>
      </c>
      <c r="U32" s="34">
        <f t="shared" si="24"/>
        <v>10.5</v>
      </c>
      <c r="V32" s="34">
        <f t="shared" si="24"/>
        <v>13</v>
      </c>
      <c r="W32" s="34">
        <f t="shared" si="24"/>
        <v>0</v>
      </c>
      <c r="X32" s="34">
        <f t="shared" si="24"/>
        <v>0</v>
      </c>
      <c r="Y32" s="34">
        <f t="shared" si="24"/>
        <v>1.5</v>
      </c>
      <c r="Z32" s="34">
        <f t="shared" si="24"/>
        <v>1</v>
      </c>
      <c r="AA32" s="34">
        <f t="shared" si="24"/>
        <v>1</v>
      </c>
      <c r="AB32" s="34">
        <f t="shared" si="24"/>
        <v>0</v>
      </c>
      <c r="AC32" s="34">
        <f t="shared" si="24"/>
        <v>75.5</v>
      </c>
      <c r="AD32" s="34">
        <f t="shared" si="24"/>
        <v>0</v>
      </c>
      <c r="AE32" s="51">
        <f t="shared" si="24"/>
        <v>75.5</v>
      </c>
      <c r="AF32" s="51">
        <f t="shared" si="24"/>
        <v>151</v>
      </c>
    </row>
    <row r="33" spans="2:32" ht="23.1" customHeight="1" x14ac:dyDescent="0.25">
      <c r="B33" s="23" t="s">
        <v>60</v>
      </c>
      <c r="C33" s="49">
        <f>'Avg Week Namugongo-Kireka'!C33+'Avg Week Kireka-Namugongo'!C33</f>
        <v>100.57142857142857</v>
      </c>
      <c r="D33" s="49">
        <f>'Avg Week Namugongo-Kireka'!D33+'Avg Week Kireka-Namugongo'!D33</f>
        <v>14.714285714285715</v>
      </c>
      <c r="E33" s="49">
        <f>'Avg Week Namugongo-Kireka'!E33+'Avg Week Kireka-Namugongo'!E33</f>
        <v>19.571428571428569</v>
      </c>
      <c r="F33" s="49">
        <f>'Avg Week Namugongo-Kireka'!F33+'Avg Week Kireka-Namugongo'!F33</f>
        <v>31</v>
      </c>
      <c r="G33" s="49">
        <f>'Avg Week Namugongo-Kireka'!G33+'Avg Week Kireka-Namugongo'!G33</f>
        <v>1.0714285714285714</v>
      </c>
      <c r="H33" s="49">
        <f>'Avg Week Namugongo-Kireka'!H33+'Avg Week Kireka-Namugongo'!H33</f>
        <v>0.85714285714285721</v>
      </c>
      <c r="I33" s="49">
        <f>'Avg Week Namugongo-Kireka'!I33+'Avg Week Kireka-Namugongo'!I33</f>
        <v>10</v>
      </c>
      <c r="J33" s="49">
        <f>'Avg Week Namugongo-Kireka'!J33+'Avg Week Kireka-Namugongo'!J33</f>
        <v>5.7142857142857144</v>
      </c>
      <c r="K33" s="49">
        <f>'Avg Week Namugongo-Kireka'!K33+'Avg Week Kireka-Namugongo'!K33</f>
        <v>3.4285714285714284</v>
      </c>
      <c r="L33" s="49">
        <f>'Avg Week Namugongo-Kireka'!L33+'Avg Week Kireka-Namugongo'!L33</f>
        <v>0.2857142857142857</v>
      </c>
      <c r="M33" s="49">
        <f>'Avg Week Namugongo-Kireka'!M33+'Avg Week Kireka-Namugongo'!M33</f>
        <v>223.42857142857142</v>
      </c>
      <c r="N33" s="49">
        <f>'Avg Week Namugongo-Kireka'!N33+'Avg Week Kireka-Namugongo'!N33</f>
        <v>0</v>
      </c>
      <c r="O33" s="15">
        <f t="shared" si="0"/>
        <v>187.21428571428569</v>
      </c>
      <c r="P33" s="15">
        <f t="shared" si="1"/>
        <v>410.64285714285711</v>
      </c>
      <c r="R33" s="1" t="s">
        <v>157</v>
      </c>
      <c r="S33" s="34">
        <f>SUM(C102:C105)</f>
        <v>35</v>
      </c>
      <c r="T33" s="34">
        <f t="shared" ref="T33:AF33" si="25">SUM(D102:D105)</f>
        <v>4.5</v>
      </c>
      <c r="U33" s="34">
        <f t="shared" si="25"/>
        <v>8.5</v>
      </c>
      <c r="V33" s="34">
        <f t="shared" si="25"/>
        <v>36</v>
      </c>
      <c r="W33" s="34">
        <f t="shared" si="25"/>
        <v>0</v>
      </c>
      <c r="X33" s="34">
        <f t="shared" si="25"/>
        <v>0.5</v>
      </c>
      <c r="Y33" s="34">
        <f t="shared" si="25"/>
        <v>3</v>
      </c>
      <c r="Z33" s="34">
        <f t="shared" si="25"/>
        <v>3</v>
      </c>
      <c r="AA33" s="34">
        <f t="shared" si="25"/>
        <v>2</v>
      </c>
      <c r="AB33" s="34">
        <f t="shared" si="25"/>
        <v>0</v>
      </c>
      <c r="AC33" s="34">
        <f t="shared" si="25"/>
        <v>134.5</v>
      </c>
      <c r="AD33" s="34">
        <f t="shared" si="25"/>
        <v>0</v>
      </c>
      <c r="AE33" s="51">
        <f t="shared" si="25"/>
        <v>92.5</v>
      </c>
      <c r="AF33" s="51">
        <f t="shared" si="25"/>
        <v>227</v>
      </c>
    </row>
    <row r="34" spans="2:32" ht="23.1" customHeight="1" x14ac:dyDescent="0.25">
      <c r="B34" s="24" t="s">
        <v>61</v>
      </c>
      <c r="C34" s="49">
        <f>'Avg Week Namugongo-Kireka'!C34+'Avg Week Kireka-Namugongo'!C34</f>
        <v>101</v>
      </c>
      <c r="D34" s="49">
        <f>'Avg Week Namugongo-Kireka'!D34+'Avg Week Kireka-Namugongo'!D34</f>
        <v>22.428571428571431</v>
      </c>
      <c r="E34" s="49">
        <f>'Avg Week Namugongo-Kireka'!E34+'Avg Week Kireka-Namugongo'!E34</f>
        <v>17</v>
      </c>
      <c r="F34" s="49">
        <f>'Avg Week Namugongo-Kireka'!F34+'Avg Week Kireka-Namugongo'!F34</f>
        <v>35</v>
      </c>
      <c r="G34" s="49">
        <f>'Avg Week Namugongo-Kireka'!G34+'Avg Week Kireka-Namugongo'!G34</f>
        <v>0.42857142857142855</v>
      </c>
      <c r="H34" s="49">
        <f>'Avg Week Namugongo-Kireka'!H34+'Avg Week Kireka-Namugongo'!H34</f>
        <v>1.2857142857142856</v>
      </c>
      <c r="I34" s="49">
        <f>'Avg Week Namugongo-Kireka'!I34+'Avg Week Kireka-Namugongo'!I34</f>
        <v>12</v>
      </c>
      <c r="J34" s="49">
        <f>'Avg Week Namugongo-Kireka'!J34+'Avg Week Kireka-Namugongo'!J34</f>
        <v>5.2857142857142856</v>
      </c>
      <c r="K34" s="49">
        <f>'Avg Week Namugongo-Kireka'!K34+'Avg Week Kireka-Namugongo'!K34</f>
        <v>2.1428571428571428</v>
      </c>
      <c r="L34" s="49">
        <f>'Avg Week Namugongo-Kireka'!L34+'Avg Week Kireka-Namugongo'!L34</f>
        <v>0</v>
      </c>
      <c r="M34" s="49">
        <f>'Avg Week Namugongo-Kireka'!M34+'Avg Week Kireka-Namugongo'!M34</f>
        <v>218.14285714285714</v>
      </c>
      <c r="N34" s="49">
        <f>'Avg Week Namugongo-Kireka'!N34+'Avg Week Kireka-Namugongo'!N34</f>
        <v>0.14285714285714285</v>
      </c>
      <c r="O34" s="15">
        <f t="shared" si="0"/>
        <v>196.71428571428569</v>
      </c>
      <c r="P34" s="15">
        <f t="shared" si="1"/>
        <v>414.85714285714283</v>
      </c>
      <c r="R34" s="38" t="s">
        <v>90</v>
      </c>
      <c r="S34" s="39">
        <f t="shared" ref="S34:AF34" si="26">MAX(S10:S12)</f>
        <v>435.57142857142856</v>
      </c>
      <c r="T34" s="39">
        <f t="shared" si="26"/>
        <v>62.714285714285715</v>
      </c>
      <c r="U34" s="39">
        <f t="shared" si="26"/>
        <v>51.857142857142854</v>
      </c>
      <c r="V34" s="39">
        <f t="shared" si="26"/>
        <v>153.42857142857142</v>
      </c>
      <c r="W34" s="39">
        <f t="shared" si="26"/>
        <v>3.6904761904761902</v>
      </c>
      <c r="X34" s="39">
        <f t="shared" si="26"/>
        <v>3.4285714285714279</v>
      </c>
      <c r="Y34" s="39">
        <f t="shared" si="26"/>
        <v>33.285714285714292</v>
      </c>
      <c r="Z34" s="39">
        <f t="shared" si="26"/>
        <v>12.571428571428573</v>
      </c>
      <c r="AA34" s="39">
        <f t="shared" si="26"/>
        <v>8.4285714285714288</v>
      </c>
      <c r="AB34" s="39">
        <f t="shared" si="26"/>
        <v>2.4285714285714284</v>
      </c>
      <c r="AC34" s="39">
        <f t="shared" si="26"/>
        <v>961.71428571428567</v>
      </c>
      <c r="AD34" s="39">
        <f t="shared" si="26"/>
        <v>0</v>
      </c>
      <c r="AE34" s="40">
        <f t="shared" si="26"/>
        <v>748.57142857142844</v>
      </c>
      <c r="AF34" s="40">
        <f t="shared" si="26"/>
        <v>1710.285714285714</v>
      </c>
    </row>
    <row r="35" spans="2:32" ht="23.1" customHeight="1" x14ac:dyDescent="0.25">
      <c r="B35" s="24" t="s">
        <v>62</v>
      </c>
      <c r="C35" s="49">
        <f>'Avg Week Namugongo-Kireka'!C35+'Avg Week Kireka-Namugongo'!C35</f>
        <v>93.285714285714278</v>
      </c>
      <c r="D35" s="49">
        <f>'Avg Week Namugongo-Kireka'!D35+'Avg Week Kireka-Namugongo'!D35</f>
        <v>17.571428571428573</v>
      </c>
      <c r="E35" s="49">
        <f>'Avg Week Namugongo-Kireka'!E35+'Avg Week Kireka-Namugongo'!E35</f>
        <v>13.285714285714285</v>
      </c>
      <c r="F35" s="49">
        <f>'Avg Week Namugongo-Kireka'!F35+'Avg Week Kireka-Namugongo'!F35</f>
        <v>34.428571428571431</v>
      </c>
      <c r="G35" s="49">
        <f>'Avg Week Namugongo-Kireka'!G35+'Avg Week Kireka-Namugongo'!G35</f>
        <v>0.71428571428571419</v>
      </c>
      <c r="H35" s="49">
        <f>'Avg Week Namugongo-Kireka'!H35+'Avg Week Kireka-Namugongo'!H35</f>
        <v>0</v>
      </c>
      <c r="I35" s="49">
        <f>'Avg Week Namugongo-Kireka'!I35+'Avg Week Kireka-Namugongo'!I35</f>
        <v>12.857142857142858</v>
      </c>
      <c r="J35" s="49">
        <f>'Avg Week Namugongo-Kireka'!J35+'Avg Week Kireka-Namugongo'!J35</f>
        <v>4.4285714285714288</v>
      </c>
      <c r="K35" s="49">
        <f>'Avg Week Namugongo-Kireka'!K35+'Avg Week Kireka-Namugongo'!K35</f>
        <v>2</v>
      </c>
      <c r="L35" s="49">
        <f>'Avg Week Namugongo-Kireka'!L35+'Avg Week Kireka-Namugongo'!L35</f>
        <v>0.2857142857142857</v>
      </c>
      <c r="M35" s="49">
        <f>'Avg Week Namugongo-Kireka'!M35+'Avg Week Kireka-Namugongo'!M35</f>
        <v>210.42857142857144</v>
      </c>
      <c r="N35" s="49">
        <f>'Avg Week Namugongo-Kireka'!N35+'Avg Week Kireka-Namugongo'!N35</f>
        <v>0</v>
      </c>
      <c r="O35" s="15">
        <f t="shared" si="0"/>
        <v>178.85714285714283</v>
      </c>
      <c r="P35" s="15">
        <f t="shared" si="1"/>
        <v>389.28571428571428</v>
      </c>
      <c r="R35" s="38" t="s">
        <v>91</v>
      </c>
      <c r="S35" s="39">
        <f t="shared" ref="S35:AF35" si="27">MAX(S13:S18)</f>
        <v>439.57142857142856</v>
      </c>
      <c r="T35" s="39">
        <f t="shared" si="27"/>
        <v>96.857142857142861</v>
      </c>
      <c r="U35" s="39">
        <f t="shared" si="27"/>
        <v>68.142857142857139</v>
      </c>
      <c r="V35" s="39">
        <f t="shared" si="27"/>
        <v>145.71428571428572</v>
      </c>
      <c r="W35" s="39">
        <f t="shared" si="27"/>
        <v>7.1428571428571423</v>
      </c>
      <c r="X35" s="39">
        <f t="shared" si="27"/>
        <v>4.4285714285714288</v>
      </c>
      <c r="Y35" s="39">
        <f t="shared" si="27"/>
        <v>50.428571428571431</v>
      </c>
      <c r="Z35" s="39">
        <f t="shared" si="27"/>
        <v>19</v>
      </c>
      <c r="AA35" s="39">
        <f t="shared" si="27"/>
        <v>11.928571428571429</v>
      </c>
      <c r="AB35" s="39">
        <f t="shared" si="27"/>
        <v>3.7142857142857144</v>
      </c>
      <c r="AC35" s="39">
        <f t="shared" si="27"/>
        <v>980.71428571428567</v>
      </c>
      <c r="AD35" s="39">
        <f t="shared" si="27"/>
        <v>0.14285714285714285</v>
      </c>
      <c r="AE35" s="40">
        <f t="shared" si="27"/>
        <v>804.85714285714289</v>
      </c>
      <c r="AF35" s="40">
        <f t="shared" si="27"/>
        <v>1785.5714285714284</v>
      </c>
    </row>
    <row r="36" spans="2:32" ht="23.1" customHeight="1" x14ac:dyDescent="0.25">
      <c r="B36" s="24" t="s">
        <v>63</v>
      </c>
      <c r="C36" s="49">
        <f>'Avg Week Namugongo-Kireka'!C36+'Avg Week Kireka-Namugongo'!C36</f>
        <v>104.14285714285714</v>
      </c>
      <c r="D36" s="49">
        <f>'Avg Week Namugongo-Kireka'!D36+'Avg Week Kireka-Namugongo'!D36</f>
        <v>15</v>
      </c>
      <c r="E36" s="49">
        <f>'Avg Week Namugongo-Kireka'!E36+'Avg Week Kireka-Namugongo'!E36</f>
        <v>16.714285714285715</v>
      </c>
      <c r="F36" s="49">
        <f>'Avg Week Namugongo-Kireka'!F36+'Avg Week Kireka-Namugongo'!F36</f>
        <v>33.857142857142854</v>
      </c>
      <c r="G36" s="49">
        <f>'Avg Week Namugongo-Kireka'!G36+'Avg Week Kireka-Namugongo'!G36</f>
        <v>0</v>
      </c>
      <c r="H36" s="49">
        <f>'Avg Week Namugongo-Kireka'!H36+'Avg Week Kireka-Namugongo'!H36</f>
        <v>0.14285714285714285</v>
      </c>
      <c r="I36" s="49">
        <f>'Avg Week Namugongo-Kireka'!I36+'Avg Week Kireka-Namugongo'!I36</f>
        <v>11.714285714285715</v>
      </c>
      <c r="J36" s="49">
        <f>'Avg Week Namugongo-Kireka'!J36+'Avg Week Kireka-Namugongo'!J36</f>
        <v>4</v>
      </c>
      <c r="K36" s="49">
        <f>'Avg Week Namugongo-Kireka'!K36+'Avg Week Kireka-Namugongo'!K36</f>
        <v>2.4285714285714284</v>
      </c>
      <c r="L36" s="49">
        <f>'Avg Week Namugongo-Kireka'!L36+'Avg Week Kireka-Namugongo'!L36</f>
        <v>0.2857142857142857</v>
      </c>
      <c r="M36" s="49">
        <f>'Avg Week Namugongo-Kireka'!M36+'Avg Week Kireka-Namugongo'!M36</f>
        <v>199.28571428571428</v>
      </c>
      <c r="N36" s="49">
        <f>'Avg Week Namugongo-Kireka'!N36+'Avg Week Kireka-Namugongo'!N36</f>
        <v>0</v>
      </c>
      <c r="O36" s="15">
        <f t="shared" si="0"/>
        <v>188.28571428571428</v>
      </c>
      <c r="P36" s="15">
        <f t="shared" si="1"/>
        <v>387.57142857142856</v>
      </c>
      <c r="R36" s="38" t="s">
        <v>92</v>
      </c>
      <c r="S36" s="39">
        <f t="shared" ref="S36:AF36" si="28">MAX(S19:S21)</f>
        <v>596.71428571428567</v>
      </c>
      <c r="T36" s="39">
        <f t="shared" si="28"/>
        <v>131.57142857142856</v>
      </c>
      <c r="U36" s="39">
        <f t="shared" si="28"/>
        <v>87.571428571428569</v>
      </c>
      <c r="V36" s="39">
        <f t="shared" si="28"/>
        <v>177.99999999999997</v>
      </c>
      <c r="W36" s="39">
        <f t="shared" si="28"/>
        <v>13.428571428571429</v>
      </c>
      <c r="X36" s="39">
        <f t="shared" si="28"/>
        <v>2.4285714285714284</v>
      </c>
      <c r="Y36" s="39">
        <f t="shared" si="28"/>
        <v>50.428571428571431</v>
      </c>
      <c r="Z36" s="39">
        <f t="shared" si="28"/>
        <v>16.428571428571427</v>
      </c>
      <c r="AA36" s="39">
        <f t="shared" si="28"/>
        <v>7.7142857142857135</v>
      </c>
      <c r="AB36" s="39">
        <f t="shared" si="28"/>
        <v>47.571428571428569</v>
      </c>
      <c r="AC36" s="39">
        <f t="shared" si="28"/>
        <v>1116.4285714285713</v>
      </c>
      <c r="AD36" s="39">
        <f t="shared" si="28"/>
        <v>0.14285714285714285</v>
      </c>
      <c r="AE36" s="40">
        <f t="shared" si="28"/>
        <v>1069.2380952380954</v>
      </c>
      <c r="AF36" s="40">
        <f t="shared" si="28"/>
        <v>2185.6666666666665</v>
      </c>
    </row>
    <row r="37" spans="2:32" ht="23.1" customHeight="1" x14ac:dyDescent="0.25">
      <c r="B37" s="23" t="s">
        <v>64</v>
      </c>
      <c r="C37" s="49">
        <f>'Avg Week Namugongo-Kireka'!C37+'Avg Week Kireka-Namugongo'!C37</f>
        <v>110</v>
      </c>
      <c r="D37" s="49">
        <f>'Avg Week Namugongo-Kireka'!D37+'Avg Week Kireka-Namugongo'!D37</f>
        <v>18.714285714285715</v>
      </c>
      <c r="E37" s="49">
        <f>'Avg Week Namugongo-Kireka'!E37+'Avg Week Kireka-Namugongo'!E37</f>
        <v>21.142857142857142</v>
      </c>
      <c r="F37" s="49">
        <f>'Avg Week Namugongo-Kireka'!F37+'Avg Week Kireka-Namugongo'!F37</f>
        <v>33.714285714285715</v>
      </c>
      <c r="G37" s="49">
        <f>'Avg Week Namugongo-Kireka'!G37+'Avg Week Kireka-Namugongo'!G37</f>
        <v>2</v>
      </c>
      <c r="H37" s="49">
        <f>'Avg Week Namugongo-Kireka'!H37+'Avg Week Kireka-Namugongo'!H37</f>
        <v>0.14285714285714285</v>
      </c>
      <c r="I37" s="49">
        <f>'Avg Week Namugongo-Kireka'!I37+'Avg Week Kireka-Namugongo'!I37</f>
        <v>12.571428571428571</v>
      </c>
      <c r="J37" s="49">
        <f>'Avg Week Namugongo-Kireka'!J37+'Avg Week Kireka-Namugongo'!J37</f>
        <v>4.5714285714285712</v>
      </c>
      <c r="K37" s="49">
        <f>'Avg Week Namugongo-Kireka'!K37+'Avg Week Kireka-Namugongo'!K37</f>
        <v>2.2857142857142856</v>
      </c>
      <c r="L37" s="49">
        <f>'Avg Week Namugongo-Kireka'!L37+'Avg Week Kireka-Namugongo'!L37</f>
        <v>1.2857142857142856</v>
      </c>
      <c r="M37" s="49">
        <f>'Avg Week Namugongo-Kireka'!M37+'Avg Week Kireka-Namugongo'!M37</f>
        <v>194.85714285714286</v>
      </c>
      <c r="N37" s="49">
        <f>'Avg Week Namugongo-Kireka'!N37+'Avg Week Kireka-Namugongo'!N37</f>
        <v>0</v>
      </c>
      <c r="O37" s="15">
        <f t="shared" si="0"/>
        <v>206.42857142857144</v>
      </c>
      <c r="P37" s="15">
        <f t="shared" si="1"/>
        <v>401.28571428571433</v>
      </c>
      <c r="R37" s="37" t="s">
        <v>85</v>
      </c>
      <c r="S37" s="35">
        <f t="shared" ref="S37:AF37" si="29">SUM(S10:S12)</f>
        <v>1231.7142857142856</v>
      </c>
      <c r="T37" s="16">
        <f t="shared" si="29"/>
        <v>179.14285714285714</v>
      </c>
      <c r="U37" s="16">
        <f t="shared" si="29"/>
        <v>149.42857142857142</v>
      </c>
      <c r="V37" s="16">
        <f t="shared" si="29"/>
        <v>430.71428571428572</v>
      </c>
      <c r="W37" s="16">
        <f t="shared" si="29"/>
        <v>7.2619047619047619</v>
      </c>
      <c r="X37" s="16">
        <f t="shared" si="29"/>
        <v>6.7142857142857135</v>
      </c>
      <c r="Y37" s="16">
        <f t="shared" si="29"/>
        <v>79.714285714285722</v>
      </c>
      <c r="Z37" s="16">
        <f t="shared" si="29"/>
        <v>29.714285714285719</v>
      </c>
      <c r="AA37" s="16">
        <f t="shared" si="29"/>
        <v>19.285714285714285</v>
      </c>
      <c r="AB37" s="16">
        <f t="shared" si="29"/>
        <v>5.2857142857142847</v>
      </c>
      <c r="AC37" s="16">
        <f t="shared" si="29"/>
        <v>2616.5714285714284</v>
      </c>
      <c r="AD37" s="16">
        <f t="shared" si="29"/>
        <v>0</v>
      </c>
      <c r="AE37" s="32">
        <f t="shared" si="29"/>
        <v>2138.9761904761899</v>
      </c>
      <c r="AF37" s="32">
        <f t="shared" si="29"/>
        <v>4755.5476190476184</v>
      </c>
    </row>
    <row r="38" spans="2:32" ht="23.1" customHeight="1" x14ac:dyDescent="0.25">
      <c r="B38" s="24" t="s">
        <v>65</v>
      </c>
      <c r="C38" s="49">
        <f>'Avg Week Namugongo-Kireka'!C38+'Avg Week Kireka-Namugongo'!C38</f>
        <v>98.714285714285722</v>
      </c>
      <c r="D38" s="49">
        <f>'Avg Week Namugongo-Kireka'!D38+'Avg Week Kireka-Namugongo'!D38</f>
        <v>21.142857142857142</v>
      </c>
      <c r="E38" s="49">
        <f>'Avg Week Namugongo-Kireka'!E38+'Avg Week Kireka-Namugongo'!E38</f>
        <v>14.428571428571429</v>
      </c>
      <c r="F38" s="49">
        <f>'Avg Week Namugongo-Kireka'!F38+'Avg Week Kireka-Namugongo'!F38</f>
        <v>33.857142857142861</v>
      </c>
      <c r="G38" s="49">
        <f>'Avg Week Namugongo-Kireka'!G38+'Avg Week Kireka-Namugongo'!G38</f>
        <v>0.85714285714285721</v>
      </c>
      <c r="H38" s="49">
        <f>'Avg Week Namugongo-Kireka'!H38+'Avg Week Kireka-Namugongo'!H38</f>
        <v>1.7142857142857142</v>
      </c>
      <c r="I38" s="49">
        <f>'Avg Week Namugongo-Kireka'!I38+'Avg Week Kireka-Namugongo'!I38</f>
        <v>9.2857142857142847</v>
      </c>
      <c r="J38" s="49">
        <f>'Avg Week Namugongo-Kireka'!J38+'Avg Week Kireka-Namugongo'!J38</f>
        <v>4.4285714285714288</v>
      </c>
      <c r="K38" s="49">
        <f>'Avg Week Namugongo-Kireka'!K38+'Avg Week Kireka-Namugongo'!K38</f>
        <v>1.4285714285714284</v>
      </c>
      <c r="L38" s="49">
        <f>'Avg Week Namugongo-Kireka'!L38+'Avg Week Kireka-Namugongo'!L38</f>
        <v>0.42857142857142855</v>
      </c>
      <c r="M38" s="49">
        <f>'Avg Week Namugongo-Kireka'!M38+'Avg Week Kireka-Namugongo'!M38</f>
        <v>198.85714285714286</v>
      </c>
      <c r="N38" s="49">
        <f>'Avg Week Namugongo-Kireka'!N38+'Avg Week Kireka-Namugongo'!N38</f>
        <v>0</v>
      </c>
      <c r="O38" s="15">
        <f t="shared" si="0"/>
        <v>186.28571428571425</v>
      </c>
      <c r="P38" s="15">
        <f t="shared" si="1"/>
        <v>385.14285714285711</v>
      </c>
      <c r="R38" s="28" t="s">
        <v>86</v>
      </c>
      <c r="S38" s="16">
        <f t="shared" ref="S38:AF38" si="30">SUM(S13:S18)</f>
        <v>2525.4285714285716</v>
      </c>
      <c r="T38" s="16">
        <f t="shared" si="30"/>
        <v>476.85714285714289</v>
      </c>
      <c r="U38" s="16">
        <f t="shared" si="30"/>
        <v>382.71428571428572</v>
      </c>
      <c r="V38" s="16">
        <f t="shared" si="30"/>
        <v>810.42857142857133</v>
      </c>
      <c r="W38" s="16">
        <f t="shared" si="30"/>
        <v>25.642857142857139</v>
      </c>
      <c r="X38" s="16">
        <f t="shared" si="30"/>
        <v>18</v>
      </c>
      <c r="Y38" s="16">
        <f t="shared" si="30"/>
        <v>279.28571428571428</v>
      </c>
      <c r="Z38" s="16">
        <f t="shared" si="30"/>
        <v>105.57142857142857</v>
      </c>
      <c r="AA38" s="16">
        <f t="shared" si="30"/>
        <v>54.928571428571431</v>
      </c>
      <c r="AB38" s="16">
        <f t="shared" si="30"/>
        <v>15.571428571428569</v>
      </c>
      <c r="AC38" s="16">
        <f t="shared" si="30"/>
        <v>5434</v>
      </c>
      <c r="AD38" s="16">
        <f t="shared" si="30"/>
        <v>0.42857142857142855</v>
      </c>
      <c r="AE38" s="32">
        <f t="shared" si="30"/>
        <v>4694.8571428571431</v>
      </c>
      <c r="AF38" s="32">
        <f t="shared" si="30"/>
        <v>10128.857142857143</v>
      </c>
    </row>
    <row r="39" spans="2:32" ht="23.1" customHeight="1" x14ac:dyDescent="0.25">
      <c r="B39" s="24" t="s">
        <v>66</v>
      </c>
      <c r="C39" s="49">
        <f>'Avg Week Namugongo-Kireka'!C39+'Avg Week Kireka-Namugongo'!C39</f>
        <v>111.71428571428571</v>
      </c>
      <c r="D39" s="49">
        <f>'Avg Week Namugongo-Kireka'!D39+'Avg Week Kireka-Namugongo'!D39</f>
        <v>20.714285714285715</v>
      </c>
      <c r="E39" s="49">
        <f>'Avg Week Namugongo-Kireka'!E39+'Avg Week Kireka-Namugongo'!E39</f>
        <v>16.142857142857142</v>
      </c>
      <c r="F39" s="49">
        <f>'Avg Week Namugongo-Kireka'!F39+'Avg Week Kireka-Namugongo'!F39</f>
        <v>37.714285714285715</v>
      </c>
      <c r="G39" s="49">
        <f>'Avg Week Namugongo-Kireka'!G39+'Avg Week Kireka-Namugongo'!G39</f>
        <v>0.71428571428571419</v>
      </c>
      <c r="H39" s="49">
        <f>'Avg Week Namugongo-Kireka'!H39+'Avg Week Kireka-Namugongo'!H39</f>
        <v>0.42857142857142855</v>
      </c>
      <c r="I39" s="49">
        <f>'Avg Week Namugongo-Kireka'!I39+'Avg Week Kireka-Namugongo'!I39</f>
        <v>12.714285714285714</v>
      </c>
      <c r="J39" s="49">
        <f>'Avg Week Namugongo-Kireka'!J39+'Avg Week Kireka-Namugongo'!J39</f>
        <v>3.8571428571428568</v>
      </c>
      <c r="K39" s="49">
        <f>'Avg Week Namugongo-Kireka'!K39+'Avg Week Kireka-Namugongo'!K39</f>
        <v>1.8571428571428572</v>
      </c>
      <c r="L39" s="49">
        <f>'Avg Week Namugongo-Kireka'!L39+'Avg Week Kireka-Namugongo'!L39</f>
        <v>0.5714285714285714</v>
      </c>
      <c r="M39" s="49">
        <f>'Avg Week Namugongo-Kireka'!M39+'Avg Week Kireka-Namugongo'!M39</f>
        <v>220</v>
      </c>
      <c r="N39" s="49">
        <f>'Avg Week Namugongo-Kireka'!N39+'Avg Week Kireka-Namugongo'!N39</f>
        <v>0</v>
      </c>
      <c r="O39" s="15">
        <f t="shared" si="0"/>
        <v>206.42857142857144</v>
      </c>
      <c r="P39" s="15">
        <f t="shared" si="1"/>
        <v>426.42857142857144</v>
      </c>
      <c r="R39" s="29" t="s">
        <v>87</v>
      </c>
      <c r="S39" s="16">
        <f t="shared" ref="S39:AF39" si="31">SUM(S19:S21)</f>
        <v>1687</v>
      </c>
      <c r="T39" s="16">
        <f t="shared" si="31"/>
        <v>366.42857142857144</v>
      </c>
      <c r="U39" s="16">
        <f t="shared" si="31"/>
        <v>243.71428571428572</v>
      </c>
      <c r="V39" s="16">
        <f t="shared" si="31"/>
        <v>484.14285714285711</v>
      </c>
      <c r="W39" s="16">
        <f t="shared" si="31"/>
        <v>23.428571428571427</v>
      </c>
      <c r="X39" s="16">
        <f t="shared" si="31"/>
        <v>4.5714285714285712</v>
      </c>
      <c r="Y39" s="16">
        <f t="shared" si="31"/>
        <v>118</v>
      </c>
      <c r="Z39" s="16">
        <f t="shared" si="31"/>
        <v>41.523809523809518</v>
      </c>
      <c r="AA39" s="16">
        <f t="shared" si="31"/>
        <v>19.857142857142854</v>
      </c>
      <c r="AB39" s="16">
        <f t="shared" si="31"/>
        <v>52.857142857142854</v>
      </c>
      <c r="AC39" s="16">
        <f t="shared" si="31"/>
        <v>3108.2857142857142</v>
      </c>
      <c r="AD39" s="16">
        <f t="shared" si="31"/>
        <v>0.14285714285714285</v>
      </c>
      <c r="AE39" s="32">
        <f t="shared" si="31"/>
        <v>3041.666666666667</v>
      </c>
      <c r="AF39" s="32">
        <f t="shared" si="31"/>
        <v>6149.9523809523807</v>
      </c>
    </row>
    <row r="40" spans="2:32" ht="23.1" customHeight="1" x14ac:dyDescent="0.25">
      <c r="B40" s="24" t="s">
        <v>67</v>
      </c>
      <c r="C40" s="49">
        <f>'Avg Week Namugongo-Kireka'!C40+'Avg Week Kireka-Namugongo'!C40</f>
        <v>100.71428571428572</v>
      </c>
      <c r="D40" s="49">
        <f>'Avg Week Namugongo-Kireka'!D40+'Avg Week Kireka-Namugongo'!D40</f>
        <v>17.428571428571427</v>
      </c>
      <c r="E40" s="49">
        <f>'Avg Week Namugongo-Kireka'!E40+'Avg Week Kireka-Namugongo'!E40</f>
        <v>14.571428571428571</v>
      </c>
      <c r="F40" s="49">
        <f>'Avg Week Namugongo-Kireka'!F40+'Avg Week Kireka-Namugongo'!F40</f>
        <v>30.857142857142858</v>
      </c>
      <c r="G40" s="49">
        <f>'Avg Week Namugongo-Kireka'!G40+'Avg Week Kireka-Namugongo'!G40</f>
        <v>0.42857142857142855</v>
      </c>
      <c r="H40" s="49">
        <f>'Avg Week Namugongo-Kireka'!H40+'Avg Week Kireka-Namugongo'!H40</f>
        <v>0</v>
      </c>
      <c r="I40" s="49">
        <f>'Avg Week Namugongo-Kireka'!I40+'Avg Week Kireka-Namugongo'!I40</f>
        <v>11.571428571428571</v>
      </c>
      <c r="J40" s="49">
        <f>'Avg Week Namugongo-Kireka'!J40+'Avg Week Kireka-Namugongo'!J40</f>
        <v>4.7142857142857144</v>
      </c>
      <c r="K40" s="49">
        <f>'Avg Week Namugongo-Kireka'!K40+'Avg Week Kireka-Namugongo'!K40</f>
        <v>2.1428571428571428</v>
      </c>
      <c r="L40" s="49">
        <f>'Avg Week Namugongo-Kireka'!L40+'Avg Week Kireka-Namugongo'!L40</f>
        <v>0.42857142857142855</v>
      </c>
      <c r="M40" s="49">
        <f>'Avg Week Namugongo-Kireka'!M40+'Avg Week Kireka-Namugongo'!M40</f>
        <v>263.28571428571428</v>
      </c>
      <c r="N40" s="49">
        <f>'Avg Week Namugongo-Kireka'!N40+'Avg Week Kireka-Namugongo'!N40</f>
        <v>0.14285714285714285</v>
      </c>
      <c r="O40" s="15">
        <f t="shared" si="0"/>
        <v>183</v>
      </c>
      <c r="P40" s="15">
        <f t="shared" si="1"/>
        <v>446.28571428571428</v>
      </c>
      <c r="R40" s="5" t="s">
        <v>17</v>
      </c>
      <c r="S40" s="16">
        <f t="shared" ref="S40:AF40" si="32">SUM(S10:S21)</f>
        <v>5444.1428571428569</v>
      </c>
      <c r="T40" s="16">
        <f t="shared" si="32"/>
        <v>1022.4285714285714</v>
      </c>
      <c r="U40" s="16">
        <f t="shared" si="32"/>
        <v>775.85714285714289</v>
      </c>
      <c r="V40" s="16">
        <f t="shared" si="32"/>
        <v>1725.2857142857142</v>
      </c>
      <c r="W40" s="16">
        <f t="shared" si="32"/>
        <v>56.333333333333336</v>
      </c>
      <c r="X40" s="16">
        <f t="shared" si="32"/>
        <v>29.285714285714285</v>
      </c>
      <c r="Y40" s="16">
        <f t="shared" si="32"/>
        <v>477</v>
      </c>
      <c r="Z40" s="16">
        <f t="shared" si="32"/>
        <v>176.80952380952377</v>
      </c>
      <c r="AA40" s="16">
        <f t="shared" si="32"/>
        <v>94.071428571428569</v>
      </c>
      <c r="AB40" s="16">
        <f t="shared" si="32"/>
        <v>73.714285714285708</v>
      </c>
      <c r="AC40" s="16">
        <f t="shared" si="32"/>
        <v>11158.857142857141</v>
      </c>
      <c r="AD40" s="16">
        <f t="shared" si="32"/>
        <v>0.5714285714285714</v>
      </c>
      <c r="AE40" s="32">
        <f t="shared" si="32"/>
        <v>9875.5000000000018</v>
      </c>
      <c r="AF40" s="32">
        <f t="shared" si="32"/>
        <v>21034.357142857145</v>
      </c>
    </row>
    <row r="41" spans="2:32" ht="23.1" customHeight="1" x14ac:dyDescent="0.25">
      <c r="B41" s="23" t="s">
        <v>68</v>
      </c>
      <c r="C41" s="49">
        <f>'Avg Week Namugongo-Kireka'!C41+'Avg Week Kireka-Namugongo'!C41</f>
        <v>102.71428571428572</v>
      </c>
      <c r="D41" s="49">
        <f>'Avg Week Namugongo-Kireka'!D41+'Avg Week Kireka-Namugongo'!D41</f>
        <v>19.857142857142858</v>
      </c>
      <c r="E41" s="49">
        <f>'Avg Week Namugongo-Kireka'!E41+'Avg Week Kireka-Namugongo'!E41</f>
        <v>13.142857142857142</v>
      </c>
      <c r="F41" s="49">
        <f>'Avg Week Namugongo-Kireka'!F41+'Avg Week Kireka-Namugongo'!F41</f>
        <v>43.285714285714285</v>
      </c>
      <c r="G41" s="49">
        <f>'Avg Week Namugongo-Kireka'!G41+'Avg Week Kireka-Namugongo'!G41</f>
        <v>1.5714285714285714</v>
      </c>
      <c r="H41" s="49">
        <f>'Avg Week Namugongo-Kireka'!H41+'Avg Week Kireka-Namugongo'!H41</f>
        <v>0</v>
      </c>
      <c r="I41" s="49">
        <f>'Avg Week Namugongo-Kireka'!I41+'Avg Week Kireka-Namugongo'!I41</f>
        <v>10.285714285714285</v>
      </c>
      <c r="J41" s="49">
        <f>'Avg Week Namugongo-Kireka'!J41+'Avg Week Kireka-Namugongo'!J41</f>
        <v>4</v>
      </c>
      <c r="K41" s="49">
        <f>'Avg Week Namugongo-Kireka'!K41+'Avg Week Kireka-Namugongo'!K41</f>
        <v>1.1428571428571428</v>
      </c>
      <c r="L41" s="49">
        <f>'Avg Week Namugongo-Kireka'!L41+'Avg Week Kireka-Namugongo'!L41</f>
        <v>0.71428571428571419</v>
      </c>
      <c r="M41" s="49">
        <f>'Avg Week Namugongo-Kireka'!M41+'Avg Week Kireka-Namugongo'!M41</f>
        <v>193.14285714285717</v>
      </c>
      <c r="N41" s="49">
        <f>'Avg Week Namugongo-Kireka'!N41+'Avg Week Kireka-Namugongo'!N41</f>
        <v>0</v>
      </c>
      <c r="O41" s="15">
        <f t="shared" si="0"/>
        <v>196.71428571428572</v>
      </c>
      <c r="P41" s="15">
        <f t="shared" si="1"/>
        <v>389.85714285714289</v>
      </c>
      <c r="R41" s="5" t="s">
        <v>179</v>
      </c>
      <c r="S41" s="53">
        <f>SUM(S10:S33)</f>
        <v>6936.6428571428569</v>
      </c>
      <c r="T41" s="53">
        <f t="shared" ref="T41:AD41" si="33">SUM(T10:T33)</f>
        <v>1369.9285714285716</v>
      </c>
      <c r="U41" s="53">
        <f t="shared" si="33"/>
        <v>927.85714285714289</v>
      </c>
      <c r="V41" s="53">
        <f t="shared" si="33"/>
        <v>2191.7857142857142</v>
      </c>
      <c r="W41" s="53">
        <f t="shared" si="33"/>
        <v>60.833333333333336</v>
      </c>
      <c r="X41" s="53">
        <f t="shared" si="33"/>
        <v>31.785714285714285</v>
      </c>
      <c r="Y41" s="53">
        <f t="shared" si="33"/>
        <v>539.5</v>
      </c>
      <c r="Z41" s="53">
        <f t="shared" si="33"/>
        <v>217.30952380952377</v>
      </c>
      <c r="AA41" s="53">
        <f t="shared" si="33"/>
        <v>105.57142857142857</v>
      </c>
      <c r="AB41" s="53">
        <f t="shared" si="33"/>
        <v>74.714285714285708</v>
      </c>
      <c r="AC41" s="53">
        <f t="shared" si="33"/>
        <v>14135.357142857141</v>
      </c>
      <c r="AD41" s="53">
        <f t="shared" si="33"/>
        <v>0.5714285714285714</v>
      </c>
      <c r="AE41" s="54">
        <f>SUM(AE10:AE33)</f>
        <v>12456.500000000002</v>
      </c>
      <c r="AF41" s="54">
        <f>SUM(AF10:AF33)</f>
        <v>26591.857142857145</v>
      </c>
    </row>
    <row r="42" spans="2:32" ht="23.1" customHeight="1" x14ac:dyDescent="0.25">
      <c r="B42" s="24" t="s">
        <v>69</v>
      </c>
      <c r="C42" s="49">
        <f>'Avg Week Namugongo-Kireka'!C42+'Avg Week Kireka-Namugongo'!C42</f>
        <v>110.14285714285714</v>
      </c>
      <c r="D42" s="49">
        <f>'Avg Week Namugongo-Kireka'!D42+'Avg Week Kireka-Namugongo'!D42</f>
        <v>28.142857142857146</v>
      </c>
      <c r="E42" s="49">
        <f>'Avg Week Namugongo-Kireka'!E42+'Avg Week Kireka-Namugongo'!E42</f>
        <v>20.857142857142854</v>
      </c>
      <c r="F42" s="49">
        <f>'Avg Week Namugongo-Kireka'!F42+'Avg Week Kireka-Namugongo'!F42</f>
        <v>28.714285714285715</v>
      </c>
      <c r="G42" s="49">
        <f>'Avg Week Namugongo-Kireka'!G42+'Avg Week Kireka-Namugongo'!G42</f>
        <v>2</v>
      </c>
      <c r="H42" s="49">
        <f>'Avg Week Namugongo-Kireka'!H42+'Avg Week Kireka-Namugongo'!H42</f>
        <v>1</v>
      </c>
      <c r="I42" s="49">
        <f>'Avg Week Namugongo-Kireka'!I42+'Avg Week Kireka-Namugongo'!I42</f>
        <v>12.142857142857142</v>
      </c>
      <c r="J42" s="49">
        <f>'Avg Week Namugongo-Kireka'!J42+'Avg Week Kireka-Namugongo'!J42</f>
        <v>6.8571428571428577</v>
      </c>
      <c r="K42" s="49">
        <f>'Avg Week Namugongo-Kireka'!K42+'Avg Week Kireka-Namugongo'!K42</f>
        <v>1.5714285714285714</v>
      </c>
      <c r="L42" s="49">
        <f>'Avg Week Namugongo-Kireka'!L42+'Avg Week Kireka-Namugongo'!L42</f>
        <v>0.42857142857142855</v>
      </c>
      <c r="M42" s="49">
        <f>'Avg Week Namugongo-Kireka'!M42+'Avg Week Kireka-Namugongo'!M42</f>
        <v>224.57142857142856</v>
      </c>
      <c r="N42" s="49">
        <f>'Avg Week Namugongo-Kireka'!N42+'Avg Week Kireka-Namugongo'!N42</f>
        <v>0</v>
      </c>
      <c r="O42" s="15">
        <f t="shared" si="0"/>
        <v>211.85714285714286</v>
      </c>
      <c r="P42" s="15">
        <f t="shared" si="1"/>
        <v>436.42857142857144</v>
      </c>
      <c r="R42" s="5" t="s">
        <v>160</v>
      </c>
      <c r="S42" s="48">
        <f>S41/S40</f>
        <v>1.2741478390931276</v>
      </c>
      <c r="T42" s="48">
        <f t="shared" ref="T42:AF42" si="34">T41/T40</f>
        <v>1.3398770434539613</v>
      </c>
      <c r="U42" s="48">
        <f t="shared" si="34"/>
        <v>1.1959123549990793</v>
      </c>
      <c r="V42" s="48">
        <f t="shared" si="34"/>
        <v>1.2703899975159394</v>
      </c>
      <c r="W42" s="48">
        <f t="shared" si="34"/>
        <v>1.0798816568047338</v>
      </c>
      <c r="X42" s="48">
        <f t="shared" si="34"/>
        <v>1.0853658536585367</v>
      </c>
      <c r="Y42" s="48">
        <f t="shared" si="34"/>
        <v>1.1310272536687631</v>
      </c>
      <c r="Z42" s="48">
        <f t="shared" si="34"/>
        <v>1.2290600592512793</v>
      </c>
      <c r="AA42" s="48">
        <f t="shared" si="34"/>
        <v>1.1222475322703114</v>
      </c>
      <c r="AB42" s="48">
        <f t="shared" si="34"/>
        <v>1.0135658914728682</v>
      </c>
      <c r="AC42" s="48">
        <f t="shared" si="34"/>
        <v>1.2667387853338796</v>
      </c>
      <c r="AD42" s="48">
        <f t="shared" si="34"/>
        <v>1</v>
      </c>
      <c r="AE42" s="52">
        <f t="shared" si="34"/>
        <v>1.2613538555009873</v>
      </c>
      <c r="AF42" s="52">
        <f t="shared" si="34"/>
        <v>1.264210594231886</v>
      </c>
    </row>
    <row r="43" spans="2:32" ht="23.1" customHeight="1" x14ac:dyDescent="0.25">
      <c r="B43" s="23" t="s">
        <v>70</v>
      </c>
      <c r="C43" s="49">
        <f>'Avg Week Namugongo-Kireka'!C43+'Avg Week Kireka-Namugongo'!C43</f>
        <v>106</v>
      </c>
      <c r="D43" s="49">
        <f>'Avg Week Namugongo-Kireka'!D43+'Avg Week Kireka-Namugongo'!D43</f>
        <v>26.857142857142854</v>
      </c>
      <c r="E43" s="49">
        <f>'Avg Week Namugongo-Kireka'!E43+'Avg Week Kireka-Namugongo'!E43</f>
        <v>14.714285714285715</v>
      </c>
      <c r="F43" s="49">
        <f>'Avg Week Namugongo-Kireka'!F43+'Avg Week Kireka-Namugongo'!F43</f>
        <v>33.285714285714285</v>
      </c>
      <c r="G43" s="49">
        <f>'Avg Week Namugongo-Kireka'!G43+'Avg Week Kireka-Namugongo'!G43</f>
        <v>0.71428571428571419</v>
      </c>
      <c r="H43" s="49">
        <f>'Avg Week Namugongo-Kireka'!H43+'Avg Week Kireka-Namugongo'!H43</f>
        <v>0.2857142857142857</v>
      </c>
      <c r="I43" s="49">
        <f>'Avg Week Namugongo-Kireka'!I43+'Avg Week Kireka-Namugongo'!I43</f>
        <v>12.142857142857142</v>
      </c>
      <c r="J43" s="49">
        <f>'Avg Week Namugongo-Kireka'!J43+'Avg Week Kireka-Namugongo'!J43</f>
        <v>4.2857142857142856</v>
      </c>
      <c r="K43" s="49">
        <f>'Avg Week Namugongo-Kireka'!K43+'Avg Week Kireka-Namugongo'!K43</f>
        <v>2.4285714285714284</v>
      </c>
      <c r="L43" s="49">
        <f>'Avg Week Namugongo-Kireka'!L43+'Avg Week Kireka-Namugongo'!L43</f>
        <v>1</v>
      </c>
      <c r="M43" s="49">
        <f>'Avg Week Namugongo-Kireka'!M43+'Avg Week Kireka-Namugongo'!M43</f>
        <v>223</v>
      </c>
      <c r="N43" s="49">
        <f>'Avg Week Namugongo-Kireka'!N43+'Avg Week Kireka-Namugongo'!N43</f>
        <v>0</v>
      </c>
      <c r="O43" s="15">
        <f t="shared" si="0"/>
        <v>201.71428571428569</v>
      </c>
      <c r="P43" s="15">
        <f t="shared" si="1"/>
        <v>424.71428571428567</v>
      </c>
    </row>
    <row r="44" spans="2:32" ht="23.1" customHeight="1" x14ac:dyDescent="0.25">
      <c r="B44" s="25" t="s">
        <v>71</v>
      </c>
      <c r="C44" s="49">
        <f>'Avg Week Namugongo-Kireka'!C44+'Avg Week Kireka-Namugongo'!C44</f>
        <v>106</v>
      </c>
      <c r="D44" s="49">
        <f>'Avg Week Namugongo-Kireka'!D44+'Avg Week Kireka-Namugongo'!D44</f>
        <v>21.857142857142858</v>
      </c>
      <c r="E44" s="49">
        <f>'Avg Week Namugongo-Kireka'!E44+'Avg Week Kireka-Namugongo'!E44</f>
        <v>15</v>
      </c>
      <c r="F44" s="49">
        <f>'Avg Week Namugongo-Kireka'!F44+'Avg Week Kireka-Namugongo'!F44</f>
        <v>27</v>
      </c>
      <c r="G44" s="49">
        <f>'Avg Week Namugongo-Kireka'!G44+'Avg Week Kireka-Namugongo'!G44</f>
        <v>0.5714285714285714</v>
      </c>
      <c r="H44" s="49">
        <f>'Avg Week Namugongo-Kireka'!H44+'Avg Week Kireka-Namugongo'!H44</f>
        <v>0</v>
      </c>
      <c r="I44" s="49">
        <f>'Avg Week Namugongo-Kireka'!I44+'Avg Week Kireka-Namugongo'!I44</f>
        <v>12.285714285714285</v>
      </c>
      <c r="J44" s="49">
        <f>'Avg Week Namugongo-Kireka'!J44+'Avg Week Kireka-Namugongo'!J44</f>
        <v>4.1428571428571423</v>
      </c>
      <c r="K44" s="49">
        <f>'Avg Week Namugongo-Kireka'!K44+'Avg Week Kireka-Namugongo'!K44</f>
        <v>3.1428571428571428</v>
      </c>
      <c r="L44" s="49">
        <f>'Avg Week Namugongo-Kireka'!L44+'Avg Week Kireka-Namugongo'!L44</f>
        <v>0.8571428571428571</v>
      </c>
      <c r="M44" s="49">
        <f>'Avg Week Namugongo-Kireka'!M44+'Avg Week Kireka-Namugongo'!M44</f>
        <v>229.85714285714286</v>
      </c>
      <c r="N44" s="49">
        <f>'Avg Week Namugongo-Kireka'!N44+'Avg Week Kireka-Namugongo'!N44</f>
        <v>0</v>
      </c>
      <c r="O44" s="15">
        <f t="shared" si="0"/>
        <v>190.85714285714286</v>
      </c>
      <c r="P44" s="15">
        <f t="shared" si="1"/>
        <v>420.71428571428572</v>
      </c>
    </row>
    <row r="45" spans="2:32" ht="23.1" customHeight="1" x14ac:dyDescent="0.25">
      <c r="B45" s="23" t="s">
        <v>72</v>
      </c>
      <c r="C45" s="49">
        <f>'Avg Week Namugongo-Kireka'!C45+'Avg Week Kireka-Namugongo'!C45</f>
        <v>97.428571428571431</v>
      </c>
      <c r="D45" s="49">
        <f>'Avg Week Namugongo-Kireka'!D45+'Avg Week Kireka-Namugongo'!D45</f>
        <v>20</v>
      </c>
      <c r="E45" s="49">
        <f>'Avg Week Namugongo-Kireka'!E45+'Avg Week Kireka-Namugongo'!E45</f>
        <v>17</v>
      </c>
      <c r="F45" s="49">
        <f>'Avg Week Namugongo-Kireka'!F45+'Avg Week Kireka-Namugongo'!F45</f>
        <v>33.285714285714285</v>
      </c>
      <c r="G45" s="49">
        <f>'Avg Week Namugongo-Kireka'!G45+'Avg Week Kireka-Namugongo'!G45</f>
        <v>0.71428571428571419</v>
      </c>
      <c r="H45" s="49">
        <f>'Avg Week Namugongo-Kireka'!H45+'Avg Week Kireka-Namugongo'!H45</f>
        <v>1.2857142857142856</v>
      </c>
      <c r="I45" s="49">
        <f>'Avg Week Namugongo-Kireka'!I45+'Avg Week Kireka-Namugongo'!I45</f>
        <v>9.2857142857142847</v>
      </c>
      <c r="J45" s="49">
        <f>'Avg Week Namugongo-Kireka'!J45+'Avg Week Kireka-Namugongo'!J45</f>
        <v>3.7142857142857144</v>
      </c>
      <c r="K45" s="49">
        <f>'Avg Week Namugongo-Kireka'!K45+'Avg Week Kireka-Namugongo'!K45</f>
        <v>1.7142857142857144</v>
      </c>
      <c r="L45" s="49">
        <f>'Avg Week Namugongo-Kireka'!L45+'Avg Week Kireka-Namugongo'!L45</f>
        <v>0.8571428571428571</v>
      </c>
      <c r="M45" s="49">
        <f>'Avg Week Namugongo-Kireka'!M45+'Avg Week Kireka-Namugongo'!M45</f>
        <v>213.71428571428572</v>
      </c>
      <c r="N45" s="49">
        <f>'Avg Week Namugongo-Kireka'!N45+'Avg Week Kireka-Namugongo'!N45</f>
        <v>0</v>
      </c>
      <c r="O45" s="15">
        <f t="shared" si="0"/>
        <v>185.28571428571431</v>
      </c>
      <c r="P45" s="15">
        <f t="shared" si="1"/>
        <v>399</v>
      </c>
    </row>
    <row r="46" spans="2:32" ht="23.1" customHeight="1" x14ac:dyDescent="0.25">
      <c r="B46" s="24" t="s">
        <v>73</v>
      </c>
      <c r="C46" s="49">
        <f>'Avg Week Namugongo-Kireka'!C46+'Avg Week Kireka-Namugongo'!C46</f>
        <v>123.42857142857143</v>
      </c>
      <c r="D46" s="49">
        <f>'Avg Week Namugongo-Kireka'!D46+'Avg Week Kireka-Namugongo'!D46</f>
        <v>28.857142857142858</v>
      </c>
      <c r="E46" s="49">
        <f>'Avg Week Namugongo-Kireka'!E46+'Avg Week Kireka-Namugongo'!E46</f>
        <v>17.142857142857142</v>
      </c>
      <c r="F46" s="49">
        <f>'Avg Week Namugongo-Kireka'!F46+'Avg Week Kireka-Namugongo'!F46</f>
        <v>37.714285714285715</v>
      </c>
      <c r="G46" s="49">
        <f>'Avg Week Namugongo-Kireka'!G46+'Avg Week Kireka-Namugongo'!G46</f>
        <v>0.2857142857142857</v>
      </c>
      <c r="H46" s="49">
        <f>'Avg Week Namugongo-Kireka'!H46+'Avg Week Kireka-Namugongo'!H46</f>
        <v>1.7142857142857142</v>
      </c>
      <c r="I46" s="49">
        <f>'Avg Week Namugongo-Kireka'!I46+'Avg Week Kireka-Namugongo'!I46</f>
        <v>12.428571428571427</v>
      </c>
      <c r="J46" s="49">
        <f>'Avg Week Namugongo-Kireka'!J46+'Avg Week Kireka-Namugongo'!J46</f>
        <v>2.4285714285714284</v>
      </c>
      <c r="K46" s="49">
        <f>'Avg Week Namugongo-Kireka'!K46+'Avg Week Kireka-Namugongo'!K46</f>
        <v>0.5714285714285714</v>
      </c>
      <c r="L46" s="49">
        <f>'Avg Week Namugongo-Kireka'!L46+'Avg Week Kireka-Namugongo'!L46</f>
        <v>0.5714285714285714</v>
      </c>
      <c r="M46" s="49">
        <f>'Avg Week Namugongo-Kireka'!M46+'Avg Week Kireka-Namugongo'!M46</f>
        <v>233.85714285714283</v>
      </c>
      <c r="N46" s="49">
        <f>'Avg Week Namugongo-Kireka'!N46+'Avg Week Kireka-Namugongo'!N46</f>
        <v>0</v>
      </c>
      <c r="O46" s="15">
        <f t="shared" si="0"/>
        <v>225.14285714285714</v>
      </c>
      <c r="P46" s="15">
        <f t="shared" si="1"/>
        <v>459</v>
      </c>
      <c r="R46" s="8"/>
      <c r="T46"/>
    </row>
    <row r="47" spans="2:32" ht="23.1" customHeight="1" x14ac:dyDescent="0.25">
      <c r="B47" s="24" t="s">
        <v>74</v>
      </c>
      <c r="C47" s="49">
        <f>'Avg Week Namugongo-Kireka'!C47+'Avg Week Kireka-Namugongo'!C47</f>
        <v>122.14285714285714</v>
      </c>
      <c r="D47" s="49">
        <f>'Avg Week Namugongo-Kireka'!D47+'Avg Week Kireka-Namugongo'!D47</f>
        <v>26.857142857142858</v>
      </c>
      <c r="E47" s="49">
        <f>'Avg Week Namugongo-Kireka'!E47+'Avg Week Kireka-Namugongo'!E47</f>
        <v>19.428571428571431</v>
      </c>
      <c r="F47" s="49">
        <f>'Avg Week Namugongo-Kireka'!F47+'Avg Week Kireka-Namugongo'!F47</f>
        <v>38.285714285714285</v>
      </c>
      <c r="G47" s="49">
        <f>'Avg Week Namugongo-Kireka'!G47+'Avg Week Kireka-Namugongo'!G47</f>
        <v>1.1428571428571428</v>
      </c>
      <c r="H47" s="49">
        <f>'Avg Week Namugongo-Kireka'!H47+'Avg Week Kireka-Namugongo'!H47</f>
        <v>0</v>
      </c>
      <c r="I47" s="49">
        <f>'Avg Week Namugongo-Kireka'!I47+'Avg Week Kireka-Namugongo'!I47</f>
        <v>13.571428571428573</v>
      </c>
      <c r="J47" s="49">
        <f>'Avg Week Namugongo-Kireka'!J47+'Avg Week Kireka-Namugongo'!J47</f>
        <v>2.7142857142857144</v>
      </c>
      <c r="K47" s="49">
        <f>'Avg Week Namugongo-Kireka'!K47+'Avg Week Kireka-Namugongo'!K47</f>
        <v>1.5714285714285716</v>
      </c>
      <c r="L47" s="49">
        <f>'Avg Week Namugongo-Kireka'!L47+'Avg Week Kireka-Namugongo'!L47</f>
        <v>0.42857142857142855</v>
      </c>
      <c r="M47" s="49">
        <f>'Avg Week Namugongo-Kireka'!M47+'Avg Week Kireka-Namugongo'!M47</f>
        <v>220.14285714285714</v>
      </c>
      <c r="N47" s="49">
        <f>'Avg Week Namugongo-Kireka'!N47+'Avg Week Kireka-Namugongo'!N47</f>
        <v>0</v>
      </c>
      <c r="O47" s="15">
        <f t="shared" si="0"/>
        <v>226.14285714285717</v>
      </c>
      <c r="P47" s="15">
        <f t="shared" si="1"/>
        <v>446.28571428571433</v>
      </c>
      <c r="R47" s="8"/>
      <c r="T47"/>
    </row>
    <row r="48" spans="2:32" ht="23.1" customHeight="1" x14ac:dyDescent="0.25">
      <c r="B48" s="24" t="s">
        <v>75</v>
      </c>
      <c r="C48" s="49">
        <f>'Avg Week Namugongo-Kireka'!C48+'Avg Week Kireka-Namugongo'!C48</f>
        <v>136.42857142857142</v>
      </c>
      <c r="D48" s="49">
        <f>'Avg Week Namugongo-Kireka'!D48+'Avg Week Kireka-Namugongo'!D48</f>
        <v>25.571428571428573</v>
      </c>
      <c r="E48" s="49">
        <f>'Avg Week Namugongo-Kireka'!E48+'Avg Week Kireka-Namugongo'!E48</f>
        <v>14.571428571428569</v>
      </c>
      <c r="F48" s="49">
        <f>'Avg Week Namugongo-Kireka'!F48+'Avg Week Kireka-Namugongo'!F48</f>
        <v>34.142857142857139</v>
      </c>
      <c r="G48" s="49">
        <f>'Avg Week Namugongo-Kireka'!G48+'Avg Week Kireka-Namugongo'!G48</f>
        <v>0.8571428571428571</v>
      </c>
      <c r="H48" s="49">
        <f>'Avg Week Namugongo-Kireka'!H48+'Avg Week Kireka-Namugongo'!H48</f>
        <v>0</v>
      </c>
      <c r="I48" s="49">
        <f>'Avg Week Namugongo-Kireka'!I48+'Avg Week Kireka-Namugongo'!I48</f>
        <v>9.2857142857142865</v>
      </c>
      <c r="J48" s="49">
        <f>'Avg Week Namugongo-Kireka'!J48+'Avg Week Kireka-Namugongo'!J48</f>
        <v>2.4285714285714284</v>
      </c>
      <c r="K48" s="49">
        <f>'Avg Week Namugongo-Kireka'!K48+'Avg Week Kireka-Namugongo'!K48</f>
        <v>1.8571428571428572</v>
      </c>
      <c r="L48" s="49">
        <f>'Avg Week Namugongo-Kireka'!L48+'Avg Week Kireka-Namugongo'!L48</f>
        <v>1</v>
      </c>
      <c r="M48" s="49">
        <f>'Avg Week Namugongo-Kireka'!M48+'Avg Week Kireka-Namugongo'!M48</f>
        <v>240.71428571428572</v>
      </c>
      <c r="N48" s="49">
        <f>'Avg Week Namugongo-Kireka'!N48+'Avg Week Kireka-Namugongo'!N48</f>
        <v>0</v>
      </c>
      <c r="O48" s="15">
        <f t="shared" si="0"/>
        <v>226.14285714285711</v>
      </c>
      <c r="P48" s="15">
        <f t="shared" si="1"/>
        <v>466.85714285714283</v>
      </c>
      <c r="R48" s="8"/>
      <c r="T48"/>
    </row>
    <row r="49" spans="2:20" ht="23.1" customHeight="1" x14ac:dyDescent="0.25">
      <c r="B49" s="23" t="s">
        <v>76</v>
      </c>
      <c r="C49" s="49">
        <f>'Avg Week Namugongo-Kireka'!C49+'Avg Week Kireka-Namugongo'!C49</f>
        <v>139.42857142857144</v>
      </c>
      <c r="D49" s="49">
        <f>'Avg Week Namugongo-Kireka'!D49+'Avg Week Kireka-Namugongo'!D49</f>
        <v>25.428571428571431</v>
      </c>
      <c r="E49" s="49">
        <f>'Avg Week Namugongo-Kireka'!E49+'Avg Week Kireka-Namugongo'!E49</f>
        <v>18.285714285714285</v>
      </c>
      <c r="F49" s="49">
        <f>'Avg Week Namugongo-Kireka'!F49+'Avg Week Kireka-Namugongo'!F49</f>
        <v>36.428571428571431</v>
      </c>
      <c r="G49" s="49">
        <f>'Avg Week Namugongo-Kireka'!G49+'Avg Week Kireka-Namugongo'!G49</f>
        <v>1.4285714285714284</v>
      </c>
      <c r="H49" s="49">
        <f>'Avg Week Namugongo-Kireka'!H49+'Avg Week Kireka-Namugongo'!H49</f>
        <v>0.14285714285714285</v>
      </c>
      <c r="I49" s="49">
        <f>'Avg Week Namugongo-Kireka'!I49+'Avg Week Kireka-Namugongo'!I49</f>
        <v>15.142857142857142</v>
      </c>
      <c r="J49" s="49">
        <f>'Avg Week Namugongo-Kireka'!J49+'Avg Week Kireka-Namugongo'!J49</f>
        <v>3.8571428571428568</v>
      </c>
      <c r="K49" s="49">
        <f>'Avg Week Namugongo-Kireka'!K49+'Avg Week Kireka-Namugongo'!K49</f>
        <v>1</v>
      </c>
      <c r="L49" s="49">
        <f>'Avg Week Namugongo-Kireka'!L49+'Avg Week Kireka-Namugongo'!L49</f>
        <v>0.2857142857142857</v>
      </c>
      <c r="M49" s="49">
        <f>'Avg Week Namugongo-Kireka'!M49+'Avg Week Kireka-Namugongo'!M49</f>
        <v>253.71428571428572</v>
      </c>
      <c r="N49" s="49">
        <f>'Avg Week Namugongo-Kireka'!N49+'Avg Week Kireka-Namugongo'!N49</f>
        <v>0</v>
      </c>
      <c r="O49" s="15">
        <f t="shared" si="0"/>
        <v>241.42857142857144</v>
      </c>
      <c r="P49" s="15">
        <f t="shared" si="1"/>
        <v>495.14285714285717</v>
      </c>
      <c r="R49" s="8"/>
      <c r="T49"/>
    </row>
    <row r="50" spans="2:20" ht="23.1" customHeight="1" x14ac:dyDescent="0.25">
      <c r="B50" s="24" t="s">
        <v>77</v>
      </c>
      <c r="C50" s="49">
        <f>'Avg Week Namugongo-Kireka'!C50+'Avg Week Kireka-Namugongo'!C50</f>
        <v>153.28571428571428</v>
      </c>
      <c r="D50" s="49">
        <f>'Avg Week Namugongo-Kireka'!D50+'Avg Week Kireka-Namugongo'!D50</f>
        <v>29.285714285714285</v>
      </c>
      <c r="E50" s="49">
        <f>'Avg Week Namugongo-Kireka'!E50+'Avg Week Kireka-Namugongo'!E50</f>
        <v>20.142857142857146</v>
      </c>
      <c r="F50" s="49">
        <f>'Avg Week Namugongo-Kireka'!F50+'Avg Week Kireka-Namugongo'!F50</f>
        <v>37.714285714285708</v>
      </c>
      <c r="G50" s="49">
        <f>'Avg Week Namugongo-Kireka'!G50+'Avg Week Kireka-Namugongo'!G50</f>
        <v>3.5714285714285716</v>
      </c>
      <c r="H50" s="49">
        <f>'Avg Week Namugongo-Kireka'!H50+'Avg Week Kireka-Namugongo'!H50</f>
        <v>0.2857142857142857</v>
      </c>
      <c r="I50" s="49">
        <f>'Avg Week Namugongo-Kireka'!I50+'Avg Week Kireka-Namugongo'!I50</f>
        <v>10</v>
      </c>
      <c r="J50" s="49">
        <f>'Avg Week Namugongo-Kireka'!J50+'Avg Week Kireka-Namugongo'!J50</f>
        <v>4.7142857142857135</v>
      </c>
      <c r="K50" s="49">
        <f>'Avg Week Namugongo-Kireka'!K50+'Avg Week Kireka-Namugongo'!K50</f>
        <v>2.5714285714285712</v>
      </c>
      <c r="L50" s="49">
        <f>'Avg Week Namugongo-Kireka'!L50+'Avg Week Kireka-Namugongo'!L50</f>
        <v>1.1428571428571428</v>
      </c>
      <c r="M50" s="49">
        <f>'Avg Week Namugongo-Kireka'!M50+'Avg Week Kireka-Namugongo'!M50</f>
        <v>245.85714285714286</v>
      </c>
      <c r="N50" s="49">
        <f>'Avg Week Namugongo-Kireka'!N50+'Avg Week Kireka-Namugongo'!N50</f>
        <v>0</v>
      </c>
      <c r="O50" s="15">
        <f t="shared" si="0"/>
        <v>262.71428571428567</v>
      </c>
      <c r="P50" s="15">
        <f t="shared" si="1"/>
        <v>508.57142857142856</v>
      </c>
      <c r="R50" s="8"/>
      <c r="T50"/>
    </row>
    <row r="51" spans="2:20" ht="23.1" customHeight="1" x14ac:dyDescent="0.25">
      <c r="B51" s="24" t="s">
        <v>78</v>
      </c>
      <c r="C51" s="49">
        <f>'Avg Week Namugongo-Kireka'!C51+'Avg Week Kireka-Namugongo'!C51</f>
        <v>148</v>
      </c>
      <c r="D51" s="49">
        <f>'Avg Week Namugongo-Kireka'!D51+'Avg Week Kireka-Namugongo'!D51</f>
        <v>33.857142857142861</v>
      </c>
      <c r="E51" s="49">
        <f>'Avg Week Namugongo-Kireka'!E51+'Avg Week Kireka-Namugongo'!E51</f>
        <v>21.571428571428569</v>
      </c>
      <c r="F51" s="49">
        <f>'Avg Week Namugongo-Kireka'!F51+'Avg Week Kireka-Namugongo'!F51</f>
        <v>45.714285714285715</v>
      </c>
      <c r="G51" s="49">
        <f>'Avg Week Namugongo-Kireka'!G51+'Avg Week Kireka-Namugongo'!G51</f>
        <v>3.1428571428571432</v>
      </c>
      <c r="H51" s="49">
        <f>'Avg Week Namugongo-Kireka'!H51+'Avg Week Kireka-Namugongo'!H51</f>
        <v>0</v>
      </c>
      <c r="I51" s="49">
        <f>'Avg Week Namugongo-Kireka'!I51+'Avg Week Kireka-Namugongo'!I51</f>
        <v>11.857142857142858</v>
      </c>
      <c r="J51" s="49">
        <f>'Avg Week Namugongo-Kireka'!J51+'Avg Week Kireka-Namugongo'!J51</f>
        <v>3.1428571428571428</v>
      </c>
      <c r="K51" s="49">
        <f>'Avg Week Namugongo-Kireka'!K51+'Avg Week Kireka-Namugongo'!K51</f>
        <v>2.2857142857142856</v>
      </c>
      <c r="L51" s="49">
        <f>'Avg Week Namugongo-Kireka'!L51+'Avg Week Kireka-Namugongo'!L51</f>
        <v>0.7142857142857143</v>
      </c>
      <c r="M51" s="49">
        <f>'Avg Week Namugongo-Kireka'!M51+'Avg Week Kireka-Namugongo'!M51</f>
        <v>259.71428571428572</v>
      </c>
      <c r="N51" s="49">
        <f>'Avg Week Namugongo-Kireka'!N51+'Avg Week Kireka-Namugongo'!N51</f>
        <v>0</v>
      </c>
      <c r="O51" s="15">
        <f t="shared" si="0"/>
        <v>270.28571428571433</v>
      </c>
      <c r="P51" s="15">
        <f t="shared" si="1"/>
        <v>530</v>
      </c>
      <c r="R51" s="8"/>
      <c r="T51"/>
    </row>
    <row r="52" spans="2:20" ht="23.1" customHeight="1" x14ac:dyDescent="0.25">
      <c r="B52" s="24" t="s">
        <v>79</v>
      </c>
      <c r="C52" s="49">
        <f>'Avg Week Namugongo-Kireka'!C52+'Avg Week Kireka-Namugongo'!C52</f>
        <v>154.57142857142856</v>
      </c>
      <c r="D52" s="49">
        <f>'Avg Week Namugongo-Kireka'!D52+'Avg Week Kireka-Namugongo'!D52</f>
        <v>29.571428571428573</v>
      </c>
      <c r="E52" s="49">
        <f>'Avg Week Namugongo-Kireka'!E52+'Avg Week Kireka-Namugongo'!E52</f>
        <v>19</v>
      </c>
      <c r="F52" s="49">
        <f>'Avg Week Namugongo-Kireka'!F52+'Avg Week Kireka-Namugongo'!F52</f>
        <v>43.571428571428569</v>
      </c>
      <c r="G52" s="49">
        <f>'Avg Week Namugongo-Kireka'!G52+'Avg Week Kireka-Namugongo'!G52</f>
        <v>4.5714285714285712</v>
      </c>
      <c r="H52" s="49">
        <f>'Avg Week Namugongo-Kireka'!H52+'Avg Week Kireka-Namugongo'!H52</f>
        <v>0</v>
      </c>
      <c r="I52" s="49">
        <f>'Avg Week Namugongo-Kireka'!I52+'Avg Week Kireka-Namugongo'!I52</f>
        <v>8.2857142857142865</v>
      </c>
      <c r="J52" s="49">
        <f>'Avg Week Namugongo-Kireka'!J52+'Avg Week Kireka-Namugongo'!J52</f>
        <v>4.8571428571428577</v>
      </c>
      <c r="K52" s="49">
        <f>'Avg Week Namugongo-Kireka'!K52+'Avg Week Kireka-Namugongo'!K52</f>
        <v>1.5714285714285714</v>
      </c>
      <c r="L52" s="49">
        <f>'Avg Week Namugongo-Kireka'!L52+'Avg Week Kireka-Namugongo'!L52</f>
        <v>0.71428571428571419</v>
      </c>
      <c r="M52" s="49">
        <f>'Avg Week Namugongo-Kireka'!M52+'Avg Week Kireka-Namugongo'!M52</f>
        <v>264.14285714285711</v>
      </c>
      <c r="N52" s="49">
        <f>'Avg Week Namugongo-Kireka'!N52+'Avg Week Kireka-Namugongo'!N52</f>
        <v>0</v>
      </c>
      <c r="O52" s="15">
        <f t="shared" si="0"/>
        <v>266.71428571428572</v>
      </c>
      <c r="P52" s="15">
        <f t="shared" si="1"/>
        <v>530.85714285714289</v>
      </c>
    </row>
    <row r="53" spans="2:20" ht="23.1" customHeight="1" x14ac:dyDescent="0.25">
      <c r="B53" s="23" t="s">
        <v>80</v>
      </c>
      <c r="C53" s="49">
        <f>'Avg Week Namugongo-Kireka'!C53+'Avg Week Kireka-Namugongo'!C53</f>
        <v>140.85714285714286</v>
      </c>
      <c r="D53" s="49">
        <f>'Avg Week Namugongo-Kireka'!D53+'Avg Week Kireka-Namugongo'!D53</f>
        <v>35.428571428571431</v>
      </c>
      <c r="E53" s="49">
        <f>'Avg Week Namugongo-Kireka'!E53+'Avg Week Kireka-Namugongo'!E53</f>
        <v>26.857142857142854</v>
      </c>
      <c r="F53" s="49">
        <f>'Avg Week Namugongo-Kireka'!F53+'Avg Week Kireka-Namugongo'!F53</f>
        <v>32.571428571428569</v>
      </c>
      <c r="G53" s="49">
        <f>'Avg Week Namugongo-Kireka'!G53+'Avg Week Kireka-Namugongo'!G53</f>
        <v>2.1428571428571428</v>
      </c>
      <c r="H53" s="49">
        <f>'Avg Week Namugongo-Kireka'!H53+'Avg Week Kireka-Namugongo'!H53</f>
        <v>0</v>
      </c>
      <c r="I53" s="49">
        <f>'Avg Week Namugongo-Kireka'!I53+'Avg Week Kireka-Namugongo'!I53</f>
        <v>10.428571428571427</v>
      </c>
      <c r="J53" s="49">
        <f>'Avg Week Namugongo-Kireka'!J53+'Avg Week Kireka-Namugongo'!J53</f>
        <v>3.7142857142857144</v>
      </c>
      <c r="K53" s="49">
        <f>'Avg Week Namugongo-Kireka'!K53+'Avg Week Kireka-Namugongo'!K53</f>
        <v>1.2857142857142856</v>
      </c>
      <c r="L53" s="49">
        <f>'Avg Week Namugongo-Kireka'!L53+'Avg Week Kireka-Namugongo'!L53</f>
        <v>0.42857142857142855</v>
      </c>
      <c r="M53" s="49">
        <f>'Avg Week Namugongo-Kireka'!M53+'Avg Week Kireka-Namugongo'!M53</f>
        <v>273.71428571428572</v>
      </c>
      <c r="N53" s="49">
        <f>'Avg Week Namugongo-Kireka'!N53+'Avg Week Kireka-Namugongo'!N53</f>
        <v>0.14285714285714285</v>
      </c>
      <c r="O53" s="15">
        <f t="shared" si="0"/>
        <v>253.85714285714283</v>
      </c>
      <c r="P53" s="15">
        <f t="shared" si="1"/>
        <v>527.57142857142856</v>
      </c>
    </row>
    <row r="54" spans="2:20" ht="23.1" customHeight="1" x14ac:dyDescent="0.25">
      <c r="B54" s="23" t="s">
        <v>81</v>
      </c>
      <c r="C54" s="49">
        <f>'Avg Week Namugongo-Kireka'!C54+'Avg Week Kireka-Namugongo'!C54</f>
        <v>148.57142857142858</v>
      </c>
      <c r="D54" s="49">
        <f>'Avg Week Namugongo-Kireka'!D54+'Avg Week Kireka-Namugongo'!D54</f>
        <v>27.857142857142858</v>
      </c>
      <c r="E54" s="49">
        <f>'Avg Week Namugongo-Kireka'!E54+'Avg Week Kireka-Namugongo'!E54</f>
        <v>21.857142857142854</v>
      </c>
      <c r="F54" s="49">
        <f>'Avg Week Namugongo-Kireka'!F54+'Avg Week Kireka-Namugongo'!F54</f>
        <v>47.142857142857139</v>
      </c>
      <c r="G54" s="49">
        <f>'Avg Week Namugongo-Kireka'!G54+'Avg Week Kireka-Namugongo'!G54</f>
        <v>2.4285714285714284</v>
      </c>
      <c r="H54" s="49">
        <f>'Avg Week Namugongo-Kireka'!H54+'Avg Week Kireka-Namugongo'!H54</f>
        <v>1</v>
      </c>
      <c r="I54" s="49">
        <f>'Avg Week Namugongo-Kireka'!I54+'Avg Week Kireka-Namugongo'!I54</f>
        <v>7.1428571428571432</v>
      </c>
      <c r="J54" s="49">
        <f>'Avg Week Namugongo-Kireka'!J54+'Avg Week Kireka-Namugongo'!J54</f>
        <v>5.2857142857142856</v>
      </c>
      <c r="K54" s="49">
        <f>'Avg Week Namugongo-Kireka'!K54+'Avg Week Kireka-Namugongo'!K54</f>
        <v>3.1428571428571428</v>
      </c>
      <c r="L54" s="49">
        <f>'Avg Week Namugongo-Kireka'!L54+'Avg Week Kireka-Namugongo'!L54</f>
        <v>0.2857142857142857</v>
      </c>
      <c r="M54" s="49">
        <f>'Avg Week Namugongo-Kireka'!M54+'Avg Week Kireka-Namugongo'!M54</f>
        <v>287.14285714285711</v>
      </c>
      <c r="N54" s="49">
        <f>'Avg Week Namugongo-Kireka'!N54+'Avg Week Kireka-Namugongo'!N54</f>
        <v>0</v>
      </c>
      <c r="O54" s="15">
        <f t="shared" si="0"/>
        <v>264.71428571428572</v>
      </c>
      <c r="P54" s="15">
        <f t="shared" si="1"/>
        <v>551.85714285714289</v>
      </c>
    </row>
    <row r="55" spans="2:20" ht="23.1" customHeight="1" x14ac:dyDescent="0.25">
      <c r="B55" s="23" t="s">
        <v>82</v>
      </c>
      <c r="C55" s="49">
        <f>'Avg Week Namugongo-Kireka'!C55+'Avg Week Kireka-Namugongo'!C55</f>
        <v>143</v>
      </c>
      <c r="D55" s="49">
        <f>'Avg Week Namugongo-Kireka'!D55+'Avg Week Kireka-Namugongo'!D55</f>
        <v>31.428571428571431</v>
      </c>
      <c r="E55" s="49">
        <f>'Avg Week Namugongo-Kireka'!E55+'Avg Week Kireka-Namugongo'!E55</f>
        <v>23.285714285714285</v>
      </c>
      <c r="F55" s="49">
        <f>'Avg Week Namugongo-Kireka'!F55+'Avg Week Kireka-Namugongo'!F55</f>
        <v>40.142857142857146</v>
      </c>
      <c r="G55" s="49">
        <f>'Avg Week Namugongo-Kireka'!G55+'Avg Week Kireka-Namugongo'!G55</f>
        <v>2.2857142857142856</v>
      </c>
      <c r="H55" s="49">
        <f>'Avg Week Namugongo-Kireka'!H55+'Avg Week Kireka-Namugongo'!H55</f>
        <v>0.5714285714285714</v>
      </c>
      <c r="I55" s="49">
        <f>'Avg Week Namugongo-Kireka'!I55+'Avg Week Kireka-Namugongo'!I55</f>
        <v>6.5714285714285712</v>
      </c>
      <c r="J55" s="49">
        <f>'Avg Week Namugongo-Kireka'!J55+'Avg Week Kireka-Namugongo'!J55</f>
        <v>2.4285714285714288</v>
      </c>
      <c r="K55" s="49">
        <f>'Avg Week Namugongo-Kireka'!K55+'Avg Week Kireka-Namugongo'!K55</f>
        <v>2.2857142857142856</v>
      </c>
      <c r="L55" s="49">
        <f>'Avg Week Namugongo-Kireka'!L55+'Avg Week Kireka-Namugongo'!L55</f>
        <v>0.2857142857142857</v>
      </c>
      <c r="M55" s="49">
        <f>'Avg Week Namugongo-Kireka'!M55+'Avg Week Kireka-Namugongo'!M55</f>
        <v>301.14285714285711</v>
      </c>
      <c r="N55" s="49">
        <f>'Avg Week Namugongo-Kireka'!N55+'Avg Week Kireka-Namugongo'!N55</f>
        <v>0</v>
      </c>
      <c r="O55" s="15">
        <f t="shared" si="0"/>
        <v>252.28571428571428</v>
      </c>
      <c r="P55" s="15">
        <f t="shared" si="1"/>
        <v>553.42857142857133</v>
      </c>
    </row>
    <row r="56" spans="2:20" ht="23.1" customHeight="1" x14ac:dyDescent="0.25">
      <c r="B56" s="23" t="s">
        <v>83</v>
      </c>
      <c r="C56" s="49">
        <f>'Avg Week Namugongo-Kireka'!C56+'Avg Week Kireka-Namugongo'!C56</f>
        <v>141.14285714285714</v>
      </c>
      <c r="D56" s="49">
        <f>'Avg Week Namugongo-Kireka'!D56+'Avg Week Kireka-Namugongo'!D56</f>
        <v>33.714285714285715</v>
      </c>
      <c r="E56" s="49">
        <f>'Avg Week Namugongo-Kireka'!E56+'Avg Week Kireka-Namugongo'!E56</f>
        <v>19.714285714285715</v>
      </c>
      <c r="F56" s="49">
        <f>'Avg Week Namugongo-Kireka'!F56+'Avg Week Kireka-Namugongo'!F56</f>
        <v>43.571428571428569</v>
      </c>
      <c r="G56" s="49">
        <f>'Avg Week Namugongo-Kireka'!G56+'Avg Week Kireka-Namugongo'!G56</f>
        <v>0.8571428571428571</v>
      </c>
      <c r="H56" s="49">
        <f>'Avg Week Namugongo-Kireka'!H56+'Avg Week Kireka-Namugongo'!H56</f>
        <v>0.8571428571428571</v>
      </c>
      <c r="I56" s="49">
        <f>'Avg Week Namugongo-Kireka'!I56+'Avg Week Kireka-Namugongo'!I56</f>
        <v>6</v>
      </c>
      <c r="J56" s="49">
        <f>'Avg Week Namugongo-Kireka'!J56+'Avg Week Kireka-Namugongo'!J56</f>
        <v>2.1428571428571428</v>
      </c>
      <c r="K56" s="49">
        <f>'Avg Week Namugongo-Kireka'!K56+'Avg Week Kireka-Namugongo'!K56</f>
        <v>0.5714285714285714</v>
      </c>
      <c r="L56" s="49">
        <f>'Avg Week Namugongo-Kireka'!L56+'Avg Week Kireka-Namugongo'!L56</f>
        <v>21.285714285714285</v>
      </c>
      <c r="M56" s="49">
        <f>'Avg Week Namugongo-Kireka'!M56+'Avg Week Kireka-Namugongo'!M56</f>
        <v>264</v>
      </c>
      <c r="N56" s="49">
        <f>'Avg Week Namugongo-Kireka'!N56+'Avg Week Kireka-Namugongo'!N56</f>
        <v>0</v>
      </c>
      <c r="O56" s="15">
        <f t="shared" si="0"/>
        <v>269.85714285714289</v>
      </c>
      <c r="P56" s="15">
        <f t="shared" si="1"/>
        <v>533.85714285714289</v>
      </c>
    </row>
    <row r="57" spans="2:20" ht="23.1" customHeight="1" x14ac:dyDescent="0.25">
      <c r="B57" s="23" t="s">
        <v>84</v>
      </c>
      <c r="C57" s="49">
        <f>'Avg Week Namugongo-Kireka'!C57+'Avg Week Kireka-Namugongo'!C57</f>
        <v>136.14285714285714</v>
      </c>
      <c r="D57" s="49">
        <f>'Avg Week Namugongo-Kireka'!D57+'Avg Week Kireka-Namugongo'!D57</f>
        <v>38.571428571428569</v>
      </c>
      <c r="E57" s="49">
        <f>'Avg Week Namugongo-Kireka'!E57+'Avg Week Kireka-Namugongo'!E57</f>
        <v>21.857142857142858</v>
      </c>
      <c r="F57" s="49">
        <f>'Avg Week Namugongo-Kireka'!F57+'Avg Week Kireka-Namugongo'!F57</f>
        <v>47.142857142857146</v>
      </c>
      <c r="G57" s="49">
        <f>'Avg Week Namugongo-Kireka'!G57+'Avg Week Kireka-Namugongo'!G57</f>
        <v>0.7142857142857143</v>
      </c>
      <c r="H57" s="49">
        <f>'Avg Week Namugongo-Kireka'!H57+'Avg Week Kireka-Namugongo'!H57</f>
        <v>0</v>
      </c>
      <c r="I57" s="49">
        <f>'Avg Week Namugongo-Kireka'!I57+'Avg Week Kireka-Namugongo'!I57</f>
        <v>7.2857142857142856</v>
      </c>
      <c r="J57" s="49">
        <f>'Avg Week Namugongo-Kireka'!J57+'Avg Week Kireka-Namugongo'!J57</f>
        <v>3.8095238095238093</v>
      </c>
      <c r="K57" s="49">
        <f>'Avg Week Namugongo-Kireka'!K57+'Avg Week Kireka-Namugongo'!K57</f>
        <v>1.1428571428571428</v>
      </c>
      <c r="L57" s="49">
        <f>'Avg Week Namugongo-Kireka'!L57+'Avg Week Kireka-Namugongo'!L57</f>
        <v>25.714285714285715</v>
      </c>
      <c r="M57" s="49">
        <f>'Avg Week Namugongo-Kireka'!M57+'Avg Week Kireka-Namugongo'!M57</f>
        <v>264.14285714285711</v>
      </c>
      <c r="N57" s="49">
        <f>'Avg Week Namugongo-Kireka'!N57+'Avg Week Kireka-Namugongo'!N57</f>
        <v>0</v>
      </c>
      <c r="O57" s="15">
        <f t="shared" si="0"/>
        <v>282.38095238095241</v>
      </c>
      <c r="P57" s="15">
        <f t="shared" si="1"/>
        <v>546.52380952380952</v>
      </c>
    </row>
    <row r="58" spans="2:20" ht="23.1" customHeight="1" x14ac:dyDescent="0.25">
      <c r="B58" s="23" t="s">
        <v>99</v>
      </c>
      <c r="C58" s="49">
        <f>'Avg Week Namugongo-Kireka'!C58+'Avg Week Kireka-Namugongo'!C58</f>
        <v>35</v>
      </c>
      <c r="D58" s="49">
        <f>'Avg Week Namugongo-Kireka'!D58+'Avg Week Kireka-Namugongo'!D58</f>
        <v>8.5</v>
      </c>
      <c r="E58" s="49">
        <f>'Avg Week Namugongo-Kireka'!E58+'Avg Week Kireka-Namugongo'!E58</f>
        <v>3</v>
      </c>
      <c r="F58" s="49">
        <f>'Avg Week Namugongo-Kireka'!F58+'Avg Week Kireka-Namugongo'!F58</f>
        <v>14</v>
      </c>
      <c r="G58" s="49">
        <f>'Avg Week Namugongo-Kireka'!G58+'Avg Week Kireka-Namugongo'!G58</f>
        <v>0.5</v>
      </c>
      <c r="H58" s="49">
        <f>'Avg Week Namugongo-Kireka'!H58+'Avg Week Kireka-Namugongo'!H58</f>
        <v>0</v>
      </c>
      <c r="I58" s="49">
        <f>'Avg Week Namugongo-Kireka'!I58+'Avg Week Kireka-Namugongo'!I58</f>
        <v>2.5</v>
      </c>
      <c r="J58" s="49">
        <f>'Avg Week Namugongo-Kireka'!J58+'Avg Week Kireka-Namugongo'!J58</f>
        <v>0.5</v>
      </c>
      <c r="K58" s="49">
        <f>'Avg Week Namugongo-Kireka'!K58+'Avg Week Kireka-Namugongo'!K58</f>
        <v>0</v>
      </c>
      <c r="L58" s="49">
        <f>'Avg Week Namugongo-Kireka'!L58+'Avg Week Kireka-Namugongo'!L58</f>
        <v>0</v>
      </c>
      <c r="M58" s="49">
        <f>'Avg Week Namugongo-Kireka'!M58+'Avg Week Kireka-Namugongo'!M58</f>
        <v>66</v>
      </c>
      <c r="N58" s="49">
        <f>'Avg Week Namugongo-Kireka'!N58+'Avg Week Kireka-Namugongo'!N58</f>
        <v>0</v>
      </c>
      <c r="O58" s="15">
        <f t="shared" si="0"/>
        <v>64</v>
      </c>
      <c r="P58" s="15">
        <f t="shared" si="1"/>
        <v>130</v>
      </c>
    </row>
    <row r="59" spans="2:20" ht="23.1" customHeight="1" x14ac:dyDescent="0.25">
      <c r="B59" s="23" t="s">
        <v>100</v>
      </c>
      <c r="C59" s="49">
        <f>'Avg Week Namugongo-Kireka'!C59+'Avg Week Kireka-Namugongo'!C59</f>
        <v>73.5</v>
      </c>
      <c r="D59" s="49">
        <f>'Avg Week Namugongo-Kireka'!D59+'Avg Week Kireka-Namugongo'!D59</f>
        <v>12</v>
      </c>
      <c r="E59" s="49">
        <f>'Avg Week Namugongo-Kireka'!E59+'Avg Week Kireka-Namugongo'!E59</f>
        <v>6.5</v>
      </c>
      <c r="F59" s="49">
        <f>'Avg Week Namugongo-Kireka'!F59+'Avg Week Kireka-Namugongo'!F59</f>
        <v>19.5</v>
      </c>
      <c r="G59" s="49">
        <f>'Avg Week Namugongo-Kireka'!G59+'Avg Week Kireka-Namugongo'!G59</f>
        <v>1</v>
      </c>
      <c r="H59" s="49">
        <f>'Avg Week Namugongo-Kireka'!H59+'Avg Week Kireka-Namugongo'!H59</f>
        <v>0</v>
      </c>
      <c r="I59" s="49">
        <f>'Avg Week Namugongo-Kireka'!I59+'Avg Week Kireka-Namugongo'!I59</f>
        <v>1</v>
      </c>
      <c r="J59" s="49">
        <f>'Avg Week Namugongo-Kireka'!J59+'Avg Week Kireka-Namugongo'!J59</f>
        <v>1.5</v>
      </c>
      <c r="K59" s="49">
        <f>'Avg Week Namugongo-Kireka'!K59+'Avg Week Kireka-Namugongo'!K59</f>
        <v>3.5</v>
      </c>
      <c r="L59" s="49">
        <f>'Avg Week Namugongo-Kireka'!L59+'Avg Week Kireka-Namugongo'!L59</f>
        <v>0</v>
      </c>
      <c r="M59" s="49">
        <f>'Avg Week Namugongo-Kireka'!M59+'Avg Week Kireka-Namugongo'!M59</f>
        <v>132.5</v>
      </c>
      <c r="N59" s="49">
        <f>'Avg Week Namugongo-Kireka'!N59+'Avg Week Kireka-Namugongo'!N59</f>
        <v>0</v>
      </c>
      <c r="O59" s="15">
        <f t="shared" ref="O59:O105" si="35">SUM(C59:L59,N59)</f>
        <v>118.5</v>
      </c>
      <c r="P59" s="15">
        <f t="shared" ref="P59:P105" si="36">SUM(C59:N59)</f>
        <v>251</v>
      </c>
      <c r="R59" s="8"/>
      <c r="T59"/>
    </row>
    <row r="60" spans="2:20" ht="23.1" customHeight="1" x14ac:dyDescent="0.25">
      <c r="B60" s="23" t="s">
        <v>101</v>
      </c>
      <c r="C60" s="49">
        <f>'Avg Week Namugongo-Kireka'!C60+'Avg Week Kireka-Namugongo'!C60</f>
        <v>67.5</v>
      </c>
      <c r="D60" s="49">
        <f>'Avg Week Namugongo-Kireka'!D60+'Avg Week Kireka-Namugongo'!D60</f>
        <v>15.5</v>
      </c>
      <c r="E60" s="49">
        <f>'Avg Week Namugongo-Kireka'!E60+'Avg Week Kireka-Namugongo'!E60</f>
        <v>4.5</v>
      </c>
      <c r="F60" s="49">
        <f>'Avg Week Namugongo-Kireka'!F60+'Avg Week Kireka-Namugongo'!F60</f>
        <v>18.5</v>
      </c>
      <c r="G60" s="49">
        <f>'Avg Week Namugongo-Kireka'!G60+'Avg Week Kireka-Namugongo'!G60</f>
        <v>0.5</v>
      </c>
      <c r="H60" s="49">
        <f>'Avg Week Namugongo-Kireka'!H60+'Avg Week Kireka-Namugongo'!H60</f>
        <v>0.5</v>
      </c>
      <c r="I60" s="49">
        <f>'Avg Week Namugongo-Kireka'!I60+'Avg Week Kireka-Namugongo'!I60</f>
        <v>1.5</v>
      </c>
      <c r="J60" s="49">
        <f>'Avg Week Namugongo-Kireka'!J60+'Avg Week Kireka-Namugongo'!J60</f>
        <v>3.5</v>
      </c>
      <c r="K60" s="49">
        <f>'Avg Week Namugongo-Kireka'!K60+'Avg Week Kireka-Namugongo'!K60</f>
        <v>0</v>
      </c>
      <c r="L60" s="49">
        <f>'Avg Week Namugongo-Kireka'!L60+'Avg Week Kireka-Namugongo'!L60</f>
        <v>0</v>
      </c>
      <c r="M60" s="49">
        <f>'Avg Week Namugongo-Kireka'!M60+'Avg Week Kireka-Namugongo'!M60</f>
        <v>299.5</v>
      </c>
      <c r="N60" s="49">
        <f>'Avg Week Namugongo-Kireka'!N60+'Avg Week Kireka-Namugongo'!N60</f>
        <v>0</v>
      </c>
      <c r="O60" s="15">
        <f t="shared" si="35"/>
        <v>112</v>
      </c>
      <c r="P60" s="15">
        <f t="shared" si="36"/>
        <v>411.5</v>
      </c>
      <c r="R60" s="8"/>
      <c r="T60"/>
    </row>
    <row r="61" spans="2:20" ht="23.1" customHeight="1" x14ac:dyDescent="0.25">
      <c r="B61" s="23" t="s">
        <v>102</v>
      </c>
      <c r="C61" s="49">
        <f>'Avg Week Namugongo-Kireka'!C61+'Avg Week Kireka-Namugongo'!C61</f>
        <v>72.5</v>
      </c>
      <c r="D61" s="49">
        <f>'Avg Week Namugongo-Kireka'!D61+'Avg Week Kireka-Namugongo'!D61</f>
        <v>10</v>
      </c>
      <c r="E61" s="49">
        <f>'Avg Week Namugongo-Kireka'!E61+'Avg Week Kireka-Namugongo'!E61</f>
        <v>9</v>
      </c>
      <c r="F61" s="49">
        <f>'Avg Week Namugongo-Kireka'!F61+'Avg Week Kireka-Namugongo'!F61</f>
        <v>26</v>
      </c>
      <c r="G61" s="49">
        <f>'Avg Week Namugongo-Kireka'!G61+'Avg Week Kireka-Namugongo'!G61</f>
        <v>0</v>
      </c>
      <c r="H61" s="49">
        <f>'Avg Week Namugongo-Kireka'!H61+'Avg Week Kireka-Namugongo'!H61</f>
        <v>0</v>
      </c>
      <c r="I61" s="49">
        <f>'Avg Week Namugongo-Kireka'!I61+'Avg Week Kireka-Namugongo'!I61</f>
        <v>4.5</v>
      </c>
      <c r="J61" s="49">
        <f>'Avg Week Namugongo-Kireka'!J61+'Avg Week Kireka-Namugongo'!J61</f>
        <v>2</v>
      </c>
      <c r="K61" s="49">
        <f>'Avg Week Namugongo-Kireka'!K61+'Avg Week Kireka-Namugongo'!K61</f>
        <v>0</v>
      </c>
      <c r="L61" s="49">
        <f>'Avg Week Namugongo-Kireka'!L61+'Avg Week Kireka-Namugongo'!L61</f>
        <v>0</v>
      </c>
      <c r="M61" s="49">
        <f>'Avg Week Namugongo-Kireka'!M61+'Avg Week Kireka-Namugongo'!M61</f>
        <v>180</v>
      </c>
      <c r="N61" s="49">
        <f>'Avg Week Namugongo-Kireka'!N61+'Avg Week Kireka-Namugongo'!N61</f>
        <v>0</v>
      </c>
      <c r="O61" s="15">
        <f t="shared" si="35"/>
        <v>124</v>
      </c>
      <c r="P61" s="15">
        <f t="shared" si="36"/>
        <v>304</v>
      </c>
      <c r="R61" s="8"/>
      <c r="T61"/>
    </row>
    <row r="62" spans="2:20" ht="23.1" customHeight="1" x14ac:dyDescent="0.25">
      <c r="B62" s="23" t="s">
        <v>107</v>
      </c>
      <c r="C62" s="49">
        <f>'Avg Week Namugongo-Kireka'!C62+'Avg Week Kireka-Namugongo'!C62</f>
        <v>51.5</v>
      </c>
      <c r="D62" s="49">
        <f>'Avg Week Namugongo-Kireka'!D62+'Avg Week Kireka-Namugongo'!D62</f>
        <v>8</v>
      </c>
      <c r="E62" s="49">
        <f>'Avg Week Namugongo-Kireka'!E62+'Avg Week Kireka-Namugongo'!E62</f>
        <v>4</v>
      </c>
      <c r="F62" s="49">
        <f>'Avg Week Namugongo-Kireka'!F62+'Avg Week Kireka-Namugongo'!F62</f>
        <v>18</v>
      </c>
      <c r="G62" s="49">
        <f>'Avg Week Namugongo-Kireka'!G62+'Avg Week Kireka-Namugongo'!G62</f>
        <v>0</v>
      </c>
      <c r="H62" s="49">
        <f>'Avg Week Namugongo-Kireka'!H62+'Avg Week Kireka-Namugongo'!H62</f>
        <v>0</v>
      </c>
      <c r="I62" s="49">
        <f>'Avg Week Namugongo-Kireka'!I62+'Avg Week Kireka-Namugongo'!I62</f>
        <v>3.5</v>
      </c>
      <c r="J62" s="49">
        <f>'Avg Week Namugongo-Kireka'!J62+'Avg Week Kireka-Namugongo'!J62</f>
        <v>0</v>
      </c>
      <c r="K62" s="49">
        <f>'Avg Week Namugongo-Kireka'!K62+'Avg Week Kireka-Namugongo'!K62</f>
        <v>0.5</v>
      </c>
      <c r="L62" s="49">
        <f>'Avg Week Namugongo-Kireka'!L62+'Avg Week Kireka-Namugongo'!L62</f>
        <v>0</v>
      </c>
      <c r="M62" s="49">
        <f>'Avg Week Namugongo-Kireka'!M62+'Avg Week Kireka-Namugongo'!M62</f>
        <v>150</v>
      </c>
      <c r="N62" s="49">
        <f>'Avg Week Namugongo-Kireka'!N62+'Avg Week Kireka-Namugongo'!N62</f>
        <v>0</v>
      </c>
      <c r="O62" s="15">
        <f t="shared" si="35"/>
        <v>85.5</v>
      </c>
      <c r="P62" s="15">
        <f t="shared" si="36"/>
        <v>235.5</v>
      </c>
      <c r="R62" s="8"/>
      <c r="T62"/>
    </row>
    <row r="63" spans="2:20" ht="23.1" customHeight="1" x14ac:dyDescent="0.25">
      <c r="B63" s="23" t="s">
        <v>108</v>
      </c>
      <c r="C63" s="49">
        <f>'Avg Week Namugongo-Kireka'!C63+'Avg Week Kireka-Namugongo'!C63</f>
        <v>68</v>
      </c>
      <c r="D63" s="49">
        <f>'Avg Week Namugongo-Kireka'!D63+'Avg Week Kireka-Namugongo'!D63</f>
        <v>14</v>
      </c>
      <c r="E63" s="49">
        <f>'Avg Week Namugongo-Kireka'!E63+'Avg Week Kireka-Namugongo'!E63</f>
        <v>8.5</v>
      </c>
      <c r="F63" s="49">
        <f>'Avg Week Namugongo-Kireka'!F63+'Avg Week Kireka-Namugongo'!F63</f>
        <v>27</v>
      </c>
      <c r="G63" s="49">
        <f>'Avg Week Namugongo-Kireka'!G63+'Avg Week Kireka-Namugongo'!G63</f>
        <v>0</v>
      </c>
      <c r="H63" s="49">
        <f>'Avg Week Namugongo-Kireka'!H63+'Avg Week Kireka-Namugongo'!H63</f>
        <v>0</v>
      </c>
      <c r="I63" s="49">
        <f>'Avg Week Namugongo-Kireka'!I63+'Avg Week Kireka-Namugongo'!I63</f>
        <v>3.5</v>
      </c>
      <c r="J63" s="49">
        <f>'Avg Week Namugongo-Kireka'!J63+'Avg Week Kireka-Namugongo'!J63</f>
        <v>2.5</v>
      </c>
      <c r="K63" s="49">
        <f>'Avg Week Namugongo-Kireka'!K63+'Avg Week Kireka-Namugongo'!K63</f>
        <v>0.5</v>
      </c>
      <c r="L63" s="49">
        <f>'Avg Week Namugongo-Kireka'!L63+'Avg Week Kireka-Namugongo'!L63</f>
        <v>0</v>
      </c>
      <c r="M63" s="49">
        <f>'Avg Week Namugongo-Kireka'!M63+'Avg Week Kireka-Namugongo'!M63</f>
        <v>135</v>
      </c>
      <c r="N63" s="49">
        <f>'Avg Week Namugongo-Kireka'!N63+'Avg Week Kireka-Namugongo'!N63</f>
        <v>0</v>
      </c>
      <c r="O63" s="15">
        <f t="shared" si="35"/>
        <v>124</v>
      </c>
      <c r="P63" s="15">
        <f t="shared" si="36"/>
        <v>259</v>
      </c>
      <c r="R63" s="8"/>
      <c r="T63"/>
    </row>
    <row r="64" spans="2:20" ht="23.1" customHeight="1" x14ac:dyDescent="0.25">
      <c r="B64" s="23" t="s">
        <v>109</v>
      </c>
      <c r="C64" s="49">
        <f>'Avg Week Namugongo-Kireka'!C64+'Avg Week Kireka-Namugongo'!C64</f>
        <v>73.5</v>
      </c>
      <c r="D64" s="49">
        <f>'Avg Week Namugongo-Kireka'!D64+'Avg Week Kireka-Namugongo'!D64</f>
        <v>13.5</v>
      </c>
      <c r="E64" s="49">
        <f>'Avg Week Namugongo-Kireka'!E64+'Avg Week Kireka-Namugongo'!E64</f>
        <v>6.5</v>
      </c>
      <c r="F64" s="49">
        <f>'Avg Week Namugongo-Kireka'!F64+'Avg Week Kireka-Namugongo'!F64</f>
        <v>29</v>
      </c>
      <c r="G64" s="49">
        <f>'Avg Week Namugongo-Kireka'!G64+'Avg Week Kireka-Namugongo'!G64</f>
        <v>0</v>
      </c>
      <c r="H64" s="49">
        <f>'Avg Week Namugongo-Kireka'!H64+'Avg Week Kireka-Namugongo'!H64</f>
        <v>0</v>
      </c>
      <c r="I64" s="49">
        <f>'Avg Week Namugongo-Kireka'!I64+'Avg Week Kireka-Namugongo'!I64</f>
        <v>3.5</v>
      </c>
      <c r="J64" s="49">
        <f>'Avg Week Namugongo-Kireka'!J64+'Avg Week Kireka-Namugongo'!J64</f>
        <v>2.5</v>
      </c>
      <c r="K64" s="49">
        <f>'Avg Week Namugongo-Kireka'!K64+'Avg Week Kireka-Namugongo'!K64</f>
        <v>0.5</v>
      </c>
      <c r="L64" s="49">
        <f>'Avg Week Namugongo-Kireka'!L64+'Avg Week Kireka-Namugongo'!L64</f>
        <v>0</v>
      </c>
      <c r="M64" s="49">
        <f>'Avg Week Namugongo-Kireka'!M64+'Avg Week Kireka-Namugongo'!M64</f>
        <v>148.5</v>
      </c>
      <c r="N64" s="49">
        <f>'Avg Week Namugongo-Kireka'!N64+'Avg Week Kireka-Namugongo'!N64</f>
        <v>0</v>
      </c>
      <c r="O64" s="15">
        <f t="shared" si="35"/>
        <v>129</v>
      </c>
      <c r="P64" s="15">
        <f t="shared" si="36"/>
        <v>277.5</v>
      </c>
      <c r="R64" s="8"/>
      <c r="T64"/>
    </row>
    <row r="65" spans="2:20" ht="23.1" customHeight="1" x14ac:dyDescent="0.25">
      <c r="B65" s="23" t="s">
        <v>158</v>
      </c>
      <c r="C65" s="49">
        <f>'Avg Week Namugongo-Kireka'!C65+'Avg Week Kireka-Namugongo'!C65</f>
        <v>63.5</v>
      </c>
      <c r="D65" s="49">
        <f>'Avg Week Namugongo-Kireka'!D65+'Avg Week Kireka-Namugongo'!D65</f>
        <v>10.5</v>
      </c>
      <c r="E65" s="49">
        <f>'Avg Week Namugongo-Kireka'!E65+'Avg Week Kireka-Namugongo'!E65</f>
        <v>7.5</v>
      </c>
      <c r="F65" s="49">
        <f>'Avg Week Namugongo-Kireka'!F65+'Avg Week Kireka-Namugongo'!F65</f>
        <v>22.5</v>
      </c>
      <c r="G65" s="49">
        <f>'Avg Week Namugongo-Kireka'!G65+'Avg Week Kireka-Namugongo'!G65</f>
        <v>0</v>
      </c>
      <c r="H65" s="49">
        <f>'Avg Week Namugongo-Kireka'!H65+'Avg Week Kireka-Namugongo'!H65</f>
        <v>0</v>
      </c>
      <c r="I65" s="49">
        <f>'Avg Week Namugongo-Kireka'!I65+'Avg Week Kireka-Namugongo'!I65</f>
        <v>2.5</v>
      </c>
      <c r="J65" s="49">
        <f>'Avg Week Namugongo-Kireka'!J65+'Avg Week Kireka-Namugongo'!J65</f>
        <v>2</v>
      </c>
      <c r="K65" s="49">
        <f>'Avg Week Namugongo-Kireka'!K65+'Avg Week Kireka-Namugongo'!K65</f>
        <v>0.5</v>
      </c>
      <c r="L65" s="49">
        <f>'Avg Week Namugongo-Kireka'!L65+'Avg Week Kireka-Namugongo'!L65</f>
        <v>0</v>
      </c>
      <c r="M65" s="49">
        <f>'Avg Week Namugongo-Kireka'!M65+'Avg Week Kireka-Namugongo'!M65</f>
        <v>162</v>
      </c>
      <c r="N65" s="49">
        <f>'Avg Week Namugongo-Kireka'!N65+'Avg Week Kireka-Namugongo'!N65</f>
        <v>0</v>
      </c>
      <c r="O65" s="15">
        <f t="shared" si="35"/>
        <v>109</v>
      </c>
      <c r="P65" s="15">
        <f t="shared" si="36"/>
        <v>271</v>
      </c>
      <c r="R65" s="8"/>
      <c r="T65"/>
    </row>
    <row r="66" spans="2:20" ht="23.1" customHeight="1" x14ac:dyDescent="0.25">
      <c r="B66" s="23" t="s">
        <v>103</v>
      </c>
      <c r="C66" s="49">
        <f>'Avg Week Namugongo-Kireka'!C66+'Avg Week Kireka-Namugongo'!C66</f>
        <v>45.5</v>
      </c>
      <c r="D66" s="49">
        <f>'Avg Week Namugongo-Kireka'!D66+'Avg Week Kireka-Namugongo'!D66</f>
        <v>12.5</v>
      </c>
      <c r="E66" s="49">
        <f>'Avg Week Namugongo-Kireka'!E66+'Avg Week Kireka-Namugongo'!E66</f>
        <v>5.5</v>
      </c>
      <c r="F66" s="49">
        <f>'Avg Week Namugongo-Kireka'!F66+'Avg Week Kireka-Namugongo'!F66</f>
        <v>21.5</v>
      </c>
      <c r="G66" s="49">
        <f>'Avg Week Namugongo-Kireka'!G66+'Avg Week Kireka-Namugongo'!G66</f>
        <v>0</v>
      </c>
      <c r="H66" s="49">
        <f>'Avg Week Namugongo-Kireka'!H66+'Avg Week Kireka-Namugongo'!H66</f>
        <v>0</v>
      </c>
      <c r="I66" s="49">
        <f>'Avg Week Namugongo-Kireka'!I66+'Avg Week Kireka-Namugongo'!I66</f>
        <v>1.5</v>
      </c>
      <c r="J66" s="49">
        <f>'Avg Week Namugongo-Kireka'!J66+'Avg Week Kireka-Namugongo'!J66</f>
        <v>0</v>
      </c>
      <c r="K66" s="49">
        <f>'Avg Week Namugongo-Kireka'!K66+'Avg Week Kireka-Namugongo'!K66</f>
        <v>0.5</v>
      </c>
      <c r="L66" s="49">
        <f>'Avg Week Namugongo-Kireka'!L66+'Avg Week Kireka-Namugongo'!L66</f>
        <v>0</v>
      </c>
      <c r="M66" s="49">
        <f>'Avg Week Namugongo-Kireka'!M66+'Avg Week Kireka-Namugongo'!M66</f>
        <v>109</v>
      </c>
      <c r="N66" s="49">
        <f>'Avg Week Namugongo-Kireka'!N66+'Avg Week Kireka-Namugongo'!N66</f>
        <v>0</v>
      </c>
      <c r="O66" s="15">
        <f t="shared" si="35"/>
        <v>87</v>
      </c>
      <c r="P66" s="15">
        <f t="shared" si="36"/>
        <v>196</v>
      </c>
      <c r="R66" s="8"/>
      <c r="T66"/>
    </row>
    <row r="67" spans="2:20" ht="23.1" customHeight="1" x14ac:dyDescent="0.25">
      <c r="B67" s="23" t="s">
        <v>104</v>
      </c>
      <c r="C67" s="49">
        <f>'Avg Week Namugongo-Kireka'!C67+'Avg Week Kireka-Namugongo'!C67</f>
        <v>37.5</v>
      </c>
      <c r="D67" s="49">
        <f>'Avg Week Namugongo-Kireka'!D67+'Avg Week Kireka-Namugongo'!D67</f>
        <v>8.5</v>
      </c>
      <c r="E67" s="49">
        <f>'Avg Week Namugongo-Kireka'!E67+'Avg Week Kireka-Namugongo'!E67</f>
        <v>4</v>
      </c>
      <c r="F67" s="49">
        <f>'Avg Week Namugongo-Kireka'!F67+'Avg Week Kireka-Namugongo'!F67</f>
        <v>19</v>
      </c>
      <c r="G67" s="49">
        <f>'Avg Week Namugongo-Kireka'!G67+'Avg Week Kireka-Namugongo'!G67</f>
        <v>0</v>
      </c>
      <c r="H67" s="49">
        <f>'Avg Week Namugongo-Kireka'!H67+'Avg Week Kireka-Namugongo'!H67</f>
        <v>0</v>
      </c>
      <c r="I67" s="49">
        <f>'Avg Week Namugongo-Kireka'!I67+'Avg Week Kireka-Namugongo'!I67</f>
        <v>2</v>
      </c>
      <c r="J67" s="49">
        <f>'Avg Week Namugongo-Kireka'!J67+'Avg Week Kireka-Namugongo'!J67</f>
        <v>1</v>
      </c>
      <c r="K67" s="49">
        <f>'Avg Week Namugongo-Kireka'!K67+'Avg Week Kireka-Namugongo'!K67</f>
        <v>0</v>
      </c>
      <c r="L67" s="49">
        <f>'Avg Week Namugongo-Kireka'!L67+'Avg Week Kireka-Namugongo'!L67</f>
        <v>0</v>
      </c>
      <c r="M67" s="49">
        <f>'Avg Week Namugongo-Kireka'!M67+'Avg Week Kireka-Namugongo'!M67</f>
        <v>108</v>
      </c>
      <c r="N67" s="49">
        <f>'Avg Week Namugongo-Kireka'!N67+'Avg Week Kireka-Namugongo'!N67</f>
        <v>0</v>
      </c>
      <c r="O67" s="15">
        <f t="shared" si="35"/>
        <v>72</v>
      </c>
      <c r="P67" s="15">
        <f t="shared" si="36"/>
        <v>180</v>
      </c>
      <c r="R67" s="8"/>
      <c r="T67"/>
    </row>
    <row r="68" spans="2:20" ht="23.1" customHeight="1" x14ac:dyDescent="0.25">
      <c r="B68" s="23" t="s">
        <v>105</v>
      </c>
      <c r="C68" s="49">
        <f>'Avg Week Namugongo-Kireka'!C68+'Avg Week Kireka-Namugongo'!C68</f>
        <v>37.5</v>
      </c>
      <c r="D68" s="49">
        <f>'Avg Week Namugongo-Kireka'!D68+'Avg Week Kireka-Namugongo'!D68</f>
        <v>17</v>
      </c>
      <c r="E68" s="49">
        <f>'Avg Week Namugongo-Kireka'!E68+'Avg Week Kireka-Namugongo'!E68</f>
        <v>9.5</v>
      </c>
      <c r="F68" s="49">
        <f>'Avg Week Namugongo-Kireka'!F68+'Avg Week Kireka-Namugongo'!F68</f>
        <v>19.5</v>
      </c>
      <c r="G68" s="49">
        <f>'Avg Week Namugongo-Kireka'!G68+'Avg Week Kireka-Namugongo'!G68</f>
        <v>1</v>
      </c>
      <c r="H68" s="49">
        <f>'Avg Week Namugongo-Kireka'!H68+'Avg Week Kireka-Namugongo'!H68</f>
        <v>0</v>
      </c>
      <c r="I68" s="49">
        <f>'Avg Week Namugongo-Kireka'!I68+'Avg Week Kireka-Namugongo'!I68</f>
        <v>2</v>
      </c>
      <c r="J68" s="49">
        <f>'Avg Week Namugongo-Kireka'!J68+'Avg Week Kireka-Namugongo'!J68</f>
        <v>1</v>
      </c>
      <c r="K68" s="49">
        <f>'Avg Week Namugongo-Kireka'!K68+'Avg Week Kireka-Namugongo'!K68</f>
        <v>0</v>
      </c>
      <c r="L68" s="49">
        <f>'Avg Week Namugongo-Kireka'!L68+'Avg Week Kireka-Namugongo'!L68</f>
        <v>0</v>
      </c>
      <c r="M68" s="49">
        <f>'Avg Week Namugongo-Kireka'!M68+'Avg Week Kireka-Namugongo'!M68</f>
        <v>117.5</v>
      </c>
      <c r="N68" s="49">
        <f>'Avg Week Namugongo-Kireka'!N68+'Avg Week Kireka-Namugongo'!N68</f>
        <v>0</v>
      </c>
      <c r="O68" s="15">
        <f t="shared" si="35"/>
        <v>87.5</v>
      </c>
      <c r="P68" s="15">
        <f t="shared" si="36"/>
        <v>205</v>
      </c>
      <c r="R68" s="8"/>
      <c r="T68"/>
    </row>
    <row r="69" spans="2:20" ht="23.1" customHeight="1" x14ac:dyDescent="0.25">
      <c r="B69" s="23" t="s">
        <v>106</v>
      </c>
      <c r="C69" s="49">
        <f>'Avg Week Namugongo-Kireka'!C69+'Avg Week Kireka-Namugongo'!C69</f>
        <v>48</v>
      </c>
      <c r="D69" s="49">
        <f>'Avg Week Namugongo-Kireka'!D69+'Avg Week Kireka-Namugongo'!D69</f>
        <v>9.5</v>
      </c>
      <c r="E69" s="49">
        <f>'Avg Week Namugongo-Kireka'!E69+'Avg Week Kireka-Namugongo'!E69</f>
        <v>4.5</v>
      </c>
      <c r="F69" s="49">
        <f>'Avg Week Namugongo-Kireka'!F69+'Avg Week Kireka-Namugongo'!F69</f>
        <v>14</v>
      </c>
      <c r="G69" s="49">
        <f>'Avg Week Namugongo-Kireka'!G69+'Avg Week Kireka-Namugongo'!G69</f>
        <v>0</v>
      </c>
      <c r="H69" s="49">
        <f>'Avg Week Namugongo-Kireka'!H69+'Avg Week Kireka-Namugongo'!H69</f>
        <v>0</v>
      </c>
      <c r="I69" s="49">
        <f>'Avg Week Namugongo-Kireka'!I69+'Avg Week Kireka-Namugongo'!I69</f>
        <v>3</v>
      </c>
      <c r="J69" s="49">
        <f>'Avg Week Namugongo-Kireka'!J69+'Avg Week Kireka-Namugongo'!J69</f>
        <v>0.5</v>
      </c>
      <c r="K69" s="49">
        <f>'Avg Week Namugongo-Kireka'!K69+'Avg Week Kireka-Namugongo'!K69</f>
        <v>0.5</v>
      </c>
      <c r="L69" s="49">
        <f>'Avg Week Namugongo-Kireka'!L69+'Avg Week Kireka-Namugongo'!L69</f>
        <v>0</v>
      </c>
      <c r="M69" s="49">
        <f>'Avg Week Namugongo-Kireka'!M69+'Avg Week Kireka-Namugongo'!M69</f>
        <v>80</v>
      </c>
      <c r="N69" s="49">
        <f>'Avg Week Namugongo-Kireka'!N69+'Avg Week Kireka-Namugongo'!N69</f>
        <v>0</v>
      </c>
      <c r="O69" s="15">
        <f t="shared" si="35"/>
        <v>80</v>
      </c>
      <c r="P69" s="15">
        <f t="shared" si="36"/>
        <v>160</v>
      </c>
      <c r="R69" s="8"/>
      <c r="T69"/>
    </row>
    <row r="70" spans="2:20" ht="23.1" customHeight="1" x14ac:dyDescent="0.25">
      <c r="B70" s="23" t="s">
        <v>110</v>
      </c>
      <c r="C70" s="49">
        <f>'Avg Week Namugongo-Kireka'!C70+'Avg Week Kireka-Namugongo'!C70</f>
        <v>55</v>
      </c>
      <c r="D70" s="49">
        <f>'Avg Week Namugongo-Kireka'!D70+'Avg Week Kireka-Namugongo'!D70</f>
        <v>19</v>
      </c>
      <c r="E70" s="49">
        <f>'Avg Week Namugongo-Kireka'!E70+'Avg Week Kireka-Namugongo'!E70</f>
        <v>5</v>
      </c>
      <c r="F70" s="49">
        <f>'Avg Week Namugongo-Kireka'!F70+'Avg Week Kireka-Namugongo'!F70</f>
        <v>11</v>
      </c>
      <c r="G70" s="49">
        <f>'Avg Week Namugongo-Kireka'!G70+'Avg Week Kireka-Namugongo'!G70</f>
        <v>0.5</v>
      </c>
      <c r="H70" s="49">
        <f>'Avg Week Namugongo-Kireka'!H70+'Avg Week Kireka-Namugongo'!H70</f>
        <v>0</v>
      </c>
      <c r="I70" s="49">
        <f>'Avg Week Namugongo-Kireka'!I70+'Avg Week Kireka-Namugongo'!I70</f>
        <v>2</v>
      </c>
      <c r="J70" s="49">
        <f>'Avg Week Namugongo-Kireka'!J70+'Avg Week Kireka-Namugongo'!J70</f>
        <v>0.5</v>
      </c>
      <c r="K70" s="49">
        <f>'Avg Week Namugongo-Kireka'!K70+'Avg Week Kireka-Namugongo'!K70</f>
        <v>0</v>
      </c>
      <c r="L70" s="49">
        <f>'Avg Week Namugongo-Kireka'!L70+'Avg Week Kireka-Namugongo'!L70</f>
        <v>0.5</v>
      </c>
      <c r="M70" s="49">
        <f>'Avg Week Namugongo-Kireka'!M70+'Avg Week Kireka-Namugongo'!M70</f>
        <v>91</v>
      </c>
      <c r="N70" s="49">
        <f>'Avg Week Namugongo-Kireka'!N70+'Avg Week Kireka-Namugongo'!N70</f>
        <v>0</v>
      </c>
      <c r="O70" s="15">
        <f t="shared" si="35"/>
        <v>93.5</v>
      </c>
      <c r="P70" s="15">
        <f t="shared" si="36"/>
        <v>184.5</v>
      </c>
      <c r="R70" s="8"/>
      <c r="T70"/>
    </row>
    <row r="71" spans="2:20" ht="23.1" customHeight="1" x14ac:dyDescent="0.25">
      <c r="B71" s="23" t="s">
        <v>111</v>
      </c>
      <c r="C71" s="49">
        <f>'Avg Week Namugongo-Kireka'!C71+'Avg Week Kireka-Namugongo'!C71</f>
        <v>58.5</v>
      </c>
      <c r="D71" s="49">
        <f>'Avg Week Namugongo-Kireka'!D71+'Avg Week Kireka-Namugongo'!D71</f>
        <v>14</v>
      </c>
      <c r="E71" s="49">
        <f>'Avg Week Namugongo-Kireka'!E71+'Avg Week Kireka-Namugongo'!E71</f>
        <v>6</v>
      </c>
      <c r="F71" s="49">
        <f>'Avg Week Namugongo-Kireka'!F71+'Avg Week Kireka-Namugongo'!F71</f>
        <v>20</v>
      </c>
      <c r="G71" s="49">
        <f>'Avg Week Namugongo-Kireka'!G71+'Avg Week Kireka-Namugongo'!G71</f>
        <v>0.5</v>
      </c>
      <c r="H71" s="49">
        <f>'Avg Week Namugongo-Kireka'!H71+'Avg Week Kireka-Namugongo'!H71</f>
        <v>0</v>
      </c>
      <c r="I71" s="49">
        <f>'Avg Week Namugongo-Kireka'!I71+'Avg Week Kireka-Namugongo'!I71</f>
        <v>2.5</v>
      </c>
      <c r="J71" s="49">
        <f>'Avg Week Namugongo-Kireka'!J71+'Avg Week Kireka-Namugongo'!J71</f>
        <v>1</v>
      </c>
      <c r="K71" s="49">
        <f>'Avg Week Namugongo-Kireka'!K71+'Avg Week Kireka-Namugongo'!K71</f>
        <v>1</v>
      </c>
      <c r="L71" s="49">
        <f>'Avg Week Namugongo-Kireka'!L71+'Avg Week Kireka-Namugongo'!L71</f>
        <v>0</v>
      </c>
      <c r="M71" s="49">
        <f>'Avg Week Namugongo-Kireka'!M71+'Avg Week Kireka-Namugongo'!M71</f>
        <v>106.5</v>
      </c>
      <c r="N71" s="49">
        <f>'Avg Week Namugongo-Kireka'!N71+'Avg Week Kireka-Namugongo'!N71</f>
        <v>0</v>
      </c>
      <c r="O71" s="15">
        <f t="shared" si="35"/>
        <v>103.5</v>
      </c>
      <c r="P71" s="15">
        <f t="shared" si="36"/>
        <v>210</v>
      </c>
      <c r="R71" s="8"/>
      <c r="T71"/>
    </row>
    <row r="72" spans="2:20" ht="23.1" customHeight="1" x14ac:dyDescent="0.25">
      <c r="B72" s="23" t="s">
        <v>112</v>
      </c>
      <c r="C72" s="49">
        <f>'Avg Week Namugongo-Kireka'!C72+'Avg Week Kireka-Namugongo'!C72</f>
        <v>76.5</v>
      </c>
      <c r="D72" s="49">
        <f>'Avg Week Namugongo-Kireka'!D72+'Avg Week Kireka-Namugongo'!D72</f>
        <v>20.5</v>
      </c>
      <c r="E72" s="49">
        <f>'Avg Week Namugongo-Kireka'!E72+'Avg Week Kireka-Namugongo'!E72</f>
        <v>10</v>
      </c>
      <c r="F72" s="49">
        <f>'Avg Week Namugongo-Kireka'!F72+'Avg Week Kireka-Namugongo'!F72</f>
        <v>14</v>
      </c>
      <c r="G72" s="49">
        <f>'Avg Week Namugongo-Kireka'!G72+'Avg Week Kireka-Namugongo'!G72</f>
        <v>0</v>
      </c>
      <c r="H72" s="49">
        <f>'Avg Week Namugongo-Kireka'!H72+'Avg Week Kireka-Namugongo'!H72</f>
        <v>0</v>
      </c>
      <c r="I72" s="49">
        <f>'Avg Week Namugongo-Kireka'!I72+'Avg Week Kireka-Namugongo'!I72</f>
        <v>3</v>
      </c>
      <c r="J72" s="49">
        <f>'Avg Week Namugongo-Kireka'!J72+'Avg Week Kireka-Namugongo'!J72</f>
        <v>1.5</v>
      </c>
      <c r="K72" s="49">
        <f>'Avg Week Namugongo-Kireka'!K72+'Avg Week Kireka-Namugongo'!K72</f>
        <v>0</v>
      </c>
      <c r="L72" s="49">
        <f>'Avg Week Namugongo-Kireka'!L72+'Avg Week Kireka-Namugongo'!L72</f>
        <v>0</v>
      </c>
      <c r="M72" s="49">
        <f>'Avg Week Namugongo-Kireka'!M72+'Avg Week Kireka-Namugongo'!M72</f>
        <v>87.5</v>
      </c>
      <c r="N72" s="49">
        <f>'Avg Week Namugongo-Kireka'!N72+'Avg Week Kireka-Namugongo'!N72</f>
        <v>0</v>
      </c>
      <c r="O72" s="15">
        <f t="shared" si="35"/>
        <v>125.5</v>
      </c>
      <c r="P72" s="15">
        <f t="shared" si="36"/>
        <v>213</v>
      </c>
      <c r="R72" s="8"/>
      <c r="T72"/>
    </row>
    <row r="73" spans="2:20" ht="23.1" customHeight="1" x14ac:dyDescent="0.25">
      <c r="B73" s="23" t="s">
        <v>113</v>
      </c>
      <c r="C73" s="49">
        <f>'Avg Week Namugongo-Kireka'!C73+'Avg Week Kireka-Namugongo'!C73</f>
        <v>62.5</v>
      </c>
      <c r="D73" s="49">
        <f>'Avg Week Namugongo-Kireka'!D73+'Avg Week Kireka-Namugongo'!D73</f>
        <v>22</v>
      </c>
      <c r="E73" s="49">
        <f>'Avg Week Namugongo-Kireka'!E73+'Avg Week Kireka-Namugongo'!E73</f>
        <v>7</v>
      </c>
      <c r="F73" s="49">
        <f>'Avg Week Namugongo-Kireka'!F73+'Avg Week Kireka-Namugongo'!F73</f>
        <v>13.5</v>
      </c>
      <c r="G73" s="49">
        <f>'Avg Week Namugongo-Kireka'!G73+'Avg Week Kireka-Namugongo'!G73</f>
        <v>0</v>
      </c>
      <c r="H73" s="49">
        <f>'Avg Week Namugongo-Kireka'!H73+'Avg Week Kireka-Namugongo'!H73</f>
        <v>0</v>
      </c>
      <c r="I73" s="49">
        <f>'Avg Week Namugongo-Kireka'!I73+'Avg Week Kireka-Namugongo'!I73</f>
        <v>1.5</v>
      </c>
      <c r="J73" s="49">
        <f>'Avg Week Namugongo-Kireka'!J73+'Avg Week Kireka-Namugongo'!J73</f>
        <v>0.5</v>
      </c>
      <c r="K73" s="49">
        <f>'Avg Week Namugongo-Kireka'!K73+'Avg Week Kireka-Namugongo'!K73</f>
        <v>0</v>
      </c>
      <c r="L73" s="49">
        <f>'Avg Week Namugongo-Kireka'!L73+'Avg Week Kireka-Namugongo'!L73</f>
        <v>0</v>
      </c>
      <c r="M73" s="49">
        <f>'Avg Week Namugongo-Kireka'!M73+'Avg Week Kireka-Namugongo'!M73</f>
        <v>50.5</v>
      </c>
      <c r="N73" s="49">
        <f>'Avg Week Namugongo-Kireka'!N73+'Avg Week Kireka-Namugongo'!N73</f>
        <v>0</v>
      </c>
      <c r="O73" s="15">
        <f t="shared" si="35"/>
        <v>107</v>
      </c>
      <c r="P73" s="15">
        <f t="shared" si="36"/>
        <v>157.5</v>
      </c>
      <c r="R73" s="8"/>
      <c r="T73"/>
    </row>
    <row r="74" spans="2:20" ht="23.1" customHeight="1" x14ac:dyDescent="0.25">
      <c r="B74" s="23" t="s">
        <v>114</v>
      </c>
      <c r="C74" s="49">
        <f>'Avg Week Namugongo-Kireka'!C74+'Avg Week Kireka-Namugongo'!C74</f>
        <v>35</v>
      </c>
      <c r="D74" s="49">
        <f>'Avg Week Namugongo-Kireka'!D74+'Avg Week Kireka-Namugongo'!D74</f>
        <v>14</v>
      </c>
      <c r="E74" s="49">
        <f>'Avg Week Namugongo-Kireka'!E74+'Avg Week Kireka-Namugongo'!E74</f>
        <v>2</v>
      </c>
      <c r="F74" s="49">
        <f>'Avg Week Namugongo-Kireka'!F74+'Avg Week Kireka-Namugongo'!F74</f>
        <v>9</v>
      </c>
      <c r="G74" s="49">
        <f>'Avg Week Namugongo-Kireka'!G74+'Avg Week Kireka-Namugongo'!G74</f>
        <v>0.5</v>
      </c>
      <c r="H74" s="49">
        <f>'Avg Week Namugongo-Kireka'!H74+'Avg Week Kireka-Namugongo'!H74</f>
        <v>0</v>
      </c>
      <c r="I74" s="49">
        <f>'Avg Week Namugongo-Kireka'!I74+'Avg Week Kireka-Namugongo'!I74</f>
        <v>4</v>
      </c>
      <c r="J74" s="49">
        <f>'Avg Week Namugongo-Kireka'!J74+'Avg Week Kireka-Namugongo'!J74</f>
        <v>4</v>
      </c>
      <c r="K74" s="49">
        <f>'Avg Week Namugongo-Kireka'!K74+'Avg Week Kireka-Namugongo'!K74</f>
        <v>0</v>
      </c>
      <c r="L74" s="49">
        <f>'Avg Week Namugongo-Kireka'!L74+'Avg Week Kireka-Namugongo'!L74</f>
        <v>0</v>
      </c>
      <c r="M74" s="49">
        <f>'Avg Week Namugongo-Kireka'!M74+'Avg Week Kireka-Namugongo'!M74</f>
        <v>81</v>
      </c>
      <c r="N74" s="49">
        <f>'Avg Week Namugongo-Kireka'!N74+'Avg Week Kireka-Namugongo'!N74</f>
        <v>0</v>
      </c>
      <c r="O74" s="15">
        <f t="shared" si="35"/>
        <v>68.5</v>
      </c>
      <c r="P74" s="15">
        <f t="shared" si="36"/>
        <v>149.5</v>
      </c>
      <c r="R74" s="8"/>
      <c r="T74"/>
    </row>
    <row r="75" spans="2:20" ht="23.1" customHeight="1" x14ac:dyDescent="0.25">
      <c r="B75" s="23" t="s">
        <v>115</v>
      </c>
      <c r="C75" s="49">
        <f>'Avg Week Namugongo-Kireka'!C75+'Avg Week Kireka-Namugongo'!C75</f>
        <v>42.5</v>
      </c>
      <c r="D75" s="49">
        <f>'Avg Week Namugongo-Kireka'!D75+'Avg Week Kireka-Namugongo'!D75</f>
        <v>16.5</v>
      </c>
      <c r="E75" s="49">
        <f>'Avg Week Namugongo-Kireka'!E75+'Avg Week Kireka-Namugongo'!E75</f>
        <v>3.5</v>
      </c>
      <c r="F75" s="49">
        <f>'Avg Week Namugongo-Kireka'!F75+'Avg Week Kireka-Namugongo'!F75</f>
        <v>8</v>
      </c>
      <c r="G75" s="49">
        <f>'Avg Week Namugongo-Kireka'!G75+'Avg Week Kireka-Namugongo'!G75</f>
        <v>0</v>
      </c>
      <c r="H75" s="49">
        <f>'Avg Week Namugongo-Kireka'!H75+'Avg Week Kireka-Namugongo'!H75</f>
        <v>1</v>
      </c>
      <c r="I75" s="49">
        <f>'Avg Week Namugongo-Kireka'!I75+'Avg Week Kireka-Namugongo'!I75</f>
        <v>1.5</v>
      </c>
      <c r="J75" s="49">
        <f>'Avg Week Namugongo-Kireka'!J75+'Avg Week Kireka-Namugongo'!J75</f>
        <v>0.5</v>
      </c>
      <c r="K75" s="49">
        <f>'Avg Week Namugongo-Kireka'!K75+'Avg Week Kireka-Namugongo'!K75</f>
        <v>0</v>
      </c>
      <c r="L75" s="49">
        <f>'Avg Week Namugongo-Kireka'!L75+'Avg Week Kireka-Namugongo'!L75</f>
        <v>0</v>
      </c>
      <c r="M75" s="49">
        <f>'Avg Week Namugongo-Kireka'!M75+'Avg Week Kireka-Namugongo'!M75</f>
        <v>59</v>
      </c>
      <c r="N75" s="49">
        <f>'Avg Week Namugongo-Kireka'!N75+'Avg Week Kireka-Namugongo'!N75</f>
        <v>0</v>
      </c>
      <c r="O75" s="15">
        <f t="shared" si="35"/>
        <v>73.5</v>
      </c>
      <c r="P75" s="15">
        <f t="shared" si="36"/>
        <v>132.5</v>
      </c>
      <c r="R75" s="8"/>
      <c r="T75"/>
    </row>
    <row r="76" spans="2:20" ht="23.1" customHeight="1" x14ac:dyDescent="0.25">
      <c r="B76" s="23" t="s">
        <v>116</v>
      </c>
      <c r="C76" s="49">
        <f>'Avg Week Namugongo-Kireka'!C76+'Avg Week Kireka-Namugongo'!C76</f>
        <v>55</v>
      </c>
      <c r="D76" s="49">
        <f>'Avg Week Namugongo-Kireka'!D76+'Avg Week Kireka-Namugongo'!D76</f>
        <v>12</v>
      </c>
      <c r="E76" s="49">
        <f>'Avg Week Namugongo-Kireka'!E76+'Avg Week Kireka-Namugongo'!E76</f>
        <v>2.5</v>
      </c>
      <c r="F76" s="49">
        <f>'Avg Week Namugongo-Kireka'!F76+'Avg Week Kireka-Namugongo'!F76</f>
        <v>13</v>
      </c>
      <c r="G76" s="49">
        <f>'Avg Week Namugongo-Kireka'!G76+'Avg Week Kireka-Namugongo'!G76</f>
        <v>0</v>
      </c>
      <c r="H76" s="49">
        <f>'Avg Week Namugongo-Kireka'!H76+'Avg Week Kireka-Namugongo'!H76</f>
        <v>0</v>
      </c>
      <c r="I76" s="49">
        <f>'Avg Week Namugongo-Kireka'!I76+'Avg Week Kireka-Namugongo'!I76</f>
        <v>1</v>
      </c>
      <c r="J76" s="49">
        <f>'Avg Week Namugongo-Kireka'!J76+'Avg Week Kireka-Namugongo'!J76</f>
        <v>1</v>
      </c>
      <c r="K76" s="49">
        <f>'Avg Week Namugongo-Kireka'!K76+'Avg Week Kireka-Namugongo'!K76</f>
        <v>0.5</v>
      </c>
      <c r="L76" s="49">
        <f>'Avg Week Namugongo-Kireka'!L76+'Avg Week Kireka-Namugongo'!L76</f>
        <v>0</v>
      </c>
      <c r="M76" s="49">
        <f>'Avg Week Namugongo-Kireka'!M76+'Avg Week Kireka-Namugongo'!M76</f>
        <v>55</v>
      </c>
      <c r="N76" s="49">
        <f>'Avg Week Namugongo-Kireka'!N76+'Avg Week Kireka-Namugongo'!N76</f>
        <v>0</v>
      </c>
      <c r="O76" s="15">
        <f t="shared" si="35"/>
        <v>85</v>
      </c>
      <c r="P76" s="15">
        <f t="shared" si="36"/>
        <v>140</v>
      </c>
      <c r="R76" s="8"/>
      <c r="T76"/>
    </row>
    <row r="77" spans="2:20" ht="23.1" customHeight="1" x14ac:dyDescent="0.25">
      <c r="B77" s="23" t="s">
        <v>117</v>
      </c>
      <c r="C77" s="49">
        <f>'Avg Week Namugongo-Kireka'!C77+'Avg Week Kireka-Namugongo'!C77</f>
        <v>37</v>
      </c>
      <c r="D77" s="49">
        <f>'Avg Week Namugongo-Kireka'!D77+'Avg Week Kireka-Namugongo'!D77</f>
        <v>10</v>
      </c>
      <c r="E77" s="49">
        <f>'Avg Week Namugongo-Kireka'!E77+'Avg Week Kireka-Namugongo'!E77</f>
        <v>2</v>
      </c>
      <c r="F77" s="49">
        <f>'Avg Week Namugongo-Kireka'!F77+'Avg Week Kireka-Namugongo'!F77</f>
        <v>5.5</v>
      </c>
      <c r="G77" s="49">
        <f>'Avg Week Namugongo-Kireka'!G77+'Avg Week Kireka-Namugongo'!G77</f>
        <v>0</v>
      </c>
      <c r="H77" s="49">
        <f>'Avg Week Namugongo-Kireka'!H77+'Avg Week Kireka-Namugongo'!H77</f>
        <v>0.5</v>
      </c>
      <c r="I77" s="49">
        <f>'Avg Week Namugongo-Kireka'!I77+'Avg Week Kireka-Namugongo'!I77</f>
        <v>1</v>
      </c>
      <c r="J77" s="49">
        <f>'Avg Week Namugongo-Kireka'!J77+'Avg Week Kireka-Namugongo'!J77</f>
        <v>0.5</v>
      </c>
      <c r="K77" s="49">
        <f>'Avg Week Namugongo-Kireka'!K77+'Avg Week Kireka-Namugongo'!K77</f>
        <v>0</v>
      </c>
      <c r="L77" s="49">
        <f>'Avg Week Namugongo-Kireka'!L77+'Avg Week Kireka-Namugongo'!L77</f>
        <v>0</v>
      </c>
      <c r="M77" s="49">
        <f>'Avg Week Namugongo-Kireka'!M77+'Avg Week Kireka-Namugongo'!M77</f>
        <v>60</v>
      </c>
      <c r="N77" s="49">
        <f>'Avg Week Namugongo-Kireka'!N77+'Avg Week Kireka-Namugongo'!N77</f>
        <v>0</v>
      </c>
      <c r="O77" s="15">
        <f t="shared" si="35"/>
        <v>56.5</v>
      </c>
      <c r="P77" s="15">
        <f t="shared" si="36"/>
        <v>116.5</v>
      </c>
      <c r="R77" s="8"/>
      <c r="T77"/>
    </row>
    <row r="78" spans="2:20" ht="23.1" customHeight="1" x14ac:dyDescent="0.25">
      <c r="B78" s="24" t="s">
        <v>118</v>
      </c>
      <c r="C78" s="49">
        <f>'Avg Week Namugongo-Kireka'!C78+'Avg Week Kireka-Namugongo'!C78</f>
        <v>29</v>
      </c>
      <c r="D78" s="49">
        <f>'Avg Week Namugongo-Kireka'!D78+'Avg Week Kireka-Namugongo'!D78</f>
        <v>7.5</v>
      </c>
      <c r="E78" s="49">
        <f>'Avg Week Namugongo-Kireka'!E78+'Avg Week Kireka-Namugongo'!E78</f>
        <v>2.5</v>
      </c>
      <c r="F78" s="49">
        <f>'Avg Week Namugongo-Kireka'!F78+'Avg Week Kireka-Namugongo'!F78</f>
        <v>17.5</v>
      </c>
      <c r="G78" s="49">
        <f>'Avg Week Namugongo-Kireka'!G78+'Avg Week Kireka-Namugongo'!G78</f>
        <v>0</v>
      </c>
      <c r="H78" s="49">
        <f>'Avg Week Namugongo-Kireka'!H78+'Avg Week Kireka-Namugongo'!H78</f>
        <v>0</v>
      </c>
      <c r="I78" s="49">
        <f>'Avg Week Namugongo-Kireka'!I78+'Avg Week Kireka-Namugongo'!I78</f>
        <v>2</v>
      </c>
      <c r="J78" s="49">
        <f>'Avg Week Namugongo-Kireka'!J78+'Avg Week Kireka-Namugongo'!J78</f>
        <v>0.5</v>
      </c>
      <c r="K78" s="49">
        <f>'Avg Week Namugongo-Kireka'!K78+'Avg Week Kireka-Namugongo'!K78</f>
        <v>0</v>
      </c>
      <c r="L78" s="49">
        <f>'Avg Week Namugongo-Kireka'!L78+'Avg Week Kireka-Namugongo'!L78</f>
        <v>0</v>
      </c>
      <c r="M78" s="49">
        <f>'Avg Week Namugongo-Kireka'!M78+'Avg Week Kireka-Namugongo'!M78</f>
        <v>35</v>
      </c>
      <c r="N78" s="49">
        <f>'Avg Week Namugongo-Kireka'!N78+'Avg Week Kireka-Namugongo'!N78</f>
        <v>0</v>
      </c>
      <c r="O78" s="15">
        <f t="shared" si="35"/>
        <v>59</v>
      </c>
      <c r="P78" s="15">
        <f t="shared" si="36"/>
        <v>94</v>
      </c>
      <c r="R78" s="8"/>
      <c r="T78"/>
    </row>
    <row r="79" spans="2:20" ht="23.1" customHeight="1" x14ac:dyDescent="0.25">
      <c r="B79" s="23" t="s">
        <v>119</v>
      </c>
      <c r="C79" s="49">
        <f>'Avg Week Namugongo-Kireka'!C79+'Avg Week Kireka-Namugongo'!C79</f>
        <v>31</v>
      </c>
      <c r="D79" s="49">
        <f>'Avg Week Namugongo-Kireka'!D79+'Avg Week Kireka-Namugongo'!D79</f>
        <v>10</v>
      </c>
      <c r="E79" s="49">
        <f>'Avg Week Namugongo-Kireka'!E79+'Avg Week Kireka-Namugongo'!E79</f>
        <v>2.5</v>
      </c>
      <c r="F79" s="49">
        <f>'Avg Week Namugongo-Kireka'!F79+'Avg Week Kireka-Namugongo'!F79</f>
        <v>17.5</v>
      </c>
      <c r="G79" s="49">
        <f>'Avg Week Namugongo-Kireka'!G79+'Avg Week Kireka-Namugongo'!G79</f>
        <v>0</v>
      </c>
      <c r="H79" s="49">
        <f>'Avg Week Namugongo-Kireka'!H79+'Avg Week Kireka-Namugongo'!H79</f>
        <v>0</v>
      </c>
      <c r="I79" s="49">
        <f>'Avg Week Namugongo-Kireka'!I79+'Avg Week Kireka-Namugongo'!I79</f>
        <v>0</v>
      </c>
      <c r="J79" s="49">
        <f>'Avg Week Namugongo-Kireka'!J79+'Avg Week Kireka-Namugongo'!J79</f>
        <v>0.5</v>
      </c>
      <c r="K79" s="49">
        <f>'Avg Week Namugongo-Kireka'!K79+'Avg Week Kireka-Namugongo'!K79</f>
        <v>0</v>
      </c>
      <c r="L79" s="49">
        <f>'Avg Week Namugongo-Kireka'!L79+'Avg Week Kireka-Namugongo'!L79</f>
        <v>0</v>
      </c>
      <c r="M79" s="49">
        <f>'Avg Week Namugongo-Kireka'!M79+'Avg Week Kireka-Namugongo'!M79</f>
        <v>52</v>
      </c>
      <c r="N79" s="49">
        <f>'Avg Week Namugongo-Kireka'!N79+'Avg Week Kireka-Namugongo'!N79</f>
        <v>0</v>
      </c>
      <c r="O79" s="15">
        <f t="shared" si="35"/>
        <v>61.5</v>
      </c>
      <c r="P79" s="15">
        <f t="shared" si="36"/>
        <v>113.5</v>
      </c>
      <c r="R79" s="8"/>
      <c r="T79"/>
    </row>
    <row r="80" spans="2:20" ht="23.1" customHeight="1" x14ac:dyDescent="0.25">
      <c r="B80" s="25" t="s">
        <v>120</v>
      </c>
      <c r="C80" s="49">
        <f>'Avg Week Namugongo-Kireka'!C80+'Avg Week Kireka-Namugongo'!C80</f>
        <v>28</v>
      </c>
      <c r="D80" s="49">
        <f>'Avg Week Namugongo-Kireka'!D80+'Avg Week Kireka-Namugongo'!D80</f>
        <v>6</v>
      </c>
      <c r="E80" s="49">
        <f>'Avg Week Namugongo-Kireka'!E80+'Avg Week Kireka-Namugongo'!E80</f>
        <v>3.5</v>
      </c>
      <c r="F80" s="49">
        <f>'Avg Week Namugongo-Kireka'!F80+'Avg Week Kireka-Namugongo'!F80</f>
        <v>2.5</v>
      </c>
      <c r="G80" s="49">
        <f>'Avg Week Namugongo-Kireka'!G80+'Avg Week Kireka-Namugongo'!G80</f>
        <v>0</v>
      </c>
      <c r="H80" s="49">
        <f>'Avg Week Namugongo-Kireka'!H80+'Avg Week Kireka-Namugongo'!H80</f>
        <v>0</v>
      </c>
      <c r="I80" s="49">
        <f>'Avg Week Namugongo-Kireka'!I80+'Avg Week Kireka-Namugongo'!I80</f>
        <v>0.5</v>
      </c>
      <c r="J80" s="49">
        <f>'Avg Week Namugongo-Kireka'!J80+'Avg Week Kireka-Namugongo'!J80</f>
        <v>0</v>
      </c>
      <c r="K80" s="49">
        <f>'Avg Week Namugongo-Kireka'!K80+'Avg Week Kireka-Namugongo'!K80</f>
        <v>0</v>
      </c>
      <c r="L80" s="49">
        <f>'Avg Week Namugongo-Kireka'!L80+'Avg Week Kireka-Namugongo'!L80</f>
        <v>0</v>
      </c>
      <c r="M80" s="49">
        <f>'Avg Week Namugongo-Kireka'!M80+'Avg Week Kireka-Namugongo'!M80</f>
        <v>46</v>
      </c>
      <c r="N80" s="49">
        <f>'Avg Week Namugongo-Kireka'!N80+'Avg Week Kireka-Namugongo'!N80</f>
        <v>0</v>
      </c>
      <c r="O80" s="15">
        <f t="shared" si="35"/>
        <v>40.5</v>
      </c>
      <c r="P80" s="15">
        <f t="shared" si="36"/>
        <v>86.5</v>
      </c>
      <c r="R80" s="8"/>
      <c r="T80"/>
    </row>
    <row r="81" spans="2:20" ht="23.1" customHeight="1" x14ac:dyDescent="0.25">
      <c r="B81" s="23" t="s">
        <v>121</v>
      </c>
      <c r="C81" s="49">
        <f>'Avg Week Namugongo-Kireka'!C81+'Avg Week Kireka-Namugongo'!C81</f>
        <v>23</v>
      </c>
      <c r="D81" s="49">
        <f>'Avg Week Namugongo-Kireka'!D81+'Avg Week Kireka-Namugongo'!D81</f>
        <v>3</v>
      </c>
      <c r="E81" s="49">
        <f>'Avg Week Namugongo-Kireka'!E81+'Avg Week Kireka-Namugongo'!E81</f>
        <v>2</v>
      </c>
      <c r="F81" s="49">
        <f>'Avg Week Namugongo-Kireka'!F81+'Avg Week Kireka-Namugongo'!F81</f>
        <v>3.5</v>
      </c>
      <c r="G81" s="49">
        <f>'Avg Week Namugongo-Kireka'!G81+'Avg Week Kireka-Namugongo'!G81</f>
        <v>0</v>
      </c>
      <c r="H81" s="49">
        <f>'Avg Week Namugongo-Kireka'!H81+'Avg Week Kireka-Namugongo'!H81</f>
        <v>0</v>
      </c>
      <c r="I81" s="49">
        <f>'Avg Week Namugongo-Kireka'!I81+'Avg Week Kireka-Namugongo'!I81</f>
        <v>0</v>
      </c>
      <c r="J81" s="49">
        <f>'Avg Week Namugongo-Kireka'!J81+'Avg Week Kireka-Namugongo'!J81</f>
        <v>0</v>
      </c>
      <c r="K81" s="49">
        <f>'Avg Week Namugongo-Kireka'!K81+'Avg Week Kireka-Namugongo'!K81</f>
        <v>0</v>
      </c>
      <c r="L81" s="49">
        <f>'Avg Week Namugongo-Kireka'!L81+'Avg Week Kireka-Namugongo'!L81</f>
        <v>0</v>
      </c>
      <c r="M81" s="49">
        <f>'Avg Week Namugongo-Kireka'!M81+'Avg Week Kireka-Namugongo'!M81</f>
        <v>30.5</v>
      </c>
      <c r="N81" s="49">
        <f>'Avg Week Namugongo-Kireka'!N81+'Avg Week Kireka-Namugongo'!N81</f>
        <v>0</v>
      </c>
      <c r="O81" s="15">
        <f t="shared" si="35"/>
        <v>31.5</v>
      </c>
      <c r="P81" s="15">
        <f t="shared" si="36"/>
        <v>62</v>
      </c>
      <c r="R81" s="8"/>
      <c r="T81"/>
    </row>
    <row r="82" spans="2:20" ht="23.1" customHeight="1" x14ac:dyDescent="0.25">
      <c r="B82" s="24" t="s">
        <v>122</v>
      </c>
      <c r="C82" s="49">
        <f>'Avg Week Namugongo-Kireka'!C82+'Avg Week Kireka-Namugongo'!C82</f>
        <v>18.5</v>
      </c>
      <c r="D82" s="49">
        <f>'Avg Week Namugongo-Kireka'!D82+'Avg Week Kireka-Namugongo'!D82</f>
        <v>1.5</v>
      </c>
      <c r="E82" s="49">
        <f>'Avg Week Namugongo-Kireka'!E82+'Avg Week Kireka-Namugongo'!E82</f>
        <v>0.5</v>
      </c>
      <c r="F82" s="49">
        <f>'Avg Week Namugongo-Kireka'!F82+'Avg Week Kireka-Namugongo'!F82</f>
        <v>0.5</v>
      </c>
      <c r="G82" s="49">
        <f>'Avg Week Namugongo-Kireka'!G82+'Avg Week Kireka-Namugongo'!G82</f>
        <v>0</v>
      </c>
      <c r="H82" s="49">
        <f>'Avg Week Namugongo-Kireka'!H82+'Avg Week Kireka-Namugongo'!H82</f>
        <v>0</v>
      </c>
      <c r="I82" s="49">
        <f>'Avg Week Namugongo-Kireka'!I82+'Avg Week Kireka-Namugongo'!I82</f>
        <v>0</v>
      </c>
      <c r="J82" s="49">
        <f>'Avg Week Namugongo-Kireka'!J82+'Avg Week Kireka-Namugongo'!J82</f>
        <v>1.5</v>
      </c>
      <c r="K82" s="49">
        <f>'Avg Week Namugongo-Kireka'!K82+'Avg Week Kireka-Namugongo'!K82</f>
        <v>0</v>
      </c>
      <c r="L82" s="49">
        <f>'Avg Week Namugongo-Kireka'!L82+'Avg Week Kireka-Namugongo'!L82</f>
        <v>0</v>
      </c>
      <c r="M82" s="49">
        <f>'Avg Week Namugongo-Kireka'!M82+'Avg Week Kireka-Namugongo'!M82</f>
        <v>36.5</v>
      </c>
      <c r="N82" s="49">
        <f>'Avg Week Namugongo-Kireka'!N82+'Avg Week Kireka-Namugongo'!N82</f>
        <v>0</v>
      </c>
      <c r="O82" s="15">
        <f t="shared" si="35"/>
        <v>22.5</v>
      </c>
      <c r="P82" s="15">
        <f t="shared" si="36"/>
        <v>59</v>
      </c>
      <c r="R82" s="8"/>
      <c r="T82"/>
    </row>
    <row r="83" spans="2:20" ht="23.1" customHeight="1" x14ac:dyDescent="0.25">
      <c r="B83" s="23" t="s">
        <v>123</v>
      </c>
      <c r="C83" s="49">
        <f>'Avg Week Namugongo-Kireka'!C83+'Avg Week Kireka-Namugongo'!C83</f>
        <v>18.5</v>
      </c>
      <c r="D83" s="49">
        <f>'Avg Week Namugongo-Kireka'!D83+'Avg Week Kireka-Namugongo'!D83</f>
        <v>2.5</v>
      </c>
      <c r="E83" s="49">
        <f>'Avg Week Namugongo-Kireka'!E83+'Avg Week Kireka-Namugongo'!E83</f>
        <v>1</v>
      </c>
      <c r="F83" s="49">
        <f>'Avg Week Namugongo-Kireka'!F83+'Avg Week Kireka-Namugongo'!F83</f>
        <v>0.5</v>
      </c>
      <c r="G83" s="49">
        <f>'Avg Week Namugongo-Kireka'!G83+'Avg Week Kireka-Namugongo'!G83</f>
        <v>0</v>
      </c>
      <c r="H83" s="49">
        <f>'Avg Week Namugongo-Kireka'!H83+'Avg Week Kireka-Namugongo'!H83</f>
        <v>0</v>
      </c>
      <c r="I83" s="49">
        <f>'Avg Week Namugongo-Kireka'!I83+'Avg Week Kireka-Namugongo'!I83</f>
        <v>1</v>
      </c>
      <c r="J83" s="49">
        <f>'Avg Week Namugongo-Kireka'!J83+'Avg Week Kireka-Namugongo'!J83</f>
        <v>1</v>
      </c>
      <c r="K83" s="49">
        <f>'Avg Week Namugongo-Kireka'!K83+'Avg Week Kireka-Namugongo'!K83</f>
        <v>0</v>
      </c>
      <c r="L83" s="49">
        <f>'Avg Week Namugongo-Kireka'!L83+'Avg Week Kireka-Namugongo'!L83</f>
        <v>0</v>
      </c>
      <c r="M83" s="49">
        <f>'Avg Week Namugongo-Kireka'!M83+'Avg Week Kireka-Namugongo'!M83</f>
        <v>35</v>
      </c>
      <c r="N83" s="49">
        <f>'Avg Week Namugongo-Kireka'!N83+'Avg Week Kireka-Namugongo'!N83</f>
        <v>0</v>
      </c>
      <c r="O83" s="15">
        <f t="shared" si="35"/>
        <v>24.5</v>
      </c>
      <c r="P83" s="15">
        <f t="shared" si="36"/>
        <v>59.5</v>
      </c>
      <c r="R83" s="8"/>
      <c r="T83"/>
    </row>
    <row r="84" spans="2:20" ht="23.1" customHeight="1" x14ac:dyDescent="0.25">
      <c r="B84" s="25" t="s">
        <v>124</v>
      </c>
      <c r="C84" s="49">
        <f>'Avg Week Namugongo-Kireka'!C84+'Avg Week Kireka-Namugongo'!C84</f>
        <v>14.5</v>
      </c>
      <c r="D84" s="49">
        <f>'Avg Week Namugongo-Kireka'!D84+'Avg Week Kireka-Namugongo'!D84</f>
        <v>1</v>
      </c>
      <c r="E84" s="49">
        <f>'Avg Week Namugongo-Kireka'!E84+'Avg Week Kireka-Namugongo'!E84</f>
        <v>2</v>
      </c>
      <c r="F84" s="49">
        <f>'Avg Week Namugongo-Kireka'!F84+'Avg Week Kireka-Namugongo'!F84</f>
        <v>3</v>
      </c>
      <c r="G84" s="49">
        <f>'Avg Week Namugongo-Kireka'!G84+'Avg Week Kireka-Namugongo'!G84</f>
        <v>0</v>
      </c>
      <c r="H84" s="49">
        <f>'Avg Week Namugongo-Kireka'!H84+'Avg Week Kireka-Namugongo'!H84</f>
        <v>0</v>
      </c>
      <c r="I84" s="49">
        <f>'Avg Week Namugongo-Kireka'!I84+'Avg Week Kireka-Namugongo'!I84</f>
        <v>0.5</v>
      </c>
      <c r="J84" s="49">
        <f>'Avg Week Namugongo-Kireka'!J84+'Avg Week Kireka-Namugongo'!J84</f>
        <v>0.5</v>
      </c>
      <c r="K84" s="49">
        <f>'Avg Week Namugongo-Kireka'!K84+'Avg Week Kireka-Namugongo'!K84</f>
        <v>0</v>
      </c>
      <c r="L84" s="49">
        <f>'Avg Week Namugongo-Kireka'!L84+'Avg Week Kireka-Namugongo'!L84</f>
        <v>0</v>
      </c>
      <c r="M84" s="49">
        <f>'Avg Week Namugongo-Kireka'!M84+'Avg Week Kireka-Namugongo'!M84</f>
        <v>29</v>
      </c>
      <c r="N84" s="49">
        <f>'Avg Week Namugongo-Kireka'!N84+'Avg Week Kireka-Namugongo'!N84</f>
        <v>0</v>
      </c>
      <c r="O84" s="15">
        <f t="shared" si="35"/>
        <v>21.5</v>
      </c>
      <c r="P84" s="15">
        <f t="shared" si="36"/>
        <v>50.5</v>
      </c>
      <c r="R84" s="8"/>
      <c r="T84"/>
    </row>
    <row r="85" spans="2:20" ht="23.1" customHeight="1" x14ac:dyDescent="0.25">
      <c r="B85" s="23" t="s">
        <v>125</v>
      </c>
      <c r="C85" s="49">
        <f>'Avg Week Namugongo-Kireka'!C85+'Avg Week Kireka-Namugongo'!C85</f>
        <v>17.5</v>
      </c>
      <c r="D85" s="49">
        <f>'Avg Week Namugongo-Kireka'!D85+'Avg Week Kireka-Namugongo'!D85</f>
        <v>3.5</v>
      </c>
      <c r="E85" s="49">
        <f>'Avg Week Namugongo-Kireka'!E85+'Avg Week Kireka-Namugongo'!E85</f>
        <v>0</v>
      </c>
      <c r="F85" s="49">
        <f>'Avg Week Namugongo-Kireka'!F85+'Avg Week Kireka-Namugongo'!F85</f>
        <v>0</v>
      </c>
      <c r="G85" s="49">
        <f>'Avg Week Namugongo-Kireka'!G85+'Avg Week Kireka-Namugongo'!G85</f>
        <v>0</v>
      </c>
      <c r="H85" s="49">
        <f>'Avg Week Namugongo-Kireka'!H85+'Avg Week Kireka-Namugongo'!H85</f>
        <v>0</v>
      </c>
      <c r="I85" s="49">
        <f>'Avg Week Namugongo-Kireka'!I85+'Avg Week Kireka-Namugongo'!I85</f>
        <v>0.5</v>
      </c>
      <c r="J85" s="49">
        <f>'Avg Week Namugongo-Kireka'!J85+'Avg Week Kireka-Namugongo'!J85</f>
        <v>0.5</v>
      </c>
      <c r="K85" s="49">
        <f>'Avg Week Namugongo-Kireka'!K85+'Avg Week Kireka-Namugongo'!K85</f>
        <v>0</v>
      </c>
      <c r="L85" s="49">
        <f>'Avg Week Namugongo-Kireka'!L85+'Avg Week Kireka-Namugongo'!L85</f>
        <v>0</v>
      </c>
      <c r="M85" s="49">
        <f>'Avg Week Namugongo-Kireka'!M85+'Avg Week Kireka-Namugongo'!M85</f>
        <v>31</v>
      </c>
      <c r="N85" s="49">
        <f>'Avg Week Namugongo-Kireka'!N85+'Avg Week Kireka-Namugongo'!N85</f>
        <v>0</v>
      </c>
      <c r="O85" s="15">
        <f t="shared" si="35"/>
        <v>22</v>
      </c>
      <c r="P85" s="15">
        <f t="shared" si="36"/>
        <v>53</v>
      </c>
      <c r="R85" s="8"/>
      <c r="T85"/>
    </row>
    <row r="86" spans="2:20" ht="23.1" customHeight="1" x14ac:dyDescent="0.25">
      <c r="B86" s="24" t="s">
        <v>126</v>
      </c>
      <c r="C86" s="49">
        <f>'Avg Week Namugongo-Kireka'!C86+'Avg Week Kireka-Namugongo'!C86</f>
        <v>12.5</v>
      </c>
      <c r="D86" s="49">
        <f>'Avg Week Namugongo-Kireka'!D86+'Avg Week Kireka-Namugongo'!D86</f>
        <v>1.5</v>
      </c>
      <c r="E86" s="49">
        <f>'Avg Week Namugongo-Kireka'!E86+'Avg Week Kireka-Namugongo'!E86</f>
        <v>1.5</v>
      </c>
      <c r="F86" s="49">
        <f>'Avg Week Namugongo-Kireka'!F86+'Avg Week Kireka-Namugongo'!F86</f>
        <v>3</v>
      </c>
      <c r="G86" s="49">
        <f>'Avg Week Namugongo-Kireka'!G86+'Avg Week Kireka-Namugongo'!G86</f>
        <v>0</v>
      </c>
      <c r="H86" s="49">
        <f>'Avg Week Namugongo-Kireka'!H86+'Avg Week Kireka-Namugongo'!H86</f>
        <v>0</v>
      </c>
      <c r="I86" s="49">
        <f>'Avg Week Namugongo-Kireka'!I86+'Avg Week Kireka-Namugongo'!I86</f>
        <v>0</v>
      </c>
      <c r="J86" s="49">
        <f>'Avg Week Namugongo-Kireka'!J86+'Avg Week Kireka-Namugongo'!J86</f>
        <v>0</v>
      </c>
      <c r="K86" s="49">
        <f>'Avg Week Namugongo-Kireka'!K86+'Avg Week Kireka-Namugongo'!K86</f>
        <v>0</v>
      </c>
      <c r="L86" s="49">
        <f>'Avg Week Namugongo-Kireka'!L86+'Avg Week Kireka-Namugongo'!L86</f>
        <v>0</v>
      </c>
      <c r="M86" s="49">
        <f>'Avg Week Namugongo-Kireka'!M86+'Avg Week Kireka-Namugongo'!M86</f>
        <v>16.5</v>
      </c>
      <c r="N86" s="49">
        <f>'Avg Week Namugongo-Kireka'!N86+'Avg Week Kireka-Namugongo'!N86</f>
        <v>0</v>
      </c>
      <c r="O86" s="15">
        <f t="shared" si="35"/>
        <v>18.5</v>
      </c>
      <c r="P86" s="15">
        <f t="shared" si="36"/>
        <v>35</v>
      </c>
      <c r="R86" s="8"/>
      <c r="T86"/>
    </row>
    <row r="87" spans="2:20" ht="23.1" customHeight="1" x14ac:dyDescent="0.25">
      <c r="B87" s="23" t="s">
        <v>127</v>
      </c>
      <c r="C87" s="49">
        <f>'Avg Week Namugongo-Kireka'!C87+'Avg Week Kireka-Namugongo'!C87</f>
        <v>11</v>
      </c>
      <c r="D87" s="49">
        <f>'Avg Week Namugongo-Kireka'!D87+'Avg Week Kireka-Namugongo'!D87</f>
        <v>4</v>
      </c>
      <c r="E87" s="49">
        <f>'Avg Week Namugongo-Kireka'!E87+'Avg Week Kireka-Namugongo'!E87</f>
        <v>1</v>
      </c>
      <c r="F87" s="49">
        <f>'Avg Week Namugongo-Kireka'!F87+'Avg Week Kireka-Namugongo'!F87</f>
        <v>3.5</v>
      </c>
      <c r="G87" s="49">
        <f>'Avg Week Namugongo-Kireka'!G87+'Avg Week Kireka-Namugongo'!G87</f>
        <v>0</v>
      </c>
      <c r="H87" s="49">
        <f>'Avg Week Namugongo-Kireka'!H87+'Avg Week Kireka-Namugongo'!H87</f>
        <v>0</v>
      </c>
      <c r="I87" s="49">
        <f>'Avg Week Namugongo-Kireka'!I87+'Avg Week Kireka-Namugongo'!I87</f>
        <v>1</v>
      </c>
      <c r="J87" s="49">
        <f>'Avg Week Namugongo-Kireka'!J87+'Avg Week Kireka-Namugongo'!J87</f>
        <v>0</v>
      </c>
      <c r="K87" s="49">
        <f>'Avg Week Namugongo-Kireka'!K87+'Avg Week Kireka-Namugongo'!K87</f>
        <v>0</v>
      </c>
      <c r="L87" s="49">
        <f>'Avg Week Namugongo-Kireka'!L87+'Avg Week Kireka-Namugongo'!L87</f>
        <v>0</v>
      </c>
      <c r="M87" s="49">
        <f>'Avg Week Namugongo-Kireka'!M87+'Avg Week Kireka-Namugongo'!M87</f>
        <v>15.5</v>
      </c>
      <c r="N87" s="49">
        <f>'Avg Week Namugongo-Kireka'!N87+'Avg Week Kireka-Namugongo'!N87</f>
        <v>0</v>
      </c>
      <c r="O87" s="15">
        <f t="shared" si="35"/>
        <v>20.5</v>
      </c>
      <c r="P87" s="15">
        <f t="shared" si="36"/>
        <v>36</v>
      </c>
      <c r="R87" s="8"/>
      <c r="T87"/>
    </row>
    <row r="88" spans="2:20" ht="23.1" customHeight="1" x14ac:dyDescent="0.25">
      <c r="B88" s="25" t="s">
        <v>128</v>
      </c>
      <c r="C88" s="49">
        <f>'Avg Week Namugongo-Kireka'!C88+'Avg Week Kireka-Namugongo'!C88</f>
        <v>13</v>
      </c>
      <c r="D88" s="49">
        <f>'Avg Week Namugongo-Kireka'!D88+'Avg Week Kireka-Namugongo'!D88</f>
        <v>2</v>
      </c>
      <c r="E88" s="49">
        <f>'Avg Week Namugongo-Kireka'!E88+'Avg Week Kireka-Namugongo'!E88</f>
        <v>1</v>
      </c>
      <c r="F88" s="49">
        <f>'Avg Week Namugongo-Kireka'!F88+'Avg Week Kireka-Namugongo'!F88</f>
        <v>1.5</v>
      </c>
      <c r="G88" s="49">
        <f>'Avg Week Namugongo-Kireka'!G88+'Avg Week Kireka-Namugongo'!G88</f>
        <v>0</v>
      </c>
      <c r="H88" s="49">
        <f>'Avg Week Namugongo-Kireka'!H88+'Avg Week Kireka-Namugongo'!H88</f>
        <v>0</v>
      </c>
      <c r="I88" s="49">
        <f>'Avg Week Namugongo-Kireka'!I88+'Avg Week Kireka-Namugongo'!I88</f>
        <v>0</v>
      </c>
      <c r="J88" s="49">
        <f>'Avg Week Namugongo-Kireka'!J88+'Avg Week Kireka-Namugongo'!J88</f>
        <v>0</v>
      </c>
      <c r="K88" s="49">
        <f>'Avg Week Namugongo-Kireka'!K88+'Avg Week Kireka-Namugongo'!K88</f>
        <v>0</v>
      </c>
      <c r="L88" s="49">
        <f>'Avg Week Namugongo-Kireka'!L88+'Avg Week Kireka-Namugongo'!L88</f>
        <v>0</v>
      </c>
      <c r="M88" s="49">
        <f>'Avg Week Namugongo-Kireka'!M88+'Avg Week Kireka-Namugongo'!M88</f>
        <v>26</v>
      </c>
      <c r="N88" s="49">
        <f>'Avg Week Namugongo-Kireka'!N88+'Avg Week Kireka-Namugongo'!N88</f>
        <v>0</v>
      </c>
      <c r="O88" s="15">
        <f t="shared" si="35"/>
        <v>17.5</v>
      </c>
      <c r="P88" s="15">
        <f t="shared" si="36"/>
        <v>43.5</v>
      </c>
      <c r="R88" s="8"/>
      <c r="T88"/>
    </row>
    <row r="89" spans="2:20" ht="23.1" customHeight="1" x14ac:dyDescent="0.25">
      <c r="B89" s="23" t="s">
        <v>129</v>
      </c>
      <c r="C89" s="49">
        <f>'Avg Week Namugongo-Kireka'!C89+'Avg Week Kireka-Namugongo'!C89</f>
        <v>14</v>
      </c>
      <c r="D89" s="49">
        <f>'Avg Week Namugongo-Kireka'!D89+'Avg Week Kireka-Namugongo'!D89</f>
        <v>2.5</v>
      </c>
      <c r="E89" s="49">
        <f>'Avg Week Namugongo-Kireka'!E89+'Avg Week Kireka-Namugongo'!E89</f>
        <v>0.5</v>
      </c>
      <c r="F89" s="49">
        <f>'Avg Week Namugongo-Kireka'!F89+'Avg Week Kireka-Namugongo'!F89</f>
        <v>0.5</v>
      </c>
      <c r="G89" s="49">
        <f>'Avg Week Namugongo-Kireka'!G89+'Avg Week Kireka-Namugongo'!G89</f>
        <v>0</v>
      </c>
      <c r="H89" s="49">
        <f>'Avg Week Namugongo-Kireka'!H89+'Avg Week Kireka-Namugongo'!H89</f>
        <v>0</v>
      </c>
      <c r="I89" s="49">
        <f>'Avg Week Namugongo-Kireka'!I89+'Avg Week Kireka-Namugongo'!I89</f>
        <v>0</v>
      </c>
      <c r="J89" s="49">
        <f>'Avg Week Namugongo-Kireka'!J89+'Avg Week Kireka-Namugongo'!J89</f>
        <v>0.5</v>
      </c>
      <c r="K89" s="49">
        <f>'Avg Week Namugongo-Kireka'!K89+'Avg Week Kireka-Namugongo'!K89</f>
        <v>0</v>
      </c>
      <c r="L89" s="49">
        <f>'Avg Week Namugongo-Kireka'!L89+'Avg Week Kireka-Namugongo'!L89</f>
        <v>0</v>
      </c>
      <c r="M89" s="49">
        <f>'Avg Week Namugongo-Kireka'!M89+'Avg Week Kireka-Namugongo'!M89</f>
        <v>21</v>
      </c>
      <c r="N89" s="49">
        <f>'Avg Week Namugongo-Kireka'!N89+'Avg Week Kireka-Namugongo'!N89</f>
        <v>0</v>
      </c>
      <c r="O89" s="15">
        <f t="shared" si="35"/>
        <v>18</v>
      </c>
      <c r="P89" s="15">
        <f t="shared" si="36"/>
        <v>39</v>
      </c>
      <c r="R89" s="8"/>
      <c r="T89"/>
    </row>
    <row r="90" spans="2:20" ht="23.1" customHeight="1" x14ac:dyDescent="0.25">
      <c r="B90" s="24" t="s">
        <v>130</v>
      </c>
      <c r="C90" s="49">
        <f>'Avg Week Namugongo-Kireka'!C90+'Avg Week Kireka-Namugongo'!C90</f>
        <v>10</v>
      </c>
      <c r="D90" s="49">
        <f>'Avg Week Namugongo-Kireka'!D90+'Avg Week Kireka-Namugongo'!D90</f>
        <v>1.5</v>
      </c>
      <c r="E90" s="49">
        <f>'Avg Week Namugongo-Kireka'!E90+'Avg Week Kireka-Namugongo'!E90</f>
        <v>1</v>
      </c>
      <c r="F90" s="49">
        <f>'Avg Week Namugongo-Kireka'!F90+'Avg Week Kireka-Namugongo'!F90</f>
        <v>1.5</v>
      </c>
      <c r="G90" s="49">
        <f>'Avg Week Namugongo-Kireka'!G90+'Avg Week Kireka-Namugongo'!G90</f>
        <v>0</v>
      </c>
      <c r="H90" s="49">
        <f>'Avg Week Namugongo-Kireka'!H90+'Avg Week Kireka-Namugongo'!H90</f>
        <v>0</v>
      </c>
      <c r="I90" s="49">
        <f>'Avg Week Namugongo-Kireka'!I90+'Avg Week Kireka-Namugongo'!I90</f>
        <v>1.5</v>
      </c>
      <c r="J90" s="49">
        <f>'Avg Week Namugongo-Kireka'!J90+'Avg Week Kireka-Namugongo'!J90</f>
        <v>1</v>
      </c>
      <c r="K90" s="49">
        <f>'Avg Week Namugongo-Kireka'!K90+'Avg Week Kireka-Namugongo'!K90</f>
        <v>0</v>
      </c>
      <c r="L90" s="49">
        <f>'Avg Week Namugongo-Kireka'!L90+'Avg Week Kireka-Namugongo'!L90</f>
        <v>0</v>
      </c>
      <c r="M90" s="49">
        <f>'Avg Week Namugongo-Kireka'!M90+'Avg Week Kireka-Namugongo'!M90</f>
        <v>20.5</v>
      </c>
      <c r="N90" s="49">
        <f>'Avg Week Namugongo-Kireka'!N90+'Avg Week Kireka-Namugongo'!N90</f>
        <v>0</v>
      </c>
      <c r="O90" s="15">
        <f t="shared" si="35"/>
        <v>16.5</v>
      </c>
      <c r="P90" s="15">
        <f t="shared" si="36"/>
        <v>37</v>
      </c>
      <c r="R90" s="8"/>
      <c r="T90"/>
    </row>
    <row r="91" spans="2:20" ht="23.1" customHeight="1" x14ac:dyDescent="0.25">
      <c r="B91" s="23" t="s">
        <v>131</v>
      </c>
      <c r="C91" s="49">
        <f>'Avg Week Namugongo-Kireka'!C91+'Avg Week Kireka-Namugongo'!C91</f>
        <v>11.5</v>
      </c>
      <c r="D91" s="49">
        <f>'Avg Week Namugongo-Kireka'!D91+'Avg Week Kireka-Namugongo'!D91</f>
        <v>4</v>
      </c>
      <c r="E91" s="49">
        <f>'Avg Week Namugongo-Kireka'!E91+'Avg Week Kireka-Namugongo'!E91</f>
        <v>0.5</v>
      </c>
      <c r="F91" s="49">
        <f>'Avg Week Namugongo-Kireka'!F91+'Avg Week Kireka-Namugongo'!F91</f>
        <v>1</v>
      </c>
      <c r="G91" s="49">
        <f>'Avg Week Namugongo-Kireka'!G91+'Avg Week Kireka-Namugongo'!G91</f>
        <v>0</v>
      </c>
      <c r="H91" s="49">
        <f>'Avg Week Namugongo-Kireka'!H91+'Avg Week Kireka-Namugongo'!H91</f>
        <v>0</v>
      </c>
      <c r="I91" s="49">
        <f>'Avg Week Namugongo-Kireka'!I91+'Avg Week Kireka-Namugongo'!I91</f>
        <v>0</v>
      </c>
      <c r="J91" s="49">
        <f>'Avg Week Namugongo-Kireka'!J91+'Avg Week Kireka-Namugongo'!J91</f>
        <v>0</v>
      </c>
      <c r="K91" s="49">
        <f>'Avg Week Namugongo-Kireka'!K91+'Avg Week Kireka-Namugongo'!K91</f>
        <v>0</v>
      </c>
      <c r="L91" s="49">
        <f>'Avg Week Namugongo-Kireka'!L91+'Avg Week Kireka-Namugongo'!L91</f>
        <v>0</v>
      </c>
      <c r="M91" s="49">
        <f>'Avg Week Namugongo-Kireka'!M91+'Avg Week Kireka-Namugongo'!M91</f>
        <v>15.5</v>
      </c>
      <c r="N91" s="49">
        <f>'Avg Week Namugongo-Kireka'!N91+'Avg Week Kireka-Namugongo'!N91</f>
        <v>0</v>
      </c>
      <c r="O91" s="15">
        <f t="shared" si="35"/>
        <v>17</v>
      </c>
      <c r="P91" s="15">
        <f t="shared" si="36"/>
        <v>32.5</v>
      </c>
      <c r="R91" s="8"/>
      <c r="T91"/>
    </row>
    <row r="92" spans="2:20" ht="23.1" customHeight="1" x14ac:dyDescent="0.25">
      <c r="B92" s="25" t="s">
        <v>132</v>
      </c>
      <c r="C92" s="49">
        <f>'Avg Week Namugongo-Kireka'!C92+'Avg Week Kireka-Namugongo'!C92</f>
        <v>8</v>
      </c>
      <c r="D92" s="49">
        <f>'Avg Week Namugongo-Kireka'!D92+'Avg Week Kireka-Namugongo'!D92</f>
        <v>1</v>
      </c>
      <c r="E92" s="49">
        <f>'Avg Week Namugongo-Kireka'!E92+'Avg Week Kireka-Namugongo'!E92</f>
        <v>0</v>
      </c>
      <c r="F92" s="49">
        <f>'Avg Week Namugongo-Kireka'!F92+'Avg Week Kireka-Namugongo'!F92</f>
        <v>0.5</v>
      </c>
      <c r="G92" s="49">
        <f>'Avg Week Namugongo-Kireka'!G92+'Avg Week Kireka-Namugongo'!G92</f>
        <v>0</v>
      </c>
      <c r="H92" s="49">
        <f>'Avg Week Namugongo-Kireka'!H92+'Avg Week Kireka-Namugongo'!H92</f>
        <v>0</v>
      </c>
      <c r="I92" s="49">
        <f>'Avg Week Namugongo-Kireka'!I92+'Avg Week Kireka-Namugongo'!I92</f>
        <v>0.5</v>
      </c>
      <c r="J92" s="49">
        <f>'Avg Week Namugongo-Kireka'!J92+'Avg Week Kireka-Namugongo'!J92</f>
        <v>0.5</v>
      </c>
      <c r="K92" s="49">
        <f>'Avg Week Namugongo-Kireka'!K92+'Avg Week Kireka-Namugongo'!K92</f>
        <v>0</v>
      </c>
      <c r="L92" s="49">
        <f>'Avg Week Namugongo-Kireka'!L92+'Avg Week Kireka-Namugongo'!L92</f>
        <v>0</v>
      </c>
      <c r="M92" s="49">
        <f>'Avg Week Namugongo-Kireka'!M92+'Avg Week Kireka-Namugongo'!M92</f>
        <v>11.5</v>
      </c>
      <c r="N92" s="49">
        <f>'Avg Week Namugongo-Kireka'!N92+'Avg Week Kireka-Namugongo'!N92</f>
        <v>0</v>
      </c>
      <c r="O92" s="15">
        <f t="shared" si="35"/>
        <v>10.5</v>
      </c>
      <c r="P92" s="15">
        <f t="shared" si="36"/>
        <v>22</v>
      </c>
      <c r="R92" s="8"/>
      <c r="T92"/>
    </row>
    <row r="93" spans="2:20" ht="23.1" customHeight="1" x14ac:dyDescent="0.25">
      <c r="B93" s="23" t="s">
        <v>133</v>
      </c>
      <c r="C93" s="49">
        <f>'Avg Week Namugongo-Kireka'!C93+'Avg Week Kireka-Namugongo'!C93</f>
        <v>13.5</v>
      </c>
      <c r="D93" s="49">
        <f>'Avg Week Namugongo-Kireka'!D93+'Avg Week Kireka-Namugongo'!D93</f>
        <v>4</v>
      </c>
      <c r="E93" s="49">
        <f>'Avg Week Namugongo-Kireka'!E93+'Avg Week Kireka-Namugongo'!E93</f>
        <v>0</v>
      </c>
      <c r="F93" s="49">
        <f>'Avg Week Namugongo-Kireka'!F93+'Avg Week Kireka-Namugongo'!F93</f>
        <v>2</v>
      </c>
      <c r="G93" s="49">
        <f>'Avg Week Namugongo-Kireka'!G93+'Avg Week Kireka-Namugongo'!G93</f>
        <v>0</v>
      </c>
      <c r="H93" s="49">
        <f>'Avg Week Namugongo-Kireka'!H93+'Avg Week Kireka-Namugongo'!H93</f>
        <v>0</v>
      </c>
      <c r="I93" s="49">
        <f>'Avg Week Namugongo-Kireka'!I93+'Avg Week Kireka-Namugongo'!I93</f>
        <v>0.5</v>
      </c>
      <c r="J93" s="49">
        <f>'Avg Week Namugongo-Kireka'!J93+'Avg Week Kireka-Namugongo'!J93</f>
        <v>0.5</v>
      </c>
      <c r="K93" s="49">
        <f>'Avg Week Namugongo-Kireka'!K93+'Avg Week Kireka-Namugongo'!K93</f>
        <v>0.5</v>
      </c>
      <c r="L93" s="49">
        <f>'Avg Week Namugongo-Kireka'!L93+'Avg Week Kireka-Namugongo'!L93</f>
        <v>0</v>
      </c>
      <c r="M93" s="49">
        <f>'Avg Week Namugongo-Kireka'!M93+'Avg Week Kireka-Namugongo'!M93</f>
        <v>16</v>
      </c>
      <c r="N93" s="49">
        <f>'Avg Week Namugongo-Kireka'!N93+'Avg Week Kireka-Namugongo'!N93</f>
        <v>0</v>
      </c>
      <c r="O93" s="15">
        <f t="shared" si="35"/>
        <v>21</v>
      </c>
      <c r="P93" s="15">
        <f t="shared" si="36"/>
        <v>37</v>
      </c>
      <c r="R93" s="8"/>
      <c r="T93"/>
    </row>
    <row r="94" spans="2:20" ht="23.1" customHeight="1" x14ac:dyDescent="0.25">
      <c r="B94" s="24" t="s">
        <v>134</v>
      </c>
      <c r="C94" s="49">
        <f>'Avg Week Namugongo-Kireka'!C94+'Avg Week Kireka-Namugongo'!C94</f>
        <v>10.5</v>
      </c>
      <c r="D94" s="49">
        <f>'Avg Week Namugongo-Kireka'!D94+'Avg Week Kireka-Namugongo'!D94</f>
        <v>1</v>
      </c>
      <c r="E94" s="49">
        <f>'Avg Week Namugongo-Kireka'!E94+'Avg Week Kireka-Namugongo'!E94</f>
        <v>1.5</v>
      </c>
      <c r="F94" s="49">
        <f>'Avg Week Namugongo-Kireka'!F94+'Avg Week Kireka-Namugongo'!F94</f>
        <v>2</v>
      </c>
      <c r="G94" s="49">
        <f>'Avg Week Namugongo-Kireka'!G94+'Avg Week Kireka-Namugongo'!G94</f>
        <v>0</v>
      </c>
      <c r="H94" s="49">
        <f>'Avg Week Namugongo-Kireka'!H94+'Avg Week Kireka-Namugongo'!H94</f>
        <v>0</v>
      </c>
      <c r="I94" s="49">
        <f>'Avg Week Namugongo-Kireka'!I94+'Avg Week Kireka-Namugongo'!I94</f>
        <v>0.5</v>
      </c>
      <c r="J94" s="49">
        <f>'Avg Week Namugongo-Kireka'!J94+'Avg Week Kireka-Namugongo'!J94</f>
        <v>0.5</v>
      </c>
      <c r="K94" s="49">
        <f>'Avg Week Namugongo-Kireka'!K94+'Avg Week Kireka-Namugongo'!K94</f>
        <v>0</v>
      </c>
      <c r="L94" s="49">
        <f>'Avg Week Namugongo-Kireka'!L94+'Avg Week Kireka-Namugongo'!L94</f>
        <v>0</v>
      </c>
      <c r="M94" s="49">
        <f>'Avg Week Namugongo-Kireka'!M94+'Avg Week Kireka-Namugongo'!M94</f>
        <v>16</v>
      </c>
      <c r="N94" s="49">
        <f>'Avg Week Namugongo-Kireka'!N94+'Avg Week Kireka-Namugongo'!N94</f>
        <v>0</v>
      </c>
      <c r="O94" s="15">
        <f t="shared" si="35"/>
        <v>16</v>
      </c>
      <c r="P94" s="15">
        <f t="shared" si="36"/>
        <v>32</v>
      </c>
      <c r="R94" s="8"/>
      <c r="T94"/>
    </row>
    <row r="95" spans="2:20" ht="23.1" customHeight="1" x14ac:dyDescent="0.25">
      <c r="B95" s="23" t="s">
        <v>135</v>
      </c>
      <c r="C95" s="49">
        <f>'Avg Week Namugongo-Kireka'!C95+'Avg Week Kireka-Namugongo'!C95</f>
        <v>10.5</v>
      </c>
      <c r="D95" s="49">
        <f>'Avg Week Namugongo-Kireka'!D95+'Avg Week Kireka-Namugongo'!D95</f>
        <v>1</v>
      </c>
      <c r="E95" s="49">
        <f>'Avg Week Namugongo-Kireka'!E95+'Avg Week Kireka-Namugongo'!E95</f>
        <v>0</v>
      </c>
      <c r="F95" s="49">
        <f>'Avg Week Namugongo-Kireka'!F95+'Avg Week Kireka-Namugongo'!F95</f>
        <v>2</v>
      </c>
      <c r="G95" s="49">
        <f>'Avg Week Namugongo-Kireka'!G95+'Avg Week Kireka-Namugongo'!G95</f>
        <v>0</v>
      </c>
      <c r="H95" s="49">
        <f>'Avg Week Namugongo-Kireka'!H95+'Avg Week Kireka-Namugongo'!H95</f>
        <v>0</v>
      </c>
      <c r="I95" s="49">
        <f>'Avg Week Namugongo-Kireka'!I95+'Avg Week Kireka-Namugongo'!I95</f>
        <v>0.5</v>
      </c>
      <c r="J95" s="49">
        <f>'Avg Week Namugongo-Kireka'!J95+'Avg Week Kireka-Namugongo'!J95</f>
        <v>1.5</v>
      </c>
      <c r="K95" s="49">
        <f>'Avg Week Namugongo-Kireka'!K95+'Avg Week Kireka-Namugongo'!K95</f>
        <v>0</v>
      </c>
      <c r="L95" s="49">
        <f>'Avg Week Namugongo-Kireka'!L95+'Avg Week Kireka-Namugongo'!L95</f>
        <v>0</v>
      </c>
      <c r="M95" s="49">
        <f>'Avg Week Namugongo-Kireka'!M95+'Avg Week Kireka-Namugongo'!M95</f>
        <v>12</v>
      </c>
      <c r="N95" s="49">
        <f>'Avg Week Namugongo-Kireka'!N95+'Avg Week Kireka-Namugongo'!N95</f>
        <v>0</v>
      </c>
      <c r="O95" s="15">
        <f t="shared" si="35"/>
        <v>15.5</v>
      </c>
      <c r="P95" s="15">
        <f t="shared" si="36"/>
        <v>27.5</v>
      </c>
      <c r="R95" s="8"/>
      <c r="T95"/>
    </row>
    <row r="96" spans="2:20" ht="23.1" customHeight="1" x14ac:dyDescent="0.25">
      <c r="B96" s="25" t="s">
        <v>136</v>
      </c>
      <c r="C96" s="49">
        <f>'Avg Week Namugongo-Kireka'!C96+'Avg Week Kireka-Namugongo'!C96</f>
        <v>14.5</v>
      </c>
      <c r="D96" s="49">
        <f>'Avg Week Namugongo-Kireka'!D96+'Avg Week Kireka-Namugongo'!D96</f>
        <v>2.5</v>
      </c>
      <c r="E96" s="49">
        <f>'Avg Week Namugongo-Kireka'!E96+'Avg Week Kireka-Namugongo'!E96</f>
        <v>1</v>
      </c>
      <c r="F96" s="49">
        <f>'Avg Week Namugongo-Kireka'!F96+'Avg Week Kireka-Namugongo'!F96</f>
        <v>4</v>
      </c>
      <c r="G96" s="49">
        <f>'Avg Week Namugongo-Kireka'!G96+'Avg Week Kireka-Namugongo'!G96</f>
        <v>0</v>
      </c>
      <c r="H96" s="49">
        <f>'Avg Week Namugongo-Kireka'!H96+'Avg Week Kireka-Namugongo'!H96</f>
        <v>0</v>
      </c>
      <c r="I96" s="49">
        <f>'Avg Week Namugongo-Kireka'!I96+'Avg Week Kireka-Namugongo'!I96</f>
        <v>1</v>
      </c>
      <c r="J96" s="49">
        <f>'Avg Week Namugongo-Kireka'!J96+'Avg Week Kireka-Namugongo'!J96</f>
        <v>0.5</v>
      </c>
      <c r="K96" s="49">
        <f>'Avg Week Namugongo-Kireka'!K96+'Avg Week Kireka-Namugongo'!K96</f>
        <v>0</v>
      </c>
      <c r="L96" s="49">
        <f>'Avg Week Namugongo-Kireka'!L96+'Avg Week Kireka-Namugongo'!L96</f>
        <v>0</v>
      </c>
      <c r="M96" s="49">
        <f>'Avg Week Namugongo-Kireka'!M96+'Avg Week Kireka-Namugongo'!M96</f>
        <v>9.5</v>
      </c>
      <c r="N96" s="49">
        <f>'Avg Week Namugongo-Kireka'!N96+'Avg Week Kireka-Namugongo'!N96</f>
        <v>0</v>
      </c>
      <c r="O96" s="15">
        <f t="shared" si="35"/>
        <v>23.5</v>
      </c>
      <c r="P96" s="15">
        <f t="shared" si="36"/>
        <v>33</v>
      </c>
      <c r="R96" s="8"/>
      <c r="T96"/>
    </row>
    <row r="97" spans="2:20" ht="23.1" customHeight="1" x14ac:dyDescent="0.25">
      <c r="B97" s="23" t="s">
        <v>137</v>
      </c>
      <c r="C97" s="49">
        <f>'Avg Week Namugongo-Kireka'!C97+'Avg Week Kireka-Namugongo'!C97</f>
        <v>13</v>
      </c>
      <c r="D97" s="49">
        <f>'Avg Week Namugongo-Kireka'!D97+'Avg Week Kireka-Namugongo'!D97</f>
        <v>7</v>
      </c>
      <c r="E97" s="49">
        <f>'Avg Week Namugongo-Kireka'!E97+'Avg Week Kireka-Namugongo'!E97</f>
        <v>0</v>
      </c>
      <c r="F97" s="49">
        <f>'Avg Week Namugongo-Kireka'!F97+'Avg Week Kireka-Namugongo'!F97</f>
        <v>8.5</v>
      </c>
      <c r="G97" s="49">
        <f>'Avg Week Namugongo-Kireka'!G97+'Avg Week Kireka-Namugongo'!G97</f>
        <v>0</v>
      </c>
      <c r="H97" s="49">
        <f>'Avg Week Namugongo-Kireka'!H97+'Avg Week Kireka-Namugongo'!H97</f>
        <v>0</v>
      </c>
      <c r="I97" s="49">
        <f>'Avg Week Namugongo-Kireka'!I97+'Avg Week Kireka-Namugongo'!I97</f>
        <v>0.5</v>
      </c>
      <c r="J97" s="49">
        <f>'Avg Week Namugongo-Kireka'!J97+'Avg Week Kireka-Namugongo'!J97</f>
        <v>0.5</v>
      </c>
      <c r="K97" s="49">
        <f>'Avg Week Namugongo-Kireka'!K97+'Avg Week Kireka-Namugongo'!K97</f>
        <v>0</v>
      </c>
      <c r="L97" s="49">
        <f>'Avg Week Namugongo-Kireka'!L97+'Avg Week Kireka-Namugongo'!L97</f>
        <v>0.5</v>
      </c>
      <c r="M97" s="49">
        <f>'Avg Week Namugongo-Kireka'!M97+'Avg Week Kireka-Namugongo'!M97</f>
        <v>13</v>
      </c>
      <c r="N97" s="49">
        <f>'Avg Week Namugongo-Kireka'!N97+'Avg Week Kireka-Namugongo'!N97</f>
        <v>0</v>
      </c>
      <c r="O97" s="15">
        <f t="shared" si="35"/>
        <v>30</v>
      </c>
      <c r="P97" s="15">
        <f t="shared" si="36"/>
        <v>43</v>
      </c>
      <c r="R97" s="8"/>
      <c r="T97"/>
    </row>
    <row r="98" spans="2:20" ht="23.1" customHeight="1" x14ac:dyDescent="0.25">
      <c r="B98" s="24" t="s">
        <v>138</v>
      </c>
      <c r="C98" s="49">
        <f>'Avg Week Namugongo-Kireka'!C98+'Avg Week Kireka-Namugongo'!C98</f>
        <v>17.5</v>
      </c>
      <c r="D98" s="49">
        <f>'Avg Week Namugongo-Kireka'!D98+'Avg Week Kireka-Namugongo'!D98</f>
        <v>6.5</v>
      </c>
      <c r="E98" s="49">
        <f>'Avg Week Namugongo-Kireka'!E98+'Avg Week Kireka-Namugongo'!E98</f>
        <v>5</v>
      </c>
      <c r="F98" s="49">
        <f>'Avg Week Namugongo-Kireka'!F98+'Avg Week Kireka-Namugongo'!F98</f>
        <v>6.5</v>
      </c>
      <c r="G98" s="49">
        <f>'Avg Week Namugongo-Kireka'!G98+'Avg Week Kireka-Namugongo'!G98</f>
        <v>0</v>
      </c>
      <c r="H98" s="49">
        <f>'Avg Week Namugongo-Kireka'!H98+'Avg Week Kireka-Namugongo'!H98</f>
        <v>0</v>
      </c>
      <c r="I98" s="49">
        <f>'Avg Week Namugongo-Kireka'!I98+'Avg Week Kireka-Namugongo'!I98</f>
        <v>0</v>
      </c>
      <c r="J98" s="49">
        <f>'Avg Week Namugongo-Kireka'!J98+'Avg Week Kireka-Namugongo'!J98</f>
        <v>1</v>
      </c>
      <c r="K98" s="49">
        <f>'Avg Week Namugongo-Kireka'!K98+'Avg Week Kireka-Namugongo'!K98</f>
        <v>0.5</v>
      </c>
      <c r="L98" s="49">
        <f>'Avg Week Namugongo-Kireka'!L98+'Avg Week Kireka-Namugongo'!L98</f>
        <v>0</v>
      </c>
      <c r="M98" s="49">
        <f>'Avg Week Namugongo-Kireka'!M98+'Avg Week Kireka-Namugongo'!M98</f>
        <v>12.5</v>
      </c>
      <c r="N98" s="49">
        <f>'Avg Week Namugongo-Kireka'!N98+'Avg Week Kireka-Namugongo'!N98</f>
        <v>0</v>
      </c>
      <c r="O98" s="15">
        <f t="shared" si="35"/>
        <v>37</v>
      </c>
      <c r="P98" s="15">
        <f t="shared" si="36"/>
        <v>49.5</v>
      </c>
      <c r="R98" s="8"/>
      <c r="T98"/>
    </row>
    <row r="99" spans="2:20" ht="23.1" customHeight="1" x14ac:dyDescent="0.25">
      <c r="B99" s="23" t="s">
        <v>139</v>
      </c>
      <c r="C99" s="49">
        <f>'Avg Week Namugongo-Kireka'!C99+'Avg Week Kireka-Namugongo'!C99</f>
        <v>10.5</v>
      </c>
      <c r="D99" s="49">
        <f>'Avg Week Namugongo-Kireka'!D99+'Avg Week Kireka-Namugongo'!D99</f>
        <v>1</v>
      </c>
      <c r="E99" s="49">
        <f>'Avg Week Namugongo-Kireka'!E99+'Avg Week Kireka-Namugongo'!E99</f>
        <v>1.5</v>
      </c>
      <c r="F99" s="49">
        <f>'Avg Week Namugongo-Kireka'!F99+'Avg Week Kireka-Namugongo'!F99</f>
        <v>2</v>
      </c>
      <c r="G99" s="49">
        <f>'Avg Week Namugongo-Kireka'!G99+'Avg Week Kireka-Namugongo'!G99</f>
        <v>0</v>
      </c>
      <c r="H99" s="49">
        <f>'Avg Week Namugongo-Kireka'!H99+'Avg Week Kireka-Namugongo'!H99</f>
        <v>0</v>
      </c>
      <c r="I99" s="49">
        <f>'Avg Week Namugongo-Kireka'!I99+'Avg Week Kireka-Namugongo'!I99</f>
        <v>0.5</v>
      </c>
      <c r="J99" s="49">
        <f>'Avg Week Namugongo-Kireka'!J99+'Avg Week Kireka-Namugongo'!J99</f>
        <v>0</v>
      </c>
      <c r="K99" s="49">
        <f>'Avg Week Namugongo-Kireka'!K99+'Avg Week Kireka-Namugongo'!K99</f>
        <v>0</v>
      </c>
      <c r="L99" s="49">
        <f>'Avg Week Namugongo-Kireka'!L99+'Avg Week Kireka-Namugongo'!L99</f>
        <v>0</v>
      </c>
      <c r="M99" s="49">
        <f>'Avg Week Namugongo-Kireka'!M99+'Avg Week Kireka-Namugongo'!M99</f>
        <v>18</v>
      </c>
      <c r="N99" s="49">
        <f>'Avg Week Namugongo-Kireka'!N99+'Avg Week Kireka-Namugongo'!N99</f>
        <v>0</v>
      </c>
      <c r="O99" s="15">
        <f t="shared" si="35"/>
        <v>15.5</v>
      </c>
      <c r="P99" s="15">
        <f t="shared" si="36"/>
        <v>33.5</v>
      </c>
      <c r="R99" s="8"/>
      <c r="T99"/>
    </row>
    <row r="100" spans="2:20" ht="23.1" customHeight="1" x14ac:dyDescent="0.25">
      <c r="B100" s="25" t="s">
        <v>140</v>
      </c>
      <c r="C100" s="49">
        <f>'Avg Week Namugongo-Kireka'!C100+'Avg Week Kireka-Namugongo'!C100</f>
        <v>6</v>
      </c>
      <c r="D100" s="49">
        <f>'Avg Week Namugongo-Kireka'!D100+'Avg Week Kireka-Namugongo'!D100</f>
        <v>0</v>
      </c>
      <c r="E100" s="49">
        <f>'Avg Week Namugongo-Kireka'!E100+'Avg Week Kireka-Namugongo'!E100</f>
        <v>3</v>
      </c>
      <c r="F100" s="49">
        <f>'Avg Week Namugongo-Kireka'!F100+'Avg Week Kireka-Namugongo'!F100</f>
        <v>3.5</v>
      </c>
      <c r="G100" s="49">
        <f>'Avg Week Namugongo-Kireka'!G100+'Avg Week Kireka-Namugongo'!G100</f>
        <v>0</v>
      </c>
      <c r="H100" s="49">
        <f>'Avg Week Namugongo-Kireka'!H100+'Avg Week Kireka-Namugongo'!H100</f>
        <v>0</v>
      </c>
      <c r="I100" s="49">
        <f>'Avg Week Namugongo-Kireka'!I100+'Avg Week Kireka-Namugongo'!I100</f>
        <v>0.5</v>
      </c>
      <c r="J100" s="49">
        <f>'Avg Week Namugongo-Kireka'!J100+'Avg Week Kireka-Namugongo'!J100</f>
        <v>0</v>
      </c>
      <c r="K100" s="49">
        <f>'Avg Week Namugongo-Kireka'!K100+'Avg Week Kireka-Namugongo'!K100</f>
        <v>0</v>
      </c>
      <c r="L100" s="49">
        <f>'Avg Week Namugongo-Kireka'!L100+'Avg Week Kireka-Namugongo'!L100</f>
        <v>0</v>
      </c>
      <c r="M100" s="49">
        <f>'Avg Week Namugongo-Kireka'!M100+'Avg Week Kireka-Namugongo'!M100</f>
        <v>20.5</v>
      </c>
      <c r="N100" s="49">
        <f>'Avg Week Namugongo-Kireka'!N100+'Avg Week Kireka-Namugongo'!N100</f>
        <v>0</v>
      </c>
      <c r="O100" s="15">
        <f t="shared" si="35"/>
        <v>13</v>
      </c>
      <c r="P100" s="15">
        <f t="shared" si="36"/>
        <v>33.5</v>
      </c>
      <c r="R100" s="8"/>
      <c r="T100"/>
    </row>
    <row r="101" spans="2:20" ht="23.1" customHeight="1" x14ac:dyDescent="0.25">
      <c r="B101" s="23" t="s">
        <v>141</v>
      </c>
      <c r="C101" s="49">
        <f>'Avg Week Namugongo-Kireka'!C101+'Avg Week Kireka-Namugongo'!C101</f>
        <v>6</v>
      </c>
      <c r="D101" s="49">
        <f>'Avg Week Namugongo-Kireka'!D101+'Avg Week Kireka-Namugongo'!D101</f>
        <v>1</v>
      </c>
      <c r="E101" s="49">
        <f>'Avg Week Namugongo-Kireka'!E101+'Avg Week Kireka-Namugongo'!E101</f>
        <v>1</v>
      </c>
      <c r="F101" s="49">
        <f>'Avg Week Namugongo-Kireka'!F101+'Avg Week Kireka-Namugongo'!F101</f>
        <v>1</v>
      </c>
      <c r="G101" s="49">
        <f>'Avg Week Namugongo-Kireka'!G101+'Avg Week Kireka-Namugongo'!G101</f>
        <v>0</v>
      </c>
      <c r="H101" s="49">
        <f>'Avg Week Namugongo-Kireka'!H101+'Avg Week Kireka-Namugongo'!H101</f>
        <v>0</v>
      </c>
      <c r="I101" s="49">
        <f>'Avg Week Namugongo-Kireka'!I101+'Avg Week Kireka-Namugongo'!I101</f>
        <v>0.5</v>
      </c>
      <c r="J101" s="49">
        <f>'Avg Week Namugongo-Kireka'!J101+'Avg Week Kireka-Namugongo'!J101</f>
        <v>0</v>
      </c>
      <c r="K101" s="49">
        <f>'Avg Week Namugongo-Kireka'!K101+'Avg Week Kireka-Namugongo'!K101</f>
        <v>0.5</v>
      </c>
      <c r="L101" s="49">
        <f>'Avg Week Namugongo-Kireka'!L101+'Avg Week Kireka-Namugongo'!L101</f>
        <v>0</v>
      </c>
      <c r="M101" s="49">
        <f>'Avg Week Namugongo-Kireka'!M101+'Avg Week Kireka-Namugongo'!M101</f>
        <v>24.5</v>
      </c>
      <c r="N101" s="49">
        <f>'Avg Week Namugongo-Kireka'!N101+'Avg Week Kireka-Namugongo'!N101</f>
        <v>0</v>
      </c>
      <c r="O101" s="15">
        <f t="shared" si="35"/>
        <v>10</v>
      </c>
      <c r="P101" s="15">
        <f t="shared" si="36"/>
        <v>34.5</v>
      </c>
      <c r="R101" s="8"/>
      <c r="T101"/>
    </row>
    <row r="102" spans="2:20" ht="23.1" customHeight="1" x14ac:dyDescent="0.25">
      <c r="B102" s="24" t="s">
        <v>142</v>
      </c>
      <c r="C102" s="49">
        <f>'Avg Week Namugongo-Kireka'!C102+'Avg Week Kireka-Namugongo'!C102</f>
        <v>6.5</v>
      </c>
      <c r="D102" s="49">
        <f>'Avg Week Namugongo-Kireka'!D102+'Avg Week Kireka-Namugongo'!D102</f>
        <v>1.5</v>
      </c>
      <c r="E102" s="49">
        <f>'Avg Week Namugongo-Kireka'!E102+'Avg Week Kireka-Namugongo'!E102</f>
        <v>3</v>
      </c>
      <c r="F102" s="49">
        <f>'Avg Week Namugongo-Kireka'!F102+'Avg Week Kireka-Namugongo'!F102</f>
        <v>4</v>
      </c>
      <c r="G102" s="49">
        <f>'Avg Week Namugongo-Kireka'!G102+'Avg Week Kireka-Namugongo'!G102</f>
        <v>0</v>
      </c>
      <c r="H102" s="49">
        <f>'Avg Week Namugongo-Kireka'!H102+'Avg Week Kireka-Namugongo'!H102</f>
        <v>0</v>
      </c>
      <c r="I102" s="49">
        <f>'Avg Week Namugongo-Kireka'!I102+'Avg Week Kireka-Namugongo'!I102</f>
        <v>1.5</v>
      </c>
      <c r="J102" s="49">
        <f>'Avg Week Namugongo-Kireka'!J102+'Avg Week Kireka-Namugongo'!J102</f>
        <v>0.5</v>
      </c>
      <c r="K102" s="49">
        <f>'Avg Week Namugongo-Kireka'!K102+'Avg Week Kireka-Namugongo'!K102</f>
        <v>0.5</v>
      </c>
      <c r="L102" s="49">
        <f>'Avg Week Namugongo-Kireka'!L102+'Avg Week Kireka-Namugongo'!L102</f>
        <v>0</v>
      </c>
      <c r="M102" s="49">
        <f>'Avg Week Namugongo-Kireka'!M102+'Avg Week Kireka-Namugongo'!M102</f>
        <v>23</v>
      </c>
      <c r="N102" s="49">
        <f>'Avg Week Namugongo-Kireka'!N102+'Avg Week Kireka-Namugongo'!N102</f>
        <v>0</v>
      </c>
      <c r="O102" s="15">
        <f t="shared" si="35"/>
        <v>17.5</v>
      </c>
      <c r="P102" s="15">
        <f t="shared" si="36"/>
        <v>40.5</v>
      </c>
      <c r="R102" s="8"/>
      <c r="T102"/>
    </row>
    <row r="103" spans="2:20" ht="23.1" customHeight="1" x14ac:dyDescent="0.25">
      <c r="B103" s="23" t="s">
        <v>143</v>
      </c>
      <c r="C103" s="49">
        <f>'Avg Week Namugongo-Kireka'!C103+'Avg Week Kireka-Namugongo'!C103</f>
        <v>10</v>
      </c>
      <c r="D103" s="49">
        <f>'Avg Week Namugongo-Kireka'!D103+'Avg Week Kireka-Namugongo'!D103</f>
        <v>0.5</v>
      </c>
      <c r="E103" s="49">
        <f>'Avg Week Namugongo-Kireka'!E103+'Avg Week Kireka-Namugongo'!E103</f>
        <v>0.5</v>
      </c>
      <c r="F103" s="49">
        <f>'Avg Week Namugongo-Kireka'!F103+'Avg Week Kireka-Namugongo'!F103</f>
        <v>5</v>
      </c>
      <c r="G103" s="49">
        <f>'Avg Week Namugongo-Kireka'!G103+'Avg Week Kireka-Namugongo'!G103</f>
        <v>0</v>
      </c>
      <c r="H103" s="49">
        <f>'Avg Week Namugongo-Kireka'!H103+'Avg Week Kireka-Namugongo'!H103</f>
        <v>0</v>
      </c>
      <c r="I103" s="49">
        <f>'Avg Week Namugongo-Kireka'!I103+'Avg Week Kireka-Namugongo'!I103</f>
        <v>0.5</v>
      </c>
      <c r="J103" s="49">
        <f>'Avg Week Namugongo-Kireka'!J103+'Avg Week Kireka-Namugongo'!J103</f>
        <v>0.5</v>
      </c>
      <c r="K103" s="49">
        <f>'Avg Week Namugongo-Kireka'!K103+'Avg Week Kireka-Namugongo'!K103</f>
        <v>0.5</v>
      </c>
      <c r="L103" s="49">
        <f>'Avg Week Namugongo-Kireka'!L103+'Avg Week Kireka-Namugongo'!L103</f>
        <v>0</v>
      </c>
      <c r="M103" s="49">
        <f>'Avg Week Namugongo-Kireka'!M103+'Avg Week Kireka-Namugongo'!M103</f>
        <v>31</v>
      </c>
      <c r="N103" s="49">
        <f>'Avg Week Namugongo-Kireka'!N103+'Avg Week Kireka-Namugongo'!N103</f>
        <v>0</v>
      </c>
      <c r="O103" s="15">
        <f t="shared" si="35"/>
        <v>17.5</v>
      </c>
      <c r="P103" s="15">
        <f t="shared" si="36"/>
        <v>48.5</v>
      </c>
      <c r="R103" s="8"/>
      <c r="T103"/>
    </row>
    <row r="104" spans="2:20" ht="23.1" customHeight="1" x14ac:dyDescent="0.25">
      <c r="B104" s="25" t="s">
        <v>144</v>
      </c>
      <c r="C104" s="49">
        <f>'Avg Week Namugongo-Kireka'!C104+'Avg Week Kireka-Namugongo'!C104</f>
        <v>9</v>
      </c>
      <c r="D104" s="49">
        <f>'Avg Week Namugongo-Kireka'!D104+'Avg Week Kireka-Namugongo'!D104</f>
        <v>0.5</v>
      </c>
      <c r="E104" s="49">
        <f>'Avg Week Namugongo-Kireka'!E104+'Avg Week Kireka-Namugongo'!E104</f>
        <v>2</v>
      </c>
      <c r="F104" s="49">
        <f>'Avg Week Namugongo-Kireka'!F104+'Avg Week Kireka-Namugongo'!F104</f>
        <v>12</v>
      </c>
      <c r="G104" s="49">
        <f>'Avg Week Namugongo-Kireka'!G104+'Avg Week Kireka-Namugongo'!G104</f>
        <v>0</v>
      </c>
      <c r="H104" s="49">
        <f>'Avg Week Namugongo-Kireka'!H104+'Avg Week Kireka-Namugongo'!H104</f>
        <v>0</v>
      </c>
      <c r="I104" s="49">
        <f>'Avg Week Namugongo-Kireka'!I104+'Avg Week Kireka-Namugongo'!I104</f>
        <v>1</v>
      </c>
      <c r="J104" s="49">
        <f>'Avg Week Namugongo-Kireka'!J104+'Avg Week Kireka-Namugongo'!J104</f>
        <v>0.5</v>
      </c>
      <c r="K104" s="49">
        <f>'Avg Week Namugongo-Kireka'!K104+'Avg Week Kireka-Namugongo'!K104</f>
        <v>0</v>
      </c>
      <c r="L104" s="49">
        <f>'Avg Week Namugongo-Kireka'!L104+'Avg Week Kireka-Namugongo'!L104</f>
        <v>0</v>
      </c>
      <c r="M104" s="49">
        <f>'Avg Week Namugongo-Kireka'!M104+'Avg Week Kireka-Namugongo'!M104</f>
        <v>39.5</v>
      </c>
      <c r="N104" s="49">
        <f>'Avg Week Namugongo-Kireka'!N104+'Avg Week Kireka-Namugongo'!N104</f>
        <v>0</v>
      </c>
      <c r="O104" s="15">
        <f t="shared" si="35"/>
        <v>25</v>
      </c>
      <c r="P104" s="15">
        <f t="shared" si="36"/>
        <v>64.5</v>
      </c>
      <c r="R104" s="8"/>
      <c r="T104"/>
    </row>
    <row r="105" spans="2:20" ht="23.1" customHeight="1" x14ac:dyDescent="0.25">
      <c r="B105" s="23" t="s">
        <v>145</v>
      </c>
      <c r="C105" s="49">
        <f>'Avg Week Namugongo-Kireka'!C105+'Avg Week Kireka-Namugongo'!C105</f>
        <v>9.5</v>
      </c>
      <c r="D105" s="49">
        <f>'Avg Week Namugongo-Kireka'!D105+'Avg Week Kireka-Namugongo'!D105</f>
        <v>2</v>
      </c>
      <c r="E105" s="49">
        <f>'Avg Week Namugongo-Kireka'!E105+'Avg Week Kireka-Namugongo'!E105</f>
        <v>3</v>
      </c>
      <c r="F105" s="49">
        <f>'Avg Week Namugongo-Kireka'!F105+'Avg Week Kireka-Namugongo'!F105</f>
        <v>15</v>
      </c>
      <c r="G105" s="49">
        <f>'Avg Week Namugongo-Kireka'!G105+'Avg Week Kireka-Namugongo'!G105</f>
        <v>0</v>
      </c>
      <c r="H105" s="49">
        <f>'Avg Week Namugongo-Kireka'!H105+'Avg Week Kireka-Namugongo'!H105</f>
        <v>0.5</v>
      </c>
      <c r="I105" s="49">
        <f>'Avg Week Namugongo-Kireka'!I105+'Avg Week Kireka-Namugongo'!I105</f>
        <v>0</v>
      </c>
      <c r="J105" s="49">
        <f>'Avg Week Namugongo-Kireka'!J105+'Avg Week Kireka-Namugongo'!J105</f>
        <v>1.5</v>
      </c>
      <c r="K105" s="49">
        <f>'Avg Week Namugongo-Kireka'!K105+'Avg Week Kireka-Namugongo'!K105</f>
        <v>1</v>
      </c>
      <c r="L105" s="49">
        <f>'Avg Week Namugongo-Kireka'!L105+'Avg Week Kireka-Namugongo'!L105</f>
        <v>0</v>
      </c>
      <c r="M105" s="49">
        <f>'Avg Week Namugongo-Kireka'!M105+'Avg Week Kireka-Namugongo'!M105</f>
        <v>41</v>
      </c>
      <c r="N105" s="49">
        <f>'Avg Week Namugongo-Kireka'!N105+'Avg Week Kireka-Namugongo'!N105</f>
        <v>0</v>
      </c>
      <c r="O105" s="15">
        <f t="shared" si="35"/>
        <v>32.5</v>
      </c>
      <c r="P105" s="15">
        <f t="shared" si="36"/>
        <v>73.5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6936.6428571428578</v>
      </c>
      <c r="D106" s="16">
        <f t="shared" ref="D106:O106" si="37">SUM(D10:D105)</f>
        <v>1369.9285714285716</v>
      </c>
      <c r="E106" s="16">
        <f t="shared" si="37"/>
        <v>927.857142857143</v>
      </c>
      <c r="F106" s="16">
        <f t="shared" si="37"/>
        <v>2191.7857142857147</v>
      </c>
      <c r="G106" s="16">
        <f t="shared" si="37"/>
        <v>60.833333333333343</v>
      </c>
      <c r="H106" s="16">
        <f t="shared" si="37"/>
        <v>31.785714285714278</v>
      </c>
      <c r="I106" s="16">
        <f t="shared" si="37"/>
        <v>539.5</v>
      </c>
      <c r="J106" s="16">
        <f t="shared" si="37"/>
        <v>217.3095238095238</v>
      </c>
      <c r="K106" s="16">
        <f t="shared" si="37"/>
        <v>105.57142857142856</v>
      </c>
      <c r="L106" s="16">
        <f t="shared" si="37"/>
        <v>74.714285714285722</v>
      </c>
      <c r="M106" s="16">
        <f t="shared" si="37"/>
        <v>14135.357142857143</v>
      </c>
      <c r="N106" s="16">
        <f t="shared" si="37"/>
        <v>0.5714285714285714</v>
      </c>
      <c r="O106" s="16">
        <f t="shared" si="37"/>
        <v>12456.5</v>
      </c>
      <c r="P106" s="16">
        <f>SUM(P10:P105)</f>
        <v>26591.857142857138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0.26085590110828777</v>
      </c>
      <c r="D107" s="43">
        <f t="shared" si="38"/>
        <v>5.1516844576481535E-2</v>
      </c>
      <c r="E107" s="43">
        <f t="shared" si="38"/>
        <v>3.4892528862218844E-2</v>
      </c>
      <c r="F107" s="43">
        <f t="shared" si="38"/>
        <v>8.2423190772685548E-2</v>
      </c>
      <c r="G107" s="43">
        <f t="shared" si="38"/>
        <v>2.287667724992793E-3</v>
      </c>
      <c r="H107" s="43">
        <f t="shared" si="38"/>
        <v>1.1953175784208915E-3</v>
      </c>
      <c r="I107" s="43">
        <f t="shared" si="38"/>
        <v>2.0288165550141561E-2</v>
      </c>
      <c r="J107" s="43">
        <f t="shared" si="38"/>
        <v>8.1720326129194592E-3</v>
      </c>
      <c r="K107" s="43">
        <f t="shared" si="38"/>
        <v>3.9700660245080401E-3</v>
      </c>
      <c r="L107" s="43">
        <f t="shared" si="38"/>
        <v>2.8096678360185457E-3</v>
      </c>
      <c r="M107" s="43">
        <f t="shared" si="38"/>
        <v>0.53156712849798282</v>
      </c>
      <c r="N107" s="43">
        <f t="shared" si="38"/>
        <v>2.1488855342398053E-5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0.55686933385323789</v>
      </c>
      <c r="D108" s="44">
        <f t="shared" ref="D108:N108" si="39">D106/$O$106</f>
        <v>0.1099770056941012</v>
      </c>
      <c r="E108" s="44">
        <f t="shared" si="39"/>
        <v>7.448778893406198E-2</v>
      </c>
      <c r="F108" s="44">
        <f t="shared" si="39"/>
        <v>0.17595518117334039</v>
      </c>
      <c r="G108" s="44">
        <f t="shared" si="39"/>
        <v>4.8836618097646486E-3</v>
      </c>
      <c r="H108" s="44">
        <f t="shared" si="39"/>
        <v>2.5517371882723301E-3</v>
      </c>
      <c r="I108" s="44">
        <f t="shared" si="39"/>
        <v>4.3310721310159353E-2</v>
      </c>
      <c r="J108" s="44">
        <f t="shared" si="39"/>
        <v>1.7445472147836375E-2</v>
      </c>
      <c r="K108" s="44">
        <f t="shared" si="39"/>
        <v>8.4752080095876498E-3</v>
      </c>
      <c r="L108" s="44">
        <f t="shared" si="39"/>
        <v>5.9980159526581084E-3</v>
      </c>
      <c r="M108" s="44"/>
      <c r="N108" s="44">
        <f t="shared" si="39"/>
        <v>4.5873926980176727E-5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29.07 NAMUGONGO-KIREKA</vt:lpstr>
      <vt:lpstr>29.07 KIREKA-NAMUGONGO</vt:lpstr>
      <vt:lpstr>30.07 NAMUGONGO-KIREKA</vt:lpstr>
      <vt:lpstr>30.07 KIREKA-NAMUGONGO</vt:lpstr>
      <vt:lpstr>31.07 NAMUGONGO-KIREKA-24h</vt:lpstr>
      <vt:lpstr>31.07 KIREKA-NAMUGONGO-24h</vt:lpstr>
      <vt:lpstr>01.08 NAMUGONGO-KIREKA</vt:lpstr>
      <vt:lpstr>01.08 KIREKA-NAMUGONGO</vt:lpstr>
      <vt:lpstr>02.08 NAMUGONGO-KIREKA</vt:lpstr>
      <vt:lpstr>02.08 KIREKA-NAMUGONGO</vt:lpstr>
      <vt:lpstr>03.08 NAMUGONGO-KIREKA-24h</vt:lpstr>
      <vt:lpstr>03.08 KIREKA-NAMUGONGO-24h</vt:lpstr>
      <vt:lpstr>04.08 NAMUGONGO-KIREKA</vt:lpstr>
      <vt:lpstr>04.08 KIREKA-NAMUGONGO</vt:lpstr>
      <vt:lpstr>Avg Week Namugongo-Kireka</vt:lpstr>
      <vt:lpstr>Avg Week Kireka-Namugongo</vt:lpstr>
      <vt:lpstr>Avg Week Namugongo-Kireka-2Dir</vt:lpstr>
      <vt:lpstr>'01.08 KIREKA-NAMUGONGO'!Print_Area</vt:lpstr>
      <vt:lpstr>'01.08 NAMUGONGO-KIREKA'!Print_Area</vt:lpstr>
      <vt:lpstr>'02.08 KIREKA-NAMUGONGO'!Print_Area</vt:lpstr>
      <vt:lpstr>'02.08 NAMUGONGO-KIREKA'!Print_Area</vt:lpstr>
      <vt:lpstr>'03.08 KIREKA-NAMUGONGO-24h'!Print_Area</vt:lpstr>
      <vt:lpstr>'03.08 NAMUGONGO-KIREKA-24h'!Print_Area</vt:lpstr>
      <vt:lpstr>'04.08 KIREKA-NAMUGONGO'!Print_Area</vt:lpstr>
      <vt:lpstr>'04.08 NAMUGONGO-KIREKA'!Print_Area</vt:lpstr>
      <vt:lpstr>'29.07 KIREKA-NAMUGONGO'!Print_Area</vt:lpstr>
      <vt:lpstr>'29.07 NAMUGONGO-KIREKA'!Print_Area</vt:lpstr>
      <vt:lpstr>'30.07 KIREKA-NAMUGONGO'!Print_Area</vt:lpstr>
      <vt:lpstr>'30.07 NAMUGONGO-KIREKA'!Print_Area</vt:lpstr>
      <vt:lpstr>'31.07 KIREKA-NAMUGONGO-24h'!Print_Area</vt:lpstr>
      <vt:lpstr>'31.07 NAMUGONGO-KIREKA-24h'!Print_Area</vt:lpstr>
      <vt:lpstr>'Avg Week Kireka-Namugongo'!Print_Area</vt:lpstr>
      <vt:lpstr>'Avg Week Namugongo-Kireka'!Print_Area</vt:lpstr>
      <vt:lpstr>'Avg Week Namugongo-Kireka-2Dir'!Print_Area</vt:lpstr>
      <vt:lpstr>'01.08 KIREKA-NAMUGONGO'!Print_Titles</vt:lpstr>
      <vt:lpstr>'01.08 NAMUGONGO-KIREKA'!Print_Titles</vt:lpstr>
      <vt:lpstr>'02.08 KIREKA-NAMUGONGO'!Print_Titles</vt:lpstr>
      <vt:lpstr>'02.08 NAMUGONGO-KIREKA'!Print_Titles</vt:lpstr>
      <vt:lpstr>'03.08 KIREKA-NAMUGONGO-24h'!Print_Titles</vt:lpstr>
      <vt:lpstr>'03.08 NAMUGONGO-KIREKA-24h'!Print_Titles</vt:lpstr>
      <vt:lpstr>'04.08 KIREKA-NAMUGONGO'!Print_Titles</vt:lpstr>
      <vt:lpstr>'04.08 NAMUGONGO-KIREKA'!Print_Titles</vt:lpstr>
      <vt:lpstr>'29.07 KIREKA-NAMUGONGO'!Print_Titles</vt:lpstr>
      <vt:lpstr>'29.07 NAMUGONGO-KIREKA'!Print_Titles</vt:lpstr>
      <vt:lpstr>'30.07 KIREKA-NAMUGONGO'!Print_Titles</vt:lpstr>
      <vt:lpstr>'30.07 NAMUGONGO-KIREKA'!Print_Titles</vt:lpstr>
      <vt:lpstr>'31.07 KIREKA-NAMUGONGO-24h'!Print_Titles</vt:lpstr>
      <vt:lpstr>'31.07 NAMUGONGO-KIREKA-24h'!Print_Titles</vt:lpstr>
      <vt:lpstr>'Avg Week Kireka-Namugongo'!Print_Titles</vt:lpstr>
      <vt:lpstr>'Avg Week Namugongo-Kireka'!Print_Titles</vt:lpstr>
      <vt:lpstr>'Avg Week Namugongo-Kireka-2Dir'!Print_Titles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ALLAN</cp:lastModifiedBy>
  <cp:lastPrinted>2019-07-25T18:18:41Z</cp:lastPrinted>
  <dcterms:created xsi:type="dcterms:W3CDTF">2010-07-06T07:39:49Z</dcterms:created>
  <dcterms:modified xsi:type="dcterms:W3CDTF">2020-01-15T17:57:22Z</dcterms:modified>
</cp:coreProperties>
</file>