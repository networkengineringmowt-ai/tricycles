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45-MUBS\MCC DATA\"/>
    </mc:Choice>
  </mc:AlternateContent>
  <bookViews>
    <workbookView xWindow="-120" yWindow="-120" windowWidth="20730" windowHeight="11160" tabRatio="940" firstSheet="14" activeTab="16"/>
  </bookViews>
  <sheets>
    <sheet name="29.07 Bugolobi-Nakawa" sheetId="93" r:id="rId1"/>
    <sheet name="29.07 Nakawa-Bugolobi" sheetId="94" r:id="rId2"/>
    <sheet name="30.07 Bugolobi-Nakawa" sheetId="95" r:id="rId3"/>
    <sheet name="30.07 Nakawa-Bugolobi" sheetId="96" r:id="rId4"/>
    <sheet name="31.07 Bugolobi-Nakawa" sheetId="97" r:id="rId5"/>
    <sheet name="31.07 Nakawa-Bugolobi" sheetId="98" r:id="rId6"/>
    <sheet name="01.08 Bugolobi-Nakawa-24h" sheetId="101" r:id="rId7"/>
    <sheet name="01.08 Nakawa-Bugolobi-24h" sheetId="109" r:id="rId8"/>
    <sheet name="02.08 Bugolobi-Nakawa" sheetId="99" r:id="rId9"/>
    <sheet name="02.08 Nakawa-Bugolobi" sheetId="100" r:id="rId10"/>
    <sheet name="03.08 Bugolobi-Nakawa-24h" sheetId="105" r:id="rId11"/>
    <sheet name="03.08 Nakawa-Bugolobi-24h" sheetId="110" r:id="rId12"/>
    <sheet name="04.08 Bugolobi-Nakawa" sheetId="103" r:id="rId13"/>
    <sheet name="04.08 Nakawa-Bugolobi" sheetId="104" r:id="rId14"/>
    <sheet name="Avg Week Bugolobi-Nakawa" sheetId="107" r:id="rId15"/>
    <sheet name="Avg Week Nakawa-Bugolobi" sheetId="108" r:id="rId16"/>
    <sheet name="Avg Week Bugolobi-Nakawa-2Dir" sheetId="111" r:id="rId17"/>
  </sheets>
  <definedNames>
    <definedName name="_xlnm.Print_Area" localSheetId="6">'01.08 Bugolobi-Nakawa-24h'!$A$1:$AF$108</definedName>
    <definedName name="_xlnm.Print_Area" localSheetId="7">'01.08 Nakawa-Bugolobi-24h'!$A$1:$AF$108</definedName>
    <definedName name="_xlnm.Print_Area" localSheetId="8">'02.08 Bugolobi-Nakawa'!$A$1:$AF$60</definedName>
    <definedName name="_xlnm.Print_Area" localSheetId="9">'02.08 Nakawa-Bugolobi'!$A$1:$AF$60</definedName>
    <definedName name="_xlnm.Print_Area" localSheetId="10">'03.08 Bugolobi-Nakawa-24h'!$A$1:$AF$108</definedName>
    <definedName name="_xlnm.Print_Area" localSheetId="11">'03.08 Nakawa-Bugolobi-24h'!$A$1:$AF$108</definedName>
    <definedName name="_xlnm.Print_Area" localSheetId="12">'04.08 Bugolobi-Nakawa'!$A$1:$AF$60</definedName>
    <definedName name="_xlnm.Print_Area" localSheetId="13">'04.08 Nakawa-Bugolobi'!$A$1:$AF$60</definedName>
    <definedName name="_xlnm.Print_Area" localSheetId="0">'29.07 Bugolobi-Nakawa'!$A$1:$AF$60</definedName>
    <definedName name="_xlnm.Print_Area" localSheetId="1">'29.07 Nakawa-Bugolobi'!$A$1:$AF$60</definedName>
    <definedName name="_xlnm.Print_Area" localSheetId="2">'30.07 Bugolobi-Nakawa'!$A$1:$AF$60</definedName>
    <definedName name="_xlnm.Print_Area" localSheetId="3">'30.07 Nakawa-Bugolobi'!$A$1:$AF$60</definedName>
    <definedName name="_xlnm.Print_Area" localSheetId="4">'31.07 Bugolobi-Nakawa'!$A$1:$AF$60</definedName>
    <definedName name="_xlnm.Print_Area" localSheetId="5">'31.07 Nakawa-Bugolobi'!$A$1:$AF$60</definedName>
    <definedName name="_xlnm.Print_Area" localSheetId="14">'Avg Week Bugolobi-Nakawa'!$A$1:$AF$108</definedName>
    <definedName name="_xlnm.Print_Area" localSheetId="16">'Avg Week Bugolobi-Nakawa-2Dir'!$A$1:$AF$108</definedName>
    <definedName name="_xlnm.Print_Area" localSheetId="15">'Avg Week Nakawa-Bugolobi'!$A$1:$AF$108</definedName>
    <definedName name="_xlnm.Print_Titles" localSheetId="6">'01.08 Bugolobi-Nakawa-24h'!$1:$8</definedName>
    <definedName name="_xlnm.Print_Titles" localSheetId="7">'01.08 Nakawa-Bugolobi-24h'!$1:$8</definedName>
    <definedName name="_xlnm.Print_Titles" localSheetId="8">'02.08 Bugolobi-Nakawa'!$1:$8</definedName>
    <definedName name="_xlnm.Print_Titles" localSheetId="9">'02.08 Nakawa-Bugolobi'!$1:$8</definedName>
    <definedName name="_xlnm.Print_Titles" localSheetId="10">'03.08 Bugolobi-Nakawa-24h'!$1:$8</definedName>
    <definedName name="_xlnm.Print_Titles" localSheetId="11">'03.08 Nakawa-Bugolobi-24h'!$1:$8</definedName>
    <definedName name="_xlnm.Print_Titles" localSheetId="12">'04.08 Bugolobi-Nakawa'!$1:$8</definedName>
    <definedName name="_xlnm.Print_Titles" localSheetId="13">'04.08 Nakawa-Bugolobi'!$1:$8</definedName>
    <definedName name="_xlnm.Print_Titles" localSheetId="0">'29.07 Bugolobi-Nakawa'!$1:$8</definedName>
    <definedName name="_xlnm.Print_Titles" localSheetId="1">'29.07 Nakawa-Bugolobi'!$1:$8</definedName>
    <definedName name="_xlnm.Print_Titles" localSheetId="2">'30.07 Bugolobi-Nakawa'!$1:$8</definedName>
    <definedName name="_xlnm.Print_Titles" localSheetId="3">'30.07 Nakawa-Bugolobi'!$1:$8</definedName>
    <definedName name="_xlnm.Print_Titles" localSheetId="4">'31.07 Bugolobi-Nakawa'!$1:$8</definedName>
    <definedName name="_xlnm.Print_Titles" localSheetId="5">'31.07 Nakawa-Bugolobi'!$1:$8</definedName>
    <definedName name="_xlnm.Print_Titles" localSheetId="14">'Avg Week Bugolobi-Nakawa'!$1:$8</definedName>
    <definedName name="_xlnm.Print_Titles" localSheetId="16">'Avg Week Bugolobi-Nakawa-2Dir'!$1:$8</definedName>
    <definedName name="_xlnm.Print_Titles" localSheetId="15">'Avg Week Nakawa-Bugolobi'!$1:$8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41" i="108" l="1"/>
  <c r="AF42" i="108" s="1"/>
  <c r="AE41" i="108"/>
  <c r="AE42" i="108" s="1"/>
  <c r="AD41" i="108"/>
  <c r="AD42" i="108" s="1"/>
  <c r="AC41" i="108"/>
  <c r="AC42" i="108" s="1"/>
  <c r="AB41" i="108"/>
  <c r="AB42" i="108" s="1"/>
  <c r="AA41" i="108"/>
  <c r="AA42" i="108" s="1"/>
  <c r="Z41" i="108"/>
  <c r="Z42" i="108" s="1"/>
  <c r="Y41" i="108"/>
  <c r="Y42" i="108" s="1"/>
  <c r="X41" i="108"/>
  <c r="X42" i="108" s="1"/>
  <c r="W41" i="108"/>
  <c r="W42" i="108" s="1"/>
  <c r="V41" i="108"/>
  <c r="V42" i="108" s="1"/>
  <c r="U41" i="108"/>
  <c r="U42" i="108" s="1"/>
  <c r="T41" i="108"/>
  <c r="T42" i="108" s="1"/>
  <c r="S41" i="108"/>
  <c r="S42" i="108" s="1"/>
  <c r="T22" i="108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U23" i="108"/>
  <c r="V23" i="108"/>
  <c r="W23" i="108"/>
  <c r="X23" i="108"/>
  <c r="Y23" i="108"/>
  <c r="Z23" i="108"/>
  <c r="AA23" i="108"/>
  <c r="AB23" i="108"/>
  <c r="AC23" i="108"/>
  <c r="AD23" i="108"/>
  <c r="AE23" i="108"/>
  <c r="AF23" i="108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S33" i="108"/>
  <c r="S32" i="108"/>
  <c r="S31" i="108"/>
  <c r="S30" i="108"/>
  <c r="S29" i="108"/>
  <c r="S28" i="108"/>
  <c r="S27" i="108"/>
  <c r="S26" i="108"/>
  <c r="S25" i="108"/>
  <c r="S24" i="108"/>
  <c r="S23" i="108"/>
  <c r="S22" i="108"/>
  <c r="AF40" i="107"/>
  <c r="AF41" i="107" s="1"/>
  <c r="AE40" i="107"/>
  <c r="AE41" i="107" s="1"/>
  <c r="AD40" i="107"/>
  <c r="AD41" i="107" s="1"/>
  <c r="AC40" i="107"/>
  <c r="AC41" i="107" s="1"/>
  <c r="AB40" i="107"/>
  <c r="AB41" i="107" s="1"/>
  <c r="AA40" i="107"/>
  <c r="AA41" i="107" s="1"/>
  <c r="Z40" i="107"/>
  <c r="Z41" i="107" s="1"/>
  <c r="Y40" i="107"/>
  <c r="Y41" i="107" s="1"/>
  <c r="X40" i="107"/>
  <c r="X41" i="107" s="1"/>
  <c r="W40" i="107"/>
  <c r="W41" i="107" s="1"/>
  <c r="V40" i="107"/>
  <c r="V41" i="107" s="1"/>
  <c r="U40" i="107"/>
  <c r="U41" i="107" s="1"/>
  <c r="T40" i="107"/>
  <c r="T41" i="107" s="1"/>
  <c r="S40" i="107"/>
  <c r="S41" i="107" s="1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S32" i="107"/>
  <c r="S31" i="107"/>
  <c r="S30" i="107"/>
  <c r="S29" i="107"/>
  <c r="S28" i="107"/>
  <c r="S27" i="107"/>
  <c r="S26" i="107"/>
  <c r="S25" i="107"/>
  <c r="S24" i="107"/>
  <c r="S23" i="107"/>
  <c r="S22" i="107"/>
  <c r="S21" i="107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O59" i="111" s="1"/>
  <c r="C60" i="111"/>
  <c r="C61" i="111"/>
  <c r="O61" i="111" s="1"/>
  <c r="C62" i="111"/>
  <c r="C63" i="111"/>
  <c r="O63" i="111" s="1"/>
  <c r="C64" i="111"/>
  <c r="C65" i="111"/>
  <c r="O65" i="111" s="1"/>
  <c r="C66" i="111"/>
  <c r="C67" i="111"/>
  <c r="O67" i="111" s="1"/>
  <c r="C68" i="111"/>
  <c r="C69" i="111"/>
  <c r="O69" i="111" s="1"/>
  <c r="C70" i="111"/>
  <c r="C71" i="111"/>
  <c r="O71" i="111" s="1"/>
  <c r="C72" i="111"/>
  <c r="C73" i="111"/>
  <c r="O73" i="111" s="1"/>
  <c r="C74" i="111"/>
  <c r="C75" i="111"/>
  <c r="O75" i="111" s="1"/>
  <c r="C76" i="111"/>
  <c r="C77" i="111"/>
  <c r="O77" i="111" s="1"/>
  <c r="C78" i="111"/>
  <c r="C79" i="111"/>
  <c r="O79" i="111" s="1"/>
  <c r="C80" i="111"/>
  <c r="C81" i="111"/>
  <c r="O81" i="111" s="1"/>
  <c r="C82" i="111"/>
  <c r="C83" i="111"/>
  <c r="O83" i="111" s="1"/>
  <c r="C84" i="111"/>
  <c r="C85" i="111"/>
  <c r="O85" i="111" s="1"/>
  <c r="C86" i="111"/>
  <c r="C87" i="111"/>
  <c r="O87" i="111" s="1"/>
  <c r="C88" i="111"/>
  <c r="C89" i="111"/>
  <c r="O89" i="111" s="1"/>
  <c r="C90" i="111"/>
  <c r="C91" i="111"/>
  <c r="O91" i="111" s="1"/>
  <c r="C92" i="111"/>
  <c r="C93" i="111"/>
  <c r="O93" i="111" s="1"/>
  <c r="C94" i="111"/>
  <c r="C95" i="111"/>
  <c r="O95" i="111" s="1"/>
  <c r="C96" i="111"/>
  <c r="C97" i="111"/>
  <c r="O97" i="111" s="1"/>
  <c r="C98" i="111"/>
  <c r="C99" i="111"/>
  <c r="O99" i="111" s="1"/>
  <c r="C100" i="111"/>
  <c r="C101" i="111"/>
  <c r="O101" i="111" s="1"/>
  <c r="C102" i="111"/>
  <c r="C103" i="111"/>
  <c r="O103" i="111" s="1"/>
  <c r="C104" i="111"/>
  <c r="C105" i="111"/>
  <c r="O105" i="111" s="1"/>
  <c r="C58" i="111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106" i="108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P105" i="108"/>
  <c r="O105" i="108"/>
  <c r="P104" i="108"/>
  <c r="O104" i="108"/>
  <c r="P103" i="108"/>
  <c r="O103" i="108"/>
  <c r="P102" i="108"/>
  <c r="O102" i="108"/>
  <c r="P101" i="108"/>
  <c r="O101" i="108"/>
  <c r="P100" i="108"/>
  <c r="O100" i="108"/>
  <c r="P99" i="108"/>
  <c r="O99" i="108"/>
  <c r="P98" i="108"/>
  <c r="O98" i="108"/>
  <c r="P97" i="108"/>
  <c r="O97" i="108"/>
  <c r="P96" i="108"/>
  <c r="O96" i="108"/>
  <c r="P95" i="108"/>
  <c r="O95" i="108"/>
  <c r="P94" i="108"/>
  <c r="O94" i="108"/>
  <c r="P93" i="108"/>
  <c r="O93" i="108"/>
  <c r="P92" i="108"/>
  <c r="O92" i="108"/>
  <c r="P91" i="108"/>
  <c r="O91" i="108"/>
  <c r="P90" i="108"/>
  <c r="O90" i="108"/>
  <c r="P89" i="108"/>
  <c r="O89" i="108"/>
  <c r="P88" i="108"/>
  <c r="O88" i="108"/>
  <c r="P87" i="108"/>
  <c r="O87" i="108"/>
  <c r="P86" i="108"/>
  <c r="O86" i="108"/>
  <c r="P85" i="108"/>
  <c r="O85" i="108"/>
  <c r="P84" i="108"/>
  <c r="O84" i="108"/>
  <c r="P83" i="108"/>
  <c r="O83" i="108"/>
  <c r="P82" i="108"/>
  <c r="O82" i="108"/>
  <c r="P81" i="108"/>
  <c r="O81" i="108"/>
  <c r="P80" i="108"/>
  <c r="O80" i="108"/>
  <c r="P79" i="108"/>
  <c r="O79" i="108"/>
  <c r="P78" i="108"/>
  <c r="O78" i="108"/>
  <c r="P77" i="108"/>
  <c r="O77" i="108"/>
  <c r="P76" i="108"/>
  <c r="O76" i="108"/>
  <c r="P75" i="108"/>
  <c r="O75" i="108"/>
  <c r="P74" i="108"/>
  <c r="O74" i="108"/>
  <c r="P73" i="108"/>
  <c r="O73" i="108"/>
  <c r="P72" i="108"/>
  <c r="O72" i="108"/>
  <c r="P71" i="108"/>
  <c r="O71" i="108"/>
  <c r="P70" i="108"/>
  <c r="O70" i="108"/>
  <c r="P69" i="108"/>
  <c r="O69" i="108"/>
  <c r="P68" i="108"/>
  <c r="O68" i="108"/>
  <c r="P67" i="108"/>
  <c r="O67" i="108"/>
  <c r="P66" i="108"/>
  <c r="O66" i="108"/>
  <c r="P65" i="108"/>
  <c r="O65" i="108"/>
  <c r="P64" i="108"/>
  <c r="O64" i="108"/>
  <c r="P63" i="108"/>
  <c r="O63" i="108"/>
  <c r="P62" i="108"/>
  <c r="O62" i="108"/>
  <c r="P61" i="108"/>
  <c r="O61" i="108"/>
  <c r="P60" i="108"/>
  <c r="O60" i="108"/>
  <c r="P59" i="108"/>
  <c r="O59" i="108"/>
  <c r="P58" i="108"/>
  <c r="O58" i="108"/>
  <c r="P105" i="107"/>
  <c r="O105" i="107"/>
  <c r="P104" i="107"/>
  <c r="O104" i="107"/>
  <c r="P103" i="107"/>
  <c r="O103" i="107"/>
  <c r="P102" i="107"/>
  <c r="O102" i="107"/>
  <c r="P101" i="107"/>
  <c r="O101" i="107"/>
  <c r="P100" i="107"/>
  <c r="O100" i="107"/>
  <c r="P99" i="107"/>
  <c r="O99" i="107"/>
  <c r="P98" i="107"/>
  <c r="O98" i="107"/>
  <c r="P97" i="107"/>
  <c r="O97" i="107"/>
  <c r="P96" i="107"/>
  <c r="O96" i="107"/>
  <c r="P95" i="107"/>
  <c r="O95" i="107"/>
  <c r="P94" i="107"/>
  <c r="O94" i="107"/>
  <c r="P93" i="107"/>
  <c r="O93" i="107"/>
  <c r="P92" i="107"/>
  <c r="O92" i="107"/>
  <c r="P91" i="107"/>
  <c r="O91" i="107"/>
  <c r="P90" i="107"/>
  <c r="O90" i="107"/>
  <c r="P89" i="107"/>
  <c r="O89" i="107"/>
  <c r="P88" i="107"/>
  <c r="O88" i="107"/>
  <c r="P87" i="107"/>
  <c r="O87" i="107"/>
  <c r="P86" i="107"/>
  <c r="O86" i="107"/>
  <c r="P85" i="107"/>
  <c r="O85" i="107"/>
  <c r="P84" i="107"/>
  <c r="O84" i="107"/>
  <c r="P83" i="107"/>
  <c r="O83" i="107"/>
  <c r="P82" i="107"/>
  <c r="O82" i="107"/>
  <c r="P81" i="107"/>
  <c r="O81" i="107"/>
  <c r="P80" i="107"/>
  <c r="O80" i="107"/>
  <c r="P79" i="107"/>
  <c r="O79" i="107"/>
  <c r="P78" i="107"/>
  <c r="O78" i="107"/>
  <c r="P77" i="107"/>
  <c r="O77" i="107"/>
  <c r="P76" i="107"/>
  <c r="O76" i="107"/>
  <c r="P75" i="107"/>
  <c r="O75" i="107"/>
  <c r="P74" i="107"/>
  <c r="O74" i="107"/>
  <c r="P73" i="107"/>
  <c r="O73" i="107"/>
  <c r="P72" i="107"/>
  <c r="O72" i="107"/>
  <c r="P71" i="107"/>
  <c r="O71" i="107"/>
  <c r="P70" i="107"/>
  <c r="O70" i="107"/>
  <c r="P69" i="107"/>
  <c r="O69" i="107"/>
  <c r="P68" i="107"/>
  <c r="O68" i="107"/>
  <c r="P67" i="107"/>
  <c r="O67" i="107"/>
  <c r="P66" i="107"/>
  <c r="O66" i="107"/>
  <c r="P65" i="107"/>
  <c r="O65" i="107"/>
  <c r="P64" i="107"/>
  <c r="O64" i="107"/>
  <c r="P63" i="107"/>
  <c r="O63" i="107"/>
  <c r="P62" i="107"/>
  <c r="O62" i="107"/>
  <c r="P61" i="107"/>
  <c r="O61" i="107"/>
  <c r="P60" i="107"/>
  <c r="O60" i="107"/>
  <c r="P59" i="107"/>
  <c r="O59" i="107"/>
  <c r="P58" i="107"/>
  <c r="O58" i="107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8"/>
  <c r="C58" i="107"/>
  <c r="P104" i="111" l="1"/>
  <c r="AD33" i="111"/>
  <c r="Z33" i="111"/>
  <c r="V33" i="111"/>
  <c r="P100" i="111"/>
  <c r="AA32" i="111"/>
  <c r="W32" i="111"/>
  <c r="P96" i="111"/>
  <c r="P92" i="111"/>
  <c r="P88" i="111"/>
  <c r="P84" i="111"/>
  <c r="P80" i="111"/>
  <c r="P76" i="111"/>
  <c r="P72" i="111"/>
  <c r="P68" i="111"/>
  <c r="P64" i="111"/>
  <c r="P60" i="111"/>
  <c r="AB33" i="111"/>
  <c r="X33" i="111"/>
  <c r="T33" i="111"/>
  <c r="AD32" i="111"/>
  <c r="AB32" i="111"/>
  <c r="Z32" i="111"/>
  <c r="X32" i="111"/>
  <c r="V32" i="111"/>
  <c r="T32" i="111"/>
  <c r="AD31" i="111"/>
  <c r="AB31" i="111"/>
  <c r="Z31" i="111"/>
  <c r="X31" i="111"/>
  <c r="V31" i="111"/>
  <c r="T31" i="111"/>
  <c r="AC30" i="111"/>
  <c r="Y30" i="111"/>
  <c r="U30" i="111"/>
  <c r="AD30" i="111"/>
  <c r="AB30" i="111"/>
  <c r="Z30" i="111"/>
  <c r="X30" i="111"/>
  <c r="V30" i="111"/>
  <c r="T30" i="111"/>
  <c r="AD29" i="111"/>
  <c r="AB29" i="111"/>
  <c r="Z29" i="111"/>
  <c r="X29" i="111"/>
  <c r="V29" i="111"/>
  <c r="T29" i="111"/>
  <c r="AA28" i="111"/>
  <c r="W28" i="111"/>
  <c r="AD28" i="111"/>
  <c r="AB28" i="111"/>
  <c r="Z28" i="111"/>
  <c r="X28" i="111"/>
  <c r="V28" i="111"/>
  <c r="T28" i="111"/>
  <c r="AD27" i="111"/>
  <c r="AB27" i="111"/>
  <c r="Z27" i="111"/>
  <c r="X27" i="111"/>
  <c r="V27" i="111"/>
  <c r="T27" i="111"/>
  <c r="AC26" i="111"/>
  <c r="Y26" i="111"/>
  <c r="U26" i="111"/>
  <c r="AD26" i="111"/>
  <c r="AB26" i="111"/>
  <c r="Z26" i="111"/>
  <c r="X26" i="111"/>
  <c r="V26" i="111"/>
  <c r="T26" i="111"/>
  <c r="AD25" i="111"/>
  <c r="AB25" i="111"/>
  <c r="Z25" i="111"/>
  <c r="X25" i="111"/>
  <c r="V25" i="111"/>
  <c r="T25" i="111"/>
  <c r="AA24" i="111"/>
  <c r="W24" i="111"/>
  <c r="AD24" i="111"/>
  <c r="AB24" i="111"/>
  <c r="Z24" i="111"/>
  <c r="X24" i="111"/>
  <c r="V24" i="111"/>
  <c r="T24" i="111"/>
  <c r="AD23" i="111"/>
  <c r="AB23" i="111"/>
  <c r="Z23" i="111"/>
  <c r="X23" i="111"/>
  <c r="V23" i="111"/>
  <c r="T23" i="111"/>
  <c r="AC22" i="111"/>
  <c r="Y22" i="111"/>
  <c r="U22" i="111"/>
  <c r="AD22" i="111"/>
  <c r="AB22" i="111"/>
  <c r="Z22" i="111"/>
  <c r="X22" i="111"/>
  <c r="V22" i="111"/>
  <c r="T22" i="111"/>
  <c r="P58" i="111"/>
  <c r="P62" i="111"/>
  <c r="P66" i="111"/>
  <c r="P70" i="111"/>
  <c r="P74" i="111"/>
  <c r="P78" i="111"/>
  <c r="P82" i="111"/>
  <c r="P86" i="111"/>
  <c r="P90" i="111"/>
  <c r="P94" i="111"/>
  <c r="P98" i="111"/>
  <c r="P102" i="111"/>
  <c r="S23" i="111"/>
  <c r="S27" i="111"/>
  <c r="S31" i="111"/>
  <c r="S22" i="111"/>
  <c r="O104" i="111"/>
  <c r="O102" i="111"/>
  <c r="O100" i="111"/>
  <c r="S32" i="111"/>
  <c r="O96" i="111"/>
  <c r="O94" i="111"/>
  <c r="O92" i="111"/>
  <c r="S30" i="111"/>
  <c r="O88" i="111"/>
  <c r="O86" i="111"/>
  <c r="O84" i="111"/>
  <c r="S28" i="111"/>
  <c r="O80" i="111"/>
  <c r="O78" i="111"/>
  <c r="O76" i="111"/>
  <c r="S26" i="111"/>
  <c r="O72" i="111"/>
  <c r="O70" i="111"/>
  <c r="O68" i="111"/>
  <c r="S24" i="111"/>
  <c r="O64" i="111"/>
  <c r="O62" i="111"/>
  <c r="O60" i="111"/>
  <c r="AC32" i="111"/>
  <c r="Y32" i="111"/>
  <c r="U32" i="111"/>
  <c r="AA30" i="111"/>
  <c r="W30" i="111"/>
  <c r="AC28" i="111"/>
  <c r="Y28" i="111"/>
  <c r="U28" i="111"/>
  <c r="AA26" i="111"/>
  <c r="W26" i="111"/>
  <c r="AC24" i="111"/>
  <c r="Y24" i="111"/>
  <c r="U24" i="111"/>
  <c r="AA22" i="111"/>
  <c r="W22" i="111"/>
  <c r="P59" i="111"/>
  <c r="P61" i="111"/>
  <c r="P63" i="111"/>
  <c r="P65" i="111"/>
  <c r="P67" i="111"/>
  <c r="P69" i="111"/>
  <c r="P71" i="111"/>
  <c r="P73" i="111"/>
  <c r="P75" i="111"/>
  <c r="P77" i="111"/>
  <c r="P79" i="111"/>
  <c r="P81" i="111"/>
  <c r="P83" i="111"/>
  <c r="P85" i="111"/>
  <c r="P87" i="111"/>
  <c r="P89" i="111"/>
  <c r="P91" i="111"/>
  <c r="P93" i="111"/>
  <c r="P95" i="111"/>
  <c r="P97" i="111"/>
  <c r="P99" i="111"/>
  <c r="P101" i="111"/>
  <c r="P103" i="111"/>
  <c r="P105" i="111"/>
  <c r="S25" i="111"/>
  <c r="S29" i="111"/>
  <c r="S33" i="111"/>
  <c r="AC33" i="111"/>
  <c r="AA33" i="111"/>
  <c r="Y33" i="111"/>
  <c r="W33" i="111"/>
  <c r="U33" i="111"/>
  <c r="AC31" i="111"/>
  <c r="AA31" i="111"/>
  <c r="Y31" i="111"/>
  <c r="W31" i="111"/>
  <c r="U31" i="111"/>
  <c r="AC29" i="111"/>
  <c r="AA29" i="111"/>
  <c r="Y29" i="111"/>
  <c r="W29" i="111"/>
  <c r="U29" i="111"/>
  <c r="AC27" i="111"/>
  <c r="AA27" i="111"/>
  <c r="Y27" i="111"/>
  <c r="W27" i="111"/>
  <c r="U27" i="111"/>
  <c r="AC25" i="111"/>
  <c r="AA25" i="111"/>
  <c r="Y25" i="111"/>
  <c r="W25" i="111"/>
  <c r="U25" i="111"/>
  <c r="AC23" i="111"/>
  <c r="AA23" i="111"/>
  <c r="Y23" i="111"/>
  <c r="W23" i="111"/>
  <c r="U23" i="111"/>
  <c r="O58" i="111"/>
  <c r="O66" i="111"/>
  <c r="AE24" i="111" s="1"/>
  <c r="O74" i="111"/>
  <c r="O82" i="111"/>
  <c r="AE28" i="111" s="1"/>
  <c r="O90" i="111"/>
  <c r="O98" i="111"/>
  <c r="AE32" i="111" s="1"/>
  <c r="AE30" i="111" l="1"/>
  <c r="AE26" i="111"/>
  <c r="AE22" i="111"/>
  <c r="AE23" i="111"/>
  <c r="AE25" i="111"/>
  <c r="AE27" i="111"/>
  <c r="AE29" i="111"/>
  <c r="AE31" i="111"/>
  <c r="AE33" i="111"/>
  <c r="AF33" i="111"/>
  <c r="AF31" i="111"/>
  <c r="AF29" i="111"/>
  <c r="AF27" i="111"/>
  <c r="AF25" i="111"/>
  <c r="AF23" i="111"/>
  <c r="AF32" i="111"/>
  <c r="AF30" i="111"/>
  <c r="AF28" i="111"/>
  <c r="AF26" i="111"/>
  <c r="AF24" i="111"/>
  <c r="AF22" i="111"/>
  <c r="N58" i="98" l="1"/>
  <c r="M58" i="98"/>
  <c r="L58" i="98"/>
  <c r="K58" i="98"/>
  <c r="J58" i="98"/>
  <c r="I58" i="98"/>
  <c r="H58" i="98"/>
  <c r="G58" i="98"/>
  <c r="F58" i="98"/>
  <c r="E58" i="98"/>
  <c r="D58" i="98"/>
  <c r="C58" i="98"/>
  <c r="C3" i="94" l="1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07" l="1"/>
  <c r="K5" i="104"/>
  <c r="K5" i="108" s="1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7" i="99" l="1"/>
  <c r="X39" i="105"/>
  <c r="AD38" i="101"/>
  <c r="Y39" i="109"/>
  <c r="X26" i="98"/>
  <c r="AA26" i="95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S38" i="110" s="1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X36" i="101" l="1"/>
  <c r="Y38" i="105"/>
  <c r="U38" i="109"/>
  <c r="V19" i="108"/>
  <c r="AB26" i="98"/>
  <c r="AF32" i="101"/>
  <c r="AF33" i="101"/>
  <c r="T19" i="10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H106" i="111" s="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G106" i="111" s="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8" i="107" s="1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5" i="107" s="1"/>
  <c r="S19" i="107"/>
  <c r="S35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C59" i="98" s="1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C60" i="98" s="1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K106" i="111" l="1"/>
  <c r="F106" i="111"/>
  <c r="N106" i="111"/>
  <c r="I106" i="111"/>
  <c r="C106" i="111"/>
  <c r="J106" i="111"/>
  <c r="E106" i="111"/>
  <c r="M106" i="111"/>
  <c r="D106" i="111"/>
  <c r="L106" i="111"/>
  <c r="U38" i="107"/>
  <c r="X42" i="109"/>
  <c r="T13" i="111"/>
  <c r="V36" i="108"/>
  <c r="V22" i="93"/>
  <c r="AE24" i="98"/>
  <c r="V38" i="107"/>
  <c r="AF10" i="108"/>
  <c r="D59" i="98"/>
  <c r="F59" i="98"/>
  <c r="H59" i="98"/>
  <c r="J59" i="98"/>
  <c r="L59" i="98"/>
  <c r="N59" i="98"/>
  <c r="M59" i="98"/>
  <c r="I59" i="98"/>
  <c r="E59" i="98"/>
  <c r="K59" i="98"/>
  <c r="G59" i="98"/>
  <c r="T12" i="111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X41" i="111" s="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AD41" i="111" s="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AA41" i="111" s="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8" i="107"/>
  <c r="AB38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3" i="107"/>
  <c r="S37" i="107"/>
  <c r="AC33" i="107"/>
  <c r="V33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7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5" i="107"/>
  <c r="AD36" i="107"/>
  <c r="AD34" i="107"/>
  <c r="C107" i="107"/>
  <c r="V36" i="107"/>
  <c r="Y36" i="107"/>
  <c r="W33" i="107"/>
  <c r="U40" i="108"/>
  <c r="AF12" i="108"/>
  <c r="AF18" i="108"/>
  <c r="AA38" i="108"/>
  <c r="AE11" i="108"/>
  <c r="AD35" i="107"/>
  <c r="Y33" i="107"/>
  <c r="Z39" i="107"/>
  <c r="AB34" i="107"/>
  <c r="Z35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39" i="107"/>
  <c r="AE14" i="107"/>
  <c r="AE18" i="107"/>
  <c r="T37" i="107"/>
  <c r="V37" i="107"/>
  <c r="X35" i="107"/>
  <c r="U36" i="107"/>
  <c r="U38" i="108"/>
  <c r="U35" i="108"/>
  <c r="AC38" i="108"/>
  <c r="AC35" i="108"/>
  <c r="X34" i="107"/>
  <c r="T35" i="107"/>
  <c r="AB35" i="107"/>
  <c r="AC39" i="107"/>
  <c r="E107" i="105"/>
  <c r="V39" i="107"/>
  <c r="Z36" i="107"/>
  <c r="AE10" i="107"/>
  <c r="AF10" i="107"/>
  <c r="AC37" i="107"/>
  <c r="D107" i="105"/>
  <c r="C107" i="105"/>
  <c r="Z33" i="107"/>
  <c r="AE15" i="107"/>
  <c r="S34" i="107"/>
  <c r="U39" i="107"/>
  <c r="AC36" i="107"/>
  <c r="U34" i="107"/>
  <c r="Y34" i="107"/>
  <c r="AC34" i="107"/>
  <c r="AE19" i="107"/>
  <c r="AE21" i="107"/>
  <c r="X39" i="107"/>
  <c r="AB39" i="107"/>
  <c r="X37" i="107"/>
  <c r="Z34" i="107"/>
  <c r="AF35" i="105"/>
  <c r="AE17" i="107"/>
  <c r="AE13" i="107"/>
  <c r="AF15" i="107"/>
  <c r="H108" i="107"/>
  <c r="T39" i="107"/>
  <c r="AE11" i="107"/>
  <c r="V34" i="107"/>
  <c r="AD39" i="107"/>
  <c r="AB37" i="107"/>
  <c r="X38" i="107"/>
  <c r="Z38" i="107"/>
  <c r="W39" i="107"/>
  <c r="D108" i="105"/>
  <c r="F108" i="105"/>
  <c r="C108" i="105"/>
  <c r="E108" i="105"/>
  <c r="U33" i="107"/>
  <c r="T34" i="107"/>
  <c r="Z37" i="107"/>
  <c r="U37" i="107"/>
  <c r="Y37" i="107"/>
  <c r="W36" i="107"/>
  <c r="AF16" i="107"/>
  <c r="AF14" i="107"/>
  <c r="W37" i="107"/>
  <c r="W34" i="107"/>
  <c r="AA34" i="107"/>
  <c r="AA37" i="107"/>
  <c r="Y38" i="107"/>
  <c r="Y35" i="107"/>
  <c r="AC38" i="107"/>
  <c r="AC35" i="107"/>
  <c r="AF19" i="107"/>
  <c r="AF21" i="107"/>
  <c r="T36" i="107"/>
  <c r="T33" i="107"/>
  <c r="AF13" i="107"/>
  <c r="AF17" i="107"/>
  <c r="W38" i="107"/>
  <c r="W35" i="107"/>
  <c r="AA35" i="107"/>
  <c r="AA38" i="107"/>
  <c r="S38" i="107"/>
  <c r="AF20" i="107"/>
  <c r="X36" i="107"/>
  <c r="X33" i="107"/>
  <c r="AB33" i="107"/>
  <c r="AB36" i="107"/>
  <c r="AF11" i="107"/>
  <c r="AF12" i="107"/>
  <c r="AA39" i="107"/>
  <c r="AA36" i="107"/>
  <c r="AA33" i="107"/>
  <c r="S36" i="107"/>
  <c r="S39" i="107"/>
  <c r="S33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T41" i="111" l="1"/>
  <c r="AC41" i="111"/>
  <c r="S41" i="111"/>
  <c r="Y41" i="111"/>
  <c r="O106" i="111"/>
  <c r="U41" i="111"/>
  <c r="AB41" i="111"/>
  <c r="V41" i="111"/>
  <c r="W41" i="111"/>
  <c r="P106" i="111"/>
  <c r="N107" i="111" s="1"/>
  <c r="Z41" i="11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X42" i="111" s="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T42" i="111" s="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42" i="111" s="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8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39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6" i="107"/>
  <c r="AE34" i="107"/>
  <c r="AF33" i="107"/>
  <c r="AE39" i="107"/>
  <c r="AE37" i="107"/>
  <c r="AE35" i="107"/>
  <c r="AE33" i="107"/>
  <c r="D108" i="107"/>
  <c r="J108" i="107"/>
  <c r="I108" i="107"/>
  <c r="E108" i="107"/>
  <c r="AF36" i="107"/>
  <c r="AF34" i="107"/>
  <c r="AF37" i="107"/>
  <c r="AF35" i="107"/>
  <c r="AF3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1" i="111" l="1"/>
  <c r="Z42" i="111"/>
  <c r="W42" i="111"/>
  <c r="AB42" i="111"/>
  <c r="U42" i="111"/>
  <c r="AF34" i="111"/>
  <c r="AF41" i="111"/>
  <c r="V42" i="111"/>
  <c r="Y42" i="111"/>
  <c r="S42" i="111"/>
  <c r="AC42" i="11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F42" i="111" l="1"/>
  <c r="AE42" i="111"/>
</calcChain>
</file>

<file path=xl/sharedStrings.xml><?xml version="1.0" encoding="utf-8"?>
<sst xmlns="http://schemas.openxmlformats.org/spreadsheetml/2006/main" count="2323" uniqueCount="177">
  <si>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</si>
  <si>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</si>
  <si>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</si>
  <si>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</si>
  <si>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</si>
  <si>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</si>
  <si>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</si>
  <si>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</si>
  <si>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</si>
  <si>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</si>
  <si>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</si>
  <si>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</si>
  <si>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</si>
  <si>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</si>
  <si>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</si>
  <si>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</si>
  <si>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</si>
  <si>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</si>
  <si>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</si>
  <si>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</si>
  <si>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</si>
  <si>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</si>
  <si>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</si>
  <si>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</si>
  <si>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</si>
  <si>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</si>
  <si>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</si>
  <si>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</si>
  <si>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</si>
  <si>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</si>
  <si>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</si>
  <si>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</si>
  <si>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</si>
  <si>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</si>
  <si>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</si>
  <si>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</si>
  <si>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</si>
  <si>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</si>
  <si>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</si>
  <si>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</si>
  <si>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</si>
  <si>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</si>
  <si>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</si>
  <si>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</si>
  <si>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</si>
  <si>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</si>
  <si>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</si>
  <si>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</si>
  <si>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</si>
  <si>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</si>
  <si>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</si>
  <si>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</si>
  <si>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</si>
  <si>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</si>
  <si>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</si>
  <si>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</si>
  <si>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</si>
  <si>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</si>
  <si>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</si>
  <si>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</si>
  <si>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</si>
  <si>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</si>
  <si>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</si>
  <si>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</si>
  <si>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</si>
  <si>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</si>
  <si>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</si>
  <si>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</si>
  <si>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</si>
  <si>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</si>
  <si>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</si>
  <si>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</si>
  <si>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</si>
  <si>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</si>
  <si>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</si>
  <si>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</si>
  <si>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</si>
  <si>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</si>
  <si>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</si>
  <si>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</si>
  <si>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</si>
  <si>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</si>
  <si>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</si>
  <si>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</si>
  <si>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</si>
  <si>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</si>
  <si>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</si>
  <si>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</si>
  <si>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</si>
  <si>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</si>
  <si>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</si>
  <si>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</si>
  <si>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</si>
  <si>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</si>
  <si>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</si>
  <si>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</si>
  <si>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</si>
  <si>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</si>
  <si>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</si>
  <si>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</si>
  <si>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</si>
  <si>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</si>
  <si>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</si>
  <si>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</si>
  <si>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</si>
  <si>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</si>
  <si>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</si>
  <si>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</si>
  <si>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</si>
  <si>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</si>
  <si>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</si>
  <si>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</si>
  <si>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</si>
  <si>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</si>
  <si>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</si>
  <si>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</si>
  <si>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</si>
  <si>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</si>
  <si>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</si>
  <si>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</si>
  <si>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</si>
  <si>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</si>
  <si>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</si>
  <si>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</si>
  <si>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</si>
  <si>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</si>
  <si>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</si>
  <si>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</si>
  <si>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</si>
  <si>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</si>
  <si>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</si>
  <si>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</si>
  <si>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</si>
  <si>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</si>
  <si>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</si>
  <si>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</si>
  <si>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</si>
  <si>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</si>
  <si>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</si>
  <si>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</si>
  <si>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</si>
  <si>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</si>
  <si>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</si>
  <si>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</si>
  <si>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</si>
  <si>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</si>
  <si>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</si>
  <si>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</si>
  <si>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</si>
  <si>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</si>
  <si>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</si>
  <si>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</si>
  <si>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</si>
  <si>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</si>
  <si>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</si>
  <si>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</si>
  <si>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</si>
  <si>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</si>
  <si>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</si>
  <si>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</si>
  <si>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</si>
  <si>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</si>
  <si>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</si>
  <si>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29.07.19</t>
  </si>
  <si>
    <t>Bugolobi</t>
  </si>
  <si>
    <t>Business Park</t>
  </si>
  <si>
    <t>Nakawa</t>
  </si>
  <si>
    <t>Felix and Lawrence</t>
  </si>
  <si>
    <t>Osigai George/Mujuni Peter</t>
  </si>
  <si>
    <t>30.07.19</t>
  </si>
  <si>
    <t>31.07.19</t>
  </si>
  <si>
    <t>01.08.19</t>
  </si>
  <si>
    <t>02.08.19</t>
  </si>
  <si>
    <t>03.08.19</t>
  </si>
  <si>
    <t>04.08.19</t>
  </si>
  <si>
    <t>MCC - C1 - STN45 - NEW PORTBELL ROAD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</si>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</sst>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Bugolobi-Nakawa'!$AE$9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Bugolobi-Nakawa'!$AE$10:$AE$21</c:f>
              <c:numCache>
                <c:formatCode>0</c:formatCode>
                <c:ptCount val="12"/>
                <c:pt idx="0">
                  <c:v>725</c:v>
                </c:pt>
                <c:pt idx="1">
                  <c:v>605</c:v>
                </c:pt>
                <c:pt idx="2">
                  <c:v>750</c:v>
                </c:pt>
                <c:pt idx="3">
                  <c:v>671</c:v>
                </c:pt>
                <c:pt idx="4">
                  <c:v>574</c:v>
                </c:pt>
                <c:pt idx="5">
                  <c:v>425</c:v>
                </c:pt>
                <c:pt idx="6">
                  <c:v>366</c:v>
                </c:pt>
                <c:pt idx="7">
                  <c:v>509</c:v>
                </c:pt>
                <c:pt idx="8">
                  <c:v>479</c:v>
                </c:pt>
                <c:pt idx="9">
                  <c:v>433</c:v>
                </c:pt>
                <c:pt idx="10">
                  <c:v>1168</c:v>
                </c:pt>
                <c:pt idx="11">
                  <c:v>2903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Bugolobi-Nakawa'!$AF$9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Bugolobi-Nakawa'!$AF$10:$AF$21</c:f>
              <c:numCache>
                <c:formatCode>0</c:formatCode>
                <c:ptCount val="12"/>
                <c:pt idx="0">
                  <c:v>1172</c:v>
                </c:pt>
                <c:pt idx="1">
                  <c:v>817</c:v>
                </c:pt>
                <c:pt idx="2">
                  <c:v>1059</c:v>
                </c:pt>
                <c:pt idx="3">
                  <c:v>957</c:v>
                </c:pt>
                <c:pt idx="4">
                  <c:v>865</c:v>
                </c:pt>
                <c:pt idx="5">
                  <c:v>719</c:v>
                </c:pt>
                <c:pt idx="6">
                  <c:v>612</c:v>
                </c:pt>
                <c:pt idx="7">
                  <c:v>708</c:v>
                </c:pt>
                <c:pt idx="8">
                  <c:v>725</c:v>
                </c:pt>
                <c:pt idx="9">
                  <c:v>627</c:v>
                </c:pt>
                <c:pt idx="10">
                  <c:v>1506</c:v>
                </c:pt>
                <c:pt idx="11">
                  <c:v>3324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583856"/>
        <c:axId val="194583464"/>
      </c:lineChart>
      <c:catAx>
        <c:axId val="194583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583464"/>
        <c:crosses val="autoZero"/>
        <c:auto val="1"/>
        <c:lblAlgn val="ctr"/>
        <c:lblOffset val="100"/>
        <c:noMultiLvlLbl val="0"/>
      </c:catAx>
      <c:valAx>
        <c:axId val="194583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58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Bugolobi-Nakawa'!$C$59:$N$59</c:f>
              <c:numCache>
                <c:formatCode>0.0%</c:formatCode>
                <c:ptCount val="12"/>
                <c:pt idx="0">
                  <c:v>0.30822702620120696</c:v>
                </c:pt>
                <c:pt idx="1">
                  <c:v>0.15789473684210525</c:v>
                </c:pt>
                <c:pt idx="2">
                  <c:v>0.11358948896188222</c:v>
                </c:pt>
                <c:pt idx="3">
                  <c:v>0.13413795737529602</c:v>
                </c:pt>
                <c:pt idx="4">
                  <c:v>6.8749522572759915E-4</c:v>
                </c:pt>
                <c:pt idx="5">
                  <c:v>1.2986020930410205E-3</c:v>
                </c:pt>
                <c:pt idx="6">
                  <c:v>1.184019555419754E-2</c:v>
                </c:pt>
                <c:pt idx="7">
                  <c:v>5.1944083721640819E-3</c:v>
                </c:pt>
                <c:pt idx="8">
                  <c:v>4.583301504850661E-4</c:v>
                </c:pt>
                <c:pt idx="9">
                  <c:v>6.1110686731342143E-4</c:v>
                </c:pt>
                <c:pt idx="10">
                  <c:v>0.26606065235658088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Bugolobi-Nakawa'!$C$60:$N$60</c:f>
              <c:numCache>
                <c:formatCode>0.00%</c:formatCode>
                <c:ptCount val="12"/>
                <c:pt idx="0">
                  <c:v>0.41996253122398003</c:v>
                </c:pt>
                <c:pt idx="1">
                  <c:v>0.21513322231473772</c:v>
                </c:pt>
                <c:pt idx="2">
                  <c:v>0.154766860949209</c:v>
                </c:pt>
                <c:pt idx="3">
                  <c:v>0.18276436303080765</c:v>
                </c:pt>
                <c:pt idx="4">
                  <c:v>9.3671940049958372E-4</c:v>
                </c:pt>
                <c:pt idx="5">
                  <c:v>1.7693588676103247E-3</c:v>
                </c:pt>
                <c:pt idx="6">
                  <c:v>1.6132389675270607E-2</c:v>
                </c:pt>
                <c:pt idx="7">
                  <c:v>7.0774354704412987E-3</c:v>
                </c:pt>
                <c:pt idx="8">
                  <c:v>6.2447960033305578E-4</c:v>
                </c:pt>
                <c:pt idx="9">
                  <c:v>8.3263946711074107E-4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Nakawa-Bugolobi'!$AE$9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Nakawa-Bugolobi'!$AE$10:$AE$21</c:f>
              <c:numCache>
                <c:formatCode>0</c:formatCode>
                <c:ptCount val="12"/>
                <c:pt idx="0">
                  <c:v>411</c:v>
                </c:pt>
                <c:pt idx="1">
                  <c:v>505</c:v>
                </c:pt>
                <c:pt idx="2">
                  <c:v>575</c:v>
                </c:pt>
                <c:pt idx="3">
                  <c:v>460</c:v>
                </c:pt>
                <c:pt idx="4">
                  <c:v>454</c:v>
                </c:pt>
                <c:pt idx="5">
                  <c:v>650</c:v>
                </c:pt>
                <c:pt idx="6">
                  <c:v>327</c:v>
                </c:pt>
                <c:pt idx="7">
                  <c:v>419</c:v>
                </c:pt>
                <c:pt idx="8">
                  <c:v>355</c:v>
                </c:pt>
                <c:pt idx="9">
                  <c:v>465</c:v>
                </c:pt>
                <c:pt idx="10">
                  <c:v>625</c:v>
                </c:pt>
                <c:pt idx="11">
                  <c:v>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Nakawa-Bugolobi'!$AF$9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Nakawa-Bugolobi'!$AF$10:$AF$21</c:f>
              <c:numCache>
                <c:formatCode>0</c:formatCode>
                <c:ptCount val="12"/>
                <c:pt idx="0">
                  <c:v>965</c:v>
                </c:pt>
                <c:pt idx="1">
                  <c:v>1390</c:v>
                </c:pt>
                <c:pt idx="2">
                  <c:v>1372</c:v>
                </c:pt>
                <c:pt idx="3">
                  <c:v>1351</c:v>
                </c:pt>
                <c:pt idx="4">
                  <c:v>1143</c:v>
                </c:pt>
                <c:pt idx="5">
                  <c:v>1331</c:v>
                </c:pt>
                <c:pt idx="6">
                  <c:v>658</c:v>
                </c:pt>
                <c:pt idx="7">
                  <c:v>958</c:v>
                </c:pt>
                <c:pt idx="8">
                  <c:v>770</c:v>
                </c:pt>
                <c:pt idx="9">
                  <c:v>981</c:v>
                </c:pt>
                <c:pt idx="10">
                  <c:v>1524</c:v>
                </c:pt>
                <c:pt idx="11">
                  <c:v>1162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838152"/>
        <c:axId val="233839328"/>
      </c:lineChart>
      <c:catAx>
        <c:axId val="233838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3839328"/>
        <c:crosses val="autoZero"/>
        <c:auto val="1"/>
        <c:lblAlgn val="ctr"/>
        <c:lblOffset val="100"/>
        <c:noMultiLvlLbl val="0"/>
      </c:catAx>
      <c:valAx>
        <c:axId val="2338393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383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Nakawa-Bugolobi'!$C$59:$N$59</c:f>
              <c:numCache>
                <c:formatCode>0.0%</c:formatCode>
                <c:ptCount val="12"/>
                <c:pt idx="0">
                  <c:v>0.2476295479603087</c:v>
                </c:pt>
                <c:pt idx="1">
                  <c:v>4.4542447629547961E-2</c:v>
                </c:pt>
                <c:pt idx="2">
                  <c:v>3.7339213524439543E-2</c:v>
                </c:pt>
                <c:pt idx="3">
                  <c:v>6.8430723998529952E-2</c:v>
                </c:pt>
                <c:pt idx="4">
                  <c:v>2.5725836089672913E-3</c:v>
                </c:pt>
                <c:pt idx="5">
                  <c:v>4.4101433296582141E-4</c:v>
                </c:pt>
                <c:pt idx="6">
                  <c:v>9.9963248805586182E-3</c:v>
                </c:pt>
                <c:pt idx="7">
                  <c:v>2.9400955531054761E-3</c:v>
                </c:pt>
                <c:pt idx="8">
                  <c:v>3.6751194413818452E-4</c:v>
                </c:pt>
                <c:pt idx="9">
                  <c:v>6.6152149944873203E-4</c:v>
                </c:pt>
                <c:pt idx="10">
                  <c:v>0.58507901506798976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Nakawa-Bugolobi'!$S$9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Nakawa-Bugolobi'!$S$10:$S$21</c:f>
              <c:numCache>
                <c:formatCode>0</c:formatCode>
                <c:ptCount val="12"/>
                <c:pt idx="0">
                  <c:v>186</c:v>
                </c:pt>
                <c:pt idx="1">
                  <c:v>318</c:v>
                </c:pt>
                <c:pt idx="2">
                  <c:v>314</c:v>
                </c:pt>
                <c:pt idx="3">
                  <c:v>242</c:v>
                </c:pt>
                <c:pt idx="4">
                  <c:v>253</c:v>
                </c:pt>
                <c:pt idx="5">
                  <c:v>401</c:v>
                </c:pt>
                <c:pt idx="6">
                  <c:v>177</c:v>
                </c:pt>
                <c:pt idx="7">
                  <c:v>276</c:v>
                </c:pt>
                <c:pt idx="8">
                  <c:v>229</c:v>
                </c:pt>
                <c:pt idx="9">
                  <c:v>290</c:v>
                </c:pt>
                <c:pt idx="10">
                  <c:v>424</c:v>
                </c:pt>
                <c:pt idx="11">
                  <c:v>259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Nakawa-Bugolobi'!$T$9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Nakawa-Bugolobi'!$T$10:$T$21</c:f>
              <c:numCache>
                <c:formatCode>0</c:formatCode>
                <c:ptCount val="12"/>
                <c:pt idx="0">
                  <c:v>53</c:v>
                </c:pt>
                <c:pt idx="1">
                  <c:v>46</c:v>
                </c:pt>
                <c:pt idx="2">
                  <c:v>74</c:v>
                </c:pt>
                <c:pt idx="3">
                  <c:v>48</c:v>
                </c:pt>
                <c:pt idx="4">
                  <c:v>47</c:v>
                </c:pt>
                <c:pt idx="5">
                  <c:v>58</c:v>
                </c:pt>
                <c:pt idx="6">
                  <c:v>47</c:v>
                </c:pt>
                <c:pt idx="7">
                  <c:v>32</c:v>
                </c:pt>
                <c:pt idx="8">
                  <c:v>33</c:v>
                </c:pt>
                <c:pt idx="9">
                  <c:v>59</c:v>
                </c:pt>
                <c:pt idx="10">
                  <c:v>65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Nakawa-Bugolobi'!$U$9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Nakawa-Bugolobi'!$U$10:$U$21</c:f>
              <c:numCache>
                <c:formatCode>0</c:formatCode>
                <c:ptCount val="12"/>
                <c:pt idx="0">
                  <c:v>39</c:v>
                </c:pt>
                <c:pt idx="1">
                  <c:v>41</c:v>
                </c:pt>
                <c:pt idx="2">
                  <c:v>52</c:v>
                </c:pt>
                <c:pt idx="3">
                  <c:v>59</c:v>
                </c:pt>
                <c:pt idx="4">
                  <c:v>44</c:v>
                </c:pt>
                <c:pt idx="5">
                  <c:v>68</c:v>
                </c:pt>
                <c:pt idx="6">
                  <c:v>26</c:v>
                </c:pt>
                <c:pt idx="7">
                  <c:v>27</c:v>
                </c:pt>
                <c:pt idx="8">
                  <c:v>30</c:v>
                </c:pt>
                <c:pt idx="9">
                  <c:v>44</c:v>
                </c:pt>
                <c:pt idx="10">
                  <c:v>52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Nakawa-Bugolobi'!$V$9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Nakawa-Bugolobi'!$V$10:$V$21</c:f>
              <c:numCache>
                <c:formatCode>0</c:formatCode>
                <c:ptCount val="12"/>
                <c:pt idx="0">
                  <c:v>113</c:v>
                </c:pt>
                <c:pt idx="1">
                  <c:v>86</c:v>
                </c:pt>
                <c:pt idx="2">
                  <c:v>108</c:v>
                </c:pt>
                <c:pt idx="3">
                  <c:v>86</c:v>
                </c:pt>
                <c:pt idx="4">
                  <c:v>96</c:v>
                </c:pt>
                <c:pt idx="5">
                  <c:v>98</c:v>
                </c:pt>
                <c:pt idx="6">
                  <c:v>59</c:v>
                </c:pt>
                <c:pt idx="7">
                  <c:v>68</c:v>
                </c:pt>
                <c:pt idx="8">
                  <c:v>48</c:v>
                </c:pt>
                <c:pt idx="9">
                  <c:v>51</c:v>
                </c:pt>
                <c:pt idx="10">
                  <c:v>61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Nakawa-Bugolobi'!$W$9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5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Nakawa-Bugolobi'!$X$9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Nakawa-Bugolobi'!$Y$9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Nakawa-Bugolobi'!$Y$10:$Y$21</c:f>
              <c:numCache>
                <c:formatCode>0</c:formatCode>
                <c:ptCount val="12"/>
                <c:pt idx="0">
                  <c:v>16</c:v>
                </c:pt>
                <c:pt idx="1">
                  <c:v>9</c:v>
                </c:pt>
                <c:pt idx="2">
                  <c:v>18</c:v>
                </c:pt>
                <c:pt idx="3">
                  <c:v>18</c:v>
                </c:pt>
                <c:pt idx="4">
                  <c:v>8</c:v>
                </c:pt>
                <c:pt idx="5">
                  <c:v>12</c:v>
                </c:pt>
                <c:pt idx="6">
                  <c:v>12</c:v>
                </c:pt>
                <c:pt idx="7">
                  <c:v>8</c:v>
                </c:pt>
                <c:pt idx="8">
                  <c:v>9</c:v>
                </c:pt>
                <c:pt idx="9">
                  <c:v>11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Nakawa-Bugolobi'!$Z$9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7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9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Nakawa-Bugolobi'!$AA$9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Nakawa-Bugolobi'!$AB$9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Nakawa-Bugolobi'!$AC$9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Nakawa-Bugolobi'!$AC$10:$AC$21</c:f>
              <c:numCache>
                <c:formatCode>0</c:formatCode>
                <c:ptCount val="12"/>
                <c:pt idx="0">
                  <c:v>554</c:v>
                </c:pt>
                <c:pt idx="1">
                  <c:v>885</c:v>
                </c:pt>
                <c:pt idx="2">
                  <c:v>797</c:v>
                </c:pt>
                <c:pt idx="3">
                  <c:v>891</c:v>
                </c:pt>
                <c:pt idx="4">
                  <c:v>689</c:v>
                </c:pt>
                <c:pt idx="5">
                  <c:v>681</c:v>
                </c:pt>
                <c:pt idx="6">
                  <c:v>331</c:v>
                </c:pt>
                <c:pt idx="7">
                  <c:v>539</c:v>
                </c:pt>
                <c:pt idx="8">
                  <c:v>415</c:v>
                </c:pt>
                <c:pt idx="9">
                  <c:v>516</c:v>
                </c:pt>
                <c:pt idx="10">
                  <c:v>899</c:v>
                </c:pt>
                <c:pt idx="11">
                  <c:v>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Nakawa-Bugolobi'!$AD$9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Nakawa-Bugolobi'!$AD$10:$AD$21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840112"/>
        <c:axId val="233841288"/>
      </c:lineChart>
      <c:catAx>
        <c:axId val="23384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3841288"/>
        <c:crosses val="autoZero"/>
        <c:auto val="1"/>
        <c:lblAlgn val="ctr"/>
        <c:lblOffset val="100"/>
        <c:noMultiLvlLbl val="0"/>
      </c:catAx>
      <c:valAx>
        <c:axId val="233841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384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Nakawa-Bugolobi'!$C$60:$N$60</c:f>
              <c:numCache>
                <c:formatCode>0.00%</c:formatCode>
                <c:ptCount val="12"/>
                <c:pt idx="0">
                  <c:v>0.59681133746678472</c:v>
                </c:pt>
                <c:pt idx="1">
                  <c:v>0.10735163861824623</c:v>
                </c:pt>
                <c:pt idx="2">
                  <c:v>8.9991142604074398E-2</c:v>
                </c:pt>
                <c:pt idx="3">
                  <c:v>0.16492471213463242</c:v>
                </c:pt>
                <c:pt idx="4">
                  <c:v>6.2001771479185119E-3</c:v>
                </c:pt>
                <c:pt idx="5">
                  <c:v>1.0628875110717448E-3</c:v>
                </c:pt>
                <c:pt idx="6">
                  <c:v>2.4092116917626218E-2</c:v>
                </c:pt>
                <c:pt idx="7">
                  <c:v>7.0859167404782996E-3</c:v>
                </c:pt>
                <c:pt idx="8">
                  <c:v>8.8573959255978745E-4</c:v>
                </c:pt>
                <c:pt idx="9">
                  <c:v>1.5943312666076173E-3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Bugolobi-Nakawa'!$AE$9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Bugolobi-Nakawa'!$AE$10:$AE$21</c:f>
              <c:numCache>
                <c:formatCode>0</c:formatCode>
                <c:ptCount val="12"/>
                <c:pt idx="0">
                  <c:v>944</c:v>
                </c:pt>
                <c:pt idx="1">
                  <c:v>907</c:v>
                </c:pt>
                <c:pt idx="2">
                  <c:v>938</c:v>
                </c:pt>
                <c:pt idx="3">
                  <c:v>673</c:v>
                </c:pt>
                <c:pt idx="4">
                  <c:v>503</c:v>
                </c:pt>
                <c:pt idx="5">
                  <c:v>674</c:v>
                </c:pt>
                <c:pt idx="6">
                  <c:v>501</c:v>
                </c:pt>
                <c:pt idx="7">
                  <c:v>428</c:v>
                </c:pt>
                <c:pt idx="8">
                  <c:v>380</c:v>
                </c:pt>
                <c:pt idx="9">
                  <c:v>900</c:v>
                </c:pt>
                <c:pt idx="10">
                  <c:v>1931</c:v>
                </c:pt>
                <c:pt idx="11">
                  <c:v>1369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Bugolobi-Nakawa'!$AF$9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Bugolobi-Nakawa'!$AF$10:$AF$21</c:f>
              <c:numCache>
                <c:formatCode>0</c:formatCode>
                <c:ptCount val="12"/>
                <c:pt idx="0">
                  <c:v>1267</c:v>
                </c:pt>
                <c:pt idx="1">
                  <c:v>1161</c:v>
                </c:pt>
                <c:pt idx="2">
                  <c:v>1155</c:v>
                </c:pt>
                <c:pt idx="3">
                  <c:v>866</c:v>
                </c:pt>
                <c:pt idx="4">
                  <c:v>678</c:v>
                </c:pt>
                <c:pt idx="5">
                  <c:v>838</c:v>
                </c:pt>
                <c:pt idx="6">
                  <c:v>657</c:v>
                </c:pt>
                <c:pt idx="7">
                  <c:v>611</c:v>
                </c:pt>
                <c:pt idx="8">
                  <c:v>539</c:v>
                </c:pt>
                <c:pt idx="9">
                  <c:v>1125</c:v>
                </c:pt>
                <c:pt idx="10">
                  <c:v>2160</c:v>
                </c:pt>
                <c:pt idx="11">
                  <c:v>1625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835408"/>
        <c:axId val="233835800"/>
      </c:lineChart>
      <c:catAx>
        <c:axId val="2338354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3835800"/>
        <c:crosses val="autoZero"/>
        <c:auto val="1"/>
        <c:lblAlgn val="ctr"/>
        <c:lblOffset val="100"/>
        <c:noMultiLvlLbl val="0"/>
      </c:catAx>
      <c:valAx>
        <c:axId val="233835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383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Bugolobi-Nakawa'!$C$59:$N$59</c:f>
              <c:numCache>
                <c:formatCode>0.0%</c:formatCode>
                <c:ptCount val="12"/>
                <c:pt idx="0">
                  <c:v>0.39662513799085319</c:v>
                </c:pt>
                <c:pt idx="1">
                  <c:v>0.15620564579719287</c:v>
                </c:pt>
                <c:pt idx="2">
                  <c:v>0.10258634284813122</c:v>
                </c:pt>
                <c:pt idx="3">
                  <c:v>0.12285128528623246</c:v>
                </c:pt>
                <c:pt idx="4">
                  <c:v>1.5770383220312253E-3</c:v>
                </c:pt>
                <c:pt idx="5">
                  <c:v>4.7311149660936763E-4</c:v>
                </c:pt>
                <c:pt idx="6">
                  <c:v>1.064500867371077E-2</c:v>
                </c:pt>
                <c:pt idx="7">
                  <c:v>8.0428954423592495E-3</c:v>
                </c:pt>
                <c:pt idx="8">
                  <c:v>6.308153288124901E-4</c:v>
                </c:pt>
                <c:pt idx="9">
                  <c:v>5.5196341271092884E-4</c:v>
                </c:pt>
                <c:pt idx="10">
                  <c:v>0.19981075540135626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Bugolobi-Nakawa'!$S$9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Bugolobi-Nakawa'!$S$10:$S$21</c:f>
              <c:numCache>
                <c:formatCode>0</c:formatCode>
                <c:ptCount val="12"/>
                <c:pt idx="0">
                  <c:v>498</c:v>
                </c:pt>
                <c:pt idx="1">
                  <c:v>458</c:v>
                </c:pt>
                <c:pt idx="2">
                  <c:v>432</c:v>
                </c:pt>
                <c:pt idx="3">
                  <c:v>350</c:v>
                </c:pt>
                <c:pt idx="4">
                  <c:v>196</c:v>
                </c:pt>
                <c:pt idx="5">
                  <c:v>351</c:v>
                </c:pt>
                <c:pt idx="6">
                  <c:v>218</c:v>
                </c:pt>
                <c:pt idx="7">
                  <c:v>196</c:v>
                </c:pt>
                <c:pt idx="8">
                  <c:v>145</c:v>
                </c:pt>
                <c:pt idx="9">
                  <c:v>446</c:v>
                </c:pt>
                <c:pt idx="10">
                  <c:v>983</c:v>
                </c:pt>
                <c:pt idx="11">
                  <c:v>757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Bugolobi-Nakawa'!$T$9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Bugolobi-Nakawa'!$T$10:$T$21</c:f>
              <c:numCache>
                <c:formatCode>0</c:formatCode>
                <c:ptCount val="12"/>
                <c:pt idx="0">
                  <c:v>174</c:v>
                </c:pt>
                <c:pt idx="1">
                  <c:v>185</c:v>
                </c:pt>
                <c:pt idx="2">
                  <c:v>191</c:v>
                </c:pt>
                <c:pt idx="3">
                  <c:v>99</c:v>
                </c:pt>
                <c:pt idx="4">
                  <c:v>100</c:v>
                </c:pt>
                <c:pt idx="5">
                  <c:v>123</c:v>
                </c:pt>
                <c:pt idx="6">
                  <c:v>117</c:v>
                </c:pt>
                <c:pt idx="7">
                  <c:v>63</c:v>
                </c:pt>
                <c:pt idx="8">
                  <c:v>68</c:v>
                </c:pt>
                <c:pt idx="9">
                  <c:v>168</c:v>
                </c:pt>
                <c:pt idx="10">
                  <c:v>433</c:v>
                </c:pt>
                <c:pt idx="11">
                  <c:v>260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Bugolobi-Nakawa'!$U$9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Bugolobi-Nakawa'!$U$10:$U$21</c:f>
              <c:numCache>
                <c:formatCode>0</c:formatCode>
                <c:ptCount val="12"/>
                <c:pt idx="0">
                  <c:v>106</c:v>
                </c:pt>
                <c:pt idx="1">
                  <c:v>118</c:v>
                </c:pt>
                <c:pt idx="2">
                  <c:v>142</c:v>
                </c:pt>
                <c:pt idx="3">
                  <c:v>83</c:v>
                </c:pt>
                <c:pt idx="4">
                  <c:v>70</c:v>
                </c:pt>
                <c:pt idx="5">
                  <c:v>78</c:v>
                </c:pt>
                <c:pt idx="6">
                  <c:v>70</c:v>
                </c:pt>
                <c:pt idx="7">
                  <c:v>58</c:v>
                </c:pt>
                <c:pt idx="8">
                  <c:v>70</c:v>
                </c:pt>
                <c:pt idx="9">
                  <c:v>122</c:v>
                </c:pt>
                <c:pt idx="10">
                  <c:v>228</c:v>
                </c:pt>
                <c:pt idx="11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Bugolobi-Nakawa'!$V$9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Bugolobi-Nakawa'!$V$10:$V$21</c:f>
              <c:numCache>
                <c:formatCode>0</c:formatCode>
                <c:ptCount val="12"/>
                <c:pt idx="0">
                  <c:v>139</c:v>
                </c:pt>
                <c:pt idx="1">
                  <c:v>134</c:v>
                </c:pt>
                <c:pt idx="2">
                  <c:v>143</c:v>
                </c:pt>
                <c:pt idx="3">
                  <c:v>121</c:v>
                </c:pt>
                <c:pt idx="4">
                  <c:v>109</c:v>
                </c:pt>
                <c:pt idx="5">
                  <c:v>98</c:v>
                </c:pt>
                <c:pt idx="6">
                  <c:v>72</c:v>
                </c:pt>
                <c:pt idx="7">
                  <c:v>87</c:v>
                </c:pt>
                <c:pt idx="8">
                  <c:v>71</c:v>
                </c:pt>
                <c:pt idx="9">
                  <c:v>132</c:v>
                </c:pt>
                <c:pt idx="10">
                  <c:v>275</c:v>
                </c:pt>
                <c:pt idx="11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Bugolobi-Nakawa'!$W$9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Bugolobi-Nakawa'!$W$10:$W$21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Bugolobi-Nakawa'!$X$9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Bugolobi-Nakawa'!$Y$9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Bugolobi-Nakawa'!$Y$10:$Y$21</c:f>
              <c:numCache>
                <c:formatCode>0</c:formatCode>
                <c:ptCount val="12"/>
                <c:pt idx="0">
                  <c:v>12</c:v>
                </c:pt>
                <c:pt idx="1">
                  <c:v>5</c:v>
                </c:pt>
                <c:pt idx="2">
                  <c:v>16</c:v>
                </c:pt>
                <c:pt idx="3">
                  <c:v>7</c:v>
                </c:pt>
                <c:pt idx="4">
                  <c:v>14</c:v>
                </c:pt>
                <c:pt idx="5">
                  <c:v>14</c:v>
                </c:pt>
                <c:pt idx="6">
                  <c:v>12</c:v>
                </c:pt>
                <c:pt idx="7">
                  <c:v>12</c:v>
                </c:pt>
                <c:pt idx="8">
                  <c:v>13</c:v>
                </c:pt>
                <c:pt idx="9">
                  <c:v>15</c:v>
                </c:pt>
                <c:pt idx="10">
                  <c:v>2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Bugolobi-Nakawa'!$Z$9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Bugolobi-Nakawa'!$Z$10:$Z$21</c:f>
              <c:numCache>
                <c:formatCode>0</c:formatCode>
                <c:ptCount val="12"/>
                <c:pt idx="0">
                  <c:v>9</c:v>
                </c:pt>
                <c:pt idx="1">
                  <c:v>2</c:v>
                </c:pt>
                <c:pt idx="2">
                  <c:v>10</c:v>
                </c:pt>
                <c:pt idx="3">
                  <c:v>9</c:v>
                </c:pt>
                <c:pt idx="4">
                  <c:v>12</c:v>
                </c:pt>
                <c:pt idx="5">
                  <c:v>6</c:v>
                </c:pt>
                <c:pt idx="6">
                  <c:v>11</c:v>
                </c:pt>
                <c:pt idx="7">
                  <c:v>8</c:v>
                </c:pt>
                <c:pt idx="8">
                  <c:v>11</c:v>
                </c:pt>
                <c:pt idx="9">
                  <c:v>13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Bugolobi-Nakawa'!$AA$9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Bugolobi-Nakawa'!$AB$9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Bugolobi-Nakawa'!$AC$9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Bugolobi-Nakawa'!$AC$10:$AC$21</c:f>
              <c:numCache>
                <c:formatCode>0</c:formatCode>
                <c:ptCount val="12"/>
                <c:pt idx="0">
                  <c:v>323</c:v>
                </c:pt>
                <c:pt idx="1">
                  <c:v>254</c:v>
                </c:pt>
                <c:pt idx="2">
                  <c:v>217</c:v>
                </c:pt>
                <c:pt idx="3">
                  <c:v>193</c:v>
                </c:pt>
                <c:pt idx="4">
                  <c:v>175</c:v>
                </c:pt>
                <c:pt idx="5">
                  <c:v>164</c:v>
                </c:pt>
                <c:pt idx="6">
                  <c:v>156</c:v>
                </c:pt>
                <c:pt idx="7">
                  <c:v>183</c:v>
                </c:pt>
                <c:pt idx="8">
                  <c:v>159</c:v>
                </c:pt>
                <c:pt idx="9">
                  <c:v>225</c:v>
                </c:pt>
                <c:pt idx="10">
                  <c:v>229</c:v>
                </c:pt>
                <c:pt idx="11">
                  <c:v>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Bugolobi-Nakawa'!$AD$9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Bugolobi-Nakawa'!$AD$10:$AD$21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836976"/>
        <c:axId val="235060232"/>
      </c:lineChart>
      <c:catAx>
        <c:axId val="23383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5060232"/>
        <c:crosses val="autoZero"/>
        <c:auto val="1"/>
        <c:lblAlgn val="ctr"/>
        <c:lblOffset val="100"/>
        <c:noMultiLvlLbl val="0"/>
      </c:catAx>
      <c:valAx>
        <c:axId val="235060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383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Bugolobi-Nakawa'!$C$60:$N$60</c:f>
              <c:numCache>
                <c:formatCode>0.00%</c:formatCode>
                <c:ptCount val="12"/>
                <c:pt idx="0">
                  <c:v>0.4956641702798581</c:v>
                </c:pt>
                <c:pt idx="1">
                  <c:v>0.19521087899093417</c:v>
                </c:pt>
                <c:pt idx="2">
                  <c:v>0.12820260149783208</c:v>
                </c:pt>
                <c:pt idx="3">
                  <c:v>0.15352778872684272</c:v>
                </c:pt>
                <c:pt idx="4">
                  <c:v>1.970831690973591E-3</c:v>
                </c:pt>
                <c:pt idx="5">
                  <c:v>5.9124950729207723E-4</c:v>
                </c:pt>
                <c:pt idx="6">
                  <c:v>1.3303113914071739E-2</c:v>
                </c:pt>
                <c:pt idx="7">
                  <c:v>1.0051241623965314E-2</c:v>
                </c:pt>
                <c:pt idx="8">
                  <c:v>7.8833267638943631E-4</c:v>
                </c:pt>
                <c:pt idx="9">
                  <c:v>6.8979109184075682E-4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Nakawa-Bugolobi'!$AE$9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Nakawa-Bugolobi'!$AE$10:$AE$21</c:f>
              <c:numCache>
                <c:formatCode>0</c:formatCode>
                <c:ptCount val="12"/>
                <c:pt idx="0">
                  <c:v>336</c:v>
                </c:pt>
                <c:pt idx="1">
                  <c:v>511</c:v>
                </c:pt>
                <c:pt idx="2">
                  <c:v>483</c:v>
                </c:pt>
                <c:pt idx="3">
                  <c:v>473</c:v>
                </c:pt>
                <c:pt idx="4">
                  <c:v>496</c:v>
                </c:pt>
                <c:pt idx="5">
                  <c:v>598</c:v>
                </c:pt>
                <c:pt idx="6">
                  <c:v>503</c:v>
                </c:pt>
                <c:pt idx="7">
                  <c:v>439</c:v>
                </c:pt>
                <c:pt idx="8">
                  <c:v>416</c:v>
                </c:pt>
                <c:pt idx="9">
                  <c:v>581</c:v>
                </c:pt>
                <c:pt idx="10">
                  <c:v>600</c:v>
                </c:pt>
                <c:pt idx="11">
                  <c:v>595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Nakawa-Bugolobi'!$AF$9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Nakawa-Bugolobi'!$AF$10:$AF$21</c:f>
              <c:numCache>
                <c:formatCode>0</c:formatCode>
                <c:ptCount val="12"/>
                <c:pt idx="0">
                  <c:v>664</c:v>
                </c:pt>
                <c:pt idx="1">
                  <c:v>1106</c:v>
                </c:pt>
                <c:pt idx="2">
                  <c:v>1102</c:v>
                </c:pt>
                <c:pt idx="3">
                  <c:v>906</c:v>
                </c:pt>
                <c:pt idx="4">
                  <c:v>1091</c:v>
                </c:pt>
                <c:pt idx="5">
                  <c:v>1124</c:v>
                </c:pt>
                <c:pt idx="6">
                  <c:v>899</c:v>
                </c:pt>
                <c:pt idx="7">
                  <c:v>865</c:v>
                </c:pt>
                <c:pt idx="8">
                  <c:v>785</c:v>
                </c:pt>
                <c:pt idx="9">
                  <c:v>1002</c:v>
                </c:pt>
                <c:pt idx="10">
                  <c:v>1265</c:v>
                </c:pt>
                <c:pt idx="11">
                  <c:v>1114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5053568"/>
        <c:axId val="235058664"/>
      </c:lineChart>
      <c:catAx>
        <c:axId val="2350535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5058664"/>
        <c:crosses val="autoZero"/>
        <c:auto val="1"/>
        <c:lblAlgn val="ctr"/>
        <c:lblOffset val="100"/>
        <c:noMultiLvlLbl val="0"/>
      </c:catAx>
      <c:valAx>
        <c:axId val="2350586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505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Nakawa-Bugolobi'!$C$59:$N$59</c:f>
              <c:numCache>
                <c:formatCode>0.0%</c:formatCode>
                <c:ptCount val="12"/>
                <c:pt idx="0">
                  <c:v>0.29187285079258574</c:v>
                </c:pt>
                <c:pt idx="1">
                  <c:v>6.7097207078755342E-2</c:v>
                </c:pt>
                <c:pt idx="2">
                  <c:v>5.3761637171852721E-2</c:v>
                </c:pt>
                <c:pt idx="3">
                  <c:v>7.1039167994632224E-2</c:v>
                </c:pt>
                <c:pt idx="4">
                  <c:v>2.3484022477564372E-3</c:v>
                </c:pt>
                <c:pt idx="5">
                  <c:v>1.6774301769688837E-4</c:v>
                </c:pt>
                <c:pt idx="6">
                  <c:v>1.3083955380357292E-2</c:v>
                </c:pt>
                <c:pt idx="7">
                  <c:v>5.2000335486035391E-3</c:v>
                </c:pt>
                <c:pt idx="8">
                  <c:v>5.0322905309066511E-4</c:v>
                </c:pt>
                <c:pt idx="9">
                  <c:v>7.5484357963599767E-4</c:v>
                </c:pt>
                <c:pt idx="10">
                  <c:v>0.4941709301350331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Nakawa-Bugolobi'!$S$9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Nakawa-Bugolobi'!$S$10:$S$21</c:f>
              <c:numCache>
                <c:formatCode>0</c:formatCode>
                <c:ptCount val="12"/>
                <c:pt idx="0">
                  <c:v>213</c:v>
                </c:pt>
                <c:pt idx="1">
                  <c:v>316</c:v>
                </c:pt>
                <c:pt idx="2">
                  <c:v>267</c:v>
                </c:pt>
                <c:pt idx="3">
                  <c:v>282</c:v>
                </c:pt>
                <c:pt idx="4">
                  <c:v>265</c:v>
                </c:pt>
                <c:pt idx="5">
                  <c:v>323</c:v>
                </c:pt>
                <c:pt idx="6">
                  <c:v>269</c:v>
                </c:pt>
                <c:pt idx="7">
                  <c:v>205</c:v>
                </c:pt>
                <c:pt idx="8">
                  <c:v>243</c:v>
                </c:pt>
                <c:pt idx="9">
                  <c:v>335</c:v>
                </c:pt>
                <c:pt idx="10">
                  <c:v>426</c:v>
                </c:pt>
                <c:pt idx="11">
                  <c:v>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Nakawa-Bugolobi'!$T$9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Nakawa-Bugolobi'!$T$10:$T$21</c:f>
              <c:numCache>
                <c:formatCode>0</c:formatCode>
                <c:ptCount val="12"/>
                <c:pt idx="0">
                  <c:v>45</c:v>
                </c:pt>
                <c:pt idx="1">
                  <c:v>59</c:v>
                </c:pt>
                <c:pt idx="2">
                  <c:v>73</c:v>
                </c:pt>
                <c:pt idx="3">
                  <c:v>49</c:v>
                </c:pt>
                <c:pt idx="4">
                  <c:v>70</c:v>
                </c:pt>
                <c:pt idx="5">
                  <c:v>90</c:v>
                </c:pt>
                <c:pt idx="6">
                  <c:v>67</c:v>
                </c:pt>
                <c:pt idx="7">
                  <c:v>57</c:v>
                </c:pt>
                <c:pt idx="8">
                  <c:v>56</c:v>
                </c:pt>
                <c:pt idx="9">
                  <c:v>95</c:v>
                </c:pt>
                <c:pt idx="10">
                  <c:v>59</c:v>
                </c:pt>
                <c:pt idx="11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Nakawa-Bugolobi'!$U$9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Nakawa-Bugolobi'!$U$10:$U$21</c:f>
              <c:numCache>
                <c:formatCode>0</c:formatCode>
                <c:ptCount val="12"/>
                <c:pt idx="0">
                  <c:v>21</c:v>
                </c:pt>
                <c:pt idx="1">
                  <c:v>39</c:v>
                </c:pt>
                <c:pt idx="2">
                  <c:v>39</c:v>
                </c:pt>
                <c:pt idx="3">
                  <c:v>41</c:v>
                </c:pt>
                <c:pt idx="4">
                  <c:v>55</c:v>
                </c:pt>
                <c:pt idx="5">
                  <c:v>67</c:v>
                </c:pt>
                <c:pt idx="6">
                  <c:v>82</c:v>
                </c:pt>
                <c:pt idx="7">
                  <c:v>70</c:v>
                </c:pt>
                <c:pt idx="8">
                  <c:v>50</c:v>
                </c:pt>
                <c:pt idx="9">
                  <c:v>63</c:v>
                </c:pt>
                <c:pt idx="10">
                  <c:v>51</c:v>
                </c:pt>
                <c:pt idx="11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Nakawa-Bugolobi'!$V$9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Nakawa-Bugolobi'!$V$10:$V$21</c:f>
              <c:numCache>
                <c:formatCode>0</c:formatCode>
                <c:ptCount val="12"/>
                <c:pt idx="0">
                  <c:v>44</c:v>
                </c:pt>
                <c:pt idx="1">
                  <c:v>75</c:v>
                </c:pt>
                <c:pt idx="2">
                  <c:v>82</c:v>
                </c:pt>
                <c:pt idx="3">
                  <c:v>78</c:v>
                </c:pt>
                <c:pt idx="4">
                  <c:v>79</c:v>
                </c:pt>
                <c:pt idx="5">
                  <c:v>92</c:v>
                </c:pt>
                <c:pt idx="6">
                  <c:v>59</c:v>
                </c:pt>
                <c:pt idx="7">
                  <c:v>85</c:v>
                </c:pt>
                <c:pt idx="8">
                  <c:v>49</c:v>
                </c:pt>
                <c:pt idx="9">
                  <c:v>61</c:v>
                </c:pt>
                <c:pt idx="10">
                  <c:v>46</c:v>
                </c:pt>
                <c:pt idx="1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Nakawa-Bugolobi'!$W$9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Nakawa-Bugolobi'!$W$10:$W$21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Nakawa-Bugolobi'!$X$9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Nakawa-Bugolobi'!$Y$9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Nakawa-Bugolobi'!$Y$10:$Y$21</c:f>
              <c:numCache>
                <c:formatCode>0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15</c:v>
                </c:pt>
                <c:pt idx="3">
                  <c:v>13</c:v>
                </c:pt>
                <c:pt idx="4">
                  <c:v>19</c:v>
                </c:pt>
                <c:pt idx="5">
                  <c:v>13</c:v>
                </c:pt>
                <c:pt idx="6">
                  <c:v>20</c:v>
                </c:pt>
                <c:pt idx="7">
                  <c:v>12</c:v>
                </c:pt>
                <c:pt idx="8">
                  <c:v>13</c:v>
                </c:pt>
                <c:pt idx="9">
                  <c:v>12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Nakawa-Bugolobi'!$Z$9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3</c:v>
                </c:pt>
                <c:pt idx="9">
                  <c:v>10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Nakawa-Bugolobi'!$AA$9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Nakawa-Bugolobi'!$AB$9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Nakawa-Bugolobi'!$AC$9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Nakawa-Bugolobi'!$AC$10:$AC$21</c:f>
              <c:numCache>
                <c:formatCode>0</c:formatCode>
                <c:ptCount val="12"/>
                <c:pt idx="0">
                  <c:v>328</c:v>
                </c:pt>
                <c:pt idx="1">
                  <c:v>595</c:v>
                </c:pt>
                <c:pt idx="2">
                  <c:v>619</c:v>
                </c:pt>
                <c:pt idx="3">
                  <c:v>433</c:v>
                </c:pt>
                <c:pt idx="4">
                  <c:v>595</c:v>
                </c:pt>
                <c:pt idx="5">
                  <c:v>526</c:v>
                </c:pt>
                <c:pt idx="6">
                  <c:v>396</c:v>
                </c:pt>
                <c:pt idx="7">
                  <c:v>426</c:v>
                </c:pt>
                <c:pt idx="8">
                  <c:v>369</c:v>
                </c:pt>
                <c:pt idx="9">
                  <c:v>421</c:v>
                </c:pt>
                <c:pt idx="10">
                  <c:v>665</c:v>
                </c:pt>
                <c:pt idx="11">
                  <c:v>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Nakawa-Bugolobi'!$AD$9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Nakawa-Bugolobi'!$AD$10:$AD$21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5058272"/>
        <c:axId val="235053960"/>
      </c:lineChart>
      <c:catAx>
        <c:axId val="235058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5053960"/>
        <c:crosses val="autoZero"/>
        <c:auto val="1"/>
        <c:lblAlgn val="ctr"/>
        <c:lblOffset val="100"/>
        <c:noMultiLvlLbl val="0"/>
      </c:catAx>
      <c:valAx>
        <c:axId val="23505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505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Nakawa-Bugolobi'!$C$60:$N$60</c:f>
              <c:numCache>
                <c:formatCode>0.00%</c:formatCode>
                <c:ptCount val="12"/>
                <c:pt idx="0">
                  <c:v>0.577018736527939</c:v>
                </c:pt>
                <c:pt idx="1">
                  <c:v>0.13264798540872161</c:v>
                </c:pt>
                <c:pt idx="2">
                  <c:v>0.10628419830873818</c:v>
                </c:pt>
                <c:pt idx="3">
                  <c:v>0.14044105455148401</c:v>
                </c:pt>
                <c:pt idx="4">
                  <c:v>4.6426794893052563E-3</c:v>
                </c:pt>
                <c:pt idx="5">
                  <c:v>3.3161996352180402E-4</c:v>
                </c:pt>
                <c:pt idx="6">
                  <c:v>2.5866357154700714E-2</c:v>
                </c:pt>
                <c:pt idx="7">
                  <c:v>1.0280218869175925E-2</c:v>
                </c:pt>
                <c:pt idx="8">
                  <c:v>9.9485989056541206E-4</c:v>
                </c:pt>
                <c:pt idx="9">
                  <c:v>1.4922898358481181E-3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Bugolobi-Nakawa'!$AE$9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Bugolobi-Nakawa'!$AE$10:$AE$21</c:f>
              <c:numCache>
                <c:formatCode>0</c:formatCode>
                <c:ptCount val="12"/>
                <c:pt idx="0">
                  <c:v>1055</c:v>
                </c:pt>
                <c:pt idx="1">
                  <c:v>931</c:v>
                </c:pt>
                <c:pt idx="2">
                  <c:v>611</c:v>
                </c:pt>
                <c:pt idx="3">
                  <c:v>576</c:v>
                </c:pt>
                <c:pt idx="4">
                  <c:v>817</c:v>
                </c:pt>
                <c:pt idx="5">
                  <c:v>706</c:v>
                </c:pt>
                <c:pt idx="6">
                  <c:v>824</c:v>
                </c:pt>
                <c:pt idx="7">
                  <c:v>827</c:v>
                </c:pt>
                <c:pt idx="8">
                  <c:v>897</c:v>
                </c:pt>
                <c:pt idx="9">
                  <c:v>1025</c:v>
                </c:pt>
                <c:pt idx="10">
                  <c:v>945</c:v>
                </c:pt>
                <c:pt idx="11">
                  <c:v>760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Bugolobi-Nakawa'!$AF$9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Bugolobi-Nakawa'!$AF$10:$AF$21</c:f>
              <c:numCache>
                <c:formatCode>0</c:formatCode>
                <c:ptCount val="12"/>
                <c:pt idx="0">
                  <c:v>1329</c:v>
                </c:pt>
                <c:pt idx="1">
                  <c:v>1252</c:v>
                </c:pt>
                <c:pt idx="2">
                  <c:v>981</c:v>
                </c:pt>
                <c:pt idx="3">
                  <c:v>817</c:v>
                </c:pt>
                <c:pt idx="4">
                  <c:v>1032</c:v>
                </c:pt>
                <c:pt idx="5">
                  <c:v>967</c:v>
                </c:pt>
                <c:pt idx="6">
                  <c:v>1141</c:v>
                </c:pt>
                <c:pt idx="7">
                  <c:v>1186</c:v>
                </c:pt>
                <c:pt idx="8">
                  <c:v>1172</c:v>
                </c:pt>
                <c:pt idx="9">
                  <c:v>1254</c:v>
                </c:pt>
                <c:pt idx="10">
                  <c:v>1269</c:v>
                </c:pt>
                <c:pt idx="11">
                  <c:v>1078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5056312"/>
        <c:axId val="235054744"/>
      </c:lineChart>
      <c:catAx>
        <c:axId val="2350563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5054744"/>
        <c:crosses val="autoZero"/>
        <c:auto val="1"/>
        <c:lblAlgn val="ctr"/>
        <c:lblOffset val="100"/>
        <c:noMultiLvlLbl val="0"/>
      </c:catAx>
      <c:valAx>
        <c:axId val="2350547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5056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Bugolobi-Nakawa'!$C$59:$N$59</c:f>
              <c:numCache>
                <c:formatCode>0.0%</c:formatCode>
                <c:ptCount val="12"/>
                <c:pt idx="0">
                  <c:v>0.37149428698619974</c:v>
                </c:pt>
                <c:pt idx="1">
                  <c:v>0.12412820893307612</c:v>
                </c:pt>
                <c:pt idx="2">
                  <c:v>8.6511351832616115E-2</c:v>
                </c:pt>
                <c:pt idx="3">
                  <c:v>0.13867042587921055</c:v>
                </c:pt>
                <c:pt idx="4">
                  <c:v>8.9033981302863929E-4</c:v>
                </c:pt>
                <c:pt idx="5">
                  <c:v>8.1614482860958599E-4</c:v>
                </c:pt>
                <c:pt idx="6">
                  <c:v>8.4582282237720737E-3</c:v>
                </c:pt>
                <c:pt idx="7">
                  <c:v>7.8646683484196473E-3</c:v>
                </c:pt>
                <c:pt idx="8">
                  <c:v>5.1936489093337289E-4</c:v>
                </c:pt>
                <c:pt idx="9">
                  <c:v>6.6775485977147949E-4</c:v>
                </c:pt>
                <c:pt idx="10">
                  <c:v>0.25997922540436269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Bugolobi-Nakawa'!$S$9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Bugolobi-Nakawa'!$S$10:$S$21</c:f>
              <c:numCache>
                <c:formatCode>0</c:formatCode>
                <c:ptCount val="12"/>
                <c:pt idx="0">
                  <c:v>464</c:v>
                </c:pt>
                <c:pt idx="1">
                  <c:v>449</c:v>
                </c:pt>
                <c:pt idx="2">
                  <c:v>279</c:v>
                </c:pt>
                <c:pt idx="3">
                  <c:v>250</c:v>
                </c:pt>
                <c:pt idx="4">
                  <c:v>320</c:v>
                </c:pt>
                <c:pt idx="5">
                  <c:v>303</c:v>
                </c:pt>
                <c:pt idx="6">
                  <c:v>304</c:v>
                </c:pt>
                <c:pt idx="7">
                  <c:v>473</c:v>
                </c:pt>
                <c:pt idx="8">
                  <c:v>624</c:v>
                </c:pt>
                <c:pt idx="9">
                  <c:v>584</c:v>
                </c:pt>
                <c:pt idx="10">
                  <c:v>501</c:v>
                </c:pt>
                <c:pt idx="11">
                  <c:v>456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Bugolobi-Nakawa'!$T$9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Bugolobi-Nakawa'!$T$10:$T$21</c:f>
              <c:numCache>
                <c:formatCode>0</c:formatCode>
                <c:ptCount val="12"/>
                <c:pt idx="0">
                  <c:v>221</c:v>
                </c:pt>
                <c:pt idx="1">
                  <c:v>157</c:v>
                </c:pt>
                <c:pt idx="2">
                  <c:v>99</c:v>
                </c:pt>
                <c:pt idx="3">
                  <c:v>94</c:v>
                </c:pt>
                <c:pt idx="4">
                  <c:v>179</c:v>
                </c:pt>
                <c:pt idx="5">
                  <c:v>145</c:v>
                </c:pt>
                <c:pt idx="6">
                  <c:v>144</c:v>
                </c:pt>
                <c:pt idx="7">
                  <c:v>121</c:v>
                </c:pt>
                <c:pt idx="8">
                  <c:v>85</c:v>
                </c:pt>
                <c:pt idx="9">
                  <c:v>146</c:v>
                </c:pt>
                <c:pt idx="10">
                  <c:v>195</c:v>
                </c:pt>
                <c:pt idx="11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Bugolobi-Nakawa'!$U$9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Bugolobi-Nakawa'!$U$10:$U$21</c:f>
              <c:numCache>
                <c:formatCode>0</c:formatCode>
                <c:ptCount val="12"/>
                <c:pt idx="0">
                  <c:v>170</c:v>
                </c:pt>
                <c:pt idx="1">
                  <c:v>83</c:v>
                </c:pt>
                <c:pt idx="2">
                  <c:v>72</c:v>
                </c:pt>
                <c:pt idx="3">
                  <c:v>85</c:v>
                </c:pt>
                <c:pt idx="4">
                  <c:v>113</c:v>
                </c:pt>
                <c:pt idx="5">
                  <c:v>77</c:v>
                </c:pt>
                <c:pt idx="6">
                  <c:v>129</c:v>
                </c:pt>
                <c:pt idx="7">
                  <c:v>71</c:v>
                </c:pt>
                <c:pt idx="8">
                  <c:v>77</c:v>
                </c:pt>
                <c:pt idx="9">
                  <c:v>97</c:v>
                </c:pt>
                <c:pt idx="10">
                  <c:v>109</c:v>
                </c:pt>
                <c:pt idx="11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Bugolobi-Nakawa'!$V$9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Bugolobi-Nakawa'!$V$10:$V$21</c:f>
              <c:numCache>
                <c:formatCode>0</c:formatCode>
                <c:ptCount val="12"/>
                <c:pt idx="0">
                  <c:v>194</c:v>
                </c:pt>
                <c:pt idx="1">
                  <c:v>221</c:v>
                </c:pt>
                <c:pt idx="2">
                  <c:v>145</c:v>
                </c:pt>
                <c:pt idx="3">
                  <c:v>125</c:v>
                </c:pt>
                <c:pt idx="4">
                  <c:v>175</c:v>
                </c:pt>
                <c:pt idx="5">
                  <c:v>152</c:v>
                </c:pt>
                <c:pt idx="6">
                  <c:v>219</c:v>
                </c:pt>
                <c:pt idx="7">
                  <c:v>140</c:v>
                </c:pt>
                <c:pt idx="8">
                  <c:v>98</c:v>
                </c:pt>
                <c:pt idx="9">
                  <c:v>175</c:v>
                </c:pt>
                <c:pt idx="10">
                  <c:v>115</c:v>
                </c:pt>
                <c:pt idx="11">
                  <c:v>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Bugolobi-Nakawa'!$W$9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Bugolobi-Nakawa'!$X$9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Bugolobi-Nakawa'!$X$10:$X$21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Bugolobi-Nakawa'!$Y$9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Bugolobi-Nakawa'!$Y$10:$Y$21</c:f>
              <c:numCache>
                <c:formatCode>0</c:formatCode>
                <c:ptCount val="12"/>
                <c:pt idx="0">
                  <c:v>1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20</c:v>
                </c:pt>
                <c:pt idx="5">
                  <c:v>21</c:v>
                </c:pt>
                <c:pt idx="6">
                  <c:v>10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11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Bugolobi-Nakawa'!$Z$9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Bugolobi-Nakawa'!$Z$10:$Z$21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5</c:v>
                </c:pt>
                <c:pt idx="3">
                  <c:v>11</c:v>
                </c:pt>
                <c:pt idx="4">
                  <c:v>8</c:v>
                </c:pt>
                <c:pt idx="5">
                  <c:v>6</c:v>
                </c:pt>
                <c:pt idx="6">
                  <c:v>11</c:v>
                </c:pt>
                <c:pt idx="7">
                  <c:v>12</c:v>
                </c:pt>
                <c:pt idx="8">
                  <c:v>5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Bugolobi-Nakawa'!$AA$9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Bugolobi-Nakawa'!$AB$9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Bugolobi-Nakawa'!$AC$9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Bugolobi-Nakawa'!$AC$10:$AC$21</c:f>
              <c:numCache>
                <c:formatCode>0</c:formatCode>
                <c:ptCount val="12"/>
                <c:pt idx="0">
                  <c:v>274</c:v>
                </c:pt>
                <c:pt idx="1">
                  <c:v>321</c:v>
                </c:pt>
                <c:pt idx="2">
                  <c:v>370</c:v>
                </c:pt>
                <c:pt idx="3">
                  <c:v>241</c:v>
                </c:pt>
                <c:pt idx="4">
                  <c:v>215</c:v>
                </c:pt>
                <c:pt idx="5">
                  <c:v>261</c:v>
                </c:pt>
                <c:pt idx="6">
                  <c:v>317</c:v>
                </c:pt>
                <c:pt idx="7">
                  <c:v>359</c:v>
                </c:pt>
                <c:pt idx="8">
                  <c:v>275</c:v>
                </c:pt>
                <c:pt idx="9">
                  <c:v>229</c:v>
                </c:pt>
                <c:pt idx="10">
                  <c:v>324</c:v>
                </c:pt>
                <c:pt idx="11">
                  <c:v>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Bugolobi-Nakawa'!$AD$9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Bugolobi-Nakawa'!$AD$10:$AD$21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5057096"/>
        <c:axId val="235057488"/>
      </c:lineChart>
      <c:catAx>
        <c:axId val="235057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5057488"/>
        <c:crosses val="autoZero"/>
        <c:auto val="1"/>
        <c:lblAlgn val="ctr"/>
        <c:lblOffset val="100"/>
        <c:noMultiLvlLbl val="0"/>
      </c:catAx>
      <c:valAx>
        <c:axId val="23505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5057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Bugolobi-Nakawa'!$C$60:$N$60</c:f>
              <c:numCache>
                <c:formatCode>0.00%</c:formatCode>
                <c:ptCount val="12"/>
                <c:pt idx="0">
                  <c:v>0.50200521355524363</c:v>
                </c:pt>
                <c:pt idx="1">
                  <c:v>0.16773611389612994</c:v>
                </c:pt>
                <c:pt idx="2">
                  <c:v>0.11690395027070383</c:v>
                </c:pt>
                <c:pt idx="3">
                  <c:v>0.18738720673751755</c:v>
                </c:pt>
                <c:pt idx="4">
                  <c:v>1.20312813314618E-3</c:v>
                </c:pt>
                <c:pt idx="5">
                  <c:v>1.1028674553839983E-3</c:v>
                </c:pt>
                <c:pt idx="6">
                  <c:v>1.1429717264888711E-2</c:v>
                </c:pt>
                <c:pt idx="7">
                  <c:v>1.0627631842791257E-2</c:v>
                </c:pt>
                <c:pt idx="8">
                  <c:v>7.0182474433527168E-4</c:v>
                </c:pt>
                <c:pt idx="9">
                  <c:v>9.0234609985963504E-4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Nakawa-Bugolobi'!$AE$9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Nakawa-Bugolobi'!$AE$10:$AE$21</c:f>
              <c:numCache>
                <c:formatCode>0</c:formatCode>
                <c:ptCount val="12"/>
                <c:pt idx="0">
                  <c:v>1055</c:v>
                </c:pt>
                <c:pt idx="1">
                  <c:v>931</c:v>
                </c:pt>
                <c:pt idx="2">
                  <c:v>611</c:v>
                </c:pt>
                <c:pt idx="3">
                  <c:v>576</c:v>
                </c:pt>
                <c:pt idx="4">
                  <c:v>817</c:v>
                </c:pt>
                <c:pt idx="5">
                  <c:v>706</c:v>
                </c:pt>
                <c:pt idx="6">
                  <c:v>824</c:v>
                </c:pt>
                <c:pt idx="7">
                  <c:v>827</c:v>
                </c:pt>
                <c:pt idx="8">
                  <c:v>897</c:v>
                </c:pt>
                <c:pt idx="9">
                  <c:v>1025</c:v>
                </c:pt>
                <c:pt idx="10">
                  <c:v>945</c:v>
                </c:pt>
                <c:pt idx="11">
                  <c:v>760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Nakawa-Bugolobi'!$AF$9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Nakawa-Bugolobi'!$AF$10:$AF$21</c:f>
              <c:numCache>
                <c:formatCode>0</c:formatCode>
                <c:ptCount val="12"/>
                <c:pt idx="0">
                  <c:v>1329</c:v>
                </c:pt>
                <c:pt idx="1">
                  <c:v>1252</c:v>
                </c:pt>
                <c:pt idx="2">
                  <c:v>981</c:v>
                </c:pt>
                <c:pt idx="3">
                  <c:v>817</c:v>
                </c:pt>
                <c:pt idx="4">
                  <c:v>1032</c:v>
                </c:pt>
                <c:pt idx="5">
                  <c:v>967</c:v>
                </c:pt>
                <c:pt idx="6">
                  <c:v>1141</c:v>
                </c:pt>
                <c:pt idx="7">
                  <c:v>1186</c:v>
                </c:pt>
                <c:pt idx="8">
                  <c:v>1172</c:v>
                </c:pt>
                <c:pt idx="9">
                  <c:v>1254</c:v>
                </c:pt>
                <c:pt idx="10">
                  <c:v>1269</c:v>
                </c:pt>
                <c:pt idx="11">
                  <c:v>1078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847856"/>
        <c:axId val="239849032"/>
      </c:lineChart>
      <c:catAx>
        <c:axId val="239847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9849032"/>
        <c:crosses val="autoZero"/>
        <c:auto val="1"/>
        <c:lblAlgn val="ctr"/>
        <c:lblOffset val="100"/>
        <c:noMultiLvlLbl val="0"/>
      </c:catAx>
      <c:valAx>
        <c:axId val="239849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984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Nakawa-Bugolobi'!$C$59:$N$59</c:f>
              <c:numCache>
                <c:formatCode>0.0%</c:formatCode>
                <c:ptCount val="12"/>
                <c:pt idx="0">
                  <c:v>0.37149428698619974</c:v>
                </c:pt>
                <c:pt idx="1">
                  <c:v>0.12412820893307612</c:v>
                </c:pt>
                <c:pt idx="2">
                  <c:v>8.6511351832616115E-2</c:v>
                </c:pt>
                <c:pt idx="3">
                  <c:v>0.13867042587921055</c:v>
                </c:pt>
                <c:pt idx="4">
                  <c:v>8.9033981302863929E-4</c:v>
                </c:pt>
                <c:pt idx="5">
                  <c:v>8.1614482860958599E-4</c:v>
                </c:pt>
                <c:pt idx="6">
                  <c:v>8.4582282237720737E-3</c:v>
                </c:pt>
                <c:pt idx="7">
                  <c:v>7.8646683484196473E-3</c:v>
                </c:pt>
                <c:pt idx="8">
                  <c:v>5.1936489093337289E-4</c:v>
                </c:pt>
                <c:pt idx="9">
                  <c:v>6.6775485977147949E-4</c:v>
                </c:pt>
                <c:pt idx="10">
                  <c:v>0.25997922540436269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Nakawa-Bugolobi'!$C$60:$N$60</c:f>
              <c:numCache>
                <c:formatCode>0.00%</c:formatCode>
                <c:ptCount val="12"/>
                <c:pt idx="0">
                  <c:v>0.50200521355524363</c:v>
                </c:pt>
                <c:pt idx="1">
                  <c:v>0.16773611389612994</c:v>
                </c:pt>
                <c:pt idx="2">
                  <c:v>0.11690395027070383</c:v>
                </c:pt>
                <c:pt idx="3">
                  <c:v>0.18738720673751755</c:v>
                </c:pt>
                <c:pt idx="4">
                  <c:v>1.20312813314618E-3</c:v>
                </c:pt>
                <c:pt idx="5">
                  <c:v>1.1028674553839983E-3</c:v>
                </c:pt>
                <c:pt idx="6">
                  <c:v>1.1429717264888711E-2</c:v>
                </c:pt>
                <c:pt idx="7">
                  <c:v>1.0627631842791257E-2</c:v>
                </c:pt>
                <c:pt idx="8">
                  <c:v>7.0182474433527168E-4</c:v>
                </c:pt>
                <c:pt idx="9">
                  <c:v>9.0234609985963504E-4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Bugolobi-Nakawa-24h'!$AE$9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Bugolobi-Nakawa-24h'!$R$10:$R$33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Bugolobi-Nakawa-24h'!$AE$10:$AE$33</c:f>
              <c:numCache>
                <c:formatCode>0</c:formatCode>
                <c:ptCount val="24"/>
                <c:pt idx="0">
                  <c:v>1038</c:v>
                </c:pt>
                <c:pt idx="1">
                  <c:v>1302</c:v>
                </c:pt>
                <c:pt idx="2">
                  <c:v>983</c:v>
                </c:pt>
                <c:pt idx="3">
                  <c:v>878</c:v>
                </c:pt>
                <c:pt idx="4">
                  <c:v>761</c:v>
                </c:pt>
                <c:pt idx="5">
                  <c:v>811</c:v>
                </c:pt>
                <c:pt idx="6">
                  <c:v>553</c:v>
                </c:pt>
                <c:pt idx="7">
                  <c:v>749</c:v>
                </c:pt>
                <c:pt idx="8">
                  <c:v>700</c:v>
                </c:pt>
                <c:pt idx="9">
                  <c:v>644</c:v>
                </c:pt>
                <c:pt idx="10">
                  <c:v>822</c:v>
                </c:pt>
                <c:pt idx="11">
                  <c:v>770</c:v>
                </c:pt>
                <c:pt idx="12">
                  <c:v>494</c:v>
                </c:pt>
                <c:pt idx="13">
                  <c:v>372</c:v>
                </c:pt>
                <c:pt idx="14">
                  <c:v>311</c:v>
                </c:pt>
                <c:pt idx="15">
                  <c:v>171</c:v>
                </c:pt>
                <c:pt idx="16">
                  <c:v>138</c:v>
                </c:pt>
                <c:pt idx="17">
                  <c:v>37</c:v>
                </c:pt>
                <c:pt idx="18">
                  <c:v>40</c:v>
                </c:pt>
                <c:pt idx="19">
                  <c:v>30</c:v>
                </c:pt>
                <c:pt idx="20">
                  <c:v>20</c:v>
                </c:pt>
                <c:pt idx="21">
                  <c:v>22</c:v>
                </c:pt>
                <c:pt idx="22">
                  <c:v>72</c:v>
                </c:pt>
                <c:pt idx="23">
                  <c:v>436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Bugolobi-Nakawa-24h'!$AF$9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Bugolobi-Nakawa-24h'!$R$10:$R$33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Bugolobi-Nakawa-24h'!$AF$10:$AF$33</c:f>
              <c:numCache>
                <c:formatCode>0</c:formatCode>
                <c:ptCount val="24"/>
                <c:pt idx="0">
                  <c:v>1382</c:v>
                </c:pt>
                <c:pt idx="1">
                  <c:v>1638</c:v>
                </c:pt>
                <c:pt idx="2">
                  <c:v>1260</c:v>
                </c:pt>
                <c:pt idx="3">
                  <c:v>1168</c:v>
                </c:pt>
                <c:pt idx="4">
                  <c:v>988</c:v>
                </c:pt>
                <c:pt idx="5">
                  <c:v>1141</c:v>
                </c:pt>
                <c:pt idx="6">
                  <c:v>807</c:v>
                </c:pt>
                <c:pt idx="7">
                  <c:v>1012</c:v>
                </c:pt>
                <c:pt idx="8">
                  <c:v>965</c:v>
                </c:pt>
                <c:pt idx="9">
                  <c:v>947</c:v>
                </c:pt>
                <c:pt idx="10">
                  <c:v>1065</c:v>
                </c:pt>
                <c:pt idx="11">
                  <c:v>985</c:v>
                </c:pt>
                <c:pt idx="12">
                  <c:v>691</c:v>
                </c:pt>
                <c:pt idx="13">
                  <c:v>546</c:v>
                </c:pt>
                <c:pt idx="14">
                  <c:v>448</c:v>
                </c:pt>
                <c:pt idx="15">
                  <c:v>248</c:v>
                </c:pt>
                <c:pt idx="16">
                  <c:v>187</c:v>
                </c:pt>
                <c:pt idx="17">
                  <c:v>64</c:v>
                </c:pt>
                <c:pt idx="18">
                  <c:v>59</c:v>
                </c:pt>
                <c:pt idx="19">
                  <c:v>49</c:v>
                </c:pt>
                <c:pt idx="20">
                  <c:v>41</c:v>
                </c:pt>
                <c:pt idx="21">
                  <c:v>61</c:v>
                </c:pt>
                <c:pt idx="22">
                  <c:v>161</c:v>
                </c:pt>
                <c:pt idx="23">
                  <c:v>666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849424"/>
        <c:axId val="239845896"/>
      </c:lineChart>
      <c:catAx>
        <c:axId val="2398494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9845896"/>
        <c:crosses val="autoZero"/>
        <c:auto val="1"/>
        <c:lblAlgn val="ctr"/>
        <c:lblOffset val="100"/>
        <c:noMultiLvlLbl val="0"/>
      </c:catAx>
      <c:valAx>
        <c:axId val="239845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984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Bugolobi-Nakawa-24h'!$C$9:$N$9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Bugolobi-Nakawa-24h'!$C$107:$N$107</c:f>
              <c:numCache>
                <c:formatCode>0.0%</c:formatCode>
                <c:ptCount val="12"/>
                <c:pt idx="0">
                  <c:v>0.36142107485373065</c:v>
                </c:pt>
                <c:pt idx="1">
                  <c:v>0.12618372640086856</c:v>
                </c:pt>
                <c:pt idx="2">
                  <c:v>8.836479884190844E-2</c:v>
                </c:pt>
                <c:pt idx="3">
                  <c:v>0.13722178659750287</c:v>
                </c:pt>
                <c:pt idx="4">
                  <c:v>9.6507630134507513E-4</c:v>
                </c:pt>
                <c:pt idx="5">
                  <c:v>6.6348995717473917E-4</c:v>
                </c:pt>
                <c:pt idx="6">
                  <c:v>1.1641232884974968E-2</c:v>
                </c:pt>
                <c:pt idx="7">
                  <c:v>4.5237951625550395E-3</c:v>
                </c:pt>
                <c:pt idx="8">
                  <c:v>9.0475903251100787E-4</c:v>
                </c:pt>
                <c:pt idx="9">
                  <c:v>1.2063453766813438E-3</c:v>
                </c:pt>
                <c:pt idx="10">
                  <c:v>0.2669039145907473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Bugolobi-Nakawa-24h'!$C$9:$N$9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Bugolobi-Nakawa-24h'!$C$108:$N$108</c:f>
              <c:numCache>
                <c:formatCode>0.00%</c:formatCode>
                <c:ptCount val="12"/>
                <c:pt idx="0">
                  <c:v>0.49300641764028302</c:v>
                </c:pt>
                <c:pt idx="1">
                  <c:v>0.17212440348856345</c:v>
                </c:pt>
                <c:pt idx="2">
                  <c:v>0.12053644890571005</c:v>
                </c:pt>
                <c:pt idx="3">
                  <c:v>0.18718117492183645</c:v>
                </c:pt>
                <c:pt idx="4">
                  <c:v>1.3164390324173112E-3</c:v>
                </c:pt>
                <c:pt idx="5">
                  <c:v>9.0505183478690142E-4</c:v>
                </c:pt>
                <c:pt idx="6">
                  <c:v>1.5879545828533816E-2</c:v>
                </c:pt>
                <c:pt idx="7">
                  <c:v>6.1708079644561464E-3</c:v>
                </c:pt>
                <c:pt idx="8">
                  <c:v>1.2341615928912293E-3</c:v>
                </c:pt>
                <c:pt idx="9">
                  <c:v>1.645548790521639E-3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Nakawa-Bugolobi-24h'!$AE$9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Nakawa-Bugolobi-24h'!$R$10:$R$33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Nakawa-Bugolobi-24h'!$AE$10:$AE$33</c:f>
              <c:numCache>
                <c:formatCode>0</c:formatCode>
                <c:ptCount val="24"/>
                <c:pt idx="0">
                  <c:v>428</c:v>
                </c:pt>
                <c:pt idx="1">
                  <c:v>587</c:v>
                </c:pt>
                <c:pt idx="2">
                  <c:v>605</c:v>
                </c:pt>
                <c:pt idx="3">
                  <c:v>541</c:v>
                </c:pt>
                <c:pt idx="4">
                  <c:v>449</c:v>
                </c:pt>
                <c:pt idx="5">
                  <c:v>573</c:v>
                </c:pt>
                <c:pt idx="6">
                  <c:v>561</c:v>
                </c:pt>
                <c:pt idx="7">
                  <c:v>404</c:v>
                </c:pt>
                <c:pt idx="8">
                  <c:v>525</c:v>
                </c:pt>
                <c:pt idx="9">
                  <c:v>581</c:v>
                </c:pt>
                <c:pt idx="10">
                  <c:v>762</c:v>
                </c:pt>
                <c:pt idx="11">
                  <c:v>654</c:v>
                </c:pt>
                <c:pt idx="12">
                  <c:v>528</c:v>
                </c:pt>
                <c:pt idx="13">
                  <c:v>337</c:v>
                </c:pt>
                <c:pt idx="14">
                  <c:v>329</c:v>
                </c:pt>
                <c:pt idx="15">
                  <c:v>246</c:v>
                </c:pt>
                <c:pt idx="16">
                  <c:v>166</c:v>
                </c:pt>
                <c:pt idx="17">
                  <c:v>86</c:v>
                </c:pt>
                <c:pt idx="18">
                  <c:v>49</c:v>
                </c:pt>
                <c:pt idx="19">
                  <c:v>24</c:v>
                </c:pt>
                <c:pt idx="20">
                  <c:v>34</c:v>
                </c:pt>
                <c:pt idx="21">
                  <c:v>26</c:v>
                </c:pt>
                <c:pt idx="22">
                  <c:v>40</c:v>
                </c:pt>
                <c:pt idx="23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Nakawa-Bugolobi-24h'!$AF$9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Nakawa-Bugolobi-24h'!$R$10:$R$33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Nakawa-Bugolobi-24h'!$AF$10:$AF$33</c:f>
              <c:numCache>
                <c:formatCode>0</c:formatCode>
                <c:ptCount val="24"/>
                <c:pt idx="0">
                  <c:v>866</c:v>
                </c:pt>
                <c:pt idx="1">
                  <c:v>1223</c:v>
                </c:pt>
                <c:pt idx="2">
                  <c:v>1170</c:v>
                </c:pt>
                <c:pt idx="3">
                  <c:v>1081</c:v>
                </c:pt>
                <c:pt idx="4">
                  <c:v>895</c:v>
                </c:pt>
                <c:pt idx="5">
                  <c:v>1082</c:v>
                </c:pt>
                <c:pt idx="6">
                  <c:v>1033</c:v>
                </c:pt>
                <c:pt idx="7">
                  <c:v>749</c:v>
                </c:pt>
                <c:pt idx="8">
                  <c:v>911</c:v>
                </c:pt>
                <c:pt idx="9">
                  <c:v>1094</c:v>
                </c:pt>
                <c:pt idx="10">
                  <c:v>1466</c:v>
                </c:pt>
                <c:pt idx="11">
                  <c:v>1235</c:v>
                </c:pt>
                <c:pt idx="12">
                  <c:v>891</c:v>
                </c:pt>
                <c:pt idx="13">
                  <c:v>622</c:v>
                </c:pt>
                <c:pt idx="14">
                  <c:v>540</c:v>
                </c:pt>
                <c:pt idx="15">
                  <c:v>381</c:v>
                </c:pt>
                <c:pt idx="16">
                  <c:v>313</c:v>
                </c:pt>
                <c:pt idx="17">
                  <c:v>160</c:v>
                </c:pt>
                <c:pt idx="18">
                  <c:v>96</c:v>
                </c:pt>
                <c:pt idx="19">
                  <c:v>63</c:v>
                </c:pt>
                <c:pt idx="20">
                  <c:v>62</c:v>
                </c:pt>
                <c:pt idx="21">
                  <c:v>60</c:v>
                </c:pt>
                <c:pt idx="22">
                  <c:v>107</c:v>
                </c:pt>
                <c:pt idx="23">
                  <c:v>308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852168"/>
        <c:axId val="239852952"/>
      </c:lineChart>
      <c:catAx>
        <c:axId val="239852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9852952"/>
        <c:crosses val="autoZero"/>
        <c:auto val="1"/>
        <c:lblAlgn val="ctr"/>
        <c:lblOffset val="100"/>
        <c:noMultiLvlLbl val="0"/>
      </c:catAx>
      <c:valAx>
        <c:axId val="239852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9852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Nakawa-Bugolobi-24h'!$C$9:$N$9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Nakawa-Bugolobi-24h'!$C$107:$N$107</c:f>
              <c:numCache>
                <c:formatCode>0.0%</c:formatCode>
                <c:ptCount val="12"/>
                <c:pt idx="0">
                  <c:v>0.32599951243295955</c:v>
                </c:pt>
                <c:pt idx="1">
                  <c:v>6.4419795221843004E-2</c:v>
                </c:pt>
                <c:pt idx="2">
                  <c:v>5.4058995611896636E-2</c:v>
                </c:pt>
                <c:pt idx="3">
                  <c:v>6.8137493905411989E-2</c:v>
                </c:pt>
                <c:pt idx="4">
                  <c:v>2.6816187225743538E-3</c:v>
                </c:pt>
                <c:pt idx="5">
                  <c:v>2.4378352023403217E-4</c:v>
                </c:pt>
                <c:pt idx="6">
                  <c:v>1.1579717211116529E-2</c:v>
                </c:pt>
                <c:pt idx="7">
                  <c:v>3.5348610433934666E-3</c:v>
                </c:pt>
                <c:pt idx="8">
                  <c:v>1.1579717211116529E-3</c:v>
                </c:pt>
                <c:pt idx="9">
                  <c:v>6.0945880058508044E-4</c:v>
                </c:pt>
                <c:pt idx="10">
                  <c:v>0.46757679180887374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Nakawa-Bugolobi-24h'!$C$9:$N$9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Nakawa-Bugolobi-24h'!$C$108:$N$108</c:f>
              <c:numCache>
                <c:formatCode>0.00%</c:formatCode>
                <c:ptCount val="12"/>
                <c:pt idx="0">
                  <c:v>0.61229395604395609</c:v>
                </c:pt>
                <c:pt idx="1">
                  <c:v>0.12099358974358974</c:v>
                </c:pt>
                <c:pt idx="2">
                  <c:v>0.10153388278388278</c:v>
                </c:pt>
                <c:pt idx="3">
                  <c:v>0.12797619047619047</c:v>
                </c:pt>
                <c:pt idx="4">
                  <c:v>5.036630036630037E-3</c:v>
                </c:pt>
                <c:pt idx="5">
                  <c:v>4.5787545787545788E-4</c:v>
                </c:pt>
                <c:pt idx="6">
                  <c:v>2.1749084249084248E-2</c:v>
                </c:pt>
                <c:pt idx="7">
                  <c:v>6.639194139194139E-3</c:v>
                </c:pt>
                <c:pt idx="8">
                  <c:v>2.174908424908425E-3</c:v>
                </c:pt>
                <c:pt idx="9">
                  <c:v>1.1446886446886447E-3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Bugolobi-Nakawa'!$AE$9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Bugolobi-Nakawa'!$AE$10:$AE$21</c:f>
              <c:numCache>
                <c:formatCode>0</c:formatCode>
                <c:ptCount val="12"/>
                <c:pt idx="0">
                  <c:v>648</c:v>
                </c:pt>
                <c:pt idx="1">
                  <c:v>914</c:v>
                </c:pt>
                <c:pt idx="2">
                  <c:v>878</c:v>
                </c:pt>
                <c:pt idx="3">
                  <c:v>547</c:v>
                </c:pt>
                <c:pt idx="4">
                  <c:v>486</c:v>
                </c:pt>
                <c:pt idx="5">
                  <c:v>612</c:v>
                </c:pt>
                <c:pt idx="6">
                  <c:v>566</c:v>
                </c:pt>
                <c:pt idx="7">
                  <c:v>557</c:v>
                </c:pt>
                <c:pt idx="8">
                  <c:v>782</c:v>
                </c:pt>
                <c:pt idx="9">
                  <c:v>858</c:v>
                </c:pt>
                <c:pt idx="10">
                  <c:v>768</c:v>
                </c:pt>
                <c:pt idx="11">
                  <c:v>519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Bugolobi-Nakawa'!$AF$9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Bugolobi-Nakawa'!$AF$10:$AF$21</c:f>
              <c:numCache>
                <c:formatCode>0</c:formatCode>
                <c:ptCount val="12"/>
                <c:pt idx="0">
                  <c:v>931</c:v>
                </c:pt>
                <c:pt idx="1">
                  <c:v>1406</c:v>
                </c:pt>
                <c:pt idx="2">
                  <c:v>1348</c:v>
                </c:pt>
                <c:pt idx="3">
                  <c:v>820</c:v>
                </c:pt>
                <c:pt idx="4">
                  <c:v>774</c:v>
                </c:pt>
                <c:pt idx="5">
                  <c:v>905</c:v>
                </c:pt>
                <c:pt idx="6">
                  <c:v>805</c:v>
                </c:pt>
                <c:pt idx="7">
                  <c:v>878</c:v>
                </c:pt>
                <c:pt idx="8">
                  <c:v>1152</c:v>
                </c:pt>
                <c:pt idx="9">
                  <c:v>1290</c:v>
                </c:pt>
                <c:pt idx="10">
                  <c:v>1133</c:v>
                </c:pt>
                <c:pt idx="11">
                  <c:v>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1135320"/>
        <c:axId val="241134536"/>
      </c:lineChart>
      <c:catAx>
        <c:axId val="241135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1134536"/>
        <c:crosses val="autoZero"/>
        <c:auto val="1"/>
        <c:lblAlgn val="ctr"/>
        <c:lblOffset val="100"/>
        <c:noMultiLvlLbl val="0"/>
      </c:catAx>
      <c:valAx>
        <c:axId val="2411345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1135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Bugolobi-Nakawa'!$C$59:$N$59</c:f>
              <c:numCache>
                <c:formatCode>0.0%</c:formatCode>
                <c:ptCount val="12"/>
                <c:pt idx="0">
                  <c:v>0.3196627373935822</c:v>
                </c:pt>
                <c:pt idx="1">
                  <c:v>0.10936476751800916</c:v>
                </c:pt>
                <c:pt idx="2">
                  <c:v>7.7439423706614274E-2</c:v>
                </c:pt>
                <c:pt idx="3">
                  <c:v>0.14505566470203013</c:v>
                </c:pt>
                <c:pt idx="4">
                  <c:v>1.6371971185330713E-3</c:v>
                </c:pt>
                <c:pt idx="5">
                  <c:v>7.3673870333988212E-4</c:v>
                </c:pt>
                <c:pt idx="6">
                  <c:v>7.0399476096922068E-3</c:v>
                </c:pt>
                <c:pt idx="7">
                  <c:v>3.7655533726260642E-3</c:v>
                </c:pt>
                <c:pt idx="8">
                  <c:v>6.5487884741322858E-4</c:v>
                </c:pt>
                <c:pt idx="9">
                  <c:v>4.0929927963326783E-4</c:v>
                </c:pt>
                <c:pt idx="10">
                  <c:v>0.33407007203667322</c:v>
                </c:pt>
                <c:pt idx="11">
                  <c:v>1.6371971185330714E-4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Bugolobi-Nakawa'!$S$9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Bugolobi-Nakawa'!$S$10:$S$21</c:f>
              <c:numCache>
                <c:formatCode>0</c:formatCode>
                <c:ptCount val="12"/>
                <c:pt idx="0">
                  <c:v>316</c:v>
                </c:pt>
                <c:pt idx="1">
                  <c:v>327</c:v>
                </c:pt>
                <c:pt idx="2">
                  <c:v>411</c:v>
                </c:pt>
                <c:pt idx="3">
                  <c:v>269</c:v>
                </c:pt>
                <c:pt idx="4">
                  <c:v>248</c:v>
                </c:pt>
                <c:pt idx="5">
                  <c:v>307</c:v>
                </c:pt>
                <c:pt idx="6">
                  <c:v>279</c:v>
                </c:pt>
                <c:pt idx="7">
                  <c:v>275</c:v>
                </c:pt>
                <c:pt idx="8">
                  <c:v>377</c:v>
                </c:pt>
                <c:pt idx="9">
                  <c:v>458</c:v>
                </c:pt>
                <c:pt idx="10">
                  <c:v>374</c:v>
                </c:pt>
                <c:pt idx="11">
                  <c:v>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Bugolobi-Nakawa'!$T$9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Bugolobi-Nakawa'!$T$10:$T$21</c:f>
              <c:numCache>
                <c:formatCode>0</c:formatCode>
                <c:ptCount val="12"/>
                <c:pt idx="0">
                  <c:v>104</c:v>
                </c:pt>
                <c:pt idx="1">
                  <c:v>197</c:v>
                </c:pt>
                <c:pt idx="2">
                  <c:v>130</c:v>
                </c:pt>
                <c:pt idx="3">
                  <c:v>99</c:v>
                </c:pt>
                <c:pt idx="4">
                  <c:v>49</c:v>
                </c:pt>
                <c:pt idx="5">
                  <c:v>84</c:v>
                </c:pt>
                <c:pt idx="6">
                  <c:v>81</c:v>
                </c:pt>
                <c:pt idx="7">
                  <c:v>83</c:v>
                </c:pt>
                <c:pt idx="8">
                  <c:v>143</c:v>
                </c:pt>
                <c:pt idx="9">
                  <c:v>139</c:v>
                </c:pt>
                <c:pt idx="10">
                  <c:v>137</c:v>
                </c:pt>
                <c:pt idx="11">
                  <c:v>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Bugolobi-Nakawa'!$U$9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Bugolobi-Nakawa'!$U$10:$U$21</c:f>
              <c:numCache>
                <c:formatCode>0</c:formatCode>
                <c:ptCount val="12"/>
                <c:pt idx="0">
                  <c:v>40</c:v>
                </c:pt>
                <c:pt idx="1">
                  <c:v>114</c:v>
                </c:pt>
                <c:pt idx="2">
                  <c:v>123</c:v>
                </c:pt>
                <c:pt idx="3">
                  <c:v>45</c:v>
                </c:pt>
                <c:pt idx="4">
                  <c:v>35</c:v>
                </c:pt>
                <c:pt idx="5">
                  <c:v>71</c:v>
                </c:pt>
                <c:pt idx="6">
                  <c:v>76</c:v>
                </c:pt>
                <c:pt idx="7">
                  <c:v>67</c:v>
                </c:pt>
                <c:pt idx="8">
                  <c:v>105</c:v>
                </c:pt>
                <c:pt idx="9">
                  <c:v>99</c:v>
                </c:pt>
                <c:pt idx="10">
                  <c:v>104</c:v>
                </c:pt>
                <c:pt idx="1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Bugolobi-Nakawa'!$V$9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Bugolobi-Nakawa'!$V$10:$V$21</c:f>
              <c:numCache>
                <c:formatCode>0</c:formatCode>
                <c:ptCount val="12"/>
                <c:pt idx="0">
                  <c:v>168</c:v>
                </c:pt>
                <c:pt idx="1">
                  <c:v>258</c:v>
                </c:pt>
                <c:pt idx="2">
                  <c:v>201</c:v>
                </c:pt>
                <c:pt idx="3">
                  <c:v>119</c:v>
                </c:pt>
                <c:pt idx="4">
                  <c:v>139</c:v>
                </c:pt>
                <c:pt idx="5">
                  <c:v>134</c:v>
                </c:pt>
                <c:pt idx="6">
                  <c:v>119</c:v>
                </c:pt>
                <c:pt idx="7">
                  <c:v>124</c:v>
                </c:pt>
                <c:pt idx="8">
                  <c:v>150</c:v>
                </c:pt>
                <c:pt idx="9">
                  <c:v>142</c:v>
                </c:pt>
                <c:pt idx="10">
                  <c:v>135</c:v>
                </c:pt>
                <c:pt idx="11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Bugolobi-Nakawa'!$W$9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Bugolobi-Nakawa'!$X$9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Bugolobi-Nakawa'!$X$10:$X$21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Bugolobi-Nakawa'!$Y$9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Bugolobi-Nakawa'!$Y$10:$Y$21</c:f>
              <c:numCache>
                <c:formatCode>0</c:formatCode>
                <c:ptCount val="12"/>
                <c:pt idx="0">
                  <c:v>14</c:v>
                </c:pt>
                <c:pt idx="1">
                  <c:v>12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2</c:v>
                </c:pt>
                <c:pt idx="9">
                  <c:v>8</c:v>
                </c:pt>
                <c:pt idx="10">
                  <c:v>12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Bugolobi-Nakawa'!$Z$9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8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0</c:v>
                </c:pt>
                <c:pt idx="8">
                  <c:v>4</c:v>
                </c:pt>
                <c:pt idx="9">
                  <c:v>6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Bugolobi-Nakawa'!$AA$9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Bugolobi-Nakawa'!$AB$9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Bugolobi-Nakawa'!$AC$9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Bugolobi-Nakawa'!$AC$10:$AC$21</c:f>
              <c:numCache>
                <c:formatCode>0</c:formatCode>
                <c:ptCount val="12"/>
                <c:pt idx="0">
                  <c:v>283</c:v>
                </c:pt>
                <c:pt idx="1">
                  <c:v>492</c:v>
                </c:pt>
                <c:pt idx="2">
                  <c:v>470</c:v>
                </c:pt>
                <c:pt idx="3">
                  <c:v>273</c:v>
                </c:pt>
                <c:pt idx="4">
                  <c:v>288</c:v>
                </c:pt>
                <c:pt idx="5">
                  <c:v>293</c:v>
                </c:pt>
                <c:pt idx="6">
                  <c:v>239</c:v>
                </c:pt>
                <c:pt idx="7">
                  <c:v>321</c:v>
                </c:pt>
                <c:pt idx="8">
                  <c:v>370</c:v>
                </c:pt>
                <c:pt idx="9">
                  <c:v>432</c:v>
                </c:pt>
                <c:pt idx="10">
                  <c:v>365</c:v>
                </c:pt>
                <c:pt idx="11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Bugolobi-Nakawa'!$AD$9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Bugolobi-Nakawa'!$AD$10:$AD$21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1138064"/>
        <c:axId val="241137672"/>
      </c:lineChart>
      <c:catAx>
        <c:axId val="241138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1137672"/>
        <c:crosses val="autoZero"/>
        <c:auto val="1"/>
        <c:lblAlgn val="ctr"/>
        <c:lblOffset val="100"/>
        <c:noMultiLvlLbl val="0"/>
      </c:catAx>
      <c:valAx>
        <c:axId val="241137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113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Bugolobi-Nakawa'!$C$60:$N$60</c:f>
              <c:numCache>
                <c:formatCode>0.00%</c:formatCode>
                <c:ptCount val="12"/>
                <c:pt idx="0">
                  <c:v>0.48002458512599877</c:v>
                </c:pt>
                <c:pt idx="1">
                  <c:v>0.16422864167178858</c:v>
                </c:pt>
                <c:pt idx="2">
                  <c:v>0.11628764597418562</c:v>
                </c:pt>
                <c:pt idx="3">
                  <c:v>0.21782421634910878</c:v>
                </c:pt>
                <c:pt idx="4">
                  <c:v>2.4585125998770742E-3</c:v>
                </c:pt>
                <c:pt idx="5">
                  <c:v>1.1063306699446835E-3</c:v>
                </c:pt>
                <c:pt idx="6">
                  <c:v>1.057160417947142E-2</c:v>
                </c:pt>
                <c:pt idx="7">
                  <c:v>5.6545789797172712E-3</c:v>
                </c:pt>
                <c:pt idx="8">
                  <c:v>9.8340503995082967E-4</c:v>
                </c:pt>
                <c:pt idx="9">
                  <c:v>6.1462814996926854E-4</c:v>
                </c:pt>
                <c:pt idx="11">
                  <c:v>2.4585125998770742E-4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Nakawa-Bugolobi'!$AE$9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Nakawa-Bugolobi'!$AE$10:$AE$21</c:f>
              <c:numCache>
                <c:formatCode>0</c:formatCode>
                <c:ptCount val="12"/>
                <c:pt idx="0">
                  <c:v>560</c:v>
                </c:pt>
                <c:pt idx="1">
                  <c:v>682</c:v>
                </c:pt>
                <c:pt idx="2">
                  <c:v>652</c:v>
                </c:pt>
                <c:pt idx="3">
                  <c:v>441</c:v>
                </c:pt>
                <c:pt idx="4">
                  <c:v>425</c:v>
                </c:pt>
                <c:pt idx="5">
                  <c:v>386</c:v>
                </c:pt>
                <c:pt idx="6">
                  <c:v>357</c:v>
                </c:pt>
                <c:pt idx="7">
                  <c:v>396</c:v>
                </c:pt>
                <c:pt idx="8">
                  <c:v>440</c:v>
                </c:pt>
                <c:pt idx="9">
                  <c:v>594</c:v>
                </c:pt>
                <c:pt idx="10">
                  <c:v>544</c:v>
                </c:pt>
                <c:pt idx="11">
                  <c:v>424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Nakawa-Bugolobi'!$AF$9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Nakawa-Bugolobi'!$AF$10:$AF$21</c:f>
              <c:numCache>
                <c:formatCode>0</c:formatCode>
                <c:ptCount val="12"/>
                <c:pt idx="0">
                  <c:v>898</c:v>
                </c:pt>
                <c:pt idx="1">
                  <c:v>1263</c:v>
                </c:pt>
                <c:pt idx="2">
                  <c:v>1383</c:v>
                </c:pt>
                <c:pt idx="3">
                  <c:v>956</c:v>
                </c:pt>
                <c:pt idx="4">
                  <c:v>846</c:v>
                </c:pt>
                <c:pt idx="5">
                  <c:v>783</c:v>
                </c:pt>
                <c:pt idx="6">
                  <c:v>678</c:v>
                </c:pt>
                <c:pt idx="7">
                  <c:v>838</c:v>
                </c:pt>
                <c:pt idx="8">
                  <c:v>849</c:v>
                </c:pt>
                <c:pt idx="9">
                  <c:v>1061</c:v>
                </c:pt>
                <c:pt idx="10">
                  <c:v>1030</c:v>
                </c:pt>
                <c:pt idx="11">
                  <c:v>833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1133360"/>
        <c:axId val="241136104"/>
      </c:lineChart>
      <c:catAx>
        <c:axId val="2411333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1136104"/>
        <c:crosses val="autoZero"/>
        <c:auto val="1"/>
        <c:lblAlgn val="ctr"/>
        <c:lblOffset val="100"/>
        <c:noMultiLvlLbl val="0"/>
      </c:catAx>
      <c:valAx>
        <c:axId val="241136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113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Nakawa-Bugolobi'!$C$59:$N$59</c:f>
              <c:numCache>
                <c:formatCode>0.0%</c:formatCode>
                <c:ptCount val="12"/>
                <c:pt idx="0">
                  <c:v>0.2858644245927483</c:v>
                </c:pt>
                <c:pt idx="1">
                  <c:v>7.094062007356805E-2</c:v>
                </c:pt>
                <c:pt idx="2">
                  <c:v>6.2708004904536693E-2</c:v>
                </c:pt>
                <c:pt idx="3">
                  <c:v>7.9961464354527945E-2</c:v>
                </c:pt>
                <c:pt idx="4">
                  <c:v>2.5398493606586092E-3</c:v>
                </c:pt>
                <c:pt idx="5">
                  <c:v>5.2548607461902258E-4</c:v>
                </c:pt>
                <c:pt idx="6">
                  <c:v>1.0246978455070941E-2</c:v>
                </c:pt>
                <c:pt idx="7">
                  <c:v>2.977754422841128E-3</c:v>
                </c:pt>
                <c:pt idx="8">
                  <c:v>7.0064809949203018E-4</c:v>
                </c:pt>
                <c:pt idx="9">
                  <c:v>3.5032404974601509E-4</c:v>
                </c:pt>
                <c:pt idx="10">
                  <c:v>0.48318444561219126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Nakawa-Bugolobi'!$S$9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Nakawa-Bugolobi'!$S$10:$S$21</c:f>
              <c:numCache>
                <c:formatCode>0</c:formatCode>
                <c:ptCount val="12"/>
                <c:pt idx="0">
                  <c:v>219</c:v>
                </c:pt>
                <c:pt idx="1">
                  <c:v>344</c:v>
                </c:pt>
                <c:pt idx="2">
                  <c:v>416</c:v>
                </c:pt>
                <c:pt idx="3">
                  <c:v>263</c:v>
                </c:pt>
                <c:pt idx="4">
                  <c:v>249</c:v>
                </c:pt>
                <c:pt idx="5">
                  <c:v>236</c:v>
                </c:pt>
                <c:pt idx="6">
                  <c:v>205</c:v>
                </c:pt>
                <c:pt idx="7">
                  <c:v>222</c:v>
                </c:pt>
                <c:pt idx="8">
                  <c:v>200</c:v>
                </c:pt>
                <c:pt idx="9">
                  <c:v>341</c:v>
                </c:pt>
                <c:pt idx="10">
                  <c:v>338</c:v>
                </c:pt>
                <c:pt idx="11">
                  <c:v>231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Nakawa-Bugolobi'!$T$9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Nakawa-Bugolobi'!$T$10:$T$21</c:f>
              <c:numCache>
                <c:formatCode>0</c:formatCode>
                <c:ptCount val="12"/>
                <c:pt idx="0">
                  <c:v>113</c:v>
                </c:pt>
                <c:pt idx="1">
                  <c:v>106</c:v>
                </c:pt>
                <c:pt idx="2">
                  <c:v>79</c:v>
                </c:pt>
                <c:pt idx="3">
                  <c:v>54</c:v>
                </c:pt>
                <c:pt idx="4">
                  <c:v>41</c:v>
                </c:pt>
                <c:pt idx="5">
                  <c:v>52</c:v>
                </c:pt>
                <c:pt idx="6">
                  <c:v>40</c:v>
                </c:pt>
                <c:pt idx="7">
                  <c:v>43</c:v>
                </c:pt>
                <c:pt idx="8">
                  <c:v>52</c:v>
                </c:pt>
                <c:pt idx="9">
                  <c:v>87</c:v>
                </c:pt>
                <c:pt idx="10">
                  <c:v>74</c:v>
                </c:pt>
                <c:pt idx="11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Nakawa-Bugolobi'!$U$9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Nakawa-Bugolobi'!$U$10:$U$21</c:f>
              <c:numCache>
                <c:formatCode>0</c:formatCode>
                <c:ptCount val="12"/>
                <c:pt idx="0">
                  <c:v>47</c:v>
                </c:pt>
                <c:pt idx="1">
                  <c:v>98</c:v>
                </c:pt>
                <c:pt idx="2">
                  <c:v>56</c:v>
                </c:pt>
                <c:pt idx="3">
                  <c:v>49</c:v>
                </c:pt>
                <c:pt idx="4">
                  <c:v>66</c:v>
                </c:pt>
                <c:pt idx="5">
                  <c:v>41</c:v>
                </c:pt>
                <c:pt idx="6">
                  <c:v>46</c:v>
                </c:pt>
                <c:pt idx="7">
                  <c:v>37</c:v>
                </c:pt>
                <c:pt idx="8">
                  <c:v>82</c:v>
                </c:pt>
                <c:pt idx="9">
                  <c:v>81</c:v>
                </c:pt>
                <c:pt idx="10">
                  <c:v>63</c:v>
                </c:pt>
                <c:pt idx="1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Nakawa-Bugolobi'!$V$9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Nakawa-Bugolobi'!$V$10:$V$21</c:f>
              <c:numCache>
                <c:formatCode>0</c:formatCode>
                <c:ptCount val="12"/>
                <c:pt idx="0">
                  <c:v>176</c:v>
                </c:pt>
                <c:pt idx="1">
                  <c:v>109</c:v>
                </c:pt>
                <c:pt idx="2">
                  <c:v>77</c:v>
                </c:pt>
                <c:pt idx="3">
                  <c:v>62</c:v>
                </c:pt>
                <c:pt idx="4">
                  <c:v>53</c:v>
                </c:pt>
                <c:pt idx="5">
                  <c:v>42</c:v>
                </c:pt>
                <c:pt idx="6">
                  <c:v>55</c:v>
                </c:pt>
                <c:pt idx="7">
                  <c:v>81</c:v>
                </c:pt>
                <c:pt idx="8">
                  <c:v>90</c:v>
                </c:pt>
                <c:pt idx="9">
                  <c:v>62</c:v>
                </c:pt>
                <c:pt idx="10">
                  <c:v>53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Nakawa-Bugolobi'!$W$9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Nakawa-Bugolobi'!$W$10:$W$21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Nakawa-Bugolobi'!$X$9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Nakawa-Bugolobi'!$Y$9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Nakawa-Bugolobi'!$Y$10:$Y$21</c:f>
              <c:numCache>
                <c:formatCode>0</c:formatCode>
                <c:ptCount val="12"/>
                <c:pt idx="0">
                  <c:v>0</c:v>
                </c:pt>
                <c:pt idx="1">
                  <c:v>19</c:v>
                </c:pt>
                <c:pt idx="2">
                  <c:v>17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9</c:v>
                </c:pt>
                <c:pt idx="7">
                  <c:v>2</c:v>
                </c:pt>
                <c:pt idx="8">
                  <c:v>10</c:v>
                </c:pt>
                <c:pt idx="9">
                  <c:v>15</c:v>
                </c:pt>
                <c:pt idx="10">
                  <c:v>7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Nakawa-Bugolobi'!$Z$9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9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Nakawa-Bugolobi'!$AA$9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Nakawa-Bugolobi'!$AB$9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Nakawa-Bugolobi'!$AC$9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Nakawa-Bugolobi'!$AC$10:$AC$21</c:f>
              <c:numCache>
                <c:formatCode>0</c:formatCode>
                <c:ptCount val="12"/>
                <c:pt idx="0">
                  <c:v>338</c:v>
                </c:pt>
                <c:pt idx="1">
                  <c:v>581</c:v>
                </c:pt>
                <c:pt idx="2">
                  <c:v>731</c:v>
                </c:pt>
                <c:pt idx="3">
                  <c:v>515</c:v>
                </c:pt>
                <c:pt idx="4">
                  <c:v>421</c:v>
                </c:pt>
                <c:pt idx="5">
                  <c:v>397</c:v>
                </c:pt>
                <c:pt idx="6">
                  <c:v>321</c:v>
                </c:pt>
                <c:pt idx="7">
                  <c:v>442</c:v>
                </c:pt>
                <c:pt idx="8">
                  <c:v>409</c:v>
                </c:pt>
                <c:pt idx="9">
                  <c:v>467</c:v>
                </c:pt>
                <c:pt idx="10">
                  <c:v>486</c:v>
                </c:pt>
                <c:pt idx="11">
                  <c:v>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Nakawa-Bugolobi'!$AD$9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Nakawa-Bugolobi'!$AD$10:$AD$21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1131400"/>
        <c:axId val="241131792"/>
      </c:lineChart>
      <c:catAx>
        <c:axId val="241131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1131792"/>
        <c:crosses val="autoZero"/>
        <c:auto val="1"/>
        <c:lblAlgn val="ctr"/>
        <c:lblOffset val="100"/>
        <c:noMultiLvlLbl val="0"/>
      </c:catAx>
      <c:valAx>
        <c:axId val="24113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1131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Nakawa-Bugolobi'!$C$60:$N$60</c:f>
              <c:numCache>
                <c:formatCode>0.00%</c:formatCode>
                <c:ptCount val="12"/>
                <c:pt idx="0">
                  <c:v>0.55312658871377729</c:v>
                </c:pt>
                <c:pt idx="1">
                  <c:v>0.13726487036095578</c:v>
                </c:pt>
                <c:pt idx="2">
                  <c:v>0.1213353668869683</c:v>
                </c:pt>
                <c:pt idx="3">
                  <c:v>0.15471953906117608</c:v>
                </c:pt>
                <c:pt idx="4">
                  <c:v>4.9144212845280465E-3</c:v>
                </c:pt>
                <c:pt idx="5">
                  <c:v>1.0167768174885613E-3</c:v>
                </c:pt>
                <c:pt idx="6">
                  <c:v>1.9827147941026944E-2</c:v>
                </c:pt>
                <c:pt idx="7">
                  <c:v>5.7617352991018471E-3</c:v>
                </c:pt>
                <c:pt idx="8">
                  <c:v>1.3557024233180816E-3</c:v>
                </c:pt>
                <c:pt idx="9">
                  <c:v>6.7785121165904081E-4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Bugolobi-Nakawa-24h'!$AE$9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Bugolobi-Nakawa-24h'!$R$10:$R$33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Bugolobi-Nakawa-24h'!$AE$10:$AE$33</c:f>
              <c:numCache>
                <c:formatCode>0</c:formatCode>
                <c:ptCount val="24"/>
                <c:pt idx="0">
                  <c:v>218</c:v>
                </c:pt>
                <c:pt idx="1">
                  <c:v>308</c:v>
                </c:pt>
                <c:pt idx="2">
                  <c:v>516</c:v>
                </c:pt>
                <c:pt idx="3">
                  <c:v>703</c:v>
                </c:pt>
                <c:pt idx="4">
                  <c:v>710</c:v>
                </c:pt>
                <c:pt idx="5">
                  <c:v>556</c:v>
                </c:pt>
                <c:pt idx="6">
                  <c:v>628</c:v>
                </c:pt>
                <c:pt idx="7">
                  <c:v>847</c:v>
                </c:pt>
                <c:pt idx="8">
                  <c:v>702</c:v>
                </c:pt>
                <c:pt idx="9">
                  <c:v>679</c:v>
                </c:pt>
                <c:pt idx="10">
                  <c:v>749</c:v>
                </c:pt>
                <c:pt idx="11">
                  <c:v>607</c:v>
                </c:pt>
                <c:pt idx="12">
                  <c:v>475</c:v>
                </c:pt>
                <c:pt idx="13">
                  <c:v>410</c:v>
                </c:pt>
                <c:pt idx="14">
                  <c:v>389</c:v>
                </c:pt>
                <c:pt idx="15">
                  <c:v>337</c:v>
                </c:pt>
                <c:pt idx="16">
                  <c:v>310</c:v>
                </c:pt>
                <c:pt idx="17">
                  <c:v>217</c:v>
                </c:pt>
                <c:pt idx="18">
                  <c:v>101</c:v>
                </c:pt>
                <c:pt idx="19">
                  <c:v>70</c:v>
                </c:pt>
                <c:pt idx="20">
                  <c:v>118</c:v>
                </c:pt>
                <c:pt idx="21">
                  <c:v>19</c:v>
                </c:pt>
                <c:pt idx="22">
                  <c:v>42</c:v>
                </c:pt>
                <c:pt idx="23">
                  <c:v>116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Bugolobi-Nakawa-24h'!$AF$9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Bugolobi-Nakawa-24h'!$R$10:$R$33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Bugolobi-Nakawa-24h'!$AF$10:$AF$33</c:f>
              <c:numCache>
                <c:formatCode>0</c:formatCode>
                <c:ptCount val="24"/>
                <c:pt idx="0">
                  <c:v>327</c:v>
                </c:pt>
                <c:pt idx="1">
                  <c:v>480</c:v>
                </c:pt>
                <c:pt idx="2">
                  <c:v>719</c:v>
                </c:pt>
                <c:pt idx="3">
                  <c:v>941</c:v>
                </c:pt>
                <c:pt idx="4">
                  <c:v>915</c:v>
                </c:pt>
                <c:pt idx="5">
                  <c:v>801</c:v>
                </c:pt>
                <c:pt idx="6">
                  <c:v>823</c:v>
                </c:pt>
                <c:pt idx="7">
                  <c:v>1254</c:v>
                </c:pt>
                <c:pt idx="8">
                  <c:v>1043</c:v>
                </c:pt>
                <c:pt idx="9">
                  <c:v>1032</c:v>
                </c:pt>
                <c:pt idx="10">
                  <c:v>1148</c:v>
                </c:pt>
                <c:pt idx="11">
                  <c:v>955</c:v>
                </c:pt>
                <c:pt idx="12">
                  <c:v>780</c:v>
                </c:pt>
                <c:pt idx="13">
                  <c:v>661</c:v>
                </c:pt>
                <c:pt idx="14">
                  <c:v>583</c:v>
                </c:pt>
                <c:pt idx="15">
                  <c:v>519</c:v>
                </c:pt>
                <c:pt idx="16">
                  <c:v>544</c:v>
                </c:pt>
                <c:pt idx="17">
                  <c:v>363</c:v>
                </c:pt>
                <c:pt idx="18">
                  <c:v>173</c:v>
                </c:pt>
                <c:pt idx="19">
                  <c:v>138</c:v>
                </c:pt>
                <c:pt idx="20">
                  <c:v>190</c:v>
                </c:pt>
                <c:pt idx="21">
                  <c:v>27</c:v>
                </c:pt>
                <c:pt idx="22">
                  <c:v>100</c:v>
                </c:pt>
                <c:pt idx="23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2108744"/>
        <c:axId val="242109920"/>
      </c:lineChart>
      <c:catAx>
        <c:axId val="242108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2109920"/>
        <c:crosses val="autoZero"/>
        <c:auto val="1"/>
        <c:lblAlgn val="ctr"/>
        <c:lblOffset val="100"/>
        <c:noMultiLvlLbl val="0"/>
      </c:catAx>
      <c:valAx>
        <c:axId val="242109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2108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Bugolobi-Nakawa-24h'!$C$9:$N$9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Bugolobi-Nakawa-24h'!$C$107:$N$107</c:f>
              <c:numCache>
                <c:formatCode>0.0%</c:formatCode>
                <c:ptCount val="12"/>
                <c:pt idx="0">
                  <c:v>0.32752187775591884</c:v>
                </c:pt>
                <c:pt idx="1">
                  <c:v>0.12604300929380638</c:v>
                </c:pt>
                <c:pt idx="2">
                  <c:v>5.7865816430364293E-2</c:v>
                </c:pt>
                <c:pt idx="3">
                  <c:v>0.13547249168984465</c:v>
                </c:pt>
                <c:pt idx="4">
                  <c:v>7.4621803134115731E-4</c:v>
                </c:pt>
                <c:pt idx="5">
                  <c:v>2.7135201139678449E-4</c:v>
                </c:pt>
                <c:pt idx="6">
                  <c:v>1.1328946475815753E-2</c:v>
                </c:pt>
                <c:pt idx="7">
                  <c:v>4.4094701851977482E-3</c:v>
                </c:pt>
                <c:pt idx="8">
                  <c:v>1.3567600569839224E-3</c:v>
                </c:pt>
                <c:pt idx="9">
                  <c:v>1.6281120683807068E-3</c:v>
                </c:pt>
                <c:pt idx="10">
                  <c:v>0.33335594600094975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Bugolobi-Nakawa-24h'!$C$9:$N$9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Bugolobi-Nakawa-24h'!$C$108:$N$108</c:f>
              <c:numCache>
                <c:formatCode>0.00%</c:formatCode>
                <c:ptCount val="12"/>
                <c:pt idx="0">
                  <c:v>0.49129948102167498</c:v>
                </c:pt>
                <c:pt idx="1">
                  <c:v>0.18907092703775313</c:v>
                </c:pt>
                <c:pt idx="2">
                  <c:v>8.6801668871476542E-2</c:v>
                </c:pt>
                <c:pt idx="3">
                  <c:v>0.20321563040602422</c:v>
                </c:pt>
                <c:pt idx="4">
                  <c:v>1.119365014755266E-3</c:v>
                </c:pt>
                <c:pt idx="5">
                  <c:v>4.0704182354736948E-4</c:v>
                </c:pt>
                <c:pt idx="6">
                  <c:v>1.6993996133102676E-2</c:v>
                </c:pt>
                <c:pt idx="7">
                  <c:v>6.6144296326447541E-3</c:v>
                </c:pt>
                <c:pt idx="8">
                  <c:v>2.0352091177368472E-3</c:v>
                </c:pt>
                <c:pt idx="9">
                  <c:v>2.4422509412842168E-3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Nakawa-Bugolobi-24h'!$AE$9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Nakawa-Bugolobi-24h'!$R$10:$R$33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Nakawa-Bugolobi-24h'!$AE$10:$AE$33</c:f>
              <c:numCache>
                <c:formatCode>0</c:formatCode>
                <c:ptCount val="24"/>
                <c:pt idx="0">
                  <c:v>210</c:v>
                </c:pt>
                <c:pt idx="1">
                  <c:v>313</c:v>
                </c:pt>
                <c:pt idx="2">
                  <c:v>436</c:v>
                </c:pt>
                <c:pt idx="3">
                  <c:v>483</c:v>
                </c:pt>
                <c:pt idx="4">
                  <c:v>422</c:v>
                </c:pt>
                <c:pt idx="5">
                  <c:v>461</c:v>
                </c:pt>
                <c:pt idx="6">
                  <c:v>526</c:v>
                </c:pt>
                <c:pt idx="7">
                  <c:v>663</c:v>
                </c:pt>
                <c:pt idx="8">
                  <c:v>602</c:v>
                </c:pt>
                <c:pt idx="9">
                  <c:v>538</c:v>
                </c:pt>
                <c:pt idx="10">
                  <c:v>473</c:v>
                </c:pt>
                <c:pt idx="11">
                  <c:v>350</c:v>
                </c:pt>
                <c:pt idx="12">
                  <c:v>323</c:v>
                </c:pt>
                <c:pt idx="13">
                  <c:v>324</c:v>
                </c:pt>
                <c:pt idx="14">
                  <c:v>306</c:v>
                </c:pt>
                <c:pt idx="15">
                  <c:v>288</c:v>
                </c:pt>
                <c:pt idx="16">
                  <c:v>219</c:v>
                </c:pt>
                <c:pt idx="17">
                  <c:v>145</c:v>
                </c:pt>
                <c:pt idx="18">
                  <c:v>102</c:v>
                </c:pt>
                <c:pt idx="19">
                  <c:v>72</c:v>
                </c:pt>
                <c:pt idx="20">
                  <c:v>61</c:v>
                </c:pt>
                <c:pt idx="21">
                  <c:v>85</c:v>
                </c:pt>
                <c:pt idx="22">
                  <c:v>58</c:v>
                </c:pt>
                <c:pt idx="23">
                  <c:v>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Nakawa-Bugolobi-24h'!$AF$9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Nakawa-Bugolobi-24h'!$R$10:$R$33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Nakawa-Bugolobi-24h'!$AF$10:$AF$33</c:f>
              <c:numCache>
                <c:formatCode>0</c:formatCode>
                <c:ptCount val="24"/>
                <c:pt idx="0">
                  <c:v>404</c:v>
                </c:pt>
                <c:pt idx="1">
                  <c:v>562</c:v>
                </c:pt>
                <c:pt idx="2">
                  <c:v>804</c:v>
                </c:pt>
                <c:pt idx="3">
                  <c:v>884</c:v>
                </c:pt>
                <c:pt idx="4">
                  <c:v>777</c:v>
                </c:pt>
                <c:pt idx="5">
                  <c:v>825</c:v>
                </c:pt>
                <c:pt idx="6">
                  <c:v>1063</c:v>
                </c:pt>
                <c:pt idx="7">
                  <c:v>1125</c:v>
                </c:pt>
                <c:pt idx="8">
                  <c:v>1086</c:v>
                </c:pt>
                <c:pt idx="9">
                  <c:v>962</c:v>
                </c:pt>
                <c:pt idx="10">
                  <c:v>852</c:v>
                </c:pt>
                <c:pt idx="11">
                  <c:v>676</c:v>
                </c:pt>
                <c:pt idx="12">
                  <c:v>580</c:v>
                </c:pt>
                <c:pt idx="13">
                  <c:v>543</c:v>
                </c:pt>
                <c:pt idx="14">
                  <c:v>511</c:v>
                </c:pt>
                <c:pt idx="15">
                  <c:v>496</c:v>
                </c:pt>
                <c:pt idx="16">
                  <c:v>376</c:v>
                </c:pt>
                <c:pt idx="17">
                  <c:v>253</c:v>
                </c:pt>
                <c:pt idx="18">
                  <c:v>182</c:v>
                </c:pt>
                <c:pt idx="19">
                  <c:v>138</c:v>
                </c:pt>
                <c:pt idx="20">
                  <c:v>122</c:v>
                </c:pt>
                <c:pt idx="21">
                  <c:v>181</c:v>
                </c:pt>
                <c:pt idx="22">
                  <c:v>123</c:v>
                </c:pt>
                <c:pt idx="23">
                  <c:v>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2104040"/>
        <c:axId val="242109136"/>
      </c:lineChart>
      <c:catAx>
        <c:axId val="242104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2109136"/>
        <c:crosses val="autoZero"/>
        <c:auto val="1"/>
        <c:lblAlgn val="ctr"/>
        <c:lblOffset val="100"/>
        <c:noMultiLvlLbl val="0"/>
      </c:catAx>
      <c:valAx>
        <c:axId val="242109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2104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Nakawa-Bugolobi-24h'!$C$9:$N$9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Nakawa-Bugolobi-24h'!$C$107:$N$107</c:f>
              <c:numCache>
                <c:formatCode>0.0%</c:formatCode>
                <c:ptCount val="12"/>
                <c:pt idx="0">
                  <c:v>0.33246111353394386</c:v>
                </c:pt>
                <c:pt idx="1">
                  <c:v>7.0431748800697774E-2</c:v>
                </c:pt>
                <c:pt idx="2">
                  <c:v>6.1491495856955951E-2</c:v>
                </c:pt>
                <c:pt idx="3">
                  <c:v>6.3163250472452387E-2</c:v>
                </c:pt>
                <c:pt idx="4">
                  <c:v>1.8171245820613462E-3</c:v>
                </c:pt>
                <c:pt idx="5">
                  <c:v>2.9073993312981537E-4</c:v>
                </c:pt>
                <c:pt idx="6">
                  <c:v>1.6208751271987207E-2</c:v>
                </c:pt>
                <c:pt idx="7">
                  <c:v>3.4888791975577847E-3</c:v>
                </c:pt>
                <c:pt idx="8">
                  <c:v>8.7221979938944616E-4</c:v>
                </c:pt>
                <c:pt idx="9">
                  <c:v>7.9953481610699228E-4</c:v>
                </c:pt>
                <c:pt idx="10">
                  <c:v>0.44882977176915251</c:v>
                </c:pt>
                <c:pt idx="11">
                  <c:v>1.4536996656490768E-4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Nakawa-Bugolobi-24h'!$C$9:$N$9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Nakawa-Bugolobi-24h'!$C$108:$N$108</c:f>
              <c:numCache>
                <c:formatCode>0.00%</c:formatCode>
                <c:ptCount val="12"/>
                <c:pt idx="0">
                  <c:v>0.60319134907028882</c:v>
                </c:pt>
                <c:pt idx="1">
                  <c:v>0.12778583674007649</c:v>
                </c:pt>
                <c:pt idx="2">
                  <c:v>0.1115653435315838</c:v>
                </c:pt>
                <c:pt idx="3">
                  <c:v>0.11459844388764341</c:v>
                </c:pt>
                <c:pt idx="4">
                  <c:v>3.2968482131082687E-3</c:v>
                </c:pt>
                <c:pt idx="5">
                  <c:v>5.2749571409732294E-4</c:v>
                </c:pt>
                <c:pt idx="6">
                  <c:v>2.9407886060925755E-2</c:v>
                </c:pt>
                <c:pt idx="7">
                  <c:v>6.3299485691678753E-3</c:v>
                </c:pt>
                <c:pt idx="8">
                  <c:v>1.5824871422919688E-3</c:v>
                </c:pt>
                <c:pt idx="9">
                  <c:v>1.450613213767638E-3</c:v>
                </c:pt>
                <c:pt idx="11">
                  <c:v>2.6374785704866147E-4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Bugolobi-Nakawa'!$AE$9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Bugolobi-Nakawa'!$AE$10:$AE$21</c:f>
              <c:numCache>
                <c:formatCode>0</c:formatCode>
                <c:ptCount val="12"/>
                <c:pt idx="0">
                  <c:v>98</c:v>
                </c:pt>
                <c:pt idx="1">
                  <c:v>272</c:v>
                </c:pt>
                <c:pt idx="2">
                  <c:v>161</c:v>
                </c:pt>
                <c:pt idx="3">
                  <c:v>219</c:v>
                </c:pt>
                <c:pt idx="4">
                  <c:v>288</c:v>
                </c:pt>
                <c:pt idx="5">
                  <c:v>195</c:v>
                </c:pt>
                <c:pt idx="6">
                  <c:v>260</c:v>
                </c:pt>
                <c:pt idx="7">
                  <c:v>350</c:v>
                </c:pt>
                <c:pt idx="8">
                  <c:v>306</c:v>
                </c:pt>
                <c:pt idx="9">
                  <c:v>329</c:v>
                </c:pt>
                <c:pt idx="10">
                  <c:v>452</c:v>
                </c:pt>
                <c:pt idx="11">
                  <c:v>433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Bugolobi-Nakawa'!$AF$9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Bugolobi-Nakawa'!$AF$10:$AF$21</c:f>
              <c:numCache>
                <c:formatCode>0</c:formatCode>
                <c:ptCount val="12"/>
                <c:pt idx="0">
                  <c:v>207</c:v>
                </c:pt>
                <c:pt idx="1">
                  <c:v>443</c:v>
                </c:pt>
                <c:pt idx="2">
                  <c:v>279</c:v>
                </c:pt>
                <c:pt idx="3">
                  <c:v>452</c:v>
                </c:pt>
                <c:pt idx="4">
                  <c:v>556</c:v>
                </c:pt>
                <c:pt idx="5">
                  <c:v>378</c:v>
                </c:pt>
                <c:pt idx="6">
                  <c:v>409</c:v>
                </c:pt>
                <c:pt idx="7">
                  <c:v>579</c:v>
                </c:pt>
                <c:pt idx="8">
                  <c:v>544</c:v>
                </c:pt>
                <c:pt idx="9">
                  <c:v>594</c:v>
                </c:pt>
                <c:pt idx="10">
                  <c:v>761</c:v>
                </c:pt>
                <c:pt idx="11">
                  <c:v>762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2105608"/>
        <c:axId val="242106392"/>
      </c:lineChart>
      <c:catAx>
        <c:axId val="2421056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2106392"/>
        <c:crosses val="autoZero"/>
        <c:auto val="1"/>
        <c:lblAlgn val="ctr"/>
        <c:lblOffset val="100"/>
        <c:noMultiLvlLbl val="0"/>
      </c:catAx>
      <c:valAx>
        <c:axId val="242106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2105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Bugolobi-Nakawa'!$C$59:$N$59</c:f>
              <c:numCache>
                <c:formatCode>0.0%</c:formatCode>
                <c:ptCount val="12"/>
                <c:pt idx="0">
                  <c:v>0.34808853118712274</c:v>
                </c:pt>
                <c:pt idx="1">
                  <c:v>6.8075117370892016E-2</c:v>
                </c:pt>
                <c:pt idx="2">
                  <c:v>5.2146210596914822E-2</c:v>
                </c:pt>
                <c:pt idx="3">
                  <c:v>7.8303152246814223E-2</c:v>
                </c:pt>
                <c:pt idx="4">
                  <c:v>5.0301810865191151E-4</c:v>
                </c:pt>
                <c:pt idx="5">
                  <c:v>0</c:v>
                </c:pt>
                <c:pt idx="6">
                  <c:v>1.039570757880617E-2</c:v>
                </c:pt>
                <c:pt idx="7">
                  <c:v>4.6948356807511738E-3</c:v>
                </c:pt>
                <c:pt idx="8">
                  <c:v>1.5090543259557343E-3</c:v>
                </c:pt>
                <c:pt idx="9">
                  <c:v>1.6767270288397049E-4</c:v>
                </c:pt>
                <c:pt idx="10">
                  <c:v>0.43611670020120724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Bugolobi-Nakawa'!$S$9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Bugolobi-Nakawa'!$S$10:$S$21</c:f>
              <c:numCache>
                <c:formatCode>0</c:formatCode>
                <c:ptCount val="12"/>
                <c:pt idx="0">
                  <c:v>46</c:v>
                </c:pt>
                <c:pt idx="1">
                  <c:v>109</c:v>
                </c:pt>
                <c:pt idx="2">
                  <c:v>88</c:v>
                </c:pt>
                <c:pt idx="3">
                  <c:v>118</c:v>
                </c:pt>
                <c:pt idx="4">
                  <c:v>192</c:v>
                </c:pt>
                <c:pt idx="5">
                  <c:v>119</c:v>
                </c:pt>
                <c:pt idx="6">
                  <c:v>157</c:v>
                </c:pt>
                <c:pt idx="7">
                  <c:v>231</c:v>
                </c:pt>
                <c:pt idx="8">
                  <c:v>208</c:v>
                </c:pt>
                <c:pt idx="9">
                  <c:v>232</c:v>
                </c:pt>
                <c:pt idx="10">
                  <c:v>314</c:v>
                </c:pt>
                <c:pt idx="11">
                  <c:v>262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Bugolobi-Nakawa'!$T$9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Bugolobi-Nakawa'!$R$10:$R$21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Bugolobi-Nakawa'!$T$10:$T$21</c:f>
              <c:numCache>
                <c:formatCode>0</c:formatCode>
                <c:ptCount val="12"/>
                <c:pt idx="0">
                  <c:v>4</c:v>
                </c:pt>
                <c:pt idx="1">
                  <c:v>16</c:v>
                </c:pt>
                <c:pt idx="2">
                  <c:v>21</c:v>
                </c:pt>
                <c:pt idx="3">
                  <c:v>22</c:v>
                </c:pt>
                <c:pt idx="4">
                  <c:v>26</c:v>
                </c:pt>
                <c:pt idx="5">
                  <c:v>29</c:v>
                </c:pt>
                <c:pt idx="6">
                  <c:v>35</c:v>
                </c:pt>
                <c:pt idx="7">
                  <c:v>53</c:v>
                </c:pt>
                <c:pt idx="8">
                  <c:v>46</c:v>
                </c:pt>
                <c:pt idx="9">
                  <c:v>36</c:v>
                </c:pt>
                <c:pt idx="10">
                  <c:v>52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Bugolobi-Nakawa'!$U$9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Bugolobi-Nakawa'!$U$10:$U$21</c:f>
              <c:numCache>
                <c:formatCode>0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19</c:v>
                </c:pt>
                <c:pt idx="3">
                  <c:v>25</c:v>
                </c:pt>
                <c:pt idx="4">
                  <c:v>28</c:v>
                </c:pt>
                <c:pt idx="5">
                  <c:v>19</c:v>
                </c:pt>
                <c:pt idx="6">
                  <c:v>23</c:v>
                </c:pt>
                <c:pt idx="7">
                  <c:v>26</c:v>
                </c:pt>
                <c:pt idx="8">
                  <c:v>18</c:v>
                </c:pt>
                <c:pt idx="9">
                  <c:v>16</c:v>
                </c:pt>
                <c:pt idx="10">
                  <c:v>49</c:v>
                </c:pt>
                <c:pt idx="11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Bugolobi-Nakawa'!$V$9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Bugolobi-Nakawa'!$V$10:$V$21</c:f>
              <c:numCache>
                <c:formatCode>0</c:formatCode>
                <c:ptCount val="12"/>
                <c:pt idx="0">
                  <c:v>36</c:v>
                </c:pt>
                <c:pt idx="1">
                  <c:v>116</c:v>
                </c:pt>
                <c:pt idx="2">
                  <c:v>28</c:v>
                </c:pt>
                <c:pt idx="3">
                  <c:v>43</c:v>
                </c:pt>
                <c:pt idx="4">
                  <c:v>38</c:v>
                </c:pt>
                <c:pt idx="5">
                  <c:v>20</c:v>
                </c:pt>
                <c:pt idx="6">
                  <c:v>35</c:v>
                </c:pt>
                <c:pt idx="7">
                  <c:v>31</c:v>
                </c:pt>
                <c:pt idx="8">
                  <c:v>26</c:v>
                </c:pt>
                <c:pt idx="9">
                  <c:v>35</c:v>
                </c:pt>
                <c:pt idx="10">
                  <c:v>31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Bugolobi-Nakawa'!$W$9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Bugolobi-Nakawa'!$X$9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Bugolobi-Nakawa'!$Y$9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Bugolobi-Nakawa'!$Y$10:$Y$21</c:f>
              <c:numCache>
                <c:formatCode>0</c:formatCode>
                <c:ptCount val="12"/>
                <c:pt idx="0">
                  <c:v>3</c:v>
                </c:pt>
                <c:pt idx="1">
                  <c:v>11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3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Bugolobi-Nakawa'!$Z$9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Bugolobi-Nakawa'!$Z$10:$Z$21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Bugolobi-Nakawa'!$AA$9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Bugolobi-Nakawa'!$AB$9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Bugolobi-Nakawa'!$AC$9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Bugolobi-Nakawa'!$AC$10:$AC$21</c:f>
              <c:numCache>
                <c:formatCode>0</c:formatCode>
                <c:ptCount val="12"/>
                <c:pt idx="0">
                  <c:v>109</c:v>
                </c:pt>
                <c:pt idx="1">
                  <c:v>171</c:v>
                </c:pt>
                <c:pt idx="2">
                  <c:v>118</c:v>
                </c:pt>
                <c:pt idx="3">
                  <c:v>233</c:v>
                </c:pt>
                <c:pt idx="4">
                  <c:v>268</c:v>
                </c:pt>
                <c:pt idx="5">
                  <c:v>183</c:v>
                </c:pt>
                <c:pt idx="6">
                  <c:v>149</c:v>
                </c:pt>
                <c:pt idx="7">
                  <c:v>229</c:v>
                </c:pt>
                <c:pt idx="8">
                  <c:v>238</c:v>
                </c:pt>
                <c:pt idx="9">
                  <c:v>265</c:v>
                </c:pt>
                <c:pt idx="10">
                  <c:v>309</c:v>
                </c:pt>
                <c:pt idx="11">
                  <c:v>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Bugolobi-Nakawa'!$AD$9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Bugolobi-Nakawa'!$AD$10:$AD$21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3148256"/>
        <c:axId val="243149432"/>
      </c:lineChart>
      <c:catAx>
        <c:axId val="243148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3149432"/>
        <c:crosses val="autoZero"/>
        <c:auto val="1"/>
        <c:lblAlgn val="ctr"/>
        <c:lblOffset val="100"/>
        <c:noMultiLvlLbl val="0"/>
      </c:catAx>
      <c:valAx>
        <c:axId val="243149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314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Bugolobi-Nakawa'!$C$60:$N$60</c:f>
              <c:numCache>
                <c:formatCode>0.00%</c:formatCode>
                <c:ptCount val="12"/>
                <c:pt idx="0">
                  <c:v>0.61730597680642285</c:v>
                </c:pt>
                <c:pt idx="1">
                  <c:v>0.12072554267023491</c:v>
                </c:pt>
                <c:pt idx="2">
                  <c:v>9.2476955099613442E-2</c:v>
                </c:pt>
                <c:pt idx="3">
                  <c:v>0.13886410942610763</c:v>
                </c:pt>
                <c:pt idx="4">
                  <c:v>8.9206066012488853E-4</c:v>
                </c:pt>
                <c:pt idx="5">
                  <c:v>0</c:v>
                </c:pt>
                <c:pt idx="6">
                  <c:v>1.8435920309247695E-2</c:v>
                </c:pt>
                <c:pt idx="7">
                  <c:v>8.3258994944989586E-3</c:v>
                </c:pt>
                <c:pt idx="8">
                  <c:v>2.6761819803746653E-3</c:v>
                </c:pt>
                <c:pt idx="9">
                  <c:v>2.9735355337496281E-4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Nakawa-Bugolobi'!$AE$9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Nakawa-Bugolobi'!$AE$10:$AE$21</c:f>
              <c:numCache>
                <c:formatCode>0</c:formatCode>
                <c:ptCount val="12"/>
                <c:pt idx="0">
                  <c:v>132</c:v>
                </c:pt>
                <c:pt idx="1">
                  <c:v>116</c:v>
                </c:pt>
                <c:pt idx="2">
                  <c:v>239</c:v>
                </c:pt>
                <c:pt idx="3">
                  <c:v>313</c:v>
                </c:pt>
                <c:pt idx="4">
                  <c:v>429</c:v>
                </c:pt>
                <c:pt idx="5">
                  <c:v>360</c:v>
                </c:pt>
                <c:pt idx="6">
                  <c:v>385</c:v>
                </c:pt>
                <c:pt idx="7">
                  <c:v>366</c:v>
                </c:pt>
                <c:pt idx="8">
                  <c:v>326</c:v>
                </c:pt>
                <c:pt idx="9">
                  <c:v>379</c:v>
                </c:pt>
                <c:pt idx="10">
                  <c:v>397</c:v>
                </c:pt>
                <c:pt idx="11">
                  <c:v>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Nakawa-Bugolobi'!$AF$9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Nakawa-Bugolobi'!$AF$10:$AF$21</c:f>
              <c:numCache>
                <c:formatCode>0</c:formatCode>
                <c:ptCount val="12"/>
                <c:pt idx="0">
                  <c:v>319</c:v>
                </c:pt>
                <c:pt idx="1">
                  <c:v>255</c:v>
                </c:pt>
                <c:pt idx="2">
                  <c:v>386</c:v>
                </c:pt>
                <c:pt idx="3">
                  <c:v>507</c:v>
                </c:pt>
                <c:pt idx="4">
                  <c:v>653</c:v>
                </c:pt>
                <c:pt idx="5">
                  <c:v>580</c:v>
                </c:pt>
                <c:pt idx="6">
                  <c:v>648</c:v>
                </c:pt>
                <c:pt idx="7">
                  <c:v>583</c:v>
                </c:pt>
                <c:pt idx="8">
                  <c:v>539</c:v>
                </c:pt>
                <c:pt idx="9">
                  <c:v>656</c:v>
                </c:pt>
                <c:pt idx="10">
                  <c:v>664</c:v>
                </c:pt>
                <c:pt idx="11">
                  <c:v>657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3143552"/>
        <c:axId val="243143944"/>
      </c:lineChart>
      <c:catAx>
        <c:axId val="2431435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3143944"/>
        <c:crosses val="autoZero"/>
        <c:auto val="1"/>
        <c:lblAlgn val="ctr"/>
        <c:lblOffset val="100"/>
        <c:noMultiLvlLbl val="0"/>
      </c:catAx>
      <c:valAx>
        <c:axId val="243143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314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Nakawa-Bugolobi'!$C$59:$N$59</c:f>
              <c:numCache>
                <c:formatCode>0.0%</c:formatCode>
                <c:ptCount val="12"/>
                <c:pt idx="0">
                  <c:v>0.34419109663409336</c:v>
                </c:pt>
                <c:pt idx="1">
                  <c:v>9.1515433534977514E-2</c:v>
                </c:pt>
                <c:pt idx="2">
                  <c:v>4.699860400186133E-2</c:v>
                </c:pt>
                <c:pt idx="3">
                  <c:v>8.8723437257639218E-2</c:v>
                </c:pt>
                <c:pt idx="4">
                  <c:v>3.2573289902280132E-3</c:v>
                </c:pt>
                <c:pt idx="5">
                  <c:v>9.3066542577943234E-4</c:v>
                </c:pt>
                <c:pt idx="6">
                  <c:v>7.9106561191251753E-3</c:v>
                </c:pt>
                <c:pt idx="7">
                  <c:v>4.6533271288971617E-3</c:v>
                </c:pt>
                <c:pt idx="8">
                  <c:v>2.3266635644485808E-3</c:v>
                </c:pt>
                <c:pt idx="9">
                  <c:v>1.3959981386691485E-3</c:v>
                </c:pt>
                <c:pt idx="10">
                  <c:v>0.40794167829998451</c:v>
                </c:pt>
                <c:pt idx="11">
                  <c:v>1.5511090429657206E-4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Nakawa-Bugolobi'!$S$9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Nakawa-Bugolobi'!$S$10:$S$21</c:f>
              <c:numCache>
                <c:formatCode>0</c:formatCode>
                <c:ptCount val="12"/>
                <c:pt idx="0">
                  <c:v>58</c:v>
                </c:pt>
                <c:pt idx="1">
                  <c:v>56</c:v>
                </c:pt>
                <c:pt idx="2">
                  <c:v>108</c:v>
                </c:pt>
                <c:pt idx="3">
                  <c:v>136</c:v>
                </c:pt>
                <c:pt idx="4">
                  <c:v>208</c:v>
                </c:pt>
                <c:pt idx="5">
                  <c:v>213</c:v>
                </c:pt>
                <c:pt idx="6">
                  <c:v>223</c:v>
                </c:pt>
                <c:pt idx="7">
                  <c:v>257</c:v>
                </c:pt>
                <c:pt idx="8">
                  <c:v>220</c:v>
                </c:pt>
                <c:pt idx="9">
                  <c:v>250</c:v>
                </c:pt>
                <c:pt idx="10">
                  <c:v>257</c:v>
                </c:pt>
                <c:pt idx="11">
                  <c:v>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Nakawa-Bugolobi'!$T$9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Nakawa-Bugolobi'!$R$10:$R$21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Nakawa-Bugolobi'!$T$10:$T$21</c:f>
              <c:numCache>
                <c:formatCode>0</c:formatCode>
                <c:ptCount val="12"/>
                <c:pt idx="0">
                  <c:v>12</c:v>
                </c:pt>
                <c:pt idx="1">
                  <c:v>8</c:v>
                </c:pt>
                <c:pt idx="2">
                  <c:v>34</c:v>
                </c:pt>
                <c:pt idx="3">
                  <c:v>52</c:v>
                </c:pt>
                <c:pt idx="4">
                  <c:v>87</c:v>
                </c:pt>
                <c:pt idx="5">
                  <c:v>56</c:v>
                </c:pt>
                <c:pt idx="6">
                  <c:v>65</c:v>
                </c:pt>
                <c:pt idx="7">
                  <c:v>43</c:v>
                </c:pt>
                <c:pt idx="8">
                  <c:v>34</c:v>
                </c:pt>
                <c:pt idx="9">
                  <c:v>53</c:v>
                </c:pt>
                <c:pt idx="10">
                  <c:v>74</c:v>
                </c:pt>
                <c:pt idx="1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Nakawa-Bugolobi'!$U$9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Nakawa-Bugolobi'!$U$10:$U$21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37</c:v>
                </c:pt>
                <c:pt idx="3">
                  <c:v>44</c:v>
                </c:pt>
                <c:pt idx="4">
                  <c:v>57</c:v>
                </c:pt>
                <c:pt idx="5">
                  <c:v>29</c:v>
                </c:pt>
                <c:pt idx="6">
                  <c:v>31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15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Nakawa-Bugolobi'!$V$9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Nakawa-Bugolobi'!$V$10:$V$21</c:f>
              <c:numCache>
                <c:formatCode>0</c:formatCode>
                <c:ptCount val="12"/>
                <c:pt idx="0">
                  <c:v>43</c:v>
                </c:pt>
                <c:pt idx="1">
                  <c:v>37</c:v>
                </c:pt>
                <c:pt idx="2">
                  <c:v>51</c:v>
                </c:pt>
                <c:pt idx="3">
                  <c:v>65</c:v>
                </c:pt>
                <c:pt idx="4">
                  <c:v>52</c:v>
                </c:pt>
                <c:pt idx="5">
                  <c:v>55</c:v>
                </c:pt>
                <c:pt idx="6">
                  <c:v>52</c:v>
                </c:pt>
                <c:pt idx="7">
                  <c:v>42</c:v>
                </c:pt>
                <c:pt idx="8">
                  <c:v>43</c:v>
                </c:pt>
                <c:pt idx="9">
                  <c:v>50</c:v>
                </c:pt>
                <c:pt idx="10">
                  <c:v>47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Nakawa-Bugolobi'!$W$9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9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Nakawa-Bugolobi'!$X$9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Nakawa-Bugolobi'!$Y$9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12</c:v>
                </c:pt>
                <c:pt idx="5">
                  <c:v>2</c:v>
                </c:pt>
                <c:pt idx="6">
                  <c:v>5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Nakawa-Bugolobi'!$Z$9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Nakawa-Bugolobi'!$Z$10:$Z$21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5</c:v>
                </c:pt>
                <c:pt idx="7">
                  <c:v>0</c:v>
                </c:pt>
                <c:pt idx="8">
                  <c:v>7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Nakawa-Bugolobi'!$AA$9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Nakawa-Bugolobi'!$AB$9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Nakawa-Bugolobi'!$AC$9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Nakawa-Bugolobi'!$AC$10:$AC$21</c:f>
              <c:numCache>
                <c:formatCode>0</c:formatCode>
                <c:ptCount val="12"/>
                <c:pt idx="0">
                  <c:v>187</c:v>
                </c:pt>
                <c:pt idx="1">
                  <c:v>139</c:v>
                </c:pt>
                <c:pt idx="2">
                  <c:v>147</c:v>
                </c:pt>
                <c:pt idx="3">
                  <c:v>194</c:v>
                </c:pt>
                <c:pt idx="4">
                  <c:v>224</c:v>
                </c:pt>
                <c:pt idx="5">
                  <c:v>220</c:v>
                </c:pt>
                <c:pt idx="6">
                  <c:v>263</c:v>
                </c:pt>
                <c:pt idx="7">
                  <c:v>217</c:v>
                </c:pt>
                <c:pt idx="8">
                  <c:v>213</c:v>
                </c:pt>
                <c:pt idx="9">
                  <c:v>277</c:v>
                </c:pt>
                <c:pt idx="10">
                  <c:v>267</c:v>
                </c:pt>
                <c:pt idx="11">
                  <c:v>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Nakawa-Bugolobi'!$AD$9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Nakawa-Bugolobi'!$AD$10:$AD$21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3150216"/>
        <c:axId val="243142768"/>
      </c:lineChart>
      <c:catAx>
        <c:axId val="243150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3142768"/>
        <c:crosses val="autoZero"/>
        <c:auto val="1"/>
        <c:lblAlgn val="ctr"/>
        <c:lblOffset val="100"/>
        <c:noMultiLvlLbl val="0"/>
      </c:catAx>
      <c:valAx>
        <c:axId val="24314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3150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Nakawa-Bugolobi'!$C$60:$N$60</c:f>
              <c:numCache>
                <c:formatCode>0.00%</c:formatCode>
                <c:ptCount val="12"/>
                <c:pt idx="0">
                  <c:v>0.58134660728320675</c:v>
                </c:pt>
                <c:pt idx="1">
                  <c:v>0.15457165313073093</c:v>
                </c:pt>
                <c:pt idx="2">
                  <c:v>7.9381713387477071E-2</c:v>
                </c:pt>
                <c:pt idx="3">
                  <c:v>0.14985590778097982</c:v>
                </c:pt>
                <c:pt idx="4">
                  <c:v>5.5017029080429653E-3</c:v>
                </c:pt>
                <c:pt idx="5">
                  <c:v>1.5719151165837044E-3</c:v>
                </c:pt>
                <c:pt idx="6">
                  <c:v>1.3361278490961487E-2</c:v>
                </c:pt>
                <c:pt idx="7">
                  <c:v>7.8595755829185231E-3</c:v>
                </c:pt>
                <c:pt idx="8">
                  <c:v>3.9297877914592615E-3</c:v>
                </c:pt>
                <c:pt idx="9">
                  <c:v>2.3578726748755569E-3</c:v>
                </c:pt>
                <c:pt idx="11">
                  <c:v>2.6198585276395077E-4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Bugolobi-Nakawa'!$AE$9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Bugolobi-Nakawa'!$R$10:$R$32</c:f>
              <c:strCache>
                <c:ptCount val="23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1900-2000</c:v>
                </c:pt>
                <c:pt idx="12">
                  <c:v>2000-2100</c:v>
                </c:pt>
                <c:pt idx="13">
                  <c:v>2100-2200</c:v>
                </c:pt>
                <c:pt idx="14">
                  <c:v>2200-2300</c:v>
                </c:pt>
                <c:pt idx="15">
                  <c:v>2300-0000</c:v>
                </c:pt>
                <c:pt idx="16">
                  <c:v>0000-0100</c:v>
                </c:pt>
                <c:pt idx="17">
                  <c:v>0100-0200</c:v>
                </c:pt>
                <c:pt idx="18">
                  <c:v>0200-0300</c:v>
                </c:pt>
                <c:pt idx="19">
                  <c:v>0300-0400</c:v>
                </c:pt>
                <c:pt idx="20">
                  <c:v>0400-0500</c:v>
                </c:pt>
                <c:pt idx="21">
                  <c:v>0500-0600</c:v>
                </c:pt>
                <c:pt idx="22">
                  <c:v>0600-0700</c:v>
                </c:pt>
              </c:strCache>
            </c:strRef>
          </c:cat>
          <c:val>
            <c:numRef>
              <c:f>'Avg Week Bugolobi-Nakawa'!$AE$10:$AE$32</c:f>
              <c:numCache>
                <c:formatCode>0</c:formatCode>
                <c:ptCount val="23"/>
                <c:pt idx="0">
                  <c:v>675.142857142857</c:v>
                </c:pt>
                <c:pt idx="1">
                  <c:v>748.42857142857122</c:v>
                </c:pt>
                <c:pt idx="2">
                  <c:v>690.99999999999989</c:v>
                </c:pt>
                <c:pt idx="3">
                  <c:v>609.57142857142844</c:v>
                </c:pt>
                <c:pt idx="4">
                  <c:v>591.28571428571422</c:v>
                </c:pt>
                <c:pt idx="5">
                  <c:v>568.42857142857133</c:v>
                </c:pt>
                <c:pt idx="6">
                  <c:v>528.28571428571422</c:v>
                </c:pt>
                <c:pt idx="7">
                  <c:v>609.57142857142856</c:v>
                </c:pt>
                <c:pt idx="8">
                  <c:v>606.57142857142856</c:v>
                </c:pt>
                <c:pt idx="9">
                  <c:v>695.42857142857133</c:v>
                </c:pt>
                <c:pt idx="10">
                  <c:v>976.42857142857133</c:v>
                </c:pt>
                <c:pt idx="11">
                  <c:v>1051.5714285714284</c:v>
                </c:pt>
                <c:pt idx="12">
                  <c:v>391.5</c:v>
                </c:pt>
                <c:pt idx="13">
                  <c:v>391</c:v>
                </c:pt>
                <c:pt idx="14">
                  <c:v>262.5</c:v>
                </c:pt>
                <c:pt idx="15">
                  <c:v>231</c:v>
                </c:pt>
                <c:pt idx="16">
                  <c:v>150.5</c:v>
                </c:pt>
                <c:pt idx="17">
                  <c:v>87</c:v>
                </c:pt>
                <c:pt idx="18">
                  <c:v>54.5</c:v>
                </c:pt>
                <c:pt idx="19">
                  <c:v>42.5</c:v>
                </c:pt>
                <c:pt idx="20">
                  <c:v>51.5</c:v>
                </c:pt>
                <c:pt idx="21">
                  <c:v>38.5</c:v>
                </c:pt>
                <c:pt idx="22">
                  <c:v>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Bugolobi-Nakawa'!$AF$9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Bugolobi-Nakawa'!$R$10:$R$32</c:f>
              <c:strCache>
                <c:ptCount val="23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1900-2000</c:v>
                </c:pt>
                <c:pt idx="12">
                  <c:v>2000-2100</c:v>
                </c:pt>
                <c:pt idx="13">
                  <c:v>2100-2200</c:v>
                </c:pt>
                <c:pt idx="14">
                  <c:v>2200-2300</c:v>
                </c:pt>
                <c:pt idx="15">
                  <c:v>2300-0000</c:v>
                </c:pt>
                <c:pt idx="16">
                  <c:v>0000-0100</c:v>
                </c:pt>
                <c:pt idx="17">
                  <c:v>0100-0200</c:v>
                </c:pt>
                <c:pt idx="18">
                  <c:v>0200-0300</c:v>
                </c:pt>
                <c:pt idx="19">
                  <c:v>0300-0400</c:v>
                </c:pt>
                <c:pt idx="20">
                  <c:v>0400-0500</c:v>
                </c:pt>
                <c:pt idx="21">
                  <c:v>0500-0600</c:v>
                </c:pt>
                <c:pt idx="22">
                  <c:v>0600-0700</c:v>
                </c:pt>
              </c:strCache>
            </c:strRef>
          </c:cat>
          <c:val>
            <c:numRef>
              <c:f>'Avg Week Bugolobi-Nakawa'!$AF$10:$AF$32</c:f>
              <c:numCache>
                <c:formatCode>0</c:formatCode>
                <c:ptCount val="23"/>
                <c:pt idx="0">
                  <c:v>944.99999999999989</c:v>
                </c:pt>
                <c:pt idx="1">
                  <c:v>1028.1428571428569</c:v>
                </c:pt>
                <c:pt idx="2">
                  <c:v>971.57142857142844</c:v>
                </c:pt>
                <c:pt idx="3">
                  <c:v>860.14285714285711</c:v>
                </c:pt>
                <c:pt idx="4">
                  <c:v>829.71428571428578</c:v>
                </c:pt>
                <c:pt idx="5">
                  <c:v>821.28571428571422</c:v>
                </c:pt>
                <c:pt idx="6">
                  <c:v>750.57142857142856</c:v>
                </c:pt>
                <c:pt idx="7">
                  <c:v>889.71428571428555</c:v>
                </c:pt>
                <c:pt idx="8">
                  <c:v>877.14285714285711</c:v>
                </c:pt>
                <c:pt idx="9">
                  <c:v>981.28571428571422</c:v>
                </c:pt>
                <c:pt idx="10">
                  <c:v>1291.7142857142856</c:v>
                </c:pt>
                <c:pt idx="11">
                  <c:v>1357.5714285714287</c:v>
                </c:pt>
                <c:pt idx="12">
                  <c:v>609</c:v>
                </c:pt>
                <c:pt idx="13">
                  <c:v>573</c:v>
                </c:pt>
                <c:pt idx="14">
                  <c:v>399</c:v>
                </c:pt>
                <c:pt idx="15">
                  <c:v>370.5</c:v>
                </c:pt>
                <c:pt idx="16">
                  <c:v>258.5</c:v>
                </c:pt>
                <c:pt idx="17">
                  <c:v>139.5</c:v>
                </c:pt>
                <c:pt idx="18">
                  <c:v>98.5</c:v>
                </c:pt>
                <c:pt idx="19">
                  <c:v>75</c:v>
                </c:pt>
                <c:pt idx="20">
                  <c:v>93.5</c:v>
                </c:pt>
                <c:pt idx="21">
                  <c:v>92.5</c:v>
                </c:pt>
                <c:pt idx="22">
                  <c:v>341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3146296"/>
        <c:axId val="243146688"/>
      </c:lineChart>
      <c:catAx>
        <c:axId val="2431462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3146688"/>
        <c:crosses val="autoZero"/>
        <c:auto val="1"/>
        <c:lblAlgn val="ctr"/>
        <c:lblOffset val="100"/>
        <c:noMultiLvlLbl val="0"/>
      </c:catAx>
      <c:valAx>
        <c:axId val="2431466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3146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8014698162729656"/>
          <c:y val="6.6327170268764946E-2"/>
          <c:w val="0.81748381452318464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Bugolobi-Nakawa'!$C$107:$N$107</c:f>
              <c:numCache>
                <c:formatCode>0.0%</c:formatCode>
                <c:ptCount val="12"/>
                <c:pt idx="0">
                  <c:v>0.34281012634691022</c:v>
                </c:pt>
                <c:pt idx="1">
                  <c:v>0.12546833889606832</c:v>
                </c:pt>
                <c:pt idx="2">
                  <c:v>8.0177759596879922E-2</c:v>
                </c:pt>
                <c:pt idx="3">
                  <c:v>0.13040507247050515</c:v>
                </c:pt>
                <c:pt idx="4">
                  <c:v>1.0784578053383664E-3</c:v>
                </c:pt>
                <c:pt idx="5">
                  <c:v>6.0895677801433624E-4</c:v>
                </c:pt>
                <c:pt idx="6">
                  <c:v>1.0315077026059633E-2</c:v>
                </c:pt>
                <c:pt idx="7">
                  <c:v>5.1133775253112195E-3</c:v>
                </c:pt>
                <c:pt idx="8">
                  <c:v>8.8786827939494836E-4</c:v>
                </c:pt>
                <c:pt idx="9">
                  <c:v>1.1063489554764276E-3</c:v>
                </c:pt>
                <c:pt idx="10">
                  <c:v>0.30201002221994971</c:v>
                </c:pt>
                <c:pt idx="11">
                  <c:v>1.8594100092040798E-5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117068296976472"/>
          <c:y val="0.24133245844269471"/>
          <c:w val="0.82182781835050078"/>
          <c:h val="0.7584601924759405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Bugolobi-Nakawa'!$C$9:$N$9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Bugolobi-Nakawa'!$C$108:$N$108</c:f>
              <c:numCache>
                <c:formatCode>0.00%</c:formatCode>
                <c:ptCount val="12"/>
                <c:pt idx="0">
                  <c:v>0.49113903818105531</c:v>
                </c:pt>
                <c:pt idx="1">
                  <c:v>0.17975664821881684</c:v>
                </c:pt>
                <c:pt idx="2">
                  <c:v>0.11486949977689423</c:v>
                </c:pt>
                <c:pt idx="3">
                  <c:v>0.18682943397734308</c:v>
                </c:pt>
                <c:pt idx="4">
                  <c:v>1.5450906741790041E-3</c:v>
                </c:pt>
                <c:pt idx="5">
                  <c:v>8.7244344102348941E-4</c:v>
                </c:pt>
                <c:pt idx="6">
                  <c:v>1.4778259508634524E-2</c:v>
                </c:pt>
                <c:pt idx="7">
                  <c:v>7.3258609551590708E-3</c:v>
                </c:pt>
                <c:pt idx="8">
                  <c:v>1.2720358567594389E-3</c:v>
                </c:pt>
                <c:pt idx="9">
                  <c:v>1.585049915752599E-3</c:v>
                </c:pt>
                <c:pt idx="11">
                  <c:v>2.663949438239662E-5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Nakawa-Bugolobi'!$AE$9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Nakawa-Bugolobi'!$R$10:$R$33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Nakawa-Bugolobi'!$AE$10:$AE$33</c:f>
              <c:numCache>
                <c:formatCode>0</c:formatCode>
                <c:ptCount val="24"/>
                <c:pt idx="0">
                  <c:v>447.42857142857144</c:v>
                </c:pt>
                <c:pt idx="1">
                  <c:v>520.71428571428555</c:v>
                </c:pt>
                <c:pt idx="2">
                  <c:v>514.42857142857144</c:v>
                </c:pt>
                <c:pt idx="3">
                  <c:v>469.5714285714285</c:v>
                </c:pt>
                <c:pt idx="4">
                  <c:v>498.85714285714283</c:v>
                </c:pt>
                <c:pt idx="5">
                  <c:v>533.42857142857133</c:v>
                </c:pt>
                <c:pt idx="6">
                  <c:v>497.57142857142856</c:v>
                </c:pt>
                <c:pt idx="7">
                  <c:v>502</c:v>
                </c:pt>
                <c:pt idx="8">
                  <c:v>508.71428571428578</c:v>
                </c:pt>
                <c:pt idx="9">
                  <c:v>594.71428571428578</c:v>
                </c:pt>
                <c:pt idx="10">
                  <c:v>620.85714285714289</c:v>
                </c:pt>
                <c:pt idx="11">
                  <c:v>508.14285714285717</c:v>
                </c:pt>
                <c:pt idx="12">
                  <c:v>425.5</c:v>
                </c:pt>
                <c:pt idx="13">
                  <c:v>330.5</c:v>
                </c:pt>
                <c:pt idx="14">
                  <c:v>317.5</c:v>
                </c:pt>
                <c:pt idx="15">
                  <c:v>267</c:v>
                </c:pt>
                <c:pt idx="16">
                  <c:v>192.5</c:v>
                </c:pt>
                <c:pt idx="17">
                  <c:v>115.5</c:v>
                </c:pt>
                <c:pt idx="18">
                  <c:v>75.5</c:v>
                </c:pt>
                <c:pt idx="19">
                  <c:v>48</c:v>
                </c:pt>
                <c:pt idx="20">
                  <c:v>47.5</c:v>
                </c:pt>
                <c:pt idx="21">
                  <c:v>55.5</c:v>
                </c:pt>
                <c:pt idx="22">
                  <c:v>49</c:v>
                </c:pt>
                <c:pt idx="23">
                  <c:v>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Nakawa-Bugolobi'!$AF$9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Nakawa-Bugolobi'!$R$10:$R$33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Nakawa-Bugolobi'!$AF$10:$AF$33</c:f>
              <c:numCache>
                <c:formatCode>0</c:formatCode>
                <c:ptCount val="24"/>
                <c:pt idx="0">
                  <c:v>777.85714285714278</c:v>
                </c:pt>
                <c:pt idx="1">
                  <c:v>1007.2857142857142</c:v>
                </c:pt>
                <c:pt idx="2">
                  <c:v>1028.2857142857144</c:v>
                </c:pt>
                <c:pt idx="3">
                  <c:v>928.85714285714289</c:v>
                </c:pt>
                <c:pt idx="4">
                  <c:v>919.57142857142856</c:v>
                </c:pt>
                <c:pt idx="5">
                  <c:v>955.99999999999989</c:v>
                </c:pt>
                <c:pt idx="6">
                  <c:v>874.28571428571422</c:v>
                </c:pt>
                <c:pt idx="7">
                  <c:v>900.57142857142856</c:v>
                </c:pt>
                <c:pt idx="8">
                  <c:v>873.14285714285722</c:v>
                </c:pt>
                <c:pt idx="9">
                  <c:v>1001.4285714285714</c:v>
                </c:pt>
                <c:pt idx="10">
                  <c:v>1152.8571428571429</c:v>
                </c:pt>
                <c:pt idx="11">
                  <c:v>964.99999999999989</c:v>
                </c:pt>
                <c:pt idx="12">
                  <c:v>735.5</c:v>
                </c:pt>
                <c:pt idx="13">
                  <c:v>582.5</c:v>
                </c:pt>
                <c:pt idx="14">
                  <c:v>525.5</c:v>
                </c:pt>
                <c:pt idx="15">
                  <c:v>438.5</c:v>
                </c:pt>
                <c:pt idx="16">
                  <c:v>344.5</c:v>
                </c:pt>
                <c:pt idx="17">
                  <c:v>206.5</c:v>
                </c:pt>
                <c:pt idx="18">
                  <c:v>139</c:v>
                </c:pt>
                <c:pt idx="19">
                  <c:v>100.5</c:v>
                </c:pt>
                <c:pt idx="20">
                  <c:v>92</c:v>
                </c:pt>
                <c:pt idx="21">
                  <c:v>120.5</c:v>
                </c:pt>
                <c:pt idx="22">
                  <c:v>115</c:v>
                </c:pt>
                <c:pt idx="23">
                  <c:v>270.5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4398760"/>
        <c:axId val="244396408"/>
      </c:lineChart>
      <c:catAx>
        <c:axId val="2443987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4396408"/>
        <c:crosses val="autoZero"/>
        <c:auto val="1"/>
        <c:lblAlgn val="ctr"/>
        <c:lblOffset val="100"/>
        <c:noMultiLvlLbl val="0"/>
      </c:catAx>
      <c:valAx>
        <c:axId val="244396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44398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Nakawa-Bugolobi'!$C$107:$N$107</c:f>
              <c:numCache>
                <c:formatCode>0.0%</c:formatCode>
                <c:ptCount val="12"/>
                <c:pt idx="0">
                  <c:v>0.3227503688697641</c:v>
                </c:pt>
                <c:pt idx="1">
                  <c:v>7.2943699324885328E-2</c:v>
                </c:pt>
                <c:pt idx="2">
                  <c:v>5.7686012363660527E-2</c:v>
                </c:pt>
                <c:pt idx="3">
                  <c:v>7.8651099018403184E-2</c:v>
                </c:pt>
                <c:pt idx="4">
                  <c:v>2.0780058734503918E-3</c:v>
                </c:pt>
                <c:pt idx="5">
                  <c:v>3.7005584047746697E-4</c:v>
                </c:pt>
                <c:pt idx="6">
                  <c:v>1.1144373965148335E-2</c:v>
                </c:pt>
                <c:pt idx="7">
                  <c:v>4.2508978598437231E-3</c:v>
                </c:pt>
                <c:pt idx="8">
                  <c:v>9.2039529554652048E-4</c:v>
                </c:pt>
                <c:pt idx="9">
                  <c:v>6.2624834542340574E-4</c:v>
                </c:pt>
                <c:pt idx="10">
                  <c:v>0.44855037740951437</c:v>
                </c:pt>
                <c:pt idx="11">
                  <c:v>2.8465833882882073E-5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Nakawa-Bugolobi'!$C$9:$N$9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Nakawa-Bugolobi'!$C$108:$N$108</c:f>
              <c:numCache>
                <c:formatCode>0.00%</c:formatCode>
                <c:ptCount val="12"/>
                <c:pt idx="0">
                  <c:v>0.58527625307569231</c:v>
                </c:pt>
                <c:pt idx="1">
                  <c:v>0.1322762702823615</c:v>
                </c:pt>
                <c:pt idx="2">
                  <c:v>0.10460794603988509</c:v>
                </c:pt>
                <c:pt idx="3">
                  <c:v>0.14262608186933262</c:v>
                </c:pt>
                <c:pt idx="4">
                  <c:v>3.7682605777999566E-3</c:v>
                </c:pt>
                <c:pt idx="5">
                  <c:v>6.7106010289588259E-4</c:v>
                </c:pt>
                <c:pt idx="6">
                  <c:v>2.0209233098749089E-2</c:v>
                </c:pt>
                <c:pt idx="7">
                  <c:v>7.7085878486501391E-3</c:v>
                </c:pt>
                <c:pt idx="8">
                  <c:v>1.6690469225871954E-3</c:v>
                </c:pt>
                <c:pt idx="9">
                  <c:v>1.135640174131494E-3</c:v>
                </c:pt>
                <c:pt idx="11">
                  <c:v>5.1620007915067897E-5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5611693751047076"/>
          <c:y val="6.354956494294467E-2"/>
          <c:w val="0.82819165689395213"/>
          <c:h val="0.75902399207700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Bugolobi-Nakawa-2Dir'!$C$9:$N$9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Bugolobi-Nakawa-2Dir'!$C$107:$N$107</c:f>
              <c:numCache>
                <c:formatCode>0.0%</c:formatCode>
                <c:ptCount val="12"/>
                <c:pt idx="0">
                  <c:v>0.33288252434251153</c:v>
                </c:pt>
                <c:pt idx="1">
                  <c:v>9.9473821381025174E-2</c:v>
                </c:pt>
                <c:pt idx="2">
                  <c:v>6.9046562464046807E-2</c:v>
                </c:pt>
                <c:pt idx="3">
                  <c:v>0.10479195869462621</c:v>
                </c:pt>
                <c:pt idx="4">
                  <c:v>1.5731355408886104E-3</c:v>
                </c:pt>
                <c:pt idx="5">
                  <c:v>4.9072437021749186E-4</c:v>
                </c:pt>
                <c:pt idx="6">
                  <c:v>1.0725497239968915E-2</c:v>
                </c:pt>
                <c:pt idx="7">
                  <c:v>4.6865351337517401E-3</c:v>
                </c:pt>
                <c:pt idx="8">
                  <c:v>9.0396594513748472E-4</c:v>
                </c:pt>
                <c:pt idx="9">
                  <c:v>8.68746492729531E-4</c:v>
                </c:pt>
                <c:pt idx="10">
                  <c:v>0.37453304876015781</c:v>
                </c:pt>
                <c:pt idx="11">
                  <c:v>2.347963493863597E-5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0159490701960124E-2"/>
          <c:y val="0.24133251122758342"/>
          <c:w val="0.82819165689395213"/>
          <c:h val="0.758460139645699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Bugolobi-Nakawa-2Dir'!$C$9:$N$9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Bugolobi-Nakawa-2Dir'!$C$108:$N$108</c:f>
              <c:numCache>
                <c:formatCode>0.00%</c:formatCode>
                <c:ptCount val="12"/>
                <c:pt idx="0">
                  <c:v>0.53221440986234303</c:v>
                </c:pt>
                <c:pt idx="1">
                  <c:v>0.15903929245796528</c:v>
                </c:pt>
                <c:pt idx="2">
                  <c:v>0.11039202363478698</c:v>
                </c:pt>
                <c:pt idx="3">
                  <c:v>0.16754195963016211</c:v>
                </c:pt>
                <c:pt idx="4">
                  <c:v>2.5151377507160633E-3</c:v>
                </c:pt>
                <c:pt idx="5">
                  <c:v>7.8457282074575704E-4</c:v>
                </c:pt>
                <c:pt idx="6">
                  <c:v>1.7147983948165638E-2</c:v>
                </c:pt>
                <c:pt idx="7">
                  <c:v>7.492858134969047E-3</c:v>
                </c:pt>
                <c:pt idx="8">
                  <c:v>1.4452657224263941E-3</c:v>
                </c:pt>
                <c:pt idx="9">
                  <c:v>1.3889566683058857E-3</c:v>
                </c:pt>
                <c:pt idx="11">
                  <c:v>3.7539369413672579E-5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05989512129785E-2"/>
          <c:y val="9.5768624478110825E-2"/>
          <c:w val="0.88636855234397283"/>
          <c:h val="0.65054452836231913"/>
        </c:manualLayout>
      </c:layout>
      <c:lineChart>
        <c:grouping val="standard"/>
        <c:varyColors val="0"/>
        <c:ser>
          <c:idx val="0"/>
          <c:order val="0"/>
          <c:tx>
            <c:strRef>
              <c:f>'Avg Week Bugolobi-Nakawa-2Dir'!$AE$9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Bugolobi-Nakawa-2Dir'!$R$10:$R$33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Bugolobi-Nakawa-2Dir'!$AE$10:$AE$33</c:f>
              <c:numCache>
                <c:formatCode>0</c:formatCode>
                <c:ptCount val="24"/>
                <c:pt idx="0">
                  <c:v>1122.5714285714287</c:v>
                </c:pt>
                <c:pt idx="1">
                  <c:v>1269.1428571428571</c:v>
                </c:pt>
                <c:pt idx="2">
                  <c:v>1205.4285714285716</c:v>
                </c:pt>
                <c:pt idx="3">
                  <c:v>1079.1428571428571</c:v>
                </c:pt>
                <c:pt idx="4">
                  <c:v>1090.1428571428573</c:v>
                </c:pt>
                <c:pt idx="5">
                  <c:v>1101.8571428571429</c:v>
                </c:pt>
                <c:pt idx="6">
                  <c:v>1025.8571428571429</c:v>
                </c:pt>
                <c:pt idx="7">
                  <c:v>1111.5714285714289</c:v>
                </c:pt>
                <c:pt idx="8">
                  <c:v>1115.2857142857144</c:v>
                </c:pt>
                <c:pt idx="9">
                  <c:v>1290.1428571428573</c:v>
                </c:pt>
                <c:pt idx="10">
                  <c:v>1597.2857142857142</c:v>
                </c:pt>
                <c:pt idx="11">
                  <c:v>1559.7142857142858</c:v>
                </c:pt>
                <c:pt idx="12">
                  <c:v>910</c:v>
                </c:pt>
                <c:pt idx="13">
                  <c:v>721.5</c:v>
                </c:pt>
                <c:pt idx="14">
                  <c:v>667.5</c:v>
                </c:pt>
                <c:pt idx="15">
                  <c:v>521</c:v>
                </c:pt>
                <c:pt idx="16">
                  <c:v>416.5</c:v>
                </c:pt>
                <c:pt idx="17">
                  <c:v>242.5</c:v>
                </c:pt>
                <c:pt idx="18">
                  <c:v>146</c:v>
                </c:pt>
                <c:pt idx="19">
                  <c:v>98</c:v>
                </c:pt>
                <c:pt idx="20">
                  <c:v>116.5</c:v>
                </c:pt>
                <c:pt idx="21">
                  <c:v>76</c:v>
                </c:pt>
                <c:pt idx="22">
                  <c:v>106</c:v>
                </c:pt>
                <c:pt idx="23">
                  <c:v>438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B6-4DFD-BA5B-175AB66DFD13}"/>
            </c:ext>
          </c:extLst>
        </c:ser>
        <c:ser>
          <c:idx val="1"/>
          <c:order val="1"/>
          <c:tx>
            <c:strRef>
              <c:f>'Avg Week Bugolobi-Nakawa-2Dir'!$AF$9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Bugolobi-Nakawa-2Dir'!$R$10:$R$33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Bugolobi-Nakawa-2Dir'!$AF$10:$AF$33</c:f>
              <c:numCache>
                <c:formatCode>0</c:formatCode>
                <c:ptCount val="24"/>
                <c:pt idx="0">
                  <c:v>1722.8571428571429</c:v>
                </c:pt>
                <c:pt idx="1">
                  <c:v>2035.4285714285716</c:v>
                </c:pt>
                <c:pt idx="2">
                  <c:v>1999.8571428571429</c:v>
                </c:pt>
                <c:pt idx="3">
                  <c:v>1789</c:v>
                </c:pt>
                <c:pt idx="4">
                  <c:v>1749.2857142857144</c:v>
                </c:pt>
                <c:pt idx="5">
                  <c:v>1777.2857142857142</c:v>
                </c:pt>
                <c:pt idx="6">
                  <c:v>1624.8571428571429</c:v>
                </c:pt>
                <c:pt idx="7">
                  <c:v>1790.2857142857142</c:v>
                </c:pt>
                <c:pt idx="8">
                  <c:v>1750.2857142857142</c:v>
                </c:pt>
                <c:pt idx="9">
                  <c:v>1982.714285714286</c:v>
                </c:pt>
                <c:pt idx="10">
                  <c:v>2444.5714285714284</c:v>
                </c:pt>
                <c:pt idx="11">
                  <c:v>2322.5714285714284</c:v>
                </c:pt>
                <c:pt idx="12">
                  <c:v>1471</c:v>
                </c:pt>
                <c:pt idx="13">
                  <c:v>1186</c:v>
                </c:pt>
                <c:pt idx="14">
                  <c:v>1041</c:v>
                </c:pt>
                <c:pt idx="15">
                  <c:v>822</c:v>
                </c:pt>
                <c:pt idx="16">
                  <c:v>710</c:v>
                </c:pt>
                <c:pt idx="17">
                  <c:v>420</c:v>
                </c:pt>
                <c:pt idx="18">
                  <c:v>255</c:v>
                </c:pt>
                <c:pt idx="19">
                  <c:v>194</c:v>
                </c:pt>
                <c:pt idx="20">
                  <c:v>207.5</c:v>
                </c:pt>
                <c:pt idx="21">
                  <c:v>164.5</c:v>
                </c:pt>
                <c:pt idx="22">
                  <c:v>245.5</c:v>
                </c:pt>
                <c:pt idx="23">
                  <c:v>716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9B6-4DFD-BA5B-175AB66DFD13}"/>
            </c:ext>
          </c:extLst>
        </c:ser>
        <c:ser>
          <c:idx val="5"/>
          <c:order val="2"/>
          <c:tx>
            <c:strRef>
              <c:f>'Avg Week Bugolobi-Nakawa-2Dir'!$AC$9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Bugolobi-Nakawa-2Dir'!$R$10:$R$33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Bugolobi-Nakawa-2Dir'!$AC$10:$AC$33</c:f>
              <c:numCache>
                <c:formatCode>0</c:formatCode>
                <c:ptCount val="24"/>
                <c:pt idx="0">
                  <c:v>600.28571428571422</c:v>
                </c:pt>
                <c:pt idx="1">
                  <c:v>766.28571428571422</c:v>
                </c:pt>
                <c:pt idx="2">
                  <c:v>794.42857142857144</c:v>
                </c:pt>
                <c:pt idx="3">
                  <c:v>709.85714285714289</c:v>
                </c:pt>
                <c:pt idx="4">
                  <c:v>659.14285714285711</c:v>
                </c:pt>
                <c:pt idx="5">
                  <c:v>675.42857142857144</c:v>
                </c:pt>
                <c:pt idx="6">
                  <c:v>599</c:v>
                </c:pt>
                <c:pt idx="7">
                  <c:v>678.71428571428578</c:v>
                </c:pt>
                <c:pt idx="8">
                  <c:v>635</c:v>
                </c:pt>
                <c:pt idx="9">
                  <c:v>692.57142857142856</c:v>
                </c:pt>
                <c:pt idx="10">
                  <c:v>847.28571428571422</c:v>
                </c:pt>
                <c:pt idx="11">
                  <c:v>762.85714285714289</c:v>
                </c:pt>
                <c:pt idx="12">
                  <c:v>561</c:v>
                </c:pt>
                <c:pt idx="13">
                  <c:v>464.5</c:v>
                </c:pt>
                <c:pt idx="14">
                  <c:v>373.5</c:v>
                </c:pt>
                <c:pt idx="15">
                  <c:v>301</c:v>
                </c:pt>
                <c:pt idx="16">
                  <c:v>293.5</c:v>
                </c:pt>
                <c:pt idx="17">
                  <c:v>177.5</c:v>
                </c:pt>
                <c:pt idx="18">
                  <c:v>109</c:v>
                </c:pt>
                <c:pt idx="19">
                  <c:v>96</c:v>
                </c:pt>
                <c:pt idx="20">
                  <c:v>91</c:v>
                </c:pt>
                <c:pt idx="21">
                  <c:v>88.5</c:v>
                </c:pt>
                <c:pt idx="22">
                  <c:v>139.5</c:v>
                </c:pt>
                <c:pt idx="23">
                  <c:v>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B6-4DFD-BA5B-175AB66DFD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Bugolobi-Nakawa-2Dir'!$S$9:$AF$9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Bugolobi-Nakawa-2Dir'!$S$41:$AF$41</c:f>
              <c:numCache>
                <c:formatCode>_(* #,##0_);_(* \(#,##0\);_(* "-"_);_(@_)</c:formatCode>
                <c:ptCount val="14"/>
                <c:pt idx="0">
                  <c:v>10126.785714285714</c:v>
                </c:pt>
                <c:pt idx="1">
                  <c:v>3026.1428571428569</c:v>
                </c:pt>
                <c:pt idx="2">
                  <c:v>2100.5</c:v>
                </c:pt>
                <c:pt idx="3">
                  <c:v>3187.9285714285716</c:v>
                </c:pt>
                <c:pt idx="4">
                  <c:v>47.857142857142854</c:v>
                </c:pt>
                <c:pt idx="5">
                  <c:v>14.928571428571425</c:v>
                </c:pt>
                <c:pt idx="6">
                  <c:v>326.28571428571428</c:v>
                </c:pt>
                <c:pt idx="7">
                  <c:v>142.57142857142856</c:v>
                </c:pt>
                <c:pt idx="8">
                  <c:v>27.5</c:v>
                </c:pt>
                <c:pt idx="9">
                  <c:v>26.428571428571427</c:v>
                </c:pt>
                <c:pt idx="10">
                  <c:v>11393.857142857143</c:v>
                </c:pt>
                <c:pt idx="11">
                  <c:v>0.71428571428571419</c:v>
                </c:pt>
                <c:pt idx="12">
                  <c:v>19027.642857142859</c:v>
                </c:pt>
                <c:pt idx="13">
                  <c:v>30421.499999999996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3E-4CE4-94D1-8E8C7E1E3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Bugolobi-Nakawa-2Dir'!$S$9:$AF$9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Bugolobi-Nakawa-2Dir'!$S$42:$AF$42</c:f>
              <c:numCache>
                <c:formatCode>0.000</c:formatCode>
                <c:ptCount val="14"/>
                <c:pt idx="0">
                  <c:v>1.3366425312063959</c:v>
                </c:pt>
                <c:pt idx="1">
                  <c:v>1.2751625331085963</c:v>
                </c:pt>
                <c:pt idx="2">
                  <c:v>1.2510422870756404</c:v>
                </c:pt>
                <c:pt idx="3">
                  <c:v>1.2816161268090971</c:v>
                </c:pt>
                <c:pt idx="4">
                  <c:v>1.2641509433962264</c:v>
                </c:pt>
                <c:pt idx="5">
                  <c:v>1.1117021276595744</c:v>
                </c:pt>
                <c:pt idx="6">
                  <c:v>1.3088825214899713</c:v>
                </c:pt>
                <c:pt idx="7">
                  <c:v>1.2230392156862744</c:v>
                </c:pt>
                <c:pt idx="8">
                  <c:v>1.5277777777777777</c:v>
                </c:pt>
                <c:pt idx="9">
                  <c:v>1.6086956521739131</c:v>
                </c:pt>
                <c:pt idx="10">
                  <c:v>1.3530519458487429</c:v>
                </c:pt>
                <c:pt idx="11">
                  <c:v>1</c:v>
                </c:pt>
                <c:pt idx="12">
                  <c:v>1.3061131431597321</c:v>
                </c:pt>
                <c:pt idx="13">
                  <c:v>1.3233067989038236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9B-4C22-80F1-7209CC98A6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42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571501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571501</xdr:colOff>
      <xdr:row>75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75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263524</xdr:rowOff>
    </xdr:from>
    <xdr:to>
      <xdr:col>25</xdr:col>
      <xdr:colOff>31750</xdr:colOff>
      <xdr:row>90</xdr:row>
      <xdr:rowOff>285749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25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59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706437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75</xdr:row>
      <xdr:rowOff>0</xdr:rowOff>
    </xdr:from>
    <xdr:to>
      <xdr:col>31</xdr:col>
      <xdr:colOff>706437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15" sqref="G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175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54" t="s">
        <v>165</v>
      </c>
      <c r="H5" s="55"/>
      <c r="I5" s="14"/>
      <c r="J5" s="2" t="s">
        <v>5</v>
      </c>
      <c r="K5" s="54" t="s">
        <v>168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164</v>
      </c>
      <c r="E6" s="55"/>
      <c r="F6" s="2" t="s">
        <v>2</v>
      </c>
      <c r="G6" s="54" t="s">
        <v>166</v>
      </c>
      <c r="H6" s="55"/>
      <c r="J6" s="2" t="s">
        <v>21</v>
      </c>
      <c r="K6" s="54" t="s">
        <v>167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53</v>
      </c>
      <c r="D10" s="50">
        <v>37</v>
      </c>
      <c r="E10" s="50">
        <v>33</v>
      </c>
      <c r="F10" s="50">
        <v>65</v>
      </c>
      <c r="G10" s="50">
        <v>2</v>
      </c>
      <c r="H10" s="50">
        <v>0</v>
      </c>
      <c r="I10" s="50">
        <v>8</v>
      </c>
      <c r="J10" s="50">
        <v>1</v>
      </c>
      <c r="K10" s="50">
        <v>0</v>
      </c>
      <c r="L10" s="50">
        <v>0</v>
      </c>
      <c r="M10" s="50">
        <v>112</v>
      </c>
      <c r="N10" s="50">
        <v>0</v>
      </c>
      <c r="O10" s="15">
        <f t="shared" ref="O10:O57" si="0">SUM(C10:L10,N10)</f>
        <v>199</v>
      </c>
      <c r="P10" s="15">
        <f t="shared" ref="P10:P57" si="1">SUM(C10:N10)</f>
        <v>311</v>
      </c>
      <c r="R10" s="1" t="s">
        <v>6</v>
      </c>
      <c r="S10" s="17">
        <f t="shared" ref="S10:AF10" si="2">SUM(C10:C13)</f>
        <v>252</v>
      </c>
      <c r="T10" s="17">
        <f t="shared" si="2"/>
        <v>130</v>
      </c>
      <c r="U10" s="17">
        <f t="shared" si="2"/>
        <v>114</v>
      </c>
      <c r="V10" s="17">
        <f t="shared" si="2"/>
        <v>205</v>
      </c>
      <c r="W10" s="17">
        <f t="shared" si="2"/>
        <v>2</v>
      </c>
      <c r="X10" s="17">
        <f t="shared" si="2"/>
        <v>0</v>
      </c>
      <c r="Y10" s="17">
        <f t="shared" si="2"/>
        <v>17</v>
      </c>
      <c r="Z10" s="17">
        <f t="shared" si="2"/>
        <v>4</v>
      </c>
      <c r="AA10" s="17">
        <f t="shared" si="2"/>
        <v>0</v>
      </c>
      <c r="AB10" s="17">
        <f t="shared" si="2"/>
        <v>1</v>
      </c>
      <c r="AC10" s="17">
        <f t="shared" si="2"/>
        <v>447</v>
      </c>
      <c r="AD10" s="17">
        <f t="shared" si="2"/>
        <v>0</v>
      </c>
      <c r="AE10" s="31">
        <f t="shared" si="2"/>
        <v>725</v>
      </c>
      <c r="AF10" s="31">
        <f t="shared" si="2"/>
        <v>1172</v>
      </c>
    </row>
    <row r="11" spans="2:32" s="6" customFormat="1" ht="23.1" customHeight="1" x14ac:dyDescent="0.25">
      <c r="B11" s="23" t="s">
        <v>38</v>
      </c>
      <c r="C11" s="50">
        <v>63</v>
      </c>
      <c r="D11" s="50">
        <v>29</v>
      </c>
      <c r="E11" s="50">
        <v>16</v>
      </c>
      <c r="F11" s="50">
        <v>41</v>
      </c>
      <c r="G11" s="50">
        <v>0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117</v>
      </c>
      <c r="N11" s="50">
        <v>0</v>
      </c>
      <c r="O11" s="15">
        <f t="shared" si="0"/>
        <v>152</v>
      </c>
      <c r="P11" s="15">
        <f t="shared" si="1"/>
        <v>269</v>
      </c>
      <c r="R11" s="1" t="s">
        <v>7</v>
      </c>
      <c r="S11" s="17">
        <f t="shared" ref="S11:AF11" si="3">SUM(C14:C17)</f>
        <v>253</v>
      </c>
      <c r="T11" s="17">
        <f t="shared" si="3"/>
        <v>149</v>
      </c>
      <c r="U11" s="17">
        <f t="shared" si="3"/>
        <v>70</v>
      </c>
      <c r="V11" s="17">
        <f t="shared" si="3"/>
        <v>120</v>
      </c>
      <c r="W11" s="17">
        <f t="shared" si="3"/>
        <v>1</v>
      </c>
      <c r="X11" s="17">
        <f t="shared" si="3"/>
        <v>4</v>
      </c>
      <c r="Y11" s="17">
        <f t="shared" si="3"/>
        <v>3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212</v>
      </c>
      <c r="AD11" s="17">
        <f t="shared" si="3"/>
        <v>0</v>
      </c>
      <c r="AE11" s="31">
        <f t="shared" si="3"/>
        <v>605</v>
      </c>
      <c r="AF11" s="31">
        <f t="shared" si="3"/>
        <v>817</v>
      </c>
    </row>
    <row r="12" spans="2:32" ht="23.1" customHeight="1" x14ac:dyDescent="0.25">
      <c r="B12" s="23" t="s">
        <v>39</v>
      </c>
      <c r="C12" s="50">
        <v>63</v>
      </c>
      <c r="D12" s="50">
        <v>33</v>
      </c>
      <c r="E12" s="50">
        <v>31</v>
      </c>
      <c r="F12" s="50">
        <v>59</v>
      </c>
      <c r="G12" s="50">
        <v>0</v>
      </c>
      <c r="H12" s="50">
        <v>0</v>
      </c>
      <c r="I12" s="50">
        <v>4</v>
      </c>
      <c r="J12" s="50">
        <v>1</v>
      </c>
      <c r="K12" s="50">
        <v>0</v>
      </c>
      <c r="L12" s="50">
        <v>0</v>
      </c>
      <c r="M12" s="50">
        <v>117</v>
      </c>
      <c r="N12" s="50">
        <v>0</v>
      </c>
      <c r="O12" s="15">
        <f t="shared" si="0"/>
        <v>191</v>
      </c>
      <c r="P12" s="15">
        <f t="shared" si="1"/>
        <v>308</v>
      </c>
      <c r="R12" s="1" t="s">
        <v>8</v>
      </c>
      <c r="S12" s="17">
        <f t="shared" ref="S12:AF12" si="4">SUM(C18:C21)</f>
        <v>357</v>
      </c>
      <c r="T12" s="17">
        <f t="shared" si="4"/>
        <v>141</v>
      </c>
      <c r="U12" s="17">
        <f t="shared" si="4"/>
        <v>88</v>
      </c>
      <c r="V12" s="17">
        <f t="shared" si="4"/>
        <v>140</v>
      </c>
      <c r="W12" s="17">
        <f t="shared" si="4"/>
        <v>2</v>
      </c>
      <c r="X12" s="17">
        <f t="shared" si="4"/>
        <v>3</v>
      </c>
      <c r="Y12" s="17">
        <f t="shared" si="4"/>
        <v>13</v>
      </c>
      <c r="Z12" s="17">
        <f t="shared" si="4"/>
        <v>6</v>
      </c>
      <c r="AA12" s="17">
        <f t="shared" si="4"/>
        <v>0</v>
      </c>
      <c r="AB12" s="17">
        <f t="shared" si="4"/>
        <v>0</v>
      </c>
      <c r="AC12" s="17">
        <f t="shared" si="4"/>
        <v>309</v>
      </c>
      <c r="AD12" s="17">
        <f t="shared" si="4"/>
        <v>0</v>
      </c>
      <c r="AE12" s="31">
        <f t="shared" si="4"/>
        <v>750</v>
      </c>
      <c r="AF12" s="31">
        <f t="shared" si="4"/>
        <v>1059</v>
      </c>
    </row>
    <row r="13" spans="2:32" ht="23.1" customHeight="1" x14ac:dyDescent="0.25">
      <c r="B13" s="23" t="s">
        <v>40</v>
      </c>
      <c r="C13" s="50">
        <v>73</v>
      </c>
      <c r="D13" s="50">
        <v>31</v>
      </c>
      <c r="E13" s="50">
        <v>34</v>
      </c>
      <c r="F13" s="50">
        <v>40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1</v>
      </c>
      <c r="M13" s="50">
        <v>101</v>
      </c>
      <c r="N13" s="50">
        <v>0</v>
      </c>
      <c r="O13" s="15">
        <f t="shared" si="0"/>
        <v>183</v>
      </c>
      <c r="P13" s="15">
        <f t="shared" si="1"/>
        <v>284</v>
      </c>
      <c r="R13" s="1" t="s">
        <v>9</v>
      </c>
      <c r="S13" s="17">
        <f t="shared" ref="S13:AF13" si="5">SUM(C22:C25)</f>
        <v>277</v>
      </c>
      <c r="T13" s="17">
        <f t="shared" si="5"/>
        <v>142</v>
      </c>
      <c r="U13" s="17">
        <f t="shared" si="5"/>
        <v>101</v>
      </c>
      <c r="V13" s="17">
        <f t="shared" si="5"/>
        <v>132</v>
      </c>
      <c r="W13" s="17">
        <f t="shared" si="5"/>
        <v>0</v>
      </c>
      <c r="X13" s="17">
        <f t="shared" si="5"/>
        <v>0</v>
      </c>
      <c r="Y13" s="17">
        <f t="shared" si="5"/>
        <v>13</v>
      </c>
      <c r="Z13" s="17">
        <f t="shared" si="5"/>
        <v>5</v>
      </c>
      <c r="AA13" s="17">
        <f t="shared" si="5"/>
        <v>0</v>
      </c>
      <c r="AB13" s="17">
        <f t="shared" si="5"/>
        <v>1</v>
      </c>
      <c r="AC13" s="17">
        <f t="shared" si="5"/>
        <v>286</v>
      </c>
      <c r="AD13" s="17">
        <f t="shared" si="5"/>
        <v>0</v>
      </c>
      <c r="AE13" s="31">
        <f t="shared" si="5"/>
        <v>671</v>
      </c>
      <c r="AF13" s="31">
        <f t="shared" si="5"/>
        <v>957</v>
      </c>
    </row>
    <row r="14" spans="2:32" ht="23.1" customHeight="1" x14ac:dyDescent="0.25">
      <c r="B14" s="23" t="s">
        <v>41</v>
      </c>
      <c r="C14" s="50">
        <v>53</v>
      </c>
      <c r="D14" s="50">
        <v>38</v>
      </c>
      <c r="E14" s="50">
        <v>23</v>
      </c>
      <c r="F14" s="50">
        <v>31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49</v>
      </c>
      <c r="N14" s="50">
        <v>0</v>
      </c>
      <c r="O14" s="15">
        <f t="shared" si="0"/>
        <v>146</v>
      </c>
      <c r="P14" s="15">
        <f t="shared" si="1"/>
        <v>195</v>
      </c>
      <c r="R14" s="1" t="s">
        <v>10</v>
      </c>
      <c r="S14" s="17">
        <f t="shared" ref="S14:AF14" si="6">SUM(C26:C29)</f>
        <v>212</v>
      </c>
      <c r="T14" s="17">
        <f t="shared" si="6"/>
        <v>112</v>
      </c>
      <c r="U14" s="17">
        <f t="shared" si="6"/>
        <v>68</v>
      </c>
      <c r="V14" s="17">
        <f t="shared" si="6"/>
        <v>162</v>
      </c>
      <c r="W14" s="17">
        <f t="shared" si="6"/>
        <v>1</v>
      </c>
      <c r="X14" s="17">
        <f t="shared" si="6"/>
        <v>0</v>
      </c>
      <c r="Y14" s="17">
        <f t="shared" si="6"/>
        <v>9</v>
      </c>
      <c r="Z14" s="17">
        <f t="shared" si="6"/>
        <v>9</v>
      </c>
      <c r="AA14" s="17">
        <f t="shared" si="6"/>
        <v>0</v>
      </c>
      <c r="AB14" s="17">
        <f t="shared" si="6"/>
        <v>1</v>
      </c>
      <c r="AC14" s="17">
        <f t="shared" si="6"/>
        <v>291</v>
      </c>
      <c r="AD14" s="17">
        <f t="shared" si="6"/>
        <v>0</v>
      </c>
      <c r="AE14" s="31">
        <f t="shared" si="6"/>
        <v>574</v>
      </c>
      <c r="AF14" s="31">
        <f t="shared" si="6"/>
        <v>865</v>
      </c>
    </row>
    <row r="15" spans="2:32" ht="23.1" customHeight="1" x14ac:dyDescent="0.25">
      <c r="B15" s="23" t="s">
        <v>42</v>
      </c>
      <c r="C15" s="50">
        <v>51</v>
      </c>
      <c r="D15" s="50">
        <v>26</v>
      </c>
      <c r="E15" s="50">
        <v>16</v>
      </c>
      <c r="F15" s="50">
        <v>27</v>
      </c>
      <c r="G15" s="50">
        <v>0</v>
      </c>
      <c r="H15" s="50">
        <v>2</v>
      </c>
      <c r="I15" s="50">
        <v>0</v>
      </c>
      <c r="J15" s="50">
        <v>1</v>
      </c>
      <c r="K15" s="50">
        <v>0</v>
      </c>
      <c r="L15" s="50">
        <v>0</v>
      </c>
      <c r="M15" s="50">
        <v>44</v>
      </c>
      <c r="N15" s="50">
        <v>0</v>
      </c>
      <c r="O15" s="15">
        <f t="shared" si="0"/>
        <v>123</v>
      </c>
      <c r="P15" s="15">
        <f t="shared" si="1"/>
        <v>167</v>
      </c>
      <c r="R15" s="1" t="s">
        <v>11</v>
      </c>
      <c r="S15" s="17">
        <f t="shared" ref="S15:AF15" si="7">SUM(C30:C33)</f>
        <v>162</v>
      </c>
      <c r="T15" s="17">
        <f t="shared" si="7"/>
        <v>62</v>
      </c>
      <c r="U15" s="17">
        <f t="shared" si="7"/>
        <v>78</v>
      </c>
      <c r="V15" s="17">
        <f t="shared" si="7"/>
        <v>108</v>
      </c>
      <c r="W15" s="17">
        <f t="shared" si="7"/>
        <v>1</v>
      </c>
      <c r="X15" s="17">
        <f t="shared" si="7"/>
        <v>1</v>
      </c>
      <c r="Y15" s="17">
        <f t="shared" si="7"/>
        <v>8</v>
      </c>
      <c r="Z15" s="17">
        <f t="shared" si="7"/>
        <v>4</v>
      </c>
      <c r="AA15" s="17">
        <f t="shared" si="7"/>
        <v>0</v>
      </c>
      <c r="AB15" s="17">
        <f t="shared" si="7"/>
        <v>1</v>
      </c>
      <c r="AC15" s="17">
        <f t="shared" si="7"/>
        <v>294</v>
      </c>
      <c r="AD15" s="17">
        <f t="shared" si="7"/>
        <v>0</v>
      </c>
      <c r="AE15" s="31">
        <f t="shared" si="7"/>
        <v>425</v>
      </c>
      <c r="AF15" s="31">
        <f t="shared" si="7"/>
        <v>719</v>
      </c>
    </row>
    <row r="16" spans="2:32" ht="23.1" customHeight="1" x14ac:dyDescent="0.25">
      <c r="B16" s="23" t="s">
        <v>43</v>
      </c>
      <c r="C16" s="50">
        <v>56</v>
      </c>
      <c r="D16" s="50">
        <v>43</v>
      </c>
      <c r="E16" s="50">
        <v>13</v>
      </c>
      <c r="F16" s="50">
        <v>27</v>
      </c>
      <c r="G16" s="50">
        <v>0</v>
      </c>
      <c r="H16" s="50">
        <v>2</v>
      </c>
      <c r="I16" s="50">
        <v>1</v>
      </c>
      <c r="J16" s="50">
        <v>2</v>
      </c>
      <c r="K16" s="50">
        <v>0</v>
      </c>
      <c r="L16" s="50">
        <v>0</v>
      </c>
      <c r="M16" s="50">
        <v>63</v>
      </c>
      <c r="N16" s="50">
        <v>0</v>
      </c>
      <c r="O16" s="15">
        <f t="shared" si="0"/>
        <v>144</v>
      </c>
      <c r="P16" s="15">
        <f t="shared" si="1"/>
        <v>207</v>
      </c>
      <c r="R16" s="1" t="s">
        <v>12</v>
      </c>
      <c r="S16" s="17">
        <f t="shared" ref="S16:AF16" si="8">SUM(C34:C37)</f>
        <v>139</v>
      </c>
      <c r="T16" s="17">
        <f t="shared" si="8"/>
        <v>69</v>
      </c>
      <c r="U16" s="17">
        <f t="shared" si="8"/>
        <v>64</v>
      </c>
      <c r="V16" s="17">
        <f t="shared" si="8"/>
        <v>88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246</v>
      </c>
      <c r="AD16" s="17">
        <f t="shared" si="8"/>
        <v>0</v>
      </c>
      <c r="AE16" s="31">
        <f t="shared" si="8"/>
        <v>366</v>
      </c>
      <c r="AF16" s="31">
        <f t="shared" si="8"/>
        <v>612</v>
      </c>
    </row>
    <row r="17" spans="2:32" ht="23.1" customHeight="1" x14ac:dyDescent="0.25">
      <c r="B17" s="23" t="s">
        <v>44</v>
      </c>
      <c r="C17" s="50">
        <v>93</v>
      </c>
      <c r="D17" s="50">
        <v>42</v>
      </c>
      <c r="E17" s="50">
        <v>18</v>
      </c>
      <c r="F17" s="50">
        <v>35</v>
      </c>
      <c r="G17" s="50">
        <v>1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56</v>
      </c>
      <c r="N17" s="50">
        <v>0</v>
      </c>
      <c r="O17" s="15">
        <f t="shared" si="0"/>
        <v>192</v>
      </c>
      <c r="P17" s="15">
        <f t="shared" si="1"/>
        <v>248</v>
      </c>
      <c r="R17" s="1" t="s">
        <v>13</v>
      </c>
      <c r="S17" s="17">
        <f t="shared" ref="S17:AF17" si="9">SUM(C38:C41)</f>
        <v>174</v>
      </c>
      <c r="T17" s="17">
        <f t="shared" si="9"/>
        <v>98</v>
      </c>
      <c r="U17" s="17">
        <f t="shared" si="9"/>
        <v>68</v>
      </c>
      <c r="V17" s="17">
        <f t="shared" si="9"/>
        <v>145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8</v>
      </c>
      <c r="AA17" s="17">
        <f t="shared" si="9"/>
        <v>3</v>
      </c>
      <c r="AB17" s="17">
        <f t="shared" si="9"/>
        <v>1</v>
      </c>
      <c r="AC17" s="17">
        <f t="shared" si="9"/>
        <v>199</v>
      </c>
      <c r="AD17" s="17">
        <f t="shared" si="9"/>
        <v>0</v>
      </c>
      <c r="AE17" s="31">
        <f t="shared" si="9"/>
        <v>509</v>
      </c>
      <c r="AF17" s="31">
        <f t="shared" si="9"/>
        <v>708</v>
      </c>
    </row>
    <row r="18" spans="2:32" ht="23.1" customHeight="1" x14ac:dyDescent="0.25">
      <c r="B18" s="23" t="s">
        <v>45</v>
      </c>
      <c r="C18" s="50">
        <v>104</v>
      </c>
      <c r="D18" s="50">
        <v>45</v>
      </c>
      <c r="E18" s="50">
        <v>24</v>
      </c>
      <c r="F18" s="50">
        <v>45</v>
      </c>
      <c r="G18" s="50">
        <v>1</v>
      </c>
      <c r="H18" s="50">
        <v>0</v>
      </c>
      <c r="I18" s="50">
        <v>5</v>
      </c>
      <c r="J18" s="50">
        <v>1</v>
      </c>
      <c r="K18" s="50">
        <v>0</v>
      </c>
      <c r="L18" s="50">
        <v>0</v>
      </c>
      <c r="M18" s="50">
        <v>85</v>
      </c>
      <c r="N18" s="50">
        <v>0</v>
      </c>
      <c r="O18" s="15">
        <f t="shared" si="0"/>
        <v>225</v>
      </c>
      <c r="P18" s="15">
        <f t="shared" si="1"/>
        <v>310</v>
      </c>
      <c r="R18" s="1" t="s">
        <v>14</v>
      </c>
      <c r="S18" s="17">
        <f t="shared" ref="S18:AF18" si="10">SUM(C42:C45)</f>
        <v>170</v>
      </c>
      <c r="T18" s="17">
        <f t="shared" si="10"/>
        <v>70</v>
      </c>
      <c r="U18" s="17">
        <f t="shared" si="10"/>
        <v>64</v>
      </c>
      <c r="V18" s="17">
        <f t="shared" si="10"/>
        <v>157</v>
      </c>
      <c r="W18" s="17">
        <f t="shared" si="10"/>
        <v>0</v>
      </c>
      <c r="X18" s="17">
        <f t="shared" si="10"/>
        <v>2</v>
      </c>
      <c r="Y18" s="17">
        <f t="shared" si="10"/>
        <v>10</v>
      </c>
      <c r="Z18" s="17">
        <f t="shared" si="10"/>
        <v>5</v>
      </c>
      <c r="AA18" s="17">
        <f t="shared" si="10"/>
        <v>0</v>
      </c>
      <c r="AB18" s="17">
        <f t="shared" si="10"/>
        <v>1</v>
      </c>
      <c r="AC18" s="17">
        <f t="shared" si="10"/>
        <v>246</v>
      </c>
      <c r="AD18" s="17">
        <f t="shared" si="10"/>
        <v>0</v>
      </c>
      <c r="AE18" s="31">
        <f t="shared" si="10"/>
        <v>479</v>
      </c>
      <c r="AF18" s="31">
        <f t="shared" si="10"/>
        <v>725</v>
      </c>
    </row>
    <row r="19" spans="2:32" ht="23.1" customHeight="1" x14ac:dyDescent="0.25">
      <c r="B19" s="23" t="s">
        <v>46</v>
      </c>
      <c r="C19" s="50">
        <v>98</v>
      </c>
      <c r="D19" s="50">
        <v>37</v>
      </c>
      <c r="E19" s="50">
        <v>22</v>
      </c>
      <c r="F19" s="50">
        <v>34</v>
      </c>
      <c r="G19" s="50">
        <v>1</v>
      </c>
      <c r="H19" s="50">
        <v>1</v>
      </c>
      <c r="I19" s="50">
        <v>2</v>
      </c>
      <c r="J19" s="50">
        <v>1</v>
      </c>
      <c r="K19" s="50">
        <v>0</v>
      </c>
      <c r="L19" s="50">
        <v>0</v>
      </c>
      <c r="M19" s="50">
        <v>62</v>
      </c>
      <c r="N19" s="50">
        <v>0</v>
      </c>
      <c r="O19" s="15">
        <f t="shared" si="0"/>
        <v>196</v>
      </c>
      <c r="P19" s="15">
        <f t="shared" si="1"/>
        <v>258</v>
      </c>
      <c r="R19" s="1" t="s">
        <v>15</v>
      </c>
      <c r="S19" s="17">
        <f t="shared" ref="S19:AF19" si="11">SUM(C46:C49)</f>
        <v>137</v>
      </c>
      <c r="T19" s="17">
        <f t="shared" si="11"/>
        <v>82</v>
      </c>
      <c r="U19" s="17">
        <f t="shared" si="11"/>
        <v>68</v>
      </c>
      <c r="V19" s="17">
        <f t="shared" si="11"/>
        <v>123</v>
      </c>
      <c r="W19" s="17">
        <f t="shared" si="11"/>
        <v>0</v>
      </c>
      <c r="X19" s="17">
        <f t="shared" si="11"/>
        <v>6</v>
      </c>
      <c r="Y19" s="17">
        <f t="shared" si="11"/>
        <v>13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194</v>
      </c>
      <c r="AD19" s="17">
        <f t="shared" si="11"/>
        <v>0</v>
      </c>
      <c r="AE19" s="31">
        <f t="shared" si="11"/>
        <v>433</v>
      </c>
      <c r="AF19" s="31">
        <f t="shared" si="11"/>
        <v>627</v>
      </c>
    </row>
    <row r="20" spans="2:32" ht="23.1" customHeight="1" x14ac:dyDescent="0.25">
      <c r="B20" s="23" t="s">
        <v>47</v>
      </c>
      <c r="C20" s="50">
        <v>88</v>
      </c>
      <c r="D20" s="50">
        <v>36</v>
      </c>
      <c r="E20" s="50">
        <v>19</v>
      </c>
      <c r="F20" s="50">
        <v>23</v>
      </c>
      <c r="G20" s="50">
        <v>0</v>
      </c>
      <c r="H20" s="50">
        <v>1</v>
      </c>
      <c r="I20" s="50">
        <v>0</v>
      </c>
      <c r="J20" s="50">
        <v>4</v>
      </c>
      <c r="K20" s="50">
        <v>0</v>
      </c>
      <c r="L20" s="50">
        <v>0</v>
      </c>
      <c r="M20" s="50">
        <v>79</v>
      </c>
      <c r="N20" s="50">
        <v>0</v>
      </c>
      <c r="O20" s="15">
        <f t="shared" si="0"/>
        <v>171</v>
      </c>
      <c r="P20" s="15">
        <f t="shared" si="1"/>
        <v>250</v>
      </c>
      <c r="R20" s="1" t="s">
        <v>16</v>
      </c>
      <c r="S20" s="17">
        <f t="shared" ref="S20:AF20" si="12">SUM(C50:C53)</f>
        <v>474</v>
      </c>
      <c r="T20" s="17">
        <f t="shared" si="12"/>
        <v>312</v>
      </c>
      <c r="U20" s="17">
        <f t="shared" si="12"/>
        <v>143</v>
      </c>
      <c r="V20" s="17">
        <f t="shared" si="12"/>
        <v>215</v>
      </c>
      <c r="W20" s="17">
        <f t="shared" si="12"/>
        <v>2</v>
      </c>
      <c r="X20" s="17">
        <f t="shared" si="12"/>
        <v>1</v>
      </c>
      <c r="Y20" s="17">
        <f t="shared" si="12"/>
        <v>13</v>
      </c>
      <c r="Z20" s="17">
        <f t="shared" si="12"/>
        <v>4</v>
      </c>
      <c r="AA20" s="17">
        <f t="shared" si="12"/>
        <v>3</v>
      </c>
      <c r="AB20" s="17">
        <f t="shared" si="12"/>
        <v>1</v>
      </c>
      <c r="AC20" s="17">
        <f t="shared" si="12"/>
        <v>338</v>
      </c>
      <c r="AD20" s="17">
        <f t="shared" si="12"/>
        <v>0</v>
      </c>
      <c r="AE20" s="31">
        <f t="shared" si="12"/>
        <v>1168</v>
      </c>
      <c r="AF20" s="31">
        <f t="shared" si="12"/>
        <v>1506</v>
      </c>
    </row>
    <row r="21" spans="2:32" ht="23.1" customHeight="1" x14ac:dyDescent="0.25">
      <c r="B21" s="23" t="s">
        <v>48</v>
      </c>
      <c r="C21" s="50">
        <v>67</v>
      </c>
      <c r="D21" s="50">
        <v>23</v>
      </c>
      <c r="E21" s="50">
        <v>23</v>
      </c>
      <c r="F21" s="50">
        <v>38</v>
      </c>
      <c r="G21" s="50">
        <v>0</v>
      </c>
      <c r="H21" s="50">
        <v>1</v>
      </c>
      <c r="I21" s="50">
        <v>6</v>
      </c>
      <c r="J21" s="50">
        <v>0</v>
      </c>
      <c r="K21" s="50">
        <v>0</v>
      </c>
      <c r="L21" s="50">
        <v>0</v>
      </c>
      <c r="M21" s="50">
        <v>83</v>
      </c>
      <c r="N21" s="50">
        <v>0</v>
      </c>
      <c r="O21" s="15">
        <f t="shared" si="0"/>
        <v>158</v>
      </c>
      <c r="P21" s="15">
        <f t="shared" si="1"/>
        <v>241</v>
      </c>
      <c r="R21" s="36" t="s">
        <v>20</v>
      </c>
      <c r="S21" s="34">
        <f t="shared" ref="S21:AF21" si="13">SUM(C54:C57)</f>
        <v>1428</v>
      </c>
      <c r="T21" s="17">
        <f t="shared" si="13"/>
        <v>700</v>
      </c>
      <c r="U21" s="17">
        <f t="shared" si="13"/>
        <v>561</v>
      </c>
      <c r="V21" s="17">
        <f t="shared" si="13"/>
        <v>161</v>
      </c>
      <c r="W21" s="17">
        <f t="shared" si="13"/>
        <v>0</v>
      </c>
      <c r="X21" s="17">
        <f t="shared" si="13"/>
        <v>0</v>
      </c>
      <c r="Y21" s="17">
        <f t="shared" si="13"/>
        <v>42</v>
      </c>
      <c r="Z21" s="17">
        <f t="shared" si="13"/>
        <v>10</v>
      </c>
      <c r="AA21" s="17">
        <f t="shared" si="13"/>
        <v>0</v>
      </c>
      <c r="AB21" s="17">
        <f t="shared" si="13"/>
        <v>1</v>
      </c>
      <c r="AC21" s="17">
        <f t="shared" si="13"/>
        <v>421</v>
      </c>
      <c r="AD21" s="17">
        <f t="shared" si="13"/>
        <v>0</v>
      </c>
      <c r="AE21" s="31">
        <f t="shared" si="13"/>
        <v>2903</v>
      </c>
      <c r="AF21" s="31">
        <f t="shared" si="13"/>
        <v>3324</v>
      </c>
    </row>
    <row r="22" spans="2:32" ht="23.1" customHeight="1" x14ac:dyDescent="0.25">
      <c r="B22" s="23" t="s">
        <v>49</v>
      </c>
      <c r="C22" s="50">
        <v>48</v>
      </c>
      <c r="D22" s="50">
        <v>22</v>
      </c>
      <c r="E22" s="50">
        <v>23</v>
      </c>
      <c r="F22" s="50">
        <v>27</v>
      </c>
      <c r="G22" s="50">
        <v>0</v>
      </c>
      <c r="H22" s="50">
        <v>0</v>
      </c>
      <c r="I22" s="50">
        <v>3</v>
      </c>
      <c r="J22" s="50">
        <v>2</v>
      </c>
      <c r="K22" s="50">
        <v>0</v>
      </c>
      <c r="L22" s="50">
        <v>0</v>
      </c>
      <c r="M22" s="50">
        <v>73</v>
      </c>
      <c r="N22" s="50">
        <v>0</v>
      </c>
      <c r="O22" s="15">
        <f t="shared" si="0"/>
        <v>125</v>
      </c>
      <c r="P22" s="15">
        <f t="shared" si="1"/>
        <v>198</v>
      </c>
      <c r="R22" s="38" t="s">
        <v>90</v>
      </c>
      <c r="S22" s="39">
        <f>MAX(S10:S12)</f>
        <v>357</v>
      </c>
      <c r="T22" s="39">
        <f t="shared" ref="T22:AF22" si="14">MAX(T10:T12)</f>
        <v>149</v>
      </c>
      <c r="U22" s="39">
        <f t="shared" si="14"/>
        <v>114</v>
      </c>
      <c r="V22" s="39">
        <f t="shared" si="14"/>
        <v>205</v>
      </c>
      <c r="W22" s="39">
        <f t="shared" si="14"/>
        <v>2</v>
      </c>
      <c r="X22" s="39">
        <f t="shared" si="14"/>
        <v>4</v>
      </c>
      <c r="Y22" s="39">
        <f t="shared" si="14"/>
        <v>17</v>
      </c>
      <c r="Z22" s="39">
        <f t="shared" si="14"/>
        <v>6</v>
      </c>
      <c r="AA22" s="39">
        <f t="shared" si="14"/>
        <v>0</v>
      </c>
      <c r="AB22" s="39">
        <f t="shared" si="14"/>
        <v>1</v>
      </c>
      <c r="AC22" s="39">
        <f t="shared" si="14"/>
        <v>447</v>
      </c>
      <c r="AD22" s="39">
        <f t="shared" si="14"/>
        <v>0</v>
      </c>
      <c r="AE22" s="40">
        <f t="shared" si="14"/>
        <v>750</v>
      </c>
      <c r="AF22" s="40">
        <f t="shared" si="14"/>
        <v>1172</v>
      </c>
    </row>
    <row r="23" spans="2:32" ht="23.1" customHeight="1" x14ac:dyDescent="0.25">
      <c r="B23" s="23" t="s">
        <v>50</v>
      </c>
      <c r="C23" s="50">
        <v>100</v>
      </c>
      <c r="D23" s="50">
        <v>48</v>
      </c>
      <c r="E23" s="50">
        <v>20</v>
      </c>
      <c r="F23" s="50">
        <v>34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1</v>
      </c>
      <c r="M23" s="50">
        <v>90</v>
      </c>
      <c r="N23" s="50">
        <v>0</v>
      </c>
      <c r="O23" s="15">
        <f t="shared" si="0"/>
        <v>206</v>
      </c>
      <c r="P23" s="15">
        <f t="shared" si="1"/>
        <v>296</v>
      </c>
      <c r="R23" s="38" t="s">
        <v>91</v>
      </c>
      <c r="S23" s="39">
        <f>MAX(S13:S18)</f>
        <v>277</v>
      </c>
      <c r="T23" s="39">
        <f t="shared" ref="T23:AF23" si="15">MAX(T13:T18)</f>
        <v>142</v>
      </c>
      <c r="U23" s="39">
        <f t="shared" si="15"/>
        <v>101</v>
      </c>
      <c r="V23" s="39">
        <f t="shared" si="15"/>
        <v>162</v>
      </c>
      <c r="W23" s="39">
        <f t="shared" si="15"/>
        <v>1</v>
      </c>
      <c r="X23" s="39">
        <f t="shared" si="15"/>
        <v>2</v>
      </c>
      <c r="Y23" s="39">
        <f t="shared" si="15"/>
        <v>13</v>
      </c>
      <c r="Z23" s="39">
        <f t="shared" si="15"/>
        <v>9</v>
      </c>
      <c r="AA23" s="39">
        <f t="shared" si="15"/>
        <v>3</v>
      </c>
      <c r="AB23" s="39">
        <f t="shared" si="15"/>
        <v>1</v>
      </c>
      <c r="AC23" s="39">
        <f t="shared" si="15"/>
        <v>294</v>
      </c>
      <c r="AD23" s="39">
        <f t="shared" si="15"/>
        <v>0</v>
      </c>
      <c r="AE23" s="40">
        <f t="shared" si="15"/>
        <v>671</v>
      </c>
      <c r="AF23" s="40">
        <f t="shared" si="15"/>
        <v>957</v>
      </c>
    </row>
    <row r="24" spans="2:32" ht="23.1" customHeight="1" x14ac:dyDescent="0.25">
      <c r="B24" s="23" t="s">
        <v>51</v>
      </c>
      <c r="C24" s="50">
        <v>60</v>
      </c>
      <c r="D24" s="50">
        <v>34</v>
      </c>
      <c r="E24" s="50">
        <v>27</v>
      </c>
      <c r="F24" s="50">
        <v>42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45</v>
      </c>
      <c r="N24" s="50">
        <v>0</v>
      </c>
      <c r="O24" s="15">
        <f t="shared" si="0"/>
        <v>168</v>
      </c>
      <c r="P24" s="15">
        <f t="shared" si="1"/>
        <v>213</v>
      </c>
      <c r="R24" s="38" t="s">
        <v>92</v>
      </c>
      <c r="S24" s="39">
        <f>MAX(S19:S21)</f>
        <v>1428</v>
      </c>
      <c r="T24" s="39">
        <f t="shared" ref="T24:AF24" si="16">MAX(T19:T21)</f>
        <v>700</v>
      </c>
      <c r="U24" s="39">
        <f t="shared" si="16"/>
        <v>561</v>
      </c>
      <c r="V24" s="39">
        <f t="shared" si="16"/>
        <v>215</v>
      </c>
      <c r="W24" s="39">
        <f t="shared" si="16"/>
        <v>2</v>
      </c>
      <c r="X24" s="39">
        <f t="shared" si="16"/>
        <v>6</v>
      </c>
      <c r="Y24" s="39">
        <f t="shared" si="16"/>
        <v>42</v>
      </c>
      <c r="Z24" s="39">
        <f t="shared" si="16"/>
        <v>10</v>
      </c>
      <c r="AA24" s="39">
        <f t="shared" si="16"/>
        <v>3</v>
      </c>
      <c r="AB24" s="39">
        <f t="shared" si="16"/>
        <v>1</v>
      </c>
      <c r="AC24" s="39">
        <f t="shared" si="16"/>
        <v>421</v>
      </c>
      <c r="AD24" s="39">
        <f t="shared" si="16"/>
        <v>0</v>
      </c>
      <c r="AE24" s="40">
        <f t="shared" si="16"/>
        <v>2903</v>
      </c>
      <c r="AF24" s="40">
        <f t="shared" si="16"/>
        <v>3324</v>
      </c>
    </row>
    <row r="25" spans="2:32" ht="23.1" customHeight="1" x14ac:dyDescent="0.25">
      <c r="B25" s="23" t="s">
        <v>52</v>
      </c>
      <c r="C25" s="50">
        <v>69</v>
      </c>
      <c r="D25" s="50">
        <v>38</v>
      </c>
      <c r="E25" s="50">
        <v>31</v>
      </c>
      <c r="F25" s="50">
        <v>29</v>
      </c>
      <c r="G25" s="50">
        <v>0</v>
      </c>
      <c r="H25" s="50">
        <v>0</v>
      </c>
      <c r="I25" s="50">
        <v>3</v>
      </c>
      <c r="J25" s="50">
        <v>2</v>
      </c>
      <c r="K25" s="50">
        <v>0</v>
      </c>
      <c r="L25" s="50">
        <v>0</v>
      </c>
      <c r="M25" s="50">
        <v>78</v>
      </c>
      <c r="N25" s="50">
        <v>0</v>
      </c>
      <c r="O25" s="15">
        <f t="shared" si="0"/>
        <v>172</v>
      </c>
      <c r="P25" s="15">
        <f t="shared" si="1"/>
        <v>250</v>
      </c>
      <c r="R25" s="37" t="s">
        <v>85</v>
      </c>
      <c r="S25" s="35">
        <f t="shared" ref="S25:AF25" si="17">SUM(S10:S12)</f>
        <v>862</v>
      </c>
      <c r="T25" s="16">
        <f t="shared" si="17"/>
        <v>420</v>
      </c>
      <c r="U25" s="16">
        <f t="shared" si="17"/>
        <v>272</v>
      </c>
      <c r="V25" s="16">
        <f t="shared" si="17"/>
        <v>465</v>
      </c>
      <c r="W25" s="16">
        <f t="shared" si="17"/>
        <v>5</v>
      </c>
      <c r="X25" s="16">
        <f t="shared" si="17"/>
        <v>7</v>
      </c>
      <c r="Y25" s="16">
        <f t="shared" si="17"/>
        <v>33</v>
      </c>
      <c r="Z25" s="16">
        <f t="shared" si="17"/>
        <v>15</v>
      </c>
      <c r="AA25" s="16">
        <f t="shared" si="17"/>
        <v>0</v>
      </c>
      <c r="AB25" s="16">
        <f t="shared" si="17"/>
        <v>1</v>
      </c>
      <c r="AC25" s="16">
        <f t="shared" si="17"/>
        <v>968</v>
      </c>
      <c r="AD25" s="16">
        <f t="shared" si="17"/>
        <v>0</v>
      </c>
      <c r="AE25" s="32">
        <f t="shared" si="17"/>
        <v>2080</v>
      </c>
      <c r="AF25" s="32">
        <f t="shared" si="17"/>
        <v>3048</v>
      </c>
    </row>
    <row r="26" spans="2:32" ht="23.1" customHeight="1" x14ac:dyDescent="0.25">
      <c r="B26" s="23" t="s">
        <v>53</v>
      </c>
      <c r="C26" s="50">
        <v>48</v>
      </c>
      <c r="D26" s="50">
        <v>28</v>
      </c>
      <c r="E26" s="50">
        <v>19</v>
      </c>
      <c r="F26" s="50">
        <v>29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1</v>
      </c>
      <c r="M26" s="50">
        <v>64</v>
      </c>
      <c r="N26" s="50">
        <v>0</v>
      </c>
      <c r="O26" s="15">
        <f t="shared" si="0"/>
        <v>127</v>
      </c>
      <c r="P26" s="15">
        <f t="shared" si="1"/>
        <v>191</v>
      </c>
      <c r="R26" s="28" t="s">
        <v>86</v>
      </c>
      <c r="S26" s="16">
        <f t="shared" ref="S26:AF26" si="18">SUM(S13:S18)</f>
        <v>1134</v>
      </c>
      <c r="T26" s="16">
        <f t="shared" si="18"/>
        <v>553</v>
      </c>
      <c r="U26" s="16">
        <f t="shared" si="18"/>
        <v>443</v>
      </c>
      <c r="V26" s="16">
        <f t="shared" si="18"/>
        <v>792</v>
      </c>
      <c r="W26" s="16">
        <f t="shared" si="18"/>
        <v>2</v>
      </c>
      <c r="X26" s="16">
        <f t="shared" si="18"/>
        <v>3</v>
      </c>
      <c r="Y26" s="16">
        <f t="shared" si="18"/>
        <v>54</v>
      </c>
      <c r="Z26" s="16">
        <f t="shared" si="18"/>
        <v>35</v>
      </c>
      <c r="AA26" s="16">
        <f t="shared" si="18"/>
        <v>3</v>
      </c>
      <c r="AB26" s="16">
        <f t="shared" si="18"/>
        <v>5</v>
      </c>
      <c r="AC26" s="16">
        <f t="shared" si="18"/>
        <v>1562</v>
      </c>
      <c r="AD26" s="16">
        <f t="shared" si="18"/>
        <v>0</v>
      </c>
      <c r="AE26" s="32">
        <f t="shared" si="18"/>
        <v>3024</v>
      </c>
      <c r="AF26" s="32">
        <f t="shared" si="18"/>
        <v>4586</v>
      </c>
    </row>
    <row r="27" spans="2:32" ht="23.1" customHeight="1" x14ac:dyDescent="0.25">
      <c r="B27" s="23" t="s">
        <v>54</v>
      </c>
      <c r="C27" s="50">
        <v>52</v>
      </c>
      <c r="D27" s="50">
        <v>30</v>
      </c>
      <c r="E27" s="50">
        <v>14</v>
      </c>
      <c r="F27" s="50">
        <v>46</v>
      </c>
      <c r="G27" s="50">
        <v>1</v>
      </c>
      <c r="H27" s="50">
        <v>0</v>
      </c>
      <c r="I27" s="50">
        <v>3</v>
      </c>
      <c r="J27" s="50">
        <v>3</v>
      </c>
      <c r="K27" s="50">
        <v>0</v>
      </c>
      <c r="L27" s="50">
        <v>0</v>
      </c>
      <c r="M27" s="50">
        <v>86</v>
      </c>
      <c r="N27" s="50">
        <v>0</v>
      </c>
      <c r="O27" s="15">
        <f t="shared" si="0"/>
        <v>149</v>
      </c>
      <c r="P27" s="15">
        <f t="shared" si="1"/>
        <v>235</v>
      </c>
      <c r="R27" s="29" t="s">
        <v>87</v>
      </c>
      <c r="S27" s="16">
        <f t="shared" ref="S27:AF27" si="19">SUM(S19:S21)</f>
        <v>2039</v>
      </c>
      <c r="T27" s="16">
        <f t="shared" si="19"/>
        <v>1094</v>
      </c>
      <c r="U27" s="16">
        <f t="shared" si="19"/>
        <v>772</v>
      </c>
      <c r="V27" s="16">
        <f t="shared" si="19"/>
        <v>499</v>
      </c>
      <c r="W27" s="16">
        <f t="shared" si="19"/>
        <v>2</v>
      </c>
      <c r="X27" s="16">
        <f t="shared" si="19"/>
        <v>7</v>
      </c>
      <c r="Y27" s="16">
        <f t="shared" si="19"/>
        <v>68</v>
      </c>
      <c r="Z27" s="16">
        <f t="shared" si="19"/>
        <v>18</v>
      </c>
      <c r="AA27" s="16">
        <f t="shared" si="19"/>
        <v>3</v>
      </c>
      <c r="AB27" s="16">
        <f t="shared" si="19"/>
        <v>2</v>
      </c>
      <c r="AC27" s="16">
        <f t="shared" si="19"/>
        <v>953</v>
      </c>
      <c r="AD27" s="16">
        <f t="shared" si="19"/>
        <v>0</v>
      </c>
      <c r="AE27" s="32">
        <f t="shared" si="19"/>
        <v>4504</v>
      </c>
      <c r="AF27" s="32">
        <f t="shared" si="19"/>
        <v>5457</v>
      </c>
    </row>
    <row r="28" spans="2:32" ht="23.1" customHeight="1" x14ac:dyDescent="0.25">
      <c r="B28" s="23" t="s">
        <v>55</v>
      </c>
      <c r="C28" s="50">
        <v>49</v>
      </c>
      <c r="D28" s="50">
        <v>21</v>
      </c>
      <c r="E28" s="50">
        <v>14</v>
      </c>
      <c r="F28" s="50">
        <v>38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59</v>
      </c>
      <c r="N28" s="50">
        <v>0</v>
      </c>
      <c r="O28" s="15">
        <f t="shared" si="0"/>
        <v>122</v>
      </c>
      <c r="P28" s="15">
        <f t="shared" si="1"/>
        <v>181</v>
      </c>
      <c r="R28" s="5" t="s">
        <v>17</v>
      </c>
      <c r="S28" s="16">
        <f t="shared" ref="S28:AF28" si="20">SUM(S10:S21)</f>
        <v>4035</v>
      </c>
      <c r="T28" s="16">
        <f t="shared" si="20"/>
        <v>2067</v>
      </c>
      <c r="U28" s="16">
        <f t="shared" si="20"/>
        <v>1487</v>
      </c>
      <c r="V28" s="16">
        <f t="shared" si="20"/>
        <v>1756</v>
      </c>
      <c r="W28" s="16">
        <f t="shared" si="20"/>
        <v>9</v>
      </c>
      <c r="X28" s="16">
        <f t="shared" si="20"/>
        <v>17</v>
      </c>
      <c r="Y28" s="16">
        <f t="shared" si="20"/>
        <v>155</v>
      </c>
      <c r="Z28" s="16">
        <f t="shared" si="20"/>
        <v>68</v>
      </c>
      <c r="AA28" s="16">
        <f t="shared" si="20"/>
        <v>6</v>
      </c>
      <c r="AB28" s="16">
        <f t="shared" si="20"/>
        <v>8</v>
      </c>
      <c r="AC28" s="16">
        <f t="shared" si="20"/>
        <v>3483</v>
      </c>
      <c r="AD28" s="16">
        <f t="shared" si="20"/>
        <v>0</v>
      </c>
      <c r="AE28" s="32">
        <f t="shared" si="20"/>
        <v>9608</v>
      </c>
      <c r="AF28" s="32">
        <f t="shared" si="20"/>
        <v>13091</v>
      </c>
    </row>
    <row r="29" spans="2:32" ht="23.1" customHeight="1" x14ac:dyDescent="0.25">
      <c r="B29" s="23" t="s">
        <v>56</v>
      </c>
      <c r="C29" s="50">
        <v>63</v>
      </c>
      <c r="D29" s="50">
        <v>33</v>
      </c>
      <c r="E29" s="50">
        <v>21</v>
      </c>
      <c r="F29" s="50">
        <v>49</v>
      </c>
      <c r="G29" s="50">
        <v>0</v>
      </c>
      <c r="H29" s="50">
        <v>0</v>
      </c>
      <c r="I29" s="50">
        <v>6</v>
      </c>
      <c r="J29" s="50">
        <v>4</v>
      </c>
      <c r="K29" s="50">
        <v>0</v>
      </c>
      <c r="L29" s="50">
        <v>0</v>
      </c>
      <c r="M29" s="50">
        <v>82</v>
      </c>
      <c r="N29" s="50">
        <v>0</v>
      </c>
      <c r="O29" s="15">
        <f t="shared" si="0"/>
        <v>176</v>
      </c>
      <c r="P29" s="15">
        <f t="shared" si="1"/>
        <v>258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23</v>
      </c>
      <c r="E30" s="50">
        <v>24</v>
      </c>
      <c r="F30" s="50">
        <v>29</v>
      </c>
      <c r="G30" s="50">
        <v>1</v>
      </c>
      <c r="H30" s="50">
        <v>0</v>
      </c>
      <c r="I30" s="50">
        <v>1</v>
      </c>
      <c r="J30" s="50">
        <v>3</v>
      </c>
      <c r="K30" s="50">
        <v>0</v>
      </c>
      <c r="L30" s="50">
        <v>0</v>
      </c>
      <c r="M30" s="50">
        <v>78</v>
      </c>
      <c r="N30" s="50">
        <v>0</v>
      </c>
      <c r="O30" s="15">
        <f t="shared" si="0"/>
        <v>124</v>
      </c>
      <c r="P30" s="15">
        <f t="shared" si="1"/>
        <v>202</v>
      </c>
    </row>
    <row r="31" spans="2:32" ht="23.1" customHeight="1" x14ac:dyDescent="0.25">
      <c r="B31" s="24" t="s">
        <v>58</v>
      </c>
      <c r="C31" s="50">
        <v>51</v>
      </c>
      <c r="D31" s="50">
        <v>10</v>
      </c>
      <c r="E31" s="50">
        <v>16</v>
      </c>
      <c r="F31" s="50">
        <v>31</v>
      </c>
      <c r="G31" s="50">
        <v>0</v>
      </c>
      <c r="H31" s="50">
        <v>1</v>
      </c>
      <c r="I31" s="50">
        <v>3</v>
      </c>
      <c r="J31" s="50">
        <v>0</v>
      </c>
      <c r="K31" s="50">
        <v>0</v>
      </c>
      <c r="L31" s="50">
        <v>0</v>
      </c>
      <c r="M31" s="50">
        <v>78</v>
      </c>
      <c r="N31" s="50">
        <v>0</v>
      </c>
      <c r="O31" s="15">
        <f t="shared" si="0"/>
        <v>112</v>
      </c>
      <c r="P31" s="15">
        <f t="shared" si="1"/>
        <v>190</v>
      </c>
    </row>
    <row r="32" spans="2:32" ht="23.1" customHeight="1" x14ac:dyDescent="0.25">
      <c r="B32" s="24" t="s">
        <v>59</v>
      </c>
      <c r="C32" s="50">
        <v>36</v>
      </c>
      <c r="D32" s="50">
        <v>16</v>
      </c>
      <c r="E32" s="50">
        <v>18</v>
      </c>
      <c r="F32" s="50">
        <v>25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73</v>
      </c>
      <c r="N32" s="50">
        <v>0</v>
      </c>
      <c r="O32" s="15">
        <f t="shared" si="0"/>
        <v>96</v>
      </c>
      <c r="P32" s="15">
        <f t="shared" si="1"/>
        <v>169</v>
      </c>
    </row>
    <row r="33" spans="2:20" ht="23.1" customHeight="1" x14ac:dyDescent="0.25">
      <c r="B33" s="23" t="s">
        <v>60</v>
      </c>
      <c r="C33" s="50">
        <v>32</v>
      </c>
      <c r="D33" s="50">
        <v>13</v>
      </c>
      <c r="E33" s="50">
        <v>20</v>
      </c>
      <c r="F33" s="50">
        <v>23</v>
      </c>
      <c r="G33" s="50">
        <v>0</v>
      </c>
      <c r="H33" s="50">
        <v>0</v>
      </c>
      <c r="I33" s="50">
        <v>4</v>
      </c>
      <c r="J33" s="50">
        <v>1</v>
      </c>
      <c r="K33" s="50">
        <v>0</v>
      </c>
      <c r="L33" s="50">
        <v>0</v>
      </c>
      <c r="M33" s="50">
        <v>65</v>
      </c>
      <c r="N33" s="50">
        <v>0</v>
      </c>
      <c r="O33" s="15">
        <f t="shared" si="0"/>
        <v>93</v>
      </c>
      <c r="P33" s="15">
        <f t="shared" si="1"/>
        <v>158</v>
      </c>
    </row>
    <row r="34" spans="2:20" ht="23.1" customHeight="1" x14ac:dyDescent="0.25">
      <c r="B34" s="24" t="s">
        <v>61</v>
      </c>
      <c r="C34" s="50">
        <v>41</v>
      </c>
      <c r="D34" s="50">
        <v>16</v>
      </c>
      <c r="E34" s="50">
        <v>16</v>
      </c>
      <c r="F34" s="50">
        <v>23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70</v>
      </c>
      <c r="N34" s="50">
        <v>0</v>
      </c>
      <c r="O34" s="15">
        <f t="shared" si="0"/>
        <v>96</v>
      </c>
      <c r="P34" s="15">
        <f t="shared" si="1"/>
        <v>166</v>
      </c>
    </row>
    <row r="35" spans="2:20" ht="23.1" customHeight="1" x14ac:dyDescent="0.25">
      <c r="B35" s="24" t="s">
        <v>62</v>
      </c>
      <c r="C35" s="50">
        <v>28</v>
      </c>
      <c r="D35" s="50">
        <v>12</v>
      </c>
      <c r="E35" s="50">
        <v>9</v>
      </c>
      <c r="F35" s="50">
        <v>17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46</v>
      </c>
      <c r="N35" s="50">
        <v>0</v>
      </c>
      <c r="O35" s="15">
        <f t="shared" si="0"/>
        <v>66</v>
      </c>
      <c r="P35" s="15">
        <f t="shared" si="1"/>
        <v>112</v>
      </c>
    </row>
    <row r="36" spans="2:20" ht="23.1" customHeight="1" x14ac:dyDescent="0.25">
      <c r="B36" s="24" t="s">
        <v>63</v>
      </c>
      <c r="C36" s="50">
        <v>28</v>
      </c>
      <c r="D36" s="50">
        <v>21</v>
      </c>
      <c r="E36" s="50">
        <v>13</v>
      </c>
      <c r="F36" s="50">
        <v>26</v>
      </c>
      <c r="G36" s="50">
        <v>0</v>
      </c>
      <c r="H36" s="50">
        <v>0</v>
      </c>
      <c r="I36" s="50">
        <v>0</v>
      </c>
      <c r="J36" s="50">
        <v>2</v>
      </c>
      <c r="K36" s="50">
        <v>0</v>
      </c>
      <c r="L36" s="50">
        <v>0</v>
      </c>
      <c r="M36" s="50">
        <v>66</v>
      </c>
      <c r="N36" s="50">
        <v>0</v>
      </c>
      <c r="O36" s="15">
        <f t="shared" si="0"/>
        <v>90</v>
      </c>
      <c r="P36" s="15">
        <f t="shared" si="1"/>
        <v>156</v>
      </c>
    </row>
    <row r="37" spans="2:20" ht="23.1" customHeight="1" x14ac:dyDescent="0.25">
      <c r="B37" s="23" t="s">
        <v>64</v>
      </c>
      <c r="C37" s="50">
        <v>42</v>
      </c>
      <c r="D37" s="50">
        <v>20</v>
      </c>
      <c r="E37" s="50">
        <v>26</v>
      </c>
      <c r="F37" s="50">
        <v>22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0</v>
      </c>
      <c r="M37" s="50">
        <v>64</v>
      </c>
      <c r="N37" s="50">
        <v>0</v>
      </c>
      <c r="O37" s="15">
        <f t="shared" si="0"/>
        <v>114</v>
      </c>
      <c r="P37" s="15">
        <f t="shared" si="1"/>
        <v>178</v>
      </c>
    </row>
    <row r="38" spans="2:20" ht="23.1" customHeight="1" x14ac:dyDescent="0.25">
      <c r="B38" s="24" t="s">
        <v>65</v>
      </c>
      <c r="C38" s="50">
        <v>38</v>
      </c>
      <c r="D38" s="50">
        <v>24</v>
      </c>
      <c r="E38" s="50">
        <v>26</v>
      </c>
      <c r="F38" s="50">
        <v>35</v>
      </c>
      <c r="G38" s="50">
        <v>0</v>
      </c>
      <c r="H38" s="50">
        <v>0</v>
      </c>
      <c r="I38" s="50">
        <v>2</v>
      </c>
      <c r="J38" s="50">
        <v>0</v>
      </c>
      <c r="K38" s="50">
        <v>2</v>
      </c>
      <c r="L38" s="50">
        <v>1</v>
      </c>
      <c r="M38" s="50">
        <v>53</v>
      </c>
      <c r="N38" s="50">
        <v>0</v>
      </c>
      <c r="O38" s="15">
        <f t="shared" si="0"/>
        <v>128</v>
      </c>
      <c r="P38" s="15">
        <f t="shared" si="1"/>
        <v>181</v>
      </c>
    </row>
    <row r="39" spans="2:20" ht="23.1" customHeight="1" x14ac:dyDescent="0.25">
      <c r="B39" s="24" t="s">
        <v>66</v>
      </c>
      <c r="C39" s="50">
        <v>46</v>
      </c>
      <c r="D39" s="50">
        <v>27</v>
      </c>
      <c r="E39" s="50">
        <v>11</v>
      </c>
      <c r="F39" s="50">
        <v>38</v>
      </c>
      <c r="G39" s="50">
        <v>0</v>
      </c>
      <c r="H39" s="50">
        <v>0</v>
      </c>
      <c r="I39" s="50">
        <v>3</v>
      </c>
      <c r="J39" s="50">
        <v>3</v>
      </c>
      <c r="K39" s="50">
        <v>0</v>
      </c>
      <c r="L39" s="50">
        <v>0</v>
      </c>
      <c r="M39" s="50">
        <v>43</v>
      </c>
      <c r="N39" s="50">
        <v>0</v>
      </c>
      <c r="O39" s="15">
        <f t="shared" si="0"/>
        <v>128</v>
      </c>
      <c r="P39" s="15">
        <f t="shared" si="1"/>
        <v>171</v>
      </c>
    </row>
    <row r="40" spans="2:20" ht="23.1" customHeight="1" x14ac:dyDescent="0.25">
      <c r="B40" s="24" t="s">
        <v>67</v>
      </c>
      <c r="C40" s="50">
        <v>38</v>
      </c>
      <c r="D40" s="50">
        <v>17</v>
      </c>
      <c r="E40" s="50">
        <v>10</v>
      </c>
      <c r="F40" s="50">
        <v>38</v>
      </c>
      <c r="G40" s="50">
        <v>0</v>
      </c>
      <c r="H40" s="50">
        <v>0</v>
      </c>
      <c r="I40" s="50">
        <v>6</v>
      </c>
      <c r="J40" s="50">
        <v>2</v>
      </c>
      <c r="K40" s="50">
        <v>1</v>
      </c>
      <c r="L40" s="50">
        <v>0</v>
      </c>
      <c r="M40" s="50">
        <v>56</v>
      </c>
      <c r="N40" s="50">
        <v>0</v>
      </c>
      <c r="O40" s="15">
        <f t="shared" si="0"/>
        <v>112</v>
      </c>
      <c r="P40" s="15">
        <f t="shared" si="1"/>
        <v>168</v>
      </c>
    </row>
    <row r="41" spans="2:20" ht="23.1" customHeight="1" x14ac:dyDescent="0.25">
      <c r="B41" s="23" t="s">
        <v>68</v>
      </c>
      <c r="C41" s="50">
        <v>52</v>
      </c>
      <c r="D41" s="50">
        <v>30</v>
      </c>
      <c r="E41" s="50">
        <v>21</v>
      </c>
      <c r="F41" s="50">
        <v>34</v>
      </c>
      <c r="G41" s="50">
        <v>0</v>
      </c>
      <c r="H41" s="50">
        <v>0</v>
      </c>
      <c r="I41" s="50">
        <v>1</v>
      </c>
      <c r="J41" s="50">
        <v>3</v>
      </c>
      <c r="K41" s="50">
        <v>0</v>
      </c>
      <c r="L41" s="50">
        <v>0</v>
      </c>
      <c r="M41" s="50">
        <v>47</v>
      </c>
      <c r="N41" s="50">
        <v>0</v>
      </c>
      <c r="O41" s="15">
        <f t="shared" si="0"/>
        <v>141</v>
      </c>
      <c r="P41" s="15">
        <f t="shared" si="1"/>
        <v>188</v>
      </c>
    </row>
    <row r="42" spans="2:20" ht="23.1" customHeight="1" x14ac:dyDescent="0.25">
      <c r="B42" s="24" t="s">
        <v>69</v>
      </c>
      <c r="C42" s="50">
        <v>53</v>
      </c>
      <c r="D42" s="50">
        <v>23</v>
      </c>
      <c r="E42" s="50">
        <v>17</v>
      </c>
      <c r="F42" s="50">
        <v>53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82</v>
      </c>
      <c r="N42" s="50">
        <v>0</v>
      </c>
      <c r="O42" s="15">
        <f t="shared" si="0"/>
        <v>149</v>
      </c>
      <c r="P42" s="15">
        <f t="shared" si="1"/>
        <v>231</v>
      </c>
    </row>
    <row r="43" spans="2:20" ht="23.1" customHeight="1" x14ac:dyDescent="0.25">
      <c r="B43" s="23" t="s">
        <v>70</v>
      </c>
      <c r="C43" s="50">
        <v>38</v>
      </c>
      <c r="D43" s="50">
        <v>19</v>
      </c>
      <c r="E43" s="50">
        <v>16</v>
      </c>
      <c r="F43" s="50">
        <v>39</v>
      </c>
      <c r="G43" s="50">
        <v>0</v>
      </c>
      <c r="H43" s="50">
        <v>0</v>
      </c>
      <c r="I43" s="50">
        <v>1</v>
      </c>
      <c r="J43" s="50">
        <v>3</v>
      </c>
      <c r="K43" s="50">
        <v>0</v>
      </c>
      <c r="L43" s="50">
        <v>1</v>
      </c>
      <c r="M43" s="50">
        <v>67</v>
      </c>
      <c r="N43" s="50">
        <v>0</v>
      </c>
      <c r="O43" s="15">
        <f t="shared" si="0"/>
        <v>117</v>
      </c>
      <c r="P43" s="15">
        <f t="shared" si="1"/>
        <v>184</v>
      </c>
    </row>
    <row r="44" spans="2:20" ht="23.1" customHeight="1" x14ac:dyDescent="0.25">
      <c r="B44" s="25" t="s">
        <v>71</v>
      </c>
      <c r="C44" s="50">
        <v>28</v>
      </c>
      <c r="D44" s="50">
        <v>23</v>
      </c>
      <c r="E44" s="50">
        <v>11</v>
      </c>
      <c r="F44" s="50">
        <v>34</v>
      </c>
      <c r="G44" s="50">
        <v>0</v>
      </c>
      <c r="H44" s="50">
        <v>2</v>
      </c>
      <c r="I44" s="50">
        <v>7</v>
      </c>
      <c r="J44" s="50">
        <v>1</v>
      </c>
      <c r="K44" s="50">
        <v>0</v>
      </c>
      <c r="L44" s="50">
        <v>0</v>
      </c>
      <c r="M44" s="50">
        <v>46</v>
      </c>
      <c r="N44" s="50">
        <v>0</v>
      </c>
      <c r="O44" s="15">
        <f t="shared" si="0"/>
        <v>106</v>
      </c>
      <c r="P44" s="15">
        <f t="shared" si="1"/>
        <v>152</v>
      </c>
    </row>
    <row r="45" spans="2:20" ht="23.1" customHeight="1" x14ac:dyDescent="0.25">
      <c r="B45" s="23" t="s">
        <v>72</v>
      </c>
      <c r="C45" s="50">
        <v>51</v>
      </c>
      <c r="D45" s="50">
        <v>5</v>
      </c>
      <c r="E45" s="50">
        <v>20</v>
      </c>
      <c r="F45" s="50">
        <v>31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51</v>
      </c>
      <c r="N45" s="50">
        <v>0</v>
      </c>
      <c r="O45" s="15">
        <f t="shared" si="0"/>
        <v>107</v>
      </c>
      <c r="P45" s="15">
        <f t="shared" si="1"/>
        <v>158</v>
      </c>
    </row>
    <row r="46" spans="2:20" ht="23.1" customHeight="1" x14ac:dyDescent="0.25">
      <c r="B46" s="24" t="s">
        <v>73</v>
      </c>
      <c r="C46" s="50">
        <v>37</v>
      </c>
      <c r="D46" s="50">
        <v>16</v>
      </c>
      <c r="E46" s="50">
        <v>15</v>
      </c>
      <c r="F46" s="50">
        <v>33</v>
      </c>
      <c r="G46" s="50">
        <v>0</v>
      </c>
      <c r="H46" s="50">
        <v>1</v>
      </c>
      <c r="I46" s="50">
        <v>8</v>
      </c>
      <c r="J46" s="50">
        <v>2</v>
      </c>
      <c r="K46" s="50">
        <v>0</v>
      </c>
      <c r="L46" s="50">
        <v>0</v>
      </c>
      <c r="M46" s="50">
        <v>39</v>
      </c>
      <c r="N46" s="50">
        <v>0</v>
      </c>
      <c r="O46" s="15">
        <f t="shared" si="0"/>
        <v>112</v>
      </c>
      <c r="P46" s="15">
        <f t="shared" si="1"/>
        <v>151</v>
      </c>
      <c r="R46" s="8"/>
      <c r="T46"/>
    </row>
    <row r="47" spans="2:20" ht="23.1" customHeight="1" x14ac:dyDescent="0.25">
      <c r="B47" s="24" t="s">
        <v>74</v>
      </c>
      <c r="C47" s="50">
        <v>29</v>
      </c>
      <c r="D47" s="50">
        <v>24</v>
      </c>
      <c r="E47" s="50">
        <v>21</v>
      </c>
      <c r="F47" s="50">
        <v>36</v>
      </c>
      <c r="G47" s="50">
        <v>0</v>
      </c>
      <c r="H47" s="50">
        <v>2</v>
      </c>
      <c r="I47" s="50">
        <v>0</v>
      </c>
      <c r="J47" s="50">
        <v>0</v>
      </c>
      <c r="K47" s="50">
        <v>0</v>
      </c>
      <c r="L47" s="50">
        <v>0</v>
      </c>
      <c r="M47" s="50">
        <v>64</v>
      </c>
      <c r="N47" s="50">
        <v>0</v>
      </c>
      <c r="O47" s="15">
        <f t="shared" si="0"/>
        <v>112</v>
      </c>
      <c r="P47" s="15">
        <f t="shared" si="1"/>
        <v>176</v>
      </c>
      <c r="R47" s="8"/>
      <c r="T47"/>
    </row>
    <row r="48" spans="2:20" ht="23.1" customHeight="1" x14ac:dyDescent="0.25">
      <c r="B48" s="24" t="s">
        <v>75</v>
      </c>
      <c r="C48" s="50">
        <v>28</v>
      </c>
      <c r="D48" s="50">
        <v>19</v>
      </c>
      <c r="E48" s="50">
        <v>14</v>
      </c>
      <c r="F48" s="50">
        <v>31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44</v>
      </c>
      <c r="N48" s="50">
        <v>0</v>
      </c>
      <c r="O48" s="15">
        <f t="shared" si="0"/>
        <v>94</v>
      </c>
      <c r="P48" s="15">
        <f t="shared" si="1"/>
        <v>138</v>
      </c>
      <c r="R48" s="8"/>
      <c r="T48"/>
    </row>
    <row r="49" spans="2:20" ht="23.1" customHeight="1" x14ac:dyDescent="0.25">
      <c r="B49" s="23" t="s">
        <v>76</v>
      </c>
      <c r="C49" s="50">
        <v>43</v>
      </c>
      <c r="D49" s="50">
        <v>23</v>
      </c>
      <c r="E49" s="50">
        <v>18</v>
      </c>
      <c r="F49" s="50">
        <v>23</v>
      </c>
      <c r="G49" s="50">
        <v>0</v>
      </c>
      <c r="H49" s="50">
        <v>3</v>
      </c>
      <c r="I49" s="50">
        <v>4</v>
      </c>
      <c r="J49" s="50">
        <v>1</v>
      </c>
      <c r="K49" s="50">
        <v>0</v>
      </c>
      <c r="L49" s="50">
        <v>0</v>
      </c>
      <c r="M49" s="50">
        <v>47</v>
      </c>
      <c r="N49" s="50">
        <v>0</v>
      </c>
      <c r="O49" s="15">
        <f t="shared" si="0"/>
        <v>115</v>
      </c>
      <c r="P49" s="15">
        <f t="shared" si="1"/>
        <v>162</v>
      </c>
      <c r="R49" s="8"/>
      <c r="T49"/>
    </row>
    <row r="50" spans="2:20" ht="23.1" customHeight="1" x14ac:dyDescent="0.25">
      <c r="B50" s="24" t="s">
        <v>77</v>
      </c>
      <c r="C50" s="50">
        <v>53</v>
      </c>
      <c r="D50" s="50">
        <v>33</v>
      </c>
      <c r="E50" s="50">
        <v>19</v>
      </c>
      <c r="F50" s="50">
        <v>24</v>
      </c>
      <c r="G50" s="50">
        <v>0</v>
      </c>
      <c r="H50" s="50">
        <v>0</v>
      </c>
      <c r="I50" s="50">
        <v>8</v>
      </c>
      <c r="J50" s="50">
        <v>1</v>
      </c>
      <c r="K50" s="50">
        <v>0</v>
      </c>
      <c r="L50" s="50">
        <v>0</v>
      </c>
      <c r="M50" s="50">
        <v>59</v>
      </c>
      <c r="N50" s="50">
        <v>0</v>
      </c>
      <c r="O50" s="15">
        <f t="shared" si="0"/>
        <v>138</v>
      </c>
      <c r="P50" s="15">
        <f t="shared" si="1"/>
        <v>197</v>
      </c>
      <c r="R50" s="8"/>
      <c r="T50"/>
    </row>
    <row r="51" spans="2:20" ht="23.1" customHeight="1" x14ac:dyDescent="0.25">
      <c r="B51" s="24" t="s">
        <v>78</v>
      </c>
      <c r="C51" s="50">
        <v>88</v>
      </c>
      <c r="D51" s="50">
        <v>53</v>
      </c>
      <c r="E51" s="50">
        <v>27</v>
      </c>
      <c r="F51" s="50">
        <v>43</v>
      </c>
      <c r="G51" s="50">
        <v>1</v>
      </c>
      <c r="H51" s="50">
        <v>0</v>
      </c>
      <c r="I51" s="50">
        <v>1</v>
      </c>
      <c r="J51" s="50">
        <v>1</v>
      </c>
      <c r="K51" s="50">
        <v>1</v>
      </c>
      <c r="L51" s="50">
        <v>0</v>
      </c>
      <c r="M51" s="50">
        <v>76</v>
      </c>
      <c r="N51" s="50">
        <v>0</v>
      </c>
      <c r="O51" s="15">
        <f t="shared" si="0"/>
        <v>215</v>
      </c>
      <c r="P51" s="15">
        <f t="shared" si="1"/>
        <v>291</v>
      </c>
      <c r="R51" s="8"/>
      <c r="T51"/>
    </row>
    <row r="52" spans="2:20" ht="23.1" customHeight="1" x14ac:dyDescent="0.25">
      <c r="B52" s="24" t="s">
        <v>79</v>
      </c>
      <c r="C52" s="50">
        <v>168</v>
      </c>
      <c r="D52" s="50">
        <v>113</v>
      </c>
      <c r="E52" s="50">
        <v>69</v>
      </c>
      <c r="F52" s="50">
        <v>83</v>
      </c>
      <c r="G52" s="50">
        <v>1</v>
      </c>
      <c r="H52" s="50">
        <v>1</v>
      </c>
      <c r="I52" s="50">
        <v>4</v>
      </c>
      <c r="J52" s="50">
        <v>1</v>
      </c>
      <c r="K52" s="50">
        <v>2</v>
      </c>
      <c r="L52" s="50">
        <v>1</v>
      </c>
      <c r="M52" s="50">
        <v>109</v>
      </c>
      <c r="N52" s="50">
        <v>0</v>
      </c>
      <c r="O52" s="15">
        <f t="shared" si="0"/>
        <v>443</v>
      </c>
      <c r="P52" s="15">
        <f t="shared" si="1"/>
        <v>552</v>
      </c>
      <c r="R52" s="8"/>
      <c r="T52"/>
    </row>
    <row r="53" spans="2:20" ht="23.1" customHeight="1" x14ac:dyDescent="0.25">
      <c r="B53" s="23" t="s">
        <v>80</v>
      </c>
      <c r="C53" s="50">
        <v>165</v>
      </c>
      <c r="D53" s="50">
        <v>113</v>
      </c>
      <c r="E53" s="50">
        <v>28</v>
      </c>
      <c r="F53" s="50">
        <v>65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94</v>
      </c>
      <c r="N53" s="50">
        <v>0</v>
      </c>
      <c r="O53" s="15">
        <f t="shared" si="0"/>
        <v>372</v>
      </c>
      <c r="P53" s="15">
        <f t="shared" si="1"/>
        <v>466</v>
      </c>
      <c r="R53" s="8"/>
      <c r="T53"/>
    </row>
    <row r="54" spans="2:20" ht="23.1" customHeight="1" x14ac:dyDescent="0.25">
      <c r="B54" s="23" t="s">
        <v>81</v>
      </c>
      <c r="C54" s="50">
        <v>315</v>
      </c>
      <c r="D54" s="50">
        <v>135</v>
      </c>
      <c r="E54" s="50">
        <v>99</v>
      </c>
      <c r="F54" s="50">
        <v>68</v>
      </c>
      <c r="G54" s="50">
        <v>0</v>
      </c>
      <c r="H54" s="50">
        <v>0</v>
      </c>
      <c r="I54" s="50">
        <v>13</v>
      </c>
      <c r="J54" s="50">
        <v>1</v>
      </c>
      <c r="K54" s="50">
        <v>0</v>
      </c>
      <c r="L54" s="50">
        <v>1</v>
      </c>
      <c r="M54" s="50">
        <v>104</v>
      </c>
      <c r="N54" s="50">
        <v>0</v>
      </c>
      <c r="O54" s="15">
        <f t="shared" si="0"/>
        <v>632</v>
      </c>
      <c r="P54" s="15">
        <f t="shared" si="1"/>
        <v>736</v>
      </c>
      <c r="R54" s="8"/>
      <c r="T54"/>
    </row>
    <row r="55" spans="2:20" ht="23.1" customHeight="1" x14ac:dyDescent="0.25">
      <c r="B55" s="23" t="s">
        <v>82</v>
      </c>
      <c r="C55" s="50">
        <v>421</v>
      </c>
      <c r="D55" s="50">
        <v>230</v>
      </c>
      <c r="E55" s="50">
        <v>134</v>
      </c>
      <c r="F55" s="50">
        <v>32</v>
      </c>
      <c r="G55" s="50">
        <v>0</v>
      </c>
      <c r="H55" s="50">
        <v>0</v>
      </c>
      <c r="I55" s="50">
        <v>27</v>
      </c>
      <c r="J55" s="50">
        <v>7</v>
      </c>
      <c r="K55" s="50">
        <v>0</v>
      </c>
      <c r="L55" s="50">
        <v>0</v>
      </c>
      <c r="M55" s="50">
        <v>94</v>
      </c>
      <c r="N55" s="50">
        <v>0</v>
      </c>
      <c r="O55" s="15">
        <f t="shared" si="0"/>
        <v>851</v>
      </c>
      <c r="P55" s="15">
        <f t="shared" si="1"/>
        <v>945</v>
      </c>
      <c r="R55" s="8"/>
      <c r="T55"/>
    </row>
    <row r="56" spans="2:20" ht="23.1" customHeight="1" x14ac:dyDescent="0.25">
      <c r="B56" s="23" t="s">
        <v>83</v>
      </c>
      <c r="C56" s="50">
        <v>350</v>
      </c>
      <c r="D56" s="50">
        <v>205</v>
      </c>
      <c r="E56" s="50">
        <v>189</v>
      </c>
      <c r="F56" s="50">
        <v>28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130</v>
      </c>
      <c r="N56" s="50">
        <v>0</v>
      </c>
      <c r="O56" s="15">
        <f t="shared" si="0"/>
        <v>774</v>
      </c>
      <c r="P56" s="15">
        <f t="shared" si="1"/>
        <v>904</v>
      </c>
      <c r="R56" s="8"/>
      <c r="T56"/>
    </row>
    <row r="57" spans="2:20" ht="23.1" customHeight="1" x14ac:dyDescent="0.25">
      <c r="B57" s="23" t="s">
        <v>84</v>
      </c>
      <c r="C57" s="50">
        <v>342</v>
      </c>
      <c r="D57" s="50">
        <v>130</v>
      </c>
      <c r="E57" s="50">
        <v>139</v>
      </c>
      <c r="F57" s="50">
        <v>33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93</v>
      </c>
      <c r="N57" s="50">
        <v>0</v>
      </c>
      <c r="O57" s="15">
        <f t="shared" si="0"/>
        <v>646</v>
      </c>
      <c r="P57" s="15">
        <f t="shared" si="1"/>
        <v>739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4035</v>
      </c>
      <c r="D58" s="16">
        <f t="shared" si="21"/>
        <v>2067</v>
      </c>
      <c r="E58" s="16">
        <f t="shared" si="21"/>
        <v>1487</v>
      </c>
      <c r="F58" s="16">
        <f t="shared" si="21"/>
        <v>1756</v>
      </c>
      <c r="G58" s="16">
        <f t="shared" si="21"/>
        <v>9</v>
      </c>
      <c r="H58" s="16">
        <f t="shared" si="21"/>
        <v>17</v>
      </c>
      <c r="I58" s="16">
        <f t="shared" si="21"/>
        <v>155</v>
      </c>
      <c r="J58" s="16">
        <f t="shared" si="21"/>
        <v>68</v>
      </c>
      <c r="K58" s="16">
        <f t="shared" si="21"/>
        <v>6</v>
      </c>
      <c r="L58" s="16">
        <f t="shared" si="21"/>
        <v>8</v>
      </c>
      <c r="M58" s="16">
        <f t="shared" si="21"/>
        <v>3483</v>
      </c>
      <c r="N58" s="16">
        <f t="shared" si="21"/>
        <v>0</v>
      </c>
      <c r="O58" s="16">
        <f t="shared" si="21"/>
        <v>9608</v>
      </c>
      <c r="P58" s="16">
        <f t="shared" si="21"/>
        <v>13091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0.30822702620120696</v>
      </c>
      <c r="D59" s="43">
        <f t="shared" si="22"/>
        <v>0.15789473684210525</v>
      </c>
      <c r="E59" s="43">
        <f t="shared" si="22"/>
        <v>0.11358948896188222</v>
      </c>
      <c r="F59" s="43">
        <f t="shared" si="22"/>
        <v>0.13413795737529602</v>
      </c>
      <c r="G59" s="43">
        <f t="shared" si="22"/>
        <v>6.8749522572759915E-4</v>
      </c>
      <c r="H59" s="43">
        <f t="shared" si="22"/>
        <v>1.2986020930410205E-3</v>
      </c>
      <c r="I59" s="43">
        <f t="shared" si="22"/>
        <v>1.184019555419754E-2</v>
      </c>
      <c r="J59" s="43">
        <f t="shared" si="22"/>
        <v>5.1944083721640819E-3</v>
      </c>
      <c r="K59" s="43">
        <f t="shared" si="22"/>
        <v>4.583301504850661E-4</v>
      </c>
      <c r="L59" s="43">
        <f t="shared" si="22"/>
        <v>6.1110686731342143E-4</v>
      </c>
      <c r="M59" s="43">
        <f t="shared" si="22"/>
        <v>0.26606065235658088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0.41996253122398003</v>
      </c>
      <c r="D60" s="44">
        <f t="shared" ref="D60:N60" si="23">D58/$O$58</f>
        <v>0.21513322231473772</v>
      </c>
      <c r="E60" s="44">
        <f t="shared" si="23"/>
        <v>0.154766860949209</v>
      </c>
      <c r="F60" s="44">
        <f t="shared" si="23"/>
        <v>0.18276436303080765</v>
      </c>
      <c r="G60" s="44">
        <f t="shared" si="23"/>
        <v>9.3671940049958372E-4</v>
      </c>
      <c r="H60" s="44">
        <f t="shared" si="23"/>
        <v>1.7693588676103247E-3</v>
      </c>
      <c r="I60" s="44">
        <f t="shared" si="23"/>
        <v>1.6132389675270607E-2</v>
      </c>
      <c r="J60" s="44">
        <f t="shared" si="23"/>
        <v>7.0774354704412987E-3</v>
      </c>
      <c r="K60" s="44">
        <f t="shared" si="23"/>
        <v>6.2447960033305578E-4</v>
      </c>
      <c r="L60" s="44">
        <f t="shared" si="23"/>
        <v>8.3263946711074107E-4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Bugolobi-Nakawa'!C3:G3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Bugolobi-Nakawa'!D5</f>
        <v>29.07.19</v>
      </c>
      <c r="E5" s="3"/>
      <c r="F5" s="41" t="s">
        <v>1</v>
      </c>
      <c r="G5" s="60" t="str">
        <f>'29.07 Bugolobi-Nakawa'!G5:H5</f>
        <v>Business Park</v>
      </c>
      <c r="H5" s="61"/>
      <c r="I5" s="14"/>
      <c r="J5" s="2" t="s">
        <v>5</v>
      </c>
      <c r="K5" s="60" t="str">
        <f>'29.07 Bugolobi-Nakawa'!K5:L5</f>
        <v>Osigai George/Mujuni Peter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166</v>
      </c>
      <c r="E6" s="55"/>
      <c r="F6" s="2" t="s">
        <v>2</v>
      </c>
      <c r="G6" s="54" t="s">
        <v>164</v>
      </c>
      <c r="H6" s="55"/>
      <c r="J6" s="2" t="s">
        <v>21</v>
      </c>
      <c r="K6" s="60" t="str">
        <f>'29.07 Bugolobi-Nakawa'!K6:L6</f>
        <v>Felix and Lawrence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37</v>
      </c>
      <c r="D10" s="50">
        <v>12</v>
      </c>
      <c r="E10" s="50">
        <v>9</v>
      </c>
      <c r="F10" s="50">
        <v>24</v>
      </c>
      <c r="G10" s="50">
        <v>0</v>
      </c>
      <c r="H10" s="50">
        <v>0</v>
      </c>
      <c r="I10" s="50">
        <v>5</v>
      </c>
      <c r="J10" s="50">
        <v>0</v>
      </c>
      <c r="K10" s="50">
        <v>0</v>
      </c>
      <c r="L10" s="50">
        <v>0</v>
      </c>
      <c r="M10" s="50">
        <v>114</v>
      </c>
      <c r="N10" s="50">
        <v>0</v>
      </c>
      <c r="O10" s="15">
        <f t="shared" ref="O10:O57" si="0">SUM(C10:L10,N10)</f>
        <v>87</v>
      </c>
      <c r="P10" s="15">
        <f t="shared" ref="P10:P57" si="1">SUM(C10:N10)</f>
        <v>201</v>
      </c>
      <c r="R10" s="1" t="s">
        <v>6</v>
      </c>
      <c r="S10" s="17">
        <f t="shared" ref="S10:AF10" si="2">SUM(C10:C13)</f>
        <v>186</v>
      </c>
      <c r="T10" s="17">
        <f t="shared" si="2"/>
        <v>53</v>
      </c>
      <c r="U10" s="17">
        <f t="shared" si="2"/>
        <v>39</v>
      </c>
      <c r="V10" s="17">
        <f t="shared" si="2"/>
        <v>113</v>
      </c>
      <c r="W10" s="17">
        <f t="shared" si="2"/>
        <v>2</v>
      </c>
      <c r="X10" s="17">
        <f t="shared" si="2"/>
        <v>1</v>
      </c>
      <c r="Y10" s="17">
        <f t="shared" si="2"/>
        <v>16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554</v>
      </c>
      <c r="AD10" s="17">
        <f t="shared" si="2"/>
        <v>0</v>
      </c>
      <c r="AE10" s="31">
        <f t="shared" si="2"/>
        <v>411</v>
      </c>
      <c r="AF10" s="31">
        <f t="shared" si="2"/>
        <v>965</v>
      </c>
    </row>
    <row r="11" spans="2:32" s="6" customFormat="1" ht="23.1" customHeight="1" x14ac:dyDescent="0.25">
      <c r="B11" s="23" t="s">
        <v>38</v>
      </c>
      <c r="C11" s="50">
        <v>46</v>
      </c>
      <c r="D11" s="50">
        <v>16</v>
      </c>
      <c r="E11" s="50">
        <v>11</v>
      </c>
      <c r="F11" s="50">
        <v>30</v>
      </c>
      <c r="G11" s="50">
        <v>2</v>
      </c>
      <c r="H11" s="50">
        <v>0</v>
      </c>
      <c r="I11" s="50">
        <v>2</v>
      </c>
      <c r="J11" s="50">
        <v>0</v>
      </c>
      <c r="K11" s="50">
        <v>1</v>
      </c>
      <c r="L11" s="50">
        <v>0</v>
      </c>
      <c r="M11" s="50">
        <v>150</v>
      </c>
      <c r="N11" s="50">
        <v>0</v>
      </c>
      <c r="O11" s="15">
        <f t="shared" si="0"/>
        <v>108</v>
      </c>
      <c r="P11" s="15">
        <f t="shared" si="1"/>
        <v>258</v>
      </c>
      <c r="R11" s="1" t="s">
        <v>7</v>
      </c>
      <c r="S11" s="17">
        <f t="shared" ref="S11:AF11" si="3">SUM(C14:C17)</f>
        <v>318</v>
      </c>
      <c r="T11" s="17">
        <f t="shared" si="3"/>
        <v>46</v>
      </c>
      <c r="U11" s="17">
        <f t="shared" si="3"/>
        <v>41</v>
      </c>
      <c r="V11" s="17">
        <f t="shared" si="3"/>
        <v>86</v>
      </c>
      <c r="W11" s="17">
        <f t="shared" si="3"/>
        <v>2</v>
      </c>
      <c r="X11" s="17">
        <f t="shared" si="3"/>
        <v>0</v>
      </c>
      <c r="Y11" s="17">
        <f t="shared" si="3"/>
        <v>9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885</v>
      </c>
      <c r="AD11" s="17">
        <f t="shared" si="3"/>
        <v>0</v>
      </c>
      <c r="AE11" s="31">
        <f t="shared" si="3"/>
        <v>505</v>
      </c>
      <c r="AF11" s="31">
        <f t="shared" si="3"/>
        <v>1390</v>
      </c>
    </row>
    <row r="12" spans="2:32" ht="23.1" customHeight="1" x14ac:dyDescent="0.25">
      <c r="B12" s="23" t="s">
        <v>39</v>
      </c>
      <c r="C12" s="50">
        <v>50</v>
      </c>
      <c r="D12" s="50">
        <v>12</v>
      </c>
      <c r="E12" s="50">
        <v>10</v>
      </c>
      <c r="F12" s="50">
        <v>32</v>
      </c>
      <c r="G12" s="50">
        <v>0</v>
      </c>
      <c r="H12" s="50">
        <v>1</v>
      </c>
      <c r="I12" s="50">
        <v>6</v>
      </c>
      <c r="J12" s="50">
        <v>0</v>
      </c>
      <c r="K12" s="50">
        <v>0</v>
      </c>
      <c r="L12" s="50">
        <v>0</v>
      </c>
      <c r="M12" s="50">
        <v>163</v>
      </c>
      <c r="N12" s="50">
        <v>0</v>
      </c>
      <c r="O12" s="15">
        <f t="shared" si="0"/>
        <v>111</v>
      </c>
      <c r="P12" s="15">
        <f t="shared" si="1"/>
        <v>274</v>
      </c>
      <c r="R12" s="1" t="s">
        <v>8</v>
      </c>
      <c r="S12" s="17">
        <f t="shared" ref="S12:AF12" si="4">SUM(C18:C21)</f>
        <v>314</v>
      </c>
      <c r="T12" s="17">
        <f t="shared" si="4"/>
        <v>74</v>
      </c>
      <c r="U12" s="17">
        <f t="shared" si="4"/>
        <v>52</v>
      </c>
      <c r="V12" s="17">
        <f t="shared" si="4"/>
        <v>108</v>
      </c>
      <c r="W12" s="17">
        <f t="shared" si="4"/>
        <v>5</v>
      </c>
      <c r="X12" s="17">
        <f t="shared" si="4"/>
        <v>0</v>
      </c>
      <c r="Y12" s="17">
        <f t="shared" si="4"/>
        <v>18</v>
      </c>
      <c r="Z12" s="17">
        <f t="shared" si="4"/>
        <v>2</v>
      </c>
      <c r="AA12" s="17">
        <f t="shared" si="4"/>
        <v>0</v>
      </c>
      <c r="AB12" s="17">
        <f t="shared" si="4"/>
        <v>2</v>
      </c>
      <c r="AC12" s="17">
        <f t="shared" si="4"/>
        <v>797</v>
      </c>
      <c r="AD12" s="17">
        <f t="shared" si="4"/>
        <v>0</v>
      </c>
      <c r="AE12" s="31">
        <f t="shared" si="4"/>
        <v>575</v>
      </c>
      <c r="AF12" s="31">
        <f t="shared" si="4"/>
        <v>1372</v>
      </c>
    </row>
    <row r="13" spans="2:32" ht="23.1" customHeight="1" x14ac:dyDescent="0.25">
      <c r="B13" s="23" t="s">
        <v>40</v>
      </c>
      <c r="C13" s="50">
        <v>53</v>
      </c>
      <c r="D13" s="50">
        <v>13</v>
      </c>
      <c r="E13" s="50">
        <v>9</v>
      </c>
      <c r="F13" s="50">
        <v>27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127</v>
      </c>
      <c r="N13" s="50">
        <v>0</v>
      </c>
      <c r="O13" s="15">
        <f t="shared" si="0"/>
        <v>105</v>
      </c>
      <c r="P13" s="15">
        <f t="shared" si="1"/>
        <v>232</v>
      </c>
      <c r="R13" s="1" t="s">
        <v>9</v>
      </c>
      <c r="S13" s="17">
        <f t="shared" ref="S13:AF13" si="5">SUM(C22:C25)</f>
        <v>242</v>
      </c>
      <c r="T13" s="17">
        <f t="shared" si="5"/>
        <v>48</v>
      </c>
      <c r="U13" s="17">
        <f t="shared" si="5"/>
        <v>59</v>
      </c>
      <c r="V13" s="17">
        <f t="shared" si="5"/>
        <v>86</v>
      </c>
      <c r="W13" s="17">
        <f t="shared" si="5"/>
        <v>3</v>
      </c>
      <c r="X13" s="17">
        <f t="shared" si="5"/>
        <v>0</v>
      </c>
      <c r="Y13" s="17">
        <f t="shared" si="5"/>
        <v>18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891</v>
      </c>
      <c r="AD13" s="17">
        <f t="shared" si="5"/>
        <v>0</v>
      </c>
      <c r="AE13" s="31">
        <f t="shared" si="5"/>
        <v>460</v>
      </c>
      <c r="AF13" s="31">
        <f t="shared" si="5"/>
        <v>1351</v>
      </c>
    </row>
    <row r="14" spans="2:32" ht="23.1" customHeight="1" x14ac:dyDescent="0.25">
      <c r="B14" s="23" t="s">
        <v>41</v>
      </c>
      <c r="C14" s="50">
        <v>72</v>
      </c>
      <c r="D14" s="50">
        <v>7</v>
      </c>
      <c r="E14" s="50">
        <v>19</v>
      </c>
      <c r="F14" s="50">
        <v>18</v>
      </c>
      <c r="G14" s="50">
        <v>2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215</v>
      </c>
      <c r="N14" s="50">
        <v>0</v>
      </c>
      <c r="O14" s="15">
        <f t="shared" si="0"/>
        <v>120</v>
      </c>
      <c r="P14" s="15">
        <f t="shared" si="1"/>
        <v>335</v>
      </c>
      <c r="R14" s="1" t="s">
        <v>10</v>
      </c>
      <c r="S14" s="17">
        <f t="shared" ref="S14:AF14" si="6">SUM(C26:C29)</f>
        <v>253</v>
      </c>
      <c r="T14" s="17">
        <f t="shared" si="6"/>
        <v>47</v>
      </c>
      <c r="U14" s="17">
        <f t="shared" si="6"/>
        <v>44</v>
      </c>
      <c r="V14" s="17">
        <f t="shared" si="6"/>
        <v>96</v>
      </c>
      <c r="W14" s="17">
        <f t="shared" si="6"/>
        <v>1</v>
      </c>
      <c r="X14" s="17">
        <f t="shared" si="6"/>
        <v>3</v>
      </c>
      <c r="Y14" s="17">
        <f t="shared" si="6"/>
        <v>8</v>
      </c>
      <c r="Z14" s="17">
        <f t="shared" si="6"/>
        <v>1</v>
      </c>
      <c r="AA14" s="17">
        <f t="shared" si="6"/>
        <v>0</v>
      </c>
      <c r="AB14" s="17">
        <f t="shared" si="6"/>
        <v>1</v>
      </c>
      <c r="AC14" s="17">
        <f t="shared" si="6"/>
        <v>689</v>
      </c>
      <c r="AD14" s="17">
        <f t="shared" si="6"/>
        <v>0</v>
      </c>
      <c r="AE14" s="31">
        <f t="shared" si="6"/>
        <v>454</v>
      </c>
      <c r="AF14" s="31">
        <f t="shared" si="6"/>
        <v>1143</v>
      </c>
    </row>
    <row r="15" spans="2:32" ht="23.1" customHeight="1" x14ac:dyDescent="0.25">
      <c r="B15" s="23" t="s">
        <v>42</v>
      </c>
      <c r="C15" s="50">
        <v>65</v>
      </c>
      <c r="D15" s="50">
        <v>11</v>
      </c>
      <c r="E15" s="50">
        <v>5</v>
      </c>
      <c r="F15" s="50">
        <v>20</v>
      </c>
      <c r="G15" s="50">
        <v>0</v>
      </c>
      <c r="H15" s="50">
        <v>0</v>
      </c>
      <c r="I15" s="50">
        <v>1</v>
      </c>
      <c r="J15" s="50">
        <v>2</v>
      </c>
      <c r="K15" s="50">
        <v>0</v>
      </c>
      <c r="L15" s="50">
        <v>0</v>
      </c>
      <c r="M15" s="50">
        <v>295</v>
      </c>
      <c r="N15" s="50">
        <v>0</v>
      </c>
      <c r="O15" s="15">
        <f t="shared" si="0"/>
        <v>104</v>
      </c>
      <c r="P15" s="15">
        <f t="shared" si="1"/>
        <v>399</v>
      </c>
      <c r="R15" s="1" t="s">
        <v>11</v>
      </c>
      <c r="S15" s="17">
        <f t="shared" ref="S15:AF15" si="7">SUM(C30:C33)</f>
        <v>401</v>
      </c>
      <c r="T15" s="17">
        <f t="shared" si="7"/>
        <v>58</v>
      </c>
      <c r="U15" s="17">
        <f t="shared" si="7"/>
        <v>68</v>
      </c>
      <c r="V15" s="17">
        <f t="shared" si="7"/>
        <v>98</v>
      </c>
      <c r="W15" s="17">
        <f t="shared" si="7"/>
        <v>4</v>
      </c>
      <c r="X15" s="17">
        <f t="shared" si="7"/>
        <v>0</v>
      </c>
      <c r="Y15" s="17">
        <f t="shared" si="7"/>
        <v>12</v>
      </c>
      <c r="Z15" s="17">
        <f t="shared" si="7"/>
        <v>7</v>
      </c>
      <c r="AA15" s="17">
        <f t="shared" si="7"/>
        <v>2</v>
      </c>
      <c r="AB15" s="17">
        <f t="shared" si="7"/>
        <v>0</v>
      </c>
      <c r="AC15" s="17">
        <f t="shared" si="7"/>
        <v>681</v>
      </c>
      <c r="AD15" s="17">
        <f t="shared" si="7"/>
        <v>0</v>
      </c>
      <c r="AE15" s="31">
        <f t="shared" si="7"/>
        <v>650</v>
      </c>
      <c r="AF15" s="31">
        <f t="shared" si="7"/>
        <v>1331</v>
      </c>
    </row>
    <row r="16" spans="2:32" ht="23.1" customHeight="1" x14ac:dyDescent="0.25">
      <c r="B16" s="23" t="s">
        <v>43</v>
      </c>
      <c r="C16" s="50">
        <v>70</v>
      </c>
      <c r="D16" s="50">
        <v>13</v>
      </c>
      <c r="E16" s="50">
        <v>7</v>
      </c>
      <c r="F16" s="50">
        <v>21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1</v>
      </c>
      <c r="M16" s="50">
        <v>187</v>
      </c>
      <c r="N16" s="50">
        <v>0</v>
      </c>
      <c r="O16" s="15">
        <f t="shared" si="0"/>
        <v>114</v>
      </c>
      <c r="P16" s="15">
        <f t="shared" si="1"/>
        <v>301</v>
      </c>
      <c r="R16" s="1" t="s">
        <v>12</v>
      </c>
      <c r="S16" s="17">
        <f t="shared" ref="S16:AF16" si="8">SUM(C34:C37)</f>
        <v>177</v>
      </c>
      <c r="T16" s="17">
        <f t="shared" si="8"/>
        <v>47</v>
      </c>
      <c r="U16" s="17">
        <f t="shared" si="8"/>
        <v>26</v>
      </c>
      <c r="V16" s="17">
        <f t="shared" si="8"/>
        <v>59</v>
      </c>
      <c r="W16" s="17">
        <f t="shared" si="8"/>
        <v>3</v>
      </c>
      <c r="X16" s="17">
        <f t="shared" si="8"/>
        <v>0</v>
      </c>
      <c r="Y16" s="17">
        <f t="shared" si="8"/>
        <v>12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331</v>
      </c>
      <c r="AD16" s="17">
        <f t="shared" si="8"/>
        <v>0</v>
      </c>
      <c r="AE16" s="31">
        <f t="shared" si="8"/>
        <v>327</v>
      </c>
      <c r="AF16" s="31">
        <f t="shared" si="8"/>
        <v>658</v>
      </c>
    </row>
    <row r="17" spans="2:32" ht="23.1" customHeight="1" x14ac:dyDescent="0.25">
      <c r="B17" s="23" t="s">
        <v>44</v>
      </c>
      <c r="C17" s="50">
        <v>111</v>
      </c>
      <c r="D17" s="50">
        <v>15</v>
      </c>
      <c r="E17" s="50">
        <v>10</v>
      </c>
      <c r="F17" s="50">
        <v>27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188</v>
      </c>
      <c r="N17" s="50">
        <v>0</v>
      </c>
      <c r="O17" s="15">
        <f t="shared" si="0"/>
        <v>167</v>
      </c>
      <c r="P17" s="15">
        <f t="shared" si="1"/>
        <v>355</v>
      </c>
      <c r="R17" s="1" t="s">
        <v>13</v>
      </c>
      <c r="S17" s="17">
        <f t="shared" ref="S17:AF17" si="9">SUM(C38:C41)</f>
        <v>276</v>
      </c>
      <c r="T17" s="17">
        <f t="shared" si="9"/>
        <v>32</v>
      </c>
      <c r="U17" s="17">
        <f t="shared" si="9"/>
        <v>27</v>
      </c>
      <c r="V17" s="17">
        <f t="shared" si="9"/>
        <v>68</v>
      </c>
      <c r="W17" s="17">
        <f t="shared" si="9"/>
        <v>0</v>
      </c>
      <c r="X17" s="17">
        <f t="shared" si="9"/>
        <v>1</v>
      </c>
      <c r="Y17" s="17">
        <f t="shared" si="9"/>
        <v>8</v>
      </c>
      <c r="Z17" s="17">
        <f t="shared" si="9"/>
        <v>2</v>
      </c>
      <c r="AA17" s="17">
        <f t="shared" si="9"/>
        <v>2</v>
      </c>
      <c r="AB17" s="17">
        <f t="shared" si="9"/>
        <v>3</v>
      </c>
      <c r="AC17" s="17">
        <f t="shared" si="9"/>
        <v>539</v>
      </c>
      <c r="AD17" s="17">
        <f t="shared" si="9"/>
        <v>0</v>
      </c>
      <c r="AE17" s="31">
        <f t="shared" si="9"/>
        <v>419</v>
      </c>
      <c r="AF17" s="31">
        <f t="shared" si="9"/>
        <v>958</v>
      </c>
    </row>
    <row r="18" spans="2:32" ht="23.1" customHeight="1" x14ac:dyDescent="0.25">
      <c r="B18" s="23" t="s">
        <v>45</v>
      </c>
      <c r="C18" s="50">
        <v>56</v>
      </c>
      <c r="D18" s="50">
        <v>18</v>
      </c>
      <c r="E18" s="50">
        <v>12</v>
      </c>
      <c r="F18" s="50">
        <v>24</v>
      </c>
      <c r="G18" s="50">
        <v>2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170</v>
      </c>
      <c r="N18" s="50">
        <v>0</v>
      </c>
      <c r="O18" s="15">
        <f t="shared" si="0"/>
        <v>114</v>
      </c>
      <c r="P18" s="15">
        <f t="shared" si="1"/>
        <v>284</v>
      </c>
      <c r="R18" s="1" t="s">
        <v>14</v>
      </c>
      <c r="S18" s="17">
        <f t="shared" ref="S18:AF18" si="10">SUM(C42:C45)</f>
        <v>229</v>
      </c>
      <c r="T18" s="17">
        <f t="shared" si="10"/>
        <v>33</v>
      </c>
      <c r="U18" s="17">
        <f t="shared" si="10"/>
        <v>30</v>
      </c>
      <c r="V18" s="17">
        <f t="shared" si="10"/>
        <v>48</v>
      </c>
      <c r="W18" s="17">
        <f t="shared" si="10"/>
        <v>3</v>
      </c>
      <c r="X18" s="17">
        <f t="shared" si="10"/>
        <v>0</v>
      </c>
      <c r="Y18" s="17">
        <f t="shared" si="10"/>
        <v>9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415</v>
      </c>
      <c r="AD18" s="17">
        <f t="shared" si="10"/>
        <v>0</v>
      </c>
      <c r="AE18" s="31">
        <f t="shared" si="10"/>
        <v>355</v>
      </c>
      <c r="AF18" s="31">
        <f t="shared" si="10"/>
        <v>770</v>
      </c>
    </row>
    <row r="19" spans="2:32" ht="23.1" customHeight="1" x14ac:dyDescent="0.25">
      <c r="B19" s="23" t="s">
        <v>46</v>
      </c>
      <c r="C19" s="50">
        <v>102</v>
      </c>
      <c r="D19" s="50">
        <v>16</v>
      </c>
      <c r="E19" s="50">
        <v>18</v>
      </c>
      <c r="F19" s="50">
        <v>34</v>
      </c>
      <c r="G19" s="50">
        <v>3</v>
      </c>
      <c r="H19" s="50">
        <v>0</v>
      </c>
      <c r="I19" s="50">
        <v>5</v>
      </c>
      <c r="J19" s="50">
        <v>2</v>
      </c>
      <c r="K19" s="50">
        <v>0</v>
      </c>
      <c r="L19" s="50">
        <v>1</v>
      </c>
      <c r="M19" s="50">
        <v>234</v>
      </c>
      <c r="N19" s="50">
        <v>0</v>
      </c>
      <c r="O19" s="15">
        <f t="shared" si="0"/>
        <v>181</v>
      </c>
      <c r="P19" s="15">
        <f t="shared" si="1"/>
        <v>415</v>
      </c>
      <c r="R19" s="1" t="s">
        <v>15</v>
      </c>
      <c r="S19" s="17">
        <f t="shared" ref="S19:AF19" si="11">SUM(C46:C49)</f>
        <v>290</v>
      </c>
      <c r="T19" s="17">
        <f t="shared" si="11"/>
        <v>59</v>
      </c>
      <c r="U19" s="17">
        <f t="shared" si="11"/>
        <v>44</v>
      </c>
      <c r="V19" s="17">
        <f t="shared" si="11"/>
        <v>51</v>
      </c>
      <c r="W19" s="17">
        <f t="shared" si="11"/>
        <v>5</v>
      </c>
      <c r="X19" s="17">
        <f t="shared" si="11"/>
        <v>1</v>
      </c>
      <c r="Y19" s="17">
        <f t="shared" si="11"/>
        <v>11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516</v>
      </c>
      <c r="AD19" s="17">
        <f t="shared" si="11"/>
        <v>0</v>
      </c>
      <c r="AE19" s="31">
        <f t="shared" si="11"/>
        <v>465</v>
      </c>
      <c r="AF19" s="31">
        <f t="shared" si="11"/>
        <v>981</v>
      </c>
    </row>
    <row r="20" spans="2:32" ht="23.1" customHeight="1" x14ac:dyDescent="0.25">
      <c r="B20" s="23" t="s">
        <v>47</v>
      </c>
      <c r="C20" s="50">
        <v>78</v>
      </c>
      <c r="D20" s="50">
        <v>17</v>
      </c>
      <c r="E20" s="50">
        <v>9</v>
      </c>
      <c r="F20" s="50">
        <v>28</v>
      </c>
      <c r="G20" s="50">
        <v>0</v>
      </c>
      <c r="H20" s="50">
        <v>0</v>
      </c>
      <c r="I20" s="50">
        <v>6</v>
      </c>
      <c r="J20" s="50">
        <v>0</v>
      </c>
      <c r="K20" s="50">
        <v>0</v>
      </c>
      <c r="L20" s="50">
        <v>1</v>
      </c>
      <c r="M20" s="50">
        <v>207</v>
      </c>
      <c r="N20" s="50">
        <v>0</v>
      </c>
      <c r="O20" s="15">
        <f t="shared" si="0"/>
        <v>139</v>
      </c>
      <c r="P20" s="15">
        <f t="shared" si="1"/>
        <v>346</v>
      </c>
      <c r="R20" s="1" t="s">
        <v>16</v>
      </c>
      <c r="S20" s="17">
        <f t="shared" ref="S20:AF20" si="12">SUM(C50:C53)</f>
        <v>424</v>
      </c>
      <c r="T20" s="17">
        <f t="shared" si="12"/>
        <v>65</v>
      </c>
      <c r="U20" s="17">
        <f t="shared" si="12"/>
        <v>52</v>
      </c>
      <c r="V20" s="17">
        <f t="shared" si="12"/>
        <v>61</v>
      </c>
      <c r="W20" s="17">
        <f t="shared" si="12"/>
        <v>6</v>
      </c>
      <c r="X20" s="17">
        <f t="shared" si="12"/>
        <v>0</v>
      </c>
      <c r="Y20" s="17">
        <f t="shared" si="12"/>
        <v>7</v>
      </c>
      <c r="Z20" s="17">
        <f t="shared" si="12"/>
        <v>9</v>
      </c>
      <c r="AA20" s="17">
        <f t="shared" si="12"/>
        <v>0</v>
      </c>
      <c r="AB20" s="17">
        <f t="shared" si="12"/>
        <v>1</v>
      </c>
      <c r="AC20" s="17">
        <f t="shared" si="12"/>
        <v>899</v>
      </c>
      <c r="AD20" s="17">
        <f t="shared" si="12"/>
        <v>0</v>
      </c>
      <c r="AE20" s="31">
        <f t="shared" si="12"/>
        <v>625</v>
      </c>
      <c r="AF20" s="31">
        <f t="shared" si="12"/>
        <v>1524</v>
      </c>
    </row>
    <row r="21" spans="2:32" ht="23.1" customHeight="1" x14ac:dyDescent="0.25">
      <c r="B21" s="23" t="s">
        <v>48</v>
      </c>
      <c r="C21" s="50">
        <v>78</v>
      </c>
      <c r="D21" s="50">
        <v>23</v>
      </c>
      <c r="E21" s="50">
        <v>13</v>
      </c>
      <c r="F21" s="50">
        <v>22</v>
      </c>
      <c r="G21" s="50">
        <v>0</v>
      </c>
      <c r="H21" s="50">
        <v>0</v>
      </c>
      <c r="I21" s="50">
        <v>5</v>
      </c>
      <c r="J21" s="50">
        <v>0</v>
      </c>
      <c r="K21" s="50">
        <v>0</v>
      </c>
      <c r="L21" s="50">
        <v>0</v>
      </c>
      <c r="M21" s="50">
        <v>186</v>
      </c>
      <c r="N21" s="50">
        <v>0</v>
      </c>
      <c r="O21" s="15">
        <f t="shared" si="0"/>
        <v>141</v>
      </c>
      <c r="P21" s="15">
        <f t="shared" si="1"/>
        <v>327</v>
      </c>
      <c r="R21" s="36" t="s">
        <v>20</v>
      </c>
      <c r="S21" s="34">
        <f t="shared" ref="S21:AF21" si="13">SUM(C54:C57)</f>
        <v>259</v>
      </c>
      <c r="T21" s="17">
        <f t="shared" si="13"/>
        <v>44</v>
      </c>
      <c r="U21" s="17">
        <f t="shared" si="13"/>
        <v>26</v>
      </c>
      <c r="V21" s="17">
        <f t="shared" si="13"/>
        <v>57</v>
      </c>
      <c r="W21" s="17">
        <f t="shared" si="13"/>
        <v>1</v>
      </c>
      <c r="X21" s="17">
        <f t="shared" si="13"/>
        <v>0</v>
      </c>
      <c r="Y21" s="17">
        <f t="shared" si="13"/>
        <v>8</v>
      </c>
      <c r="Z21" s="17">
        <f t="shared" si="13"/>
        <v>3</v>
      </c>
      <c r="AA21" s="17">
        <f t="shared" si="13"/>
        <v>0</v>
      </c>
      <c r="AB21" s="17">
        <f t="shared" si="13"/>
        <v>1</v>
      </c>
      <c r="AC21" s="17">
        <f t="shared" si="13"/>
        <v>763</v>
      </c>
      <c r="AD21" s="17">
        <f t="shared" si="13"/>
        <v>0</v>
      </c>
      <c r="AE21" s="31">
        <f t="shared" si="13"/>
        <v>399</v>
      </c>
      <c r="AF21" s="31">
        <f t="shared" si="13"/>
        <v>1162</v>
      </c>
    </row>
    <row r="22" spans="2:32" ht="23.1" customHeight="1" x14ac:dyDescent="0.25">
      <c r="B22" s="23" t="s">
        <v>49</v>
      </c>
      <c r="C22" s="50">
        <v>48</v>
      </c>
      <c r="D22" s="50">
        <v>10</v>
      </c>
      <c r="E22" s="50">
        <v>10</v>
      </c>
      <c r="F22" s="50">
        <v>16</v>
      </c>
      <c r="G22" s="50">
        <v>2</v>
      </c>
      <c r="H22" s="50">
        <v>0</v>
      </c>
      <c r="I22" s="50">
        <v>4</v>
      </c>
      <c r="J22" s="50">
        <v>1</v>
      </c>
      <c r="K22" s="50">
        <v>0</v>
      </c>
      <c r="L22" s="50">
        <v>0</v>
      </c>
      <c r="M22" s="50">
        <v>223</v>
      </c>
      <c r="N22" s="50">
        <v>0</v>
      </c>
      <c r="O22" s="15">
        <f t="shared" si="0"/>
        <v>91</v>
      </c>
      <c r="P22" s="15">
        <f t="shared" si="1"/>
        <v>314</v>
      </c>
      <c r="R22" s="38" t="s">
        <v>90</v>
      </c>
      <c r="S22" s="39">
        <f>MAX(S10:S12)</f>
        <v>318</v>
      </c>
      <c r="T22" s="39">
        <f t="shared" ref="T22:AF22" si="14">MAX(T10:T12)</f>
        <v>74</v>
      </c>
      <c r="U22" s="39">
        <f t="shared" si="14"/>
        <v>52</v>
      </c>
      <c r="V22" s="39">
        <f t="shared" si="14"/>
        <v>113</v>
      </c>
      <c r="W22" s="39">
        <f t="shared" si="14"/>
        <v>5</v>
      </c>
      <c r="X22" s="39">
        <f t="shared" si="14"/>
        <v>1</v>
      </c>
      <c r="Y22" s="39">
        <f t="shared" si="14"/>
        <v>18</v>
      </c>
      <c r="Z22" s="39">
        <f t="shared" si="14"/>
        <v>2</v>
      </c>
      <c r="AA22" s="39">
        <f t="shared" si="14"/>
        <v>1</v>
      </c>
      <c r="AB22" s="39">
        <f t="shared" si="14"/>
        <v>2</v>
      </c>
      <c r="AC22" s="39">
        <f t="shared" si="14"/>
        <v>885</v>
      </c>
      <c r="AD22" s="39">
        <f t="shared" si="14"/>
        <v>0</v>
      </c>
      <c r="AE22" s="40">
        <f t="shared" si="14"/>
        <v>575</v>
      </c>
      <c r="AF22" s="40">
        <f t="shared" si="14"/>
        <v>1390</v>
      </c>
    </row>
    <row r="23" spans="2:32" ht="23.1" customHeight="1" x14ac:dyDescent="0.25">
      <c r="B23" s="23" t="s">
        <v>50</v>
      </c>
      <c r="C23" s="50">
        <v>57</v>
      </c>
      <c r="D23" s="50">
        <v>14</v>
      </c>
      <c r="E23" s="50">
        <v>16</v>
      </c>
      <c r="F23" s="50">
        <v>18</v>
      </c>
      <c r="G23" s="50">
        <v>0</v>
      </c>
      <c r="H23" s="50">
        <v>0</v>
      </c>
      <c r="I23" s="50">
        <v>8</v>
      </c>
      <c r="J23" s="50">
        <v>1</v>
      </c>
      <c r="K23" s="50">
        <v>0</v>
      </c>
      <c r="L23" s="50">
        <v>0</v>
      </c>
      <c r="M23" s="50">
        <v>215</v>
      </c>
      <c r="N23" s="50">
        <v>0</v>
      </c>
      <c r="O23" s="15">
        <f t="shared" si="0"/>
        <v>114</v>
      </c>
      <c r="P23" s="15">
        <f t="shared" si="1"/>
        <v>329</v>
      </c>
      <c r="R23" s="38" t="s">
        <v>91</v>
      </c>
      <c r="S23" s="39">
        <f>MAX(S13:S18)</f>
        <v>401</v>
      </c>
      <c r="T23" s="39">
        <f t="shared" ref="T23:AF23" si="15">MAX(T13:T18)</f>
        <v>58</v>
      </c>
      <c r="U23" s="39">
        <f t="shared" si="15"/>
        <v>68</v>
      </c>
      <c r="V23" s="39">
        <f t="shared" si="15"/>
        <v>98</v>
      </c>
      <c r="W23" s="39">
        <f t="shared" si="15"/>
        <v>4</v>
      </c>
      <c r="X23" s="39">
        <f t="shared" si="15"/>
        <v>3</v>
      </c>
      <c r="Y23" s="39">
        <f t="shared" si="15"/>
        <v>18</v>
      </c>
      <c r="Z23" s="39">
        <f t="shared" si="15"/>
        <v>7</v>
      </c>
      <c r="AA23" s="39">
        <f t="shared" si="15"/>
        <v>2</v>
      </c>
      <c r="AB23" s="39">
        <f t="shared" si="15"/>
        <v>3</v>
      </c>
      <c r="AC23" s="39">
        <f t="shared" si="15"/>
        <v>891</v>
      </c>
      <c r="AD23" s="39">
        <f t="shared" si="15"/>
        <v>0</v>
      </c>
      <c r="AE23" s="40">
        <f t="shared" si="15"/>
        <v>650</v>
      </c>
      <c r="AF23" s="40">
        <f t="shared" si="15"/>
        <v>1351</v>
      </c>
    </row>
    <row r="24" spans="2:32" ht="23.1" customHeight="1" x14ac:dyDescent="0.25">
      <c r="B24" s="23" t="s">
        <v>51</v>
      </c>
      <c r="C24" s="50">
        <v>67</v>
      </c>
      <c r="D24" s="50">
        <v>13</v>
      </c>
      <c r="E24" s="50">
        <v>14</v>
      </c>
      <c r="F24" s="50">
        <v>34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218</v>
      </c>
      <c r="N24" s="50">
        <v>0</v>
      </c>
      <c r="O24" s="15">
        <f t="shared" si="0"/>
        <v>131</v>
      </c>
      <c r="P24" s="15">
        <f t="shared" si="1"/>
        <v>349</v>
      </c>
      <c r="R24" s="38" t="s">
        <v>92</v>
      </c>
      <c r="S24" s="39">
        <f>MAX(S19:S21)</f>
        <v>424</v>
      </c>
      <c r="T24" s="39">
        <f t="shared" ref="T24:AF24" si="16">MAX(T19:T21)</f>
        <v>65</v>
      </c>
      <c r="U24" s="39">
        <f t="shared" si="16"/>
        <v>52</v>
      </c>
      <c r="V24" s="39">
        <f t="shared" si="16"/>
        <v>61</v>
      </c>
      <c r="W24" s="39">
        <f t="shared" si="16"/>
        <v>6</v>
      </c>
      <c r="X24" s="39">
        <f t="shared" si="16"/>
        <v>1</v>
      </c>
      <c r="Y24" s="39">
        <f t="shared" si="16"/>
        <v>11</v>
      </c>
      <c r="Z24" s="39">
        <f t="shared" si="16"/>
        <v>9</v>
      </c>
      <c r="AA24" s="39">
        <f t="shared" si="16"/>
        <v>0</v>
      </c>
      <c r="AB24" s="39">
        <f t="shared" si="16"/>
        <v>1</v>
      </c>
      <c r="AC24" s="39">
        <f t="shared" si="16"/>
        <v>899</v>
      </c>
      <c r="AD24" s="39">
        <f t="shared" si="16"/>
        <v>0</v>
      </c>
      <c r="AE24" s="40">
        <f t="shared" si="16"/>
        <v>625</v>
      </c>
      <c r="AF24" s="40">
        <f t="shared" si="16"/>
        <v>1524</v>
      </c>
    </row>
    <row r="25" spans="2:32" ht="23.1" customHeight="1" x14ac:dyDescent="0.25">
      <c r="B25" s="23" t="s">
        <v>52</v>
      </c>
      <c r="C25" s="50">
        <v>70</v>
      </c>
      <c r="D25" s="50">
        <v>11</v>
      </c>
      <c r="E25" s="50">
        <v>19</v>
      </c>
      <c r="F25" s="50">
        <v>18</v>
      </c>
      <c r="G25" s="50">
        <v>1</v>
      </c>
      <c r="H25" s="50">
        <v>0</v>
      </c>
      <c r="I25" s="50">
        <v>3</v>
      </c>
      <c r="J25" s="50">
        <v>2</v>
      </c>
      <c r="K25" s="50">
        <v>0</v>
      </c>
      <c r="L25" s="50">
        <v>0</v>
      </c>
      <c r="M25" s="50">
        <v>235</v>
      </c>
      <c r="N25" s="50">
        <v>0</v>
      </c>
      <c r="O25" s="15">
        <f t="shared" si="0"/>
        <v>124</v>
      </c>
      <c r="P25" s="15">
        <f t="shared" si="1"/>
        <v>359</v>
      </c>
      <c r="R25" s="37" t="s">
        <v>85</v>
      </c>
      <c r="S25" s="35">
        <f t="shared" ref="S25:AF25" si="17">SUM(S10:S12)</f>
        <v>818</v>
      </c>
      <c r="T25" s="16">
        <f t="shared" si="17"/>
        <v>173</v>
      </c>
      <c r="U25" s="16">
        <f t="shared" si="17"/>
        <v>132</v>
      </c>
      <c r="V25" s="16">
        <f t="shared" si="17"/>
        <v>307</v>
      </c>
      <c r="W25" s="16">
        <f t="shared" si="17"/>
        <v>9</v>
      </c>
      <c r="X25" s="16">
        <f t="shared" si="17"/>
        <v>1</v>
      </c>
      <c r="Y25" s="16">
        <f t="shared" si="17"/>
        <v>43</v>
      </c>
      <c r="Z25" s="16">
        <f t="shared" si="17"/>
        <v>4</v>
      </c>
      <c r="AA25" s="16">
        <f t="shared" si="17"/>
        <v>1</v>
      </c>
      <c r="AB25" s="16">
        <f t="shared" si="17"/>
        <v>3</v>
      </c>
      <c r="AC25" s="16">
        <f t="shared" si="17"/>
        <v>2236</v>
      </c>
      <c r="AD25" s="16">
        <f t="shared" si="17"/>
        <v>0</v>
      </c>
      <c r="AE25" s="32">
        <f t="shared" si="17"/>
        <v>1491</v>
      </c>
      <c r="AF25" s="32">
        <f t="shared" si="17"/>
        <v>3727</v>
      </c>
    </row>
    <row r="26" spans="2:32" ht="23.1" customHeight="1" x14ac:dyDescent="0.25">
      <c r="B26" s="23" t="s">
        <v>53</v>
      </c>
      <c r="C26" s="50">
        <v>47</v>
      </c>
      <c r="D26" s="50">
        <v>11</v>
      </c>
      <c r="E26" s="50">
        <v>14</v>
      </c>
      <c r="F26" s="50">
        <v>28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209</v>
      </c>
      <c r="N26" s="50">
        <v>0</v>
      </c>
      <c r="O26" s="15">
        <f t="shared" si="0"/>
        <v>102</v>
      </c>
      <c r="P26" s="15">
        <f t="shared" si="1"/>
        <v>311</v>
      </c>
      <c r="R26" s="28" t="s">
        <v>86</v>
      </c>
      <c r="S26" s="16">
        <f t="shared" ref="S26:AF26" si="18">SUM(S13:S18)</f>
        <v>1578</v>
      </c>
      <c r="T26" s="16">
        <f t="shared" si="18"/>
        <v>265</v>
      </c>
      <c r="U26" s="16">
        <f t="shared" si="18"/>
        <v>254</v>
      </c>
      <c r="V26" s="16">
        <f t="shared" si="18"/>
        <v>455</v>
      </c>
      <c r="W26" s="16">
        <f t="shared" si="18"/>
        <v>14</v>
      </c>
      <c r="X26" s="16">
        <f t="shared" si="18"/>
        <v>4</v>
      </c>
      <c r="Y26" s="16">
        <f t="shared" si="18"/>
        <v>67</v>
      </c>
      <c r="Z26" s="16">
        <f t="shared" si="18"/>
        <v>20</v>
      </c>
      <c r="AA26" s="16">
        <f t="shared" si="18"/>
        <v>4</v>
      </c>
      <c r="AB26" s="16">
        <f t="shared" si="18"/>
        <v>4</v>
      </c>
      <c r="AC26" s="16">
        <f t="shared" si="18"/>
        <v>3546</v>
      </c>
      <c r="AD26" s="16">
        <f t="shared" si="18"/>
        <v>0</v>
      </c>
      <c r="AE26" s="32">
        <f t="shared" si="18"/>
        <v>2665</v>
      </c>
      <c r="AF26" s="32">
        <f t="shared" si="18"/>
        <v>6211</v>
      </c>
    </row>
    <row r="27" spans="2:32" ht="23.1" customHeight="1" x14ac:dyDescent="0.25">
      <c r="B27" s="23" t="s">
        <v>54</v>
      </c>
      <c r="C27" s="50">
        <v>62</v>
      </c>
      <c r="D27" s="50">
        <v>17</v>
      </c>
      <c r="E27" s="50">
        <v>11</v>
      </c>
      <c r="F27" s="50">
        <v>33</v>
      </c>
      <c r="G27" s="50">
        <v>1</v>
      </c>
      <c r="H27" s="50">
        <v>1</v>
      </c>
      <c r="I27" s="50">
        <v>2</v>
      </c>
      <c r="J27" s="50">
        <v>0</v>
      </c>
      <c r="K27" s="50">
        <v>0</v>
      </c>
      <c r="L27" s="50">
        <v>0</v>
      </c>
      <c r="M27" s="50">
        <v>165</v>
      </c>
      <c r="N27" s="50">
        <v>0</v>
      </c>
      <c r="O27" s="15">
        <f t="shared" si="0"/>
        <v>127</v>
      </c>
      <c r="P27" s="15">
        <f t="shared" si="1"/>
        <v>292</v>
      </c>
      <c r="R27" s="29" t="s">
        <v>87</v>
      </c>
      <c r="S27" s="16">
        <f t="shared" ref="S27:AF27" si="19">SUM(S19:S21)</f>
        <v>973</v>
      </c>
      <c r="T27" s="16">
        <f t="shared" si="19"/>
        <v>168</v>
      </c>
      <c r="U27" s="16">
        <f t="shared" si="19"/>
        <v>122</v>
      </c>
      <c r="V27" s="16">
        <f t="shared" si="19"/>
        <v>169</v>
      </c>
      <c r="W27" s="16">
        <f t="shared" si="19"/>
        <v>12</v>
      </c>
      <c r="X27" s="16">
        <f t="shared" si="19"/>
        <v>1</v>
      </c>
      <c r="Y27" s="16">
        <f t="shared" si="19"/>
        <v>26</v>
      </c>
      <c r="Z27" s="16">
        <f t="shared" si="19"/>
        <v>16</v>
      </c>
      <c r="AA27" s="16">
        <f t="shared" si="19"/>
        <v>0</v>
      </c>
      <c r="AB27" s="16">
        <f t="shared" si="19"/>
        <v>2</v>
      </c>
      <c r="AC27" s="16">
        <f t="shared" si="19"/>
        <v>2178</v>
      </c>
      <c r="AD27" s="16">
        <f t="shared" si="19"/>
        <v>0</v>
      </c>
      <c r="AE27" s="32">
        <f t="shared" si="19"/>
        <v>1489</v>
      </c>
      <c r="AF27" s="32">
        <f t="shared" si="19"/>
        <v>3667</v>
      </c>
    </row>
    <row r="28" spans="2:32" ht="23.1" customHeight="1" x14ac:dyDescent="0.25">
      <c r="B28" s="23" t="s">
        <v>55</v>
      </c>
      <c r="C28" s="50">
        <v>92</v>
      </c>
      <c r="D28" s="50">
        <v>7</v>
      </c>
      <c r="E28" s="50">
        <v>9</v>
      </c>
      <c r="F28" s="50">
        <v>27</v>
      </c>
      <c r="G28" s="50">
        <v>0</v>
      </c>
      <c r="H28" s="50">
        <v>1</v>
      </c>
      <c r="I28" s="50">
        <v>1</v>
      </c>
      <c r="J28" s="50">
        <v>0</v>
      </c>
      <c r="K28" s="50">
        <v>0</v>
      </c>
      <c r="L28" s="50">
        <v>1</v>
      </c>
      <c r="M28" s="50">
        <v>162</v>
      </c>
      <c r="N28" s="50">
        <v>0</v>
      </c>
      <c r="O28" s="15">
        <f t="shared" si="0"/>
        <v>138</v>
      </c>
      <c r="P28" s="15">
        <f t="shared" si="1"/>
        <v>300</v>
      </c>
      <c r="R28" s="5" t="s">
        <v>17</v>
      </c>
      <c r="S28" s="16">
        <f t="shared" ref="S28:AF28" si="20">SUM(S10:S21)</f>
        <v>3369</v>
      </c>
      <c r="T28" s="16">
        <f t="shared" si="20"/>
        <v>606</v>
      </c>
      <c r="U28" s="16">
        <f t="shared" si="20"/>
        <v>508</v>
      </c>
      <c r="V28" s="16">
        <f t="shared" si="20"/>
        <v>931</v>
      </c>
      <c r="W28" s="16">
        <f t="shared" si="20"/>
        <v>35</v>
      </c>
      <c r="X28" s="16">
        <f t="shared" si="20"/>
        <v>6</v>
      </c>
      <c r="Y28" s="16">
        <f t="shared" si="20"/>
        <v>136</v>
      </c>
      <c r="Z28" s="16">
        <f t="shared" si="20"/>
        <v>40</v>
      </c>
      <c r="AA28" s="16">
        <f t="shared" si="20"/>
        <v>5</v>
      </c>
      <c r="AB28" s="16">
        <f t="shared" si="20"/>
        <v>9</v>
      </c>
      <c r="AC28" s="16">
        <f t="shared" si="20"/>
        <v>7960</v>
      </c>
      <c r="AD28" s="16">
        <f t="shared" si="20"/>
        <v>0</v>
      </c>
      <c r="AE28" s="32">
        <f t="shared" si="20"/>
        <v>5645</v>
      </c>
      <c r="AF28" s="32">
        <f t="shared" si="20"/>
        <v>13605</v>
      </c>
    </row>
    <row r="29" spans="2:32" ht="23.1" customHeight="1" x14ac:dyDescent="0.25">
      <c r="B29" s="23" t="s">
        <v>56</v>
      </c>
      <c r="C29" s="50">
        <v>52</v>
      </c>
      <c r="D29" s="50">
        <v>12</v>
      </c>
      <c r="E29" s="50">
        <v>10</v>
      </c>
      <c r="F29" s="50">
        <v>8</v>
      </c>
      <c r="G29" s="50">
        <v>0</v>
      </c>
      <c r="H29" s="50">
        <v>1</v>
      </c>
      <c r="I29" s="50">
        <v>3</v>
      </c>
      <c r="J29" s="50">
        <v>1</v>
      </c>
      <c r="K29" s="50">
        <v>0</v>
      </c>
      <c r="L29" s="50">
        <v>0</v>
      </c>
      <c r="M29" s="50">
        <v>153</v>
      </c>
      <c r="N29" s="50">
        <v>0</v>
      </c>
      <c r="O29" s="15">
        <f t="shared" si="0"/>
        <v>87</v>
      </c>
      <c r="P29" s="15">
        <f t="shared" si="1"/>
        <v>240</v>
      </c>
      <c r="R29"/>
      <c r="S29" s="20"/>
      <c r="T29" s="19"/>
    </row>
    <row r="30" spans="2:32" ht="23.1" customHeight="1" x14ac:dyDescent="0.25">
      <c r="B30" s="23" t="s">
        <v>57</v>
      </c>
      <c r="C30" s="50">
        <v>97</v>
      </c>
      <c r="D30" s="50">
        <v>13</v>
      </c>
      <c r="E30" s="50">
        <v>22</v>
      </c>
      <c r="F30" s="50">
        <v>16</v>
      </c>
      <c r="G30" s="50">
        <v>0</v>
      </c>
      <c r="H30" s="50">
        <v>0</v>
      </c>
      <c r="I30" s="50">
        <v>4</v>
      </c>
      <c r="J30" s="50">
        <v>3</v>
      </c>
      <c r="K30" s="50">
        <v>2</v>
      </c>
      <c r="L30" s="50">
        <v>0</v>
      </c>
      <c r="M30" s="50">
        <v>138</v>
      </c>
      <c r="N30" s="50">
        <v>0</v>
      </c>
      <c r="O30" s="15">
        <f t="shared" si="0"/>
        <v>157</v>
      </c>
      <c r="P30" s="15">
        <f t="shared" si="1"/>
        <v>295</v>
      </c>
    </row>
    <row r="31" spans="2:32" ht="23.1" customHeight="1" x14ac:dyDescent="0.25">
      <c r="B31" s="24" t="s">
        <v>58</v>
      </c>
      <c r="C31" s="50">
        <v>98</v>
      </c>
      <c r="D31" s="50">
        <v>17</v>
      </c>
      <c r="E31" s="50">
        <v>17</v>
      </c>
      <c r="F31" s="50">
        <v>14</v>
      </c>
      <c r="G31" s="50">
        <v>1</v>
      </c>
      <c r="H31" s="50">
        <v>0</v>
      </c>
      <c r="I31" s="50">
        <v>5</v>
      </c>
      <c r="J31" s="50">
        <v>1</v>
      </c>
      <c r="K31" s="50">
        <v>0</v>
      </c>
      <c r="L31" s="50">
        <v>0</v>
      </c>
      <c r="M31" s="50">
        <v>185</v>
      </c>
      <c r="N31" s="50">
        <v>0</v>
      </c>
      <c r="O31" s="15">
        <f t="shared" si="0"/>
        <v>153</v>
      </c>
      <c r="P31" s="15">
        <f t="shared" si="1"/>
        <v>338</v>
      </c>
    </row>
    <row r="32" spans="2:32" ht="23.1" customHeight="1" x14ac:dyDescent="0.25">
      <c r="B32" s="24" t="s">
        <v>59</v>
      </c>
      <c r="C32" s="50">
        <v>87</v>
      </c>
      <c r="D32" s="50">
        <v>12</v>
      </c>
      <c r="E32" s="50">
        <v>9</v>
      </c>
      <c r="F32" s="50">
        <v>23</v>
      </c>
      <c r="G32" s="50">
        <v>3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157</v>
      </c>
      <c r="N32" s="50">
        <v>0</v>
      </c>
      <c r="O32" s="15">
        <f t="shared" si="0"/>
        <v>137</v>
      </c>
      <c r="P32" s="15">
        <f t="shared" si="1"/>
        <v>294</v>
      </c>
    </row>
    <row r="33" spans="2:20" ht="23.1" customHeight="1" x14ac:dyDescent="0.25">
      <c r="B33" s="23" t="s">
        <v>60</v>
      </c>
      <c r="C33" s="50">
        <v>119</v>
      </c>
      <c r="D33" s="50">
        <v>16</v>
      </c>
      <c r="E33" s="50">
        <v>20</v>
      </c>
      <c r="F33" s="50">
        <v>45</v>
      </c>
      <c r="G33" s="50">
        <v>0</v>
      </c>
      <c r="H33" s="50">
        <v>0</v>
      </c>
      <c r="I33" s="50">
        <v>1</v>
      </c>
      <c r="J33" s="50">
        <v>2</v>
      </c>
      <c r="K33" s="50">
        <v>0</v>
      </c>
      <c r="L33" s="50">
        <v>0</v>
      </c>
      <c r="M33" s="50">
        <v>201</v>
      </c>
      <c r="N33" s="50">
        <v>0</v>
      </c>
      <c r="O33" s="15">
        <f t="shared" si="0"/>
        <v>203</v>
      </c>
      <c r="P33" s="15">
        <f t="shared" si="1"/>
        <v>404</v>
      </c>
    </row>
    <row r="34" spans="2:20" ht="23.1" customHeight="1" x14ac:dyDescent="0.25">
      <c r="B34" s="24" t="s">
        <v>61</v>
      </c>
      <c r="C34" s="50">
        <v>37</v>
      </c>
      <c r="D34" s="50">
        <v>11</v>
      </c>
      <c r="E34" s="50">
        <v>8</v>
      </c>
      <c r="F34" s="50">
        <v>10</v>
      </c>
      <c r="G34" s="50">
        <v>1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43</v>
      </c>
      <c r="N34" s="50">
        <v>0</v>
      </c>
      <c r="O34" s="15">
        <f t="shared" si="0"/>
        <v>70</v>
      </c>
      <c r="P34" s="15">
        <f t="shared" si="1"/>
        <v>113</v>
      </c>
    </row>
    <row r="35" spans="2:20" ht="23.1" customHeight="1" x14ac:dyDescent="0.25">
      <c r="B35" s="24" t="s">
        <v>62</v>
      </c>
      <c r="C35" s="50">
        <v>43</v>
      </c>
      <c r="D35" s="50">
        <v>20</v>
      </c>
      <c r="E35" s="50">
        <v>6</v>
      </c>
      <c r="F35" s="50">
        <v>14</v>
      </c>
      <c r="G35" s="50">
        <v>0</v>
      </c>
      <c r="H35" s="50">
        <v>0</v>
      </c>
      <c r="I35" s="50">
        <v>5</v>
      </c>
      <c r="J35" s="50">
        <v>1</v>
      </c>
      <c r="K35" s="50">
        <v>0</v>
      </c>
      <c r="L35" s="50">
        <v>0</v>
      </c>
      <c r="M35" s="50">
        <v>106</v>
      </c>
      <c r="N35" s="50">
        <v>0</v>
      </c>
      <c r="O35" s="15">
        <f t="shared" si="0"/>
        <v>89</v>
      </c>
      <c r="P35" s="15">
        <f t="shared" si="1"/>
        <v>195</v>
      </c>
    </row>
    <row r="36" spans="2:20" ht="23.1" customHeight="1" x14ac:dyDescent="0.25">
      <c r="B36" s="24" t="s">
        <v>63</v>
      </c>
      <c r="C36" s="50">
        <v>63</v>
      </c>
      <c r="D36" s="50">
        <v>9</v>
      </c>
      <c r="E36" s="50">
        <v>4</v>
      </c>
      <c r="F36" s="50">
        <v>11</v>
      </c>
      <c r="G36" s="50">
        <v>2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68</v>
      </c>
      <c r="N36" s="50">
        <v>0</v>
      </c>
      <c r="O36" s="15">
        <f t="shared" si="0"/>
        <v>90</v>
      </c>
      <c r="P36" s="15">
        <f t="shared" si="1"/>
        <v>158</v>
      </c>
    </row>
    <row r="37" spans="2:20" ht="23.1" customHeight="1" x14ac:dyDescent="0.25">
      <c r="B37" s="23" t="s">
        <v>64</v>
      </c>
      <c r="C37" s="50">
        <v>34</v>
      </c>
      <c r="D37" s="50">
        <v>7</v>
      </c>
      <c r="E37" s="50">
        <v>8</v>
      </c>
      <c r="F37" s="50">
        <v>24</v>
      </c>
      <c r="G37" s="50">
        <v>0</v>
      </c>
      <c r="H37" s="50">
        <v>0</v>
      </c>
      <c r="I37" s="50">
        <v>3</v>
      </c>
      <c r="J37" s="50">
        <v>2</v>
      </c>
      <c r="K37" s="50">
        <v>0</v>
      </c>
      <c r="L37" s="50">
        <v>0</v>
      </c>
      <c r="M37" s="50">
        <v>114</v>
      </c>
      <c r="N37" s="50">
        <v>0</v>
      </c>
      <c r="O37" s="15">
        <f t="shared" si="0"/>
        <v>78</v>
      </c>
      <c r="P37" s="15">
        <f t="shared" si="1"/>
        <v>192</v>
      </c>
    </row>
    <row r="38" spans="2:20" ht="23.1" customHeight="1" x14ac:dyDescent="0.25">
      <c r="B38" s="24" t="s">
        <v>65</v>
      </c>
      <c r="C38" s="50">
        <v>63</v>
      </c>
      <c r="D38" s="50">
        <v>13</v>
      </c>
      <c r="E38" s="50">
        <v>6</v>
      </c>
      <c r="F38" s="50">
        <v>26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1</v>
      </c>
      <c r="M38" s="50">
        <v>143</v>
      </c>
      <c r="N38" s="50">
        <v>0</v>
      </c>
      <c r="O38" s="15">
        <f t="shared" si="0"/>
        <v>111</v>
      </c>
      <c r="P38" s="15">
        <f t="shared" si="1"/>
        <v>254</v>
      </c>
    </row>
    <row r="39" spans="2:20" ht="23.1" customHeight="1" x14ac:dyDescent="0.25">
      <c r="B39" s="24" t="s">
        <v>66</v>
      </c>
      <c r="C39" s="50">
        <v>75</v>
      </c>
      <c r="D39" s="50">
        <v>8</v>
      </c>
      <c r="E39" s="50">
        <v>13</v>
      </c>
      <c r="F39" s="50">
        <v>14</v>
      </c>
      <c r="G39" s="50">
        <v>0</v>
      </c>
      <c r="H39" s="50">
        <v>0</v>
      </c>
      <c r="I39" s="50">
        <v>4</v>
      </c>
      <c r="J39" s="50">
        <v>0</v>
      </c>
      <c r="K39" s="50">
        <v>1</v>
      </c>
      <c r="L39" s="50">
        <v>1</v>
      </c>
      <c r="M39" s="50">
        <v>104</v>
      </c>
      <c r="N39" s="50">
        <v>0</v>
      </c>
      <c r="O39" s="15">
        <f t="shared" si="0"/>
        <v>116</v>
      </c>
      <c r="P39" s="15">
        <f t="shared" si="1"/>
        <v>220</v>
      </c>
    </row>
    <row r="40" spans="2:20" ht="23.1" customHeight="1" x14ac:dyDescent="0.25">
      <c r="B40" s="24" t="s">
        <v>67</v>
      </c>
      <c r="C40" s="50">
        <v>67</v>
      </c>
      <c r="D40" s="50">
        <v>4</v>
      </c>
      <c r="E40" s="50">
        <v>3</v>
      </c>
      <c r="F40" s="50">
        <v>17</v>
      </c>
      <c r="G40" s="50">
        <v>0</v>
      </c>
      <c r="H40" s="50">
        <v>0</v>
      </c>
      <c r="I40" s="50">
        <v>1</v>
      </c>
      <c r="J40" s="50">
        <v>0</v>
      </c>
      <c r="K40" s="50">
        <v>1</v>
      </c>
      <c r="L40" s="50">
        <v>1</v>
      </c>
      <c r="M40" s="50">
        <v>152</v>
      </c>
      <c r="N40" s="50">
        <v>0</v>
      </c>
      <c r="O40" s="15">
        <f t="shared" si="0"/>
        <v>94</v>
      </c>
      <c r="P40" s="15">
        <f t="shared" si="1"/>
        <v>246</v>
      </c>
    </row>
    <row r="41" spans="2:20" ht="23.1" customHeight="1" x14ac:dyDescent="0.25">
      <c r="B41" s="23" t="s">
        <v>68</v>
      </c>
      <c r="C41" s="50">
        <v>71</v>
      </c>
      <c r="D41" s="50">
        <v>7</v>
      </c>
      <c r="E41" s="50">
        <v>5</v>
      </c>
      <c r="F41" s="50">
        <v>11</v>
      </c>
      <c r="G41" s="50">
        <v>0</v>
      </c>
      <c r="H41" s="50">
        <v>1</v>
      </c>
      <c r="I41" s="50">
        <v>1</v>
      </c>
      <c r="J41" s="50">
        <v>2</v>
      </c>
      <c r="K41" s="50">
        <v>0</v>
      </c>
      <c r="L41" s="50">
        <v>0</v>
      </c>
      <c r="M41" s="50">
        <v>140</v>
      </c>
      <c r="N41" s="50">
        <v>0</v>
      </c>
      <c r="O41" s="15">
        <f t="shared" si="0"/>
        <v>98</v>
      </c>
      <c r="P41" s="15">
        <f t="shared" si="1"/>
        <v>238</v>
      </c>
    </row>
    <row r="42" spans="2:20" ht="23.1" customHeight="1" x14ac:dyDescent="0.25">
      <c r="B42" s="24" t="s">
        <v>69</v>
      </c>
      <c r="C42" s="50">
        <v>72</v>
      </c>
      <c r="D42" s="50">
        <v>16</v>
      </c>
      <c r="E42" s="50">
        <v>17</v>
      </c>
      <c r="F42" s="50">
        <v>15</v>
      </c>
      <c r="G42" s="50">
        <v>0</v>
      </c>
      <c r="H42" s="50">
        <v>0</v>
      </c>
      <c r="I42" s="50">
        <v>4</v>
      </c>
      <c r="J42" s="50">
        <v>2</v>
      </c>
      <c r="K42" s="50">
        <v>0</v>
      </c>
      <c r="L42" s="50">
        <v>0</v>
      </c>
      <c r="M42" s="50">
        <v>149</v>
      </c>
      <c r="N42" s="50">
        <v>0</v>
      </c>
      <c r="O42" s="15">
        <f t="shared" si="0"/>
        <v>126</v>
      </c>
      <c r="P42" s="15">
        <f t="shared" si="1"/>
        <v>275</v>
      </c>
    </row>
    <row r="43" spans="2:20" ht="23.1" customHeight="1" x14ac:dyDescent="0.25">
      <c r="B43" s="23" t="s">
        <v>70</v>
      </c>
      <c r="C43" s="50">
        <v>67</v>
      </c>
      <c r="D43" s="50">
        <v>9</v>
      </c>
      <c r="E43" s="50">
        <v>10</v>
      </c>
      <c r="F43" s="50">
        <v>12</v>
      </c>
      <c r="G43" s="50">
        <v>1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85</v>
      </c>
      <c r="N43" s="50">
        <v>0</v>
      </c>
      <c r="O43" s="15">
        <f t="shared" si="0"/>
        <v>103</v>
      </c>
      <c r="P43" s="15">
        <f t="shared" si="1"/>
        <v>188</v>
      </c>
    </row>
    <row r="44" spans="2:20" ht="23.1" customHeight="1" x14ac:dyDescent="0.25">
      <c r="B44" s="25" t="s">
        <v>71</v>
      </c>
      <c r="C44" s="50">
        <v>43</v>
      </c>
      <c r="D44" s="50">
        <v>5</v>
      </c>
      <c r="E44" s="50">
        <v>2</v>
      </c>
      <c r="F44" s="50">
        <v>14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107</v>
      </c>
      <c r="N44" s="50">
        <v>0</v>
      </c>
      <c r="O44" s="15">
        <f t="shared" si="0"/>
        <v>65</v>
      </c>
      <c r="P44" s="15">
        <f t="shared" si="1"/>
        <v>172</v>
      </c>
    </row>
    <row r="45" spans="2:20" ht="23.1" customHeight="1" x14ac:dyDescent="0.25">
      <c r="B45" s="23" t="s">
        <v>72</v>
      </c>
      <c r="C45" s="50">
        <v>47</v>
      </c>
      <c r="D45" s="50">
        <v>3</v>
      </c>
      <c r="E45" s="50">
        <v>1</v>
      </c>
      <c r="F45" s="50">
        <v>7</v>
      </c>
      <c r="G45" s="50">
        <v>2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74</v>
      </c>
      <c r="N45" s="50">
        <v>0</v>
      </c>
      <c r="O45" s="15">
        <f t="shared" si="0"/>
        <v>61</v>
      </c>
      <c r="P45" s="15">
        <f t="shared" si="1"/>
        <v>135</v>
      </c>
    </row>
    <row r="46" spans="2:20" ht="23.1" customHeight="1" x14ac:dyDescent="0.25">
      <c r="B46" s="24" t="s">
        <v>73</v>
      </c>
      <c r="C46" s="50">
        <v>42</v>
      </c>
      <c r="D46" s="50">
        <v>5</v>
      </c>
      <c r="E46" s="50">
        <v>8</v>
      </c>
      <c r="F46" s="50">
        <v>12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58</v>
      </c>
      <c r="N46" s="50">
        <v>0</v>
      </c>
      <c r="O46" s="15">
        <f t="shared" si="0"/>
        <v>69</v>
      </c>
      <c r="P46" s="15">
        <f t="shared" si="1"/>
        <v>127</v>
      </c>
      <c r="R46" s="8"/>
      <c r="T46"/>
    </row>
    <row r="47" spans="2:20" ht="23.1" customHeight="1" x14ac:dyDescent="0.25">
      <c r="B47" s="24" t="s">
        <v>74</v>
      </c>
      <c r="C47" s="50">
        <v>38</v>
      </c>
      <c r="D47" s="50">
        <v>11</v>
      </c>
      <c r="E47" s="50">
        <v>9</v>
      </c>
      <c r="F47" s="50">
        <v>16</v>
      </c>
      <c r="G47" s="50">
        <v>2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123</v>
      </c>
      <c r="N47" s="50">
        <v>0</v>
      </c>
      <c r="O47" s="15">
        <f t="shared" si="0"/>
        <v>77</v>
      </c>
      <c r="P47" s="15">
        <f t="shared" si="1"/>
        <v>200</v>
      </c>
      <c r="R47" s="8"/>
      <c r="T47"/>
    </row>
    <row r="48" spans="2:20" ht="23.1" customHeight="1" x14ac:dyDescent="0.25">
      <c r="B48" s="24" t="s">
        <v>75</v>
      </c>
      <c r="C48" s="50">
        <v>108</v>
      </c>
      <c r="D48" s="50">
        <v>15</v>
      </c>
      <c r="E48" s="50">
        <v>12</v>
      </c>
      <c r="F48" s="50">
        <v>10</v>
      </c>
      <c r="G48" s="50">
        <v>1</v>
      </c>
      <c r="H48" s="50">
        <v>1</v>
      </c>
      <c r="I48" s="50">
        <v>3</v>
      </c>
      <c r="J48" s="50">
        <v>1</v>
      </c>
      <c r="K48" s="50">
        <v>0</v>
      </c>
      <c r="L48" s="50">
        <v>0</v>
      </c>
      <c r="M48" s="50">
        <v>164</v>
      </c>
      <c r="N48" s="50">
        <v>0</v>
      </c>
      <c r="O48" s="15">
        <f t="shared" si="0"/>
        <v>151</v>
      </c>
      <c r="P48" s="15">
        <f t="shared" si="1"/>
        <v>315</v>
      </c>
      <c r="R48" s="8"/>
      <c r="T48"/>
    </row>
    <row r="49" spans="2:20" ht="23.1" customHeight="1" x14ac:dyDescent="0.25">
      <c r="B49" s="23" t="s">
        <v>76</v>
      </c>
      <c r="C49" s="50">
        <v>102</v>
      </c>
      <c r="D49" s="50">
        <v>28</v>
      </c>
      <c r="E49" s="50">
        <v>15</v>
      </c>
      <c r="F49" s="50">
        <v>13</v>
      </c>
      <c r="G49" s="50">
        <v>2</v>
      </c>
      <c r="H49" s="50">
        <v>0</v>
      </c>
      <c r="I49" s="50">
        <v>6</v>
      </c>
      <c r="J49" s="50">
        <v>2</v>
      </c>
      <c r="K49" s="50">
        <v>0</v>
      </c>
      <c r="L49" s="50">
        <v>0</v>
      </c>
      <c r="M49" s="50">
        <v>171</v>
      </c>
      <c r="N49" s="50">
        <v>0</v>
      </c>
      <c r="O49" s="15">
        <f t="shared" si="0"/>
        <v>168</v>
      </c>
      <c r="P49" s="15">
        <f t="shared" si="1"/>
        <v>339</v>
      </c>
      <c r="R49" s="8"/>
      <c r="T49"/>
    </row>
    <row r="50" spans="2:20" ht="23.1" customHeight="1" x14ac:dyDescent="0.25">
      <c r="B50" s="24" t="s">
        <v>77</v>
      </c>
      <c r="C50" s="50">
        <v>100</v>
      </c>
      <c r="D50" s="50">
        <v>20</v>
      </c>
      <c r="E50" s="50">
        <v>13</v>
      </c>
      <c r="F50" s="50">
        <v>18</v>
      </c>
      <c r="G50" s="50">
        <v>1</v>
      </c>
      <c r="H50" s="50">
        <v>0</v>
      </c>
      <c r="I50" s="50">
        <v>0</v>
      </c>
      <c r="J50" s="50">
        <v>2</v>
      </c>
      <c r="K50" s="50">
        <v>0</v>
      </c>
      <c r="L50" s="50">
        <v>1</v>
      </c>
      <c r="M50" s="50">
        <v>216</v>
      </c>
      <c r="N50" s="50">
        <v>0</v>
      </c>
      <c r="O50" s="15">
        <f t="shared" si="0"/>
        <v>155</v>
      </c>
      <c r="P50" s="15">
        <f t="shared" si="1"/>
        <v>371</v>
      </c>
      <c r="R50" s="8"/>
      <c r="T50"/>
    </row>
    <row r="51" spans="2:20" ht="23.1" customHeight="1" x14ac:dyDescent="0.25">
      <c r="B51" s="24" t="s">
        <v>78</v>
      </c>
      <c r="C51" s="50">
        <v>83</v>
      </c>
      <c r="D51" s="50">
        <v>14</v>
      </c>
      <c r="E51" s="50">
        <v>6</v>
      </c>
      <c r="F51" s="50">
        <v>13</v>
      </c>
      <c r="G51" s="50">
        <v>0</v>
      </c>
      <c r="H51" s="50">
        <v>0</v>
      </c>
      <c r="I51" s="50">
        <v>4</v>
      </c>
      <c r="J51" s="50">
        <v>4</v>
      </c>
      <c r="K51" s="50">
        <v>0</v>
      </c>
      <c r="L51" s="50">
        <v>0</v>
      </c>
      <c r="M51" s="50">
        <v>220</v>
      </c>
      <c r="N51" s="50">
        <v>0</v>
      </c>
      <c r="O51" s="15">
        <f t="shared" si="0"/>
        <v>124</v>
      </c>
      <c r="P51" s="15">
        <f t="shared" si="1"/>
        <v>344</v>
      </c>
      <c r="R51" s="8"/>
      <c r="T51"/>
    </row>
    <row r="52" spans="2:20" ht="23.1" customHeight="1" x14ac:dyDescent="0.25">
      <c r="B52" s="24" t="s">
        <v>79</v>
      </c>
      <c r="C52" s="50">
        <v>116</v>
      </c>
      <c r="D52" s="50">
        <v>10</v>
      </c>
      <c r="E52" s="50">
        <v>20</v>
      </c>
      <c r="F52" s="50">
        <v>18</v>
      </c>
      <c r="G52" s="50">
        <v>1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240</v>
      </c>
      <c r="N52" s="50">
        <v>0</v>
      </c>
      <c r="O52" s="15">
        <f t="shared" si="0"/>
        <v>167</v>
      </c>
      <c r="P52" s="15">
        <f t="shared" si="1"/>
        <v>407</v>
      </c>
      <c r="R52" s="8"/>
      <c r="T52"/>
    </row>
    <row r="53" spans="2:20" ht="23.1" customHeight="1" x14ac:dyDescent="0.25">
      <c r="B53" s="23" t="s">
        <v>80</v>
      </c>
      <c r="C53" s="50">
        <v>125</v>
      </c>
      <c r="D53" s="50">
        <v>21</v>
      </c>
      <c r="E53" s="50">
        <v>13</v>
      </c>
      <c r="F53" s="50">
        <v>12</v>
      </c>
      <c r="G53" s="50">
        <v>4</v>
      </c>
      <c r="H53" s="50">
        <v>0</v>
      </c>
      <c r="I53" s="50">
        <v>2</v>
      </c>
      <c r="J53" s="50">
        <v>2</v>
      </c>
      <c r="K53" s="50">
        <v>0</v>
      </c>
      <c r="L53" s="50">
        <v>0</v>
      </c>
      <c r="M53" s="50">
        <v>223</v>
      </c>
      <c r="N53" s="50">
        <v>0</v>
      </c>
      <c r="O53" s="15">
        <f t="shared" si="0"/>
        <v>179</v>
      </c>
      <c r="P53" s="15">
        <f t="shared" si="1"/>
        <v>402</v>
      </c>
      <c r="R53" s="8"/>
      <c r="T53"/>
    </row>
    <row r="54" spans="2:20" ht="23.1" customHeight="1" x14ac:dyDescent="0.25">
      <c r="B54" s="23" t="s">
        <v>81</v>
      </c>
      <c r="C54" s="50">
        <v>71</v>
      </c>
      <c r="D54" s="50">
        <v>9</v>
      </c>
      <c r="E54" s="50">
        <v>9</v>
      </c>
      <c r="F54" s="50">
        <v>13</v>
      </c>
      <c r="G54" s="50">
        <v>1</v>
      </c>
      <c r="H54" s="50">
        <v>0</v>
      </c>
      <c r="I54" s="50">
        <v>2</v>
      </c>
      <c r="J54" s="50">
        <v>2</v>
      </c>
      <c r="K54" s="50">
        <v>0</v>
      </c>
      <c r="L54" s="50">
        <v>0</v>
      </c>
      <c r="M54" s="50">
        <v>260</v>
      </c>
      <c r="N54" s="50">
        <v>0</v>
      </c>
      <c r="O54" s="15">
        <f t="shared" si="0"/>
        <v>107</v>
      </c>
      <c r="P54" s="15">
        <f t="shared" si="1"/>
        <v>367</v>
      </c>
      <c r="R54" s="8"/>
      <c r="T54"/>
    </row>
    <row r="55" spans="2:20" ht="23.1" customHeight="1" x14ac:dyDescent="0.25">
      <c r="B55" s="23" t="s">
        <v>82</v>
      </c>
      <c r="C55" s="50">
        <v>107</v>
      </c>
      <c r="D55" s="50">
        <v>24</v>
      </c>
      <c r="E55" s="50">
        <v>8</v>
      </c>
      <c r="F55" s="50">
        <v>23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219</v>
      </c>
      <c r="N55" s="50">
        <v>0</v>
      </c>
      <c r="O55" s="15">
        <f t="shared" si="0"/>
        <v>166</v>
      </c>
      <c r="P55" s="15">
        <f t="shared" si="1"/>
        <v>385</v>
      </c>
      <c r="R55" s="8"/>
      <c r="T55"/>
    </row>
    <row r="56" spans="2:20" ht="23.1" customHeight="1" x14ac:dyDescent="0.25">
      <c r="B56" s="23" t="s">
        <v>83</v>
      </c>
      <c r="C56" s="50">
        <v>49</v>
      </c>
      <c r="D56" s="50">
        <v>7</v>
      </c>
      <c r="E56" s="50">
        <v>4</v>
      </c>
      <c r="F56" s="50">
        <v>14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1</v>
      </c>
      <c r="M56" s="50">
        <v>137</v>
      </c>
      <c r="N56" s="50">
        <v>0</v>
      </c>
      <c r="O56" s="15">
        <f t="shared" si="0"/>
        <v>76</v>
      </c>
      <c r="P56" s="15">
        <f t="shared" si="1"/>
        <v>213</v>
      </c>
      <c r="R56" s="8"/>
      <c r="T56"/>
    </row>
    <row r="57" spans="2:20" ht="23.1" customHeight="1" x14ac:dyDescent="0.25">
      <c r="B57" s="23" t="s">
        <v>84</v>
      </c>
      <c r="C57" s="50">
        <v>32</v>
      </c>
      <c r="D57" s="50">
        <v>4</v>
      </c>
      <c r="E57" s="50">
        <v>5</v>
      </c>
      <c r="F57" s="50">
        <v>7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147</v>
      </c>
      <c r="N57" s="50">
        <v>0</v>
      </c>
      <c r="O57" s="15">
        <f t="shared" si="0"/>
        <v>50</v>
      </c>
      <c r="P57" s="15">
        <f t="shared" si="1"/>
        <v>197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3369</v>
      </c>
      <c r="D58" s="16">
        <f t="shared" si="21"/>
        <v>606</v>
      </c>
      <c r="E58" s="16">
        <f t="shared" si="21"/>
        <v>508</v>
      </c>
      <c r="F58" s="16">
        <f t="shared" si="21"/>
        <v>931</v>
      </c>
      <c r="G58" s="16">
        <f t="shared" si="21"/>
        <v>35</v>
      </c>
      <c r="H58" s="16">
        <f t="shared" si="21"/>
        <v>6</v>
      </c>
      <c r="I58" s="16">
        <f t="shared" si="21"/>
        <v>136</v>
      </c>
      <c r="J58" s="16">
        <f t="shared" si="21"/>
        <v>40</v>
      </c>
      <c r="K58" s="16">
        <f t="shared" si="21"/>
        <v>5</v>
      </c>
      <c r="L58" s="16">
        <f t="shared" si="21"/>
        <v>9</v>
      </c>
      <c r="M58" s="16">
        <f t="shared" si="21"/>
        <v>7960</v>
      </c>
      <c r="N58" s="16">
        <f t="shared" si="21"/>
        <v>0</v>
      </c>
      <c r="O58" s="16">
        <f t="shared" si="21"/>
        <v>5645</v>
      </c>
      <c r="P58" s="16">
        <f t="shared" si="21"/>
        <v>13605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0.2476295479603087</v>
      </c>
      <c r="D59" s="43">
        <f t="shared" si="22"/>
        <v>4.4542447629547961E-2</v>
      </c>
      <c r="E59" s="43">
        <f t="shared" si="22"/>
        <v>3.7339213524439543E-2</v>
      </c>
      <c r="F59" s="43">
        <f t="shared" si="22"/>
        <v>6.8430723998529952E-2</v>
      </c>
      <c r="G59" s="43">
        <f t="shared" si="22"/>
        <v>2.5725836089672913E-3</v>
      </c>
      <c r="H59" s="43">
        <f t="shared" si="22"/>
        <v>4.4101433296582141E-4</v>
      </c>
      <c r="I59" s="43">
        <f t="shared" si="22"/>
        <v>9.9963248805586182E-3</v>
      </c>
      <c r="J59" s="43">
        <f t="shared" si="22"/>
        <v>2.9400955531054761E-3</v>
      </c>
      <c r="K59" s="43">
        <f t="shared" si="22"/>
        <v>3.6751194413818452E-4</v>
      </c>
      <c r="L59" s="43">
        <f t="shared" si="22"/>
        <v>6.6152149944873203E-4</v>
      </c>
      <c r="M59" s="43">
        <f t="shared" si="22"/>
        <v>0.58507901506798976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0.59681133746678472</v>
      </c>
      <c r="D60" s="44">
        <f t="shared" ref="D60:N60" si="23">D58/$O$58</f>
        <v>0.10735163861824623</v>
      </c>
      <c r="E60" s="44">
        <f t="shared" si="23"/>
        <v>8.9991142604074398E-2</v>
      </c>
      <c r="F60" s="44">
        <f t="shared" si="23"/>
        <v>0.16492471213463242</v>
      </c>
      <c r="G60" s="44">
        <f t="shared" si="23"/>
        <v>6.2001771479185119E-3</v>
      </c>
      <c r="H60" s="44">
        <f t="shared" si="23"/>
        <v>1.0628875110717448E-3</v>
      </c>
      <c r="I60" s="44">
        <f t="shared" si="23"/>
        <v>2.4092116917626218E-2</v>
      </c>
      <c r="J60" s="44">
        <f t="shared" si="23"/>
        <v>7.0859167404782996E-3</v>
      </c>
      <c r="K60" s="44">
        <f t="shared" si="23"/>
        <v>8.8573959255978745E-4</v>
      </c>
      <c r="L60" s="44">
        <f t="shared" si="23"/>
        <v>1.5943312666076173E-3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Bugolobi-Nakawa'!C3:G3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3" t="str">
        <f>'29.07 Bugolobi-Nakawa'!G5:H5</f>
        <v>Business Park</v>
      </c>
      <c r="H5" s="64"/>
      <c r="I5" s="14"/>
      <c r="J5" s="2" t="s">
        <v>5</v>
      </c>
      <c r="K5" s="63" t="str">
        <f>'29.07 Bugolobi-Nakawa'!K5:L5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Bugolobi-Nakawa'!D6:E6</f>
        <v>Bugolobi</v>
      </c>
      <c r="E6" s="64"/>
      <c r="F6" s="2" t="s">
        <v>2</v>
      </c>
      <c r="G6" s="63" t="str">
        <f>'29.07 Bugolobi-Nakawa'!G6:H6</f>
        <v>Nakawa</v>
      </c>
      <c r="H6" s="64"/>
      <c r="J6" s="2" t="s">
        <v>21</v>
      </c>
      <c r="K6" s="63" t="str">
        <f>'29.07 Bugolobi-Nakawa'!K6:L6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114</v>
      </c>
      <c r="D10" s="50">
        <v>45</v>
      </c>
      <c r="E10" s="50">
        <v>21</v>
      </c>
      <c r="F10" s="50">
        <v>28</v>
      </c>
      <c r="G10" s="50">
        <v>2</v>
      </c>
      <c r="H10" s="50">
        <v>0</v>
      </c>
      <c r="I10" s="50">
        <v>9</v>
      </c>
      <c r="J10" s="50">
        <v>1</v>
      </c>
      <c r="K10" s="50">
        <v>0</v>
      </c>
      <c r="L10" s="50">
        <v>0</v>
      </c>
      <c r="M10" s="50">
        <v>104</v>
      </c>
      <c r="N10" s="50">
        <v>0</v>
      </c>
      <c r="O10" s="15">
        <f t="shared" ref="O10:O57" si="0">SUM(C10:L10,N10)</f>
        <v>220</v>
      </c>
      <c r="P10" s="15">
        <f t="shared" ref="P10:P57" si="1">SUM(C10:N10)</f>
        <v>324</v>
      </c>
      <c r="R10" s="1" t="s">
        <v>6</v>
      </c>
      <c r="S10" s="17">
        <f t="shared" ref="S10:AF10" si="2">SUM(C10:C13)</f>
        <v>498</v>
      </c>
      <c r="T10" s="17">
        <f t="shared" si="2"/>
        <v>174</v>
      </c>
      <c r="U10" s="17">
        <f t="shared" si="2"/>
        <v>106</v>
      </c>
      <c r="V10" s="17">
        <f t="shared" si="2"/>
        <v>139</v>
      </c>
      <c r="W10" s="17">
        <f t="shared" si="2"/>
        <v>5</v>
      </c>
      <c r="X10" s="17">
        <f t="shared" si="2"/>
        <v>0</v>
      </c>
      <c r="Y10" s="17">
        <f t="shared" si="2"/>
        <v>12</v>
      </c>
      <c r="Z10" s="17">
        <f t="shared" si="2"/>
        <v>9</v>
      </c>
      <c r="AA10" s="17">
        <f t="shared" si="2"/>
        <v>0</v>
      </c>
      <c r="AB10" s="17">
        <f t="shared" si="2"/>
        <v>1</v>
      </c>
      <c r="AC10" s="17">
        <f t="shared" si="2"/>
        <v>323</v>
      </c>
      <c r="AD10" s="17">
        <f t="shared" si="2"/>
        <v>0</v>
      </c>
      <c r="AE10" s="31">
        <f t="shared" si="2"/>
        <v>944</v>
      </c>
      <c r="AF10" s="31">
        <f t="shared" si="2"/>
        <v>1267</v>
      </c>
    </row>
    <row r="11" spans="2:32" s="6" customFormat="1" ht="23.1" customHeight="1" x14ac:dyDescent="0.25">
      <c r="B11" s="23" t="s">
        <v>38</v>
      </c>
      <c r="C11" s="50">
        <v>123</v>
      </c>
      <c r="D11" s="50">
        <v>43</v>
      </c>
      <c r="E11" s="50">
        <v>33</v>
      </c>
      <c r="F11" s="50">
        <v>36</v>
      </c>
      <c r="G11" s="50">
        <v>1</v>
      </c>
      <c r="H11" s="50">
        <v>0</v>
      </c>
      <c r="I11" s="50">
        <v>0</v>
      </c>
      <c r="J11" s="50">
        <v>5</v>
      </c>
      <c r="K11" s="50">
        <v>0</v>
      </c>
      <c r="L11" s="50">
        <v>1</v>
      </c>
      <c r="M11" s="50">
        <v>77</v>
      </c>
      <c r="N11" s="50">
        <v>0</v>
      </c>
      <c r="O11" s="15">
        <f t="shared" si="0"/>
        <v>242</v>
      </c>
      <c r="P11" s="15">
        <f t="shared" si="1"/>
        <v>319</v>
      </c>
      <c r="R11" s="1" t="s">
        <v>7</v>
      </c>
      <c r="S11" s="17">
        <f t="shared" ref="S11:AF11" si="3">SUM(C14:C17)</f>
        <v>458</v>
      </c>
      <c r="T11" s="17">
        <f t="shared" si="3"/>
        <v>185</v>
      </c>
      <c r="U11" s="17">
        <f t="shared" si="3"/>
        <v>118</v>
      </c>
      <c r="V11" s="17">
        <f t="shared" si="3"/>
        <v>134</v>
      </c>
      <c r="W11" s="17">
        <f t="shared" si="3"/>
        <v>2</v>
      </c>
      <c r="X11" s="17">
        <f t="shared" si="3"/>
        <v>2</v>
      </c>
      <c r="Y11" s="17">
        <f t="shared" si="3"/>
        <v>5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254</v>
      </c>
      <c r="AD11" s="17">
        <f t="shared" si="3"/>
        <v>0</v>
      </c>
      <c r="AE11" s="31">
        <f t="shared" si="3"/>
        <v>907</v>
      </c>
      <c r="AF11" s="31">
        <f t="shared" si="3"/>
        <v>1161</v>
      </c>
    </row>
    <row r="12" spans="2:32" ht="23.1" customHeight="1" x14ac:dyDescent="0.25">
      <c r="B12" s="23" t="s">
        <v>39</v>
      </c>
      <c r="C12" s="50">
        <v>68</v>
      </c>
      <c r="D12" s="50">
        <v>38</v>
      </c>
      <c r="E12" s="50">
        <v>28</v>
      </c>
      <c r="F12" s="50">
        <v>38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58</v>
      </c>
      <c r="N12" s="50">
        <v>0</v>
      </c>
      <c r="O12" s="15">
        <f t="shared" si="0"/>
        <v>175</v>
      </c>
      <c r="P12" s="15">
        <f t="shared" si="1"/>
        <v>233</v>
      </c>
      <c r="R12" s="1" t="s">
        <v>8</v>
      </c>
      <c r="S12" s="17">
        <f t="shared" ref="S12:AF12" si="4">SUM(C18:C21)</f>
        <v>432</v>
      </c>
      <c r="T12" s="17">
        <f t="shared" si="4"/>
        <v>191</v>
      </c>
      <c r="U12" s="17">
        <f t="shared" si="4"/>
        <v>142</v>
      </c>
      <c r="V12" s="17">
        <f t="shared" si="4"/>
        <v>143</v>
      </c>
      <c r="W12" s="17">
        <f t="shared" si="4"/>
        <v>1</v>
      </c>
      <c r="X12" s="17">
        <f t="shared" si="4"/>
        <v>2</v>
      </c>
      <c r="Y12" s="17">
        <f t="shared" si="4"/>
        <v>16</v>
      </c>
      <c r="Z12" s="17">
        <f t="shared" si="4"/>
        <v>10</v>
      </c>
      <c r="AA12" s="17">
        <f t="shared" si="4"/>
        <v>0</v>
      </c>
      <c r="AB12" s="17">
        <f t="shared" si="4"/>
        <v>1</v>
      </c>
      <c r="AC12" s="17">
        <f t="shared" si="4"/>
        <v>217</v>
      </c>
      <c r="AD12" s="17">
        <f t="shared" si="4"/>
        <v>0</v>
      </c>
      <c r="AE12" s="31">
        <f t="shared" si="4"/>
        <v>938</v>
      </c>
      <c r="AF12" s="31">
        <f t="shared" si="4"/>
        <v>1155</v>
      </c>
    </row>
    <row r="13" spans="2:32" ht="23.1" customHeight="1" x14ac:dyDescent="0.25">
      <c r="B13" s="23" t="s">
        <v>40</v>
      </c>
      <c r="C13" s="50">
        <v>193</v>
      </c>
      <c r="D13" s="50">
        <v>48</v>
      </c>
      <c r="E13" s="50">
        <v>24</v>
      </c>
      <c r="F13" s="50">
        <v>37</v>
      </c>
      <c r="G13" s="50">
        <v>2</v>
      </c>
      <c r="H13" s="50">
        <v>0</v>
      </c>
      <c r="I13" s="50">
        <v>0</v>
      </c>
      <c r="J13" s="50">
        <v>3</v>
      </c>
      <c r="K13" s="50">
        <v>0</v>
      </c>
      <c r="L13" s="50">
        <v>0</v>
      </c>
      <c r="M13" s="50">
        <v>84</v>
      </c>
      <c r="N13" s="50">
        <v>0</v>
      </c>
      <c r="O13" s="15">
        <f t="shared" si="0"/>
        <v>307</v>
      </c>
      <c r="P13" s="15">
        <f t="shared" si="1"/>
        <v>391</v>
      </c>
      <c r="R13" s="1" t="s">
        <v>9</v>
      </c>
      <c r="S13" s="17">
        <f t="shared" ref="S13:AF13" si="5">SUM(C22:C25)</f>
        <v>350</v>
      </c>
      <c r="T13" s="17">
        <f t="shared" si="5"/>
        <v>99</v>
      </c>
      <c r="U13" s="17">
        <f t="shared" si="5"/>
        <v>83</v>
      </c>
      <c r="V13" s="17">
        <f t="shared" si="5"/>
        <v>121</v>
      </c>
      <c r="W13" s="17">
        <f t="shared" si="5"/>
        <v>2</v>
      </c>
      <c r="X13" s="17">
        <f t="shared" si="5"/>
        <v>0</v>
      </c>
      <c r="Y13" s="17">
        <f t="shared" si="5"/>
        <v>7</v>
      </c>
      <c r="Z13" s="17">
        <f t="shared" si="5"/>
        <v>9</v>
      </c>
      <c r="AA13" s="17">
        <f t="shared" si="5"/>
        <v>1</v>
      </c>
      <c r="AB13" s="17">
        <f t="shared" si="5"/>
        <v>1</v>
      </c>
      <c r="AC13" s="17">
        <f t="shared" si="5"/>
        <v>193</v>
      </c>
      <c r="AD13" s="17">
        <f t="shared" si="5"/>
        <v>0</v>
      </c>
      <c r="AE13" s="31">
        <f t="shared" si="5"/>
        <v>673</v>
      </c>
      <c r="AF13" s="31">
        <f t="shared" si="5"/>
        <v>866</v>
      </c>
    </row>
    <row r="14" spans="2:32" ht="23.1" customHeight="1" x14ac:dyDescent="0.25">
      <c r="B14" s="23" t="s">
        <v>41</v>
      </c>
      <c r="C14" s="50">
        <v>107</v>
      </c>
      <c r="D14" s="50">
        <v>46</v>
      </c>
      <c r="E14" s="50">
        <v>34</v>
      </c>
      <c r="F14" s="50">
        <v>31</v>
      </c>
      <c r="G14" s="50">
        <v>1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73</v>
      </c>
      <c r="N14" s="50">
        <v>0</v>
      </c>
      <c r="O14" s="15">
        <f t="shared" si="0"/>
        <v>220</v>
      </c>
      <c r="P14" s="15">
        <f t="shared" si="1"/>
        <v>293</v>
      </c>
      <c r="R14" s="1" t="s">
        <v>10</v>
      </c>
      <c r="S14" s="17">
        <f t="shared" ref="S14:AF14" si="6">SUM(C26:C29)</f>
        <v>196</v>
      </c>
      <c r="T14" s="17">
        <f t="shared" si="6"/>
        <v>100</v>
      </c>
      <c r="U14" s="17">
        <f t="shared" si="6"/>
        <v>70</v>
      </c>
      <c r="V14" s="17">
        <f t="shared" si="6"/>
        <v>109</v>
      </c>
      <c r="W14" s="17">
        <f t="shared" si="6"/>
        <v>2</v>
      </c>
      <c r="X14" s="17">
        <f t="shared" si="6"/>
        <v>0</v>
      </c>
      <c r="Y14" s="17">
        <f t="shared" si="6"/>
        <v>14</v>
      </c>
      <c r="Z14" s="17">
        <f t="shared" si="6"/>
        <v>12</v>
      </c>
      <c r="AA14" s="17">
        <f t="shared" si="6"/>
        <v>0</v>
      </c>
      <c r="AB14" s="17">
        <f t="shared" si="6"/>
        <v>0</v>
      </c>
      <c r="AC14" s="17">
        <f t="shared" si="6"/>
        <v>175</v>
      </c>
      <c r="AD14" s="17">
        <f t="shared" si="6"/>
        <v>0</v>
      </c>
      <c r="AE14" s="31">
        <f t="shared" si="6"/>
        <v>503</v>
      </c>
      <c r="AF14" s="31">
        <f t="shared" si="6"/>
        <v>678</v>
      </c>
    </row>
    <row r="15" spans="2:32" ht="23.1" customHeight="1" x14ac:dyDescent="0.25">
      <c r="B15" s="23" t="s">
        <v>42</v>
      </c>
      <c r="C15" s="50">
        <v>126</v>
      </c>
      <c r="D15" s="50">
        <v>41</v>
      </c>
      <c r="E15" s="50">
        <v>31</v>
      </c>
      <c r="F15" s="50">
        <v>28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48</v>
      </c>
      <c r="N15" s="50">
        <v>0</v>
      </c>
      <c r="O15" s="15">
        <f t="shared" si="0"/>
        <v>227</v>
      </c>
      <c r="P15" s="15">
        <f t="shared" si="1"/>
        <v>275</v>
      </c>
      <c r="R15" s="1" t="s">
        <v>11</v>
      </c>
      <c r="S15" s="17">
        <f t="shared" ref="S15:AF15" si="7">SUM(C30:C33)</f>
        <v>351</v>
      </c>
      <c r="T15" s="17">
        <f t="shared" si="7"/>
        <v>123</v>
      </c>
      <c r="U15" s="17">
        <f t="shared" si="7"/>
        <v>78</v>
      </c>
      <c r="V15" s="17">
        <f t="shared" si="7"/>
        <v>98</v>
      </c>
      <c r="W15" s="17">
        <f t="shared" si="7"/>
        <v>1</v>
      </c>
      <c r="X15" s="17">
        <f t="shared" si="7"/>
        <v>0</v>
      </c>
      <c r="Y15" s="17">
        <f t="shared" si="7"/>
        <v>14</v>
      </c>
      <c r="Z15" s="17">
        <f t="shared" si="7"/>
        <v>6</v>
      </c>
      <c r="AA15" s="17">
        <f t="shared" si="7"/>
        <v>1</v>
      </c>
      <c r="AB15" s="17">
        <f t="shared" si="7"/>
        <v>2</v>
      </c>
      <c r="AC15" s="17">
        <f t="shared" si="7"/>
        <v>164</v>
      </c>
      <c r="AD15" s="17">
        <f t="shared" si="7"/>
        <v>0</v>
      </c>
      <c r="AE15" s="31">
        <f t="shared" si="7"/>
        <v>674</v>
      </c>
      <c r="AF15" s="31">
        <f t="shared" si="7"/>
        <v>838</v>
      </c>
    </row>
    <row r="16" spans="2:32" ht="23.1" customHeight="1" x14ac:dyDescent="0.25">
      <c r="B16" s="23" t="s">
        <v>43</v>
      </c>
      <c r="C16" s="50">
        <v>123</v>
      </c>
      <c r="D16" s="50">
        <v>54</v>
      </c>
      <c r="E16" s="50">
        <v>38</v>
      </c>
      <c r="F16" s="50">
        <v>36</v>
      </c>
      <c r="G16" s="50">
        <v>1</v>
      </c>
      <c r="H16" s="50">
        <v>1</v>
      </c>
      <c r="I16" s="50">
        <v>4</v>
      </c>
      <c r="J16" s="50">
        <v>0</v>
      </c>
      <c r="K16" s="50">
        <v>0</v>
      </c>
      <c r="L16" s="50">
        <v>0</v>
      </c>
      <c r="M16" s="50">
        <v>57</v>
      </c>
      <c r="N16" s="50">
        <v>0</v>
      </c>
      <c r="O16" s="15">
        <f t="shared" si="0"/>
        <v>257</v>
      </c>
      <c r="P16" s="15">
        <f t="shared" si="1"/>
        <v>314</v>
      </c>
      <c r="R16" s="1" t="s">
        <v>12</v>
      </c>
      <c r="S16" s="17">
        <f t="shared" ref="S16:AF16" si="8">SUM(C34:C37)</f>
        <v>218</v>
      </c>
      <c r="T16" s="17">
        <f t="shared" si="8"/>
        <v>117</v>
      </c>
      <c r="U16" s="17">
        <f t="shared" si="8"/>
        <v>70</v>
      </c>
      <c r="V16" s="17">
        <f t="shared" si="8"/>
        <v>72</v>
      </c>
      <c r="W16" s="17">
        <f t="shared" si="8"/>
        <v>1</v>
      </c>
      <c r="X16" s="17">
        <f t="shared" si="8"/>
        <v>0</v>
      </c>
      <c r="Y16" s="17">
        <f t="shared" si="8"/>
        <v>12</v>
      </c>
      <c r="Z16" s="17">
        <f t="shared" si="8"/>
        <v>11</v>
      </c>
      <c r="AA16" s="17">
        <f t="shared" si="8"/>
        <v>0</v>
      </c>
      <c r="AB16" s="17">
        <f t="shared" si="8"/>
        <v>0</v>
      </c>
      <c r="AC16" s="17">
        <f t="shared" si="8"/>
        <v>156</v>
      </c>
      <c r="AD16" s="17">
        <f t="shared" si="8"/>
        <v>0</v>
      </c>
      <c r="AE16" s="31">
        <f t="shared" si="8"/>
        <v>501</v>
      </c>
      <c r="AF16" s="31">
        <f t="shared" si="8"/>
        <v>657</v>
      </c>
    </row>
    <row r="17" spans="2:32" ht="23.1" customHeight="1" x14ac:dyDescent="0.25">
      <c r="B17" s="23" t="s">
        <v>44</v>
      </c>
      <c r="C17" s="50">
        <v>102</v>
      </c>
      <c r="D17" s="50">
        <v>44</v>
      </c>
      <c r="E17" s="50">
        <v>15</v>
      </c>
      <c r="F17" s="50">
        <v>39</v>
      </c>
      <c r="G17" s="50">
        <v>0</v>
      </c>
      <c r="H17" s="50">
        <v>1</v>
      </c>
      <c r="I17" s="50">
        <v>0</v>
      </c>
      <c r="J17" s="50">
        <v>1</v>
      </c>
      <c r="K17" s="50">
        <v>0</v>
      </c>
      <c r="L17" s="50">
        <v>1</v>
      </c>
      <c r="M17" s="50">
        <v>76</v>
      </c>
      <c r="N17" s="50">
        <v>0</v>
      </c>
      <c r="O17" s="15">
        <f t="shared" si="0"/>
        <v>203</v>
      </c>
      <c r="P17" s="15">
        <f t="shared" si="1"/>
        <v>279</v>
      </c>
      <c r="R17" s="1" t="s">
        <v>13</v>
      </c>
      <c r="S17" s="17">
        <f t="shared" ref="S17:AF17" si="9">SUM(C38:C41)</f>
        <v>196</v>
      </c>
      <c r="T17" s="17">
        <f t="shared" si="9"/>
        <v>63</v>
      </c>
      <c r="U17" s="17">
        <f t="shared" si="9"/>
        <v>58</v>
      </c>
      <c r="V17" s="17">
        <f t="shared" si="9"/>
        <v>87</v>
      </c>
      <c r="W17" s="17">
        <f t="shared" si="9"/>
        <v>2</v>
      </c>
      <c r="X17" s="17">
        <f t="shared" si="9"/>
        <v>1</v>
      </c>
      <c r="Y17" s="17">
        <f t="shared" si="9"/>
        <v>12</v>
      </c>
      <c r="Z17" s="17">
        <f t="shared" si="9"/>
        <v>8</v>
      </c>
      <c r="AA17" s="17">
        <f t="shared" si="9"/>
        <v>1</v>
      </c>
      <c r="AB17" s="17">
        <f t="shared" si="9"/>
        <v>0</v>
      </c>
      <c r="AC17" s="17">
        <f t="shared" si="9"/>
        <v>183</v>
      </c>
      <c r="AD17" s="17">
        <f t="shared" si="9"/>
        <v>0</v>
      </c>
      <c r="AE17" s="31">
        <f t="shared" si="9"/>
        <v>428</v>
      </c>
      <c r="AF17" s="31">
        <f t="shared" si="9"/>
        <v>611</v>
      </c>
    </row>
    <row r="18" spans="2:32" ht="23.1" customHeight="1" x14ac:dyDescent="0.25">
      <c r="B18" s="23" t="s">
        <v>45</v>
      </c>
      <c r="C18" s="50">
        <v>104</v>
      </c>
      <c r="D18" s="50">
        <v>46</v>
      </c>
      <c r="E18" s="50">
        <v>46</v>
      </c>
      <c r="F18" s="50">
        <v>43</v>
      </c>
      <c r="G18" s="50">
        <v>0</v>
      </c>
      <c r="H18" s="50">
        <v>0</v>
      </c>
      <c r="I18" s="50">
        <v>7</v>
      </c>
      <c r="J18" s="50">
        <v>4</v>
      </c>
      <c r="K18" s="50">
        <v>0</v>
      </c>
      <c r="L18" s="50">
        <v>0</v>
      </c>
      <c r="M18" s="50">
        <v>64</v>
      </c>
      <c r="N18" s="50">
        <v>0</v>
      </c>
      <c r="O18" s="15">
        <f t="shared" si="0"/>
        <v>250</v>
      </c>
      <c r="P18" s="15">
        <f t="shared" si="1"/>
        <v>314</v>
      </c>
      <c r="R18" s="1" t="s">
        <v>14</v>
      </c>
      <c r="S18" s="17">
        <f t="shared" ref="S18:AF18" si="10">SUM(C42:C45)</f>
        <v>145</v>
      </c>
      <c r="T18" s="17">
        <f t="shared" si="10"/>
        <v>68</v>
      </c>
      <c r="U18" s="17">
        <f t="shared" si="10"/>
        <v>70</v>
      </c>
      <c r="V18" s="17">
        <f t="shared" si="10"/>
        <v>71</v>
      </c>
      <c r="W18" s="17">
        <f t="shared" si="10"/>
        <v>0</v>
      </c>
      <c r="X18" s="17">
        <f t="shared" si="10"/>
        <v>0</v>
      </c>
      <c r="Y18" s="17">
        <f t="shared" si="10"/>
        <v>13</v>
      </c>
      <c r="Z18" s="17">
        <f t="shared" si="10"/>
        <v>11</v>
      </c>
      <c r="AA18" s="17">
        <f t="shared" si="10"/>
        <v>2</v>
      </c>
      <c r="AB18" s="17">
        <f t="shared" si="10"/>
        <v>0</v>
      </c>
      <c r="AC18" s="17">
        <f t="shared" si="10"/>
        <v>159</v>
      </c>
      <c r="AD18" s="17">
        <f t="shared" si="10"/>
        <v>0</v>
      </c>
      <c r="AE18" s="31">
        <f t="shared" si="10"/>
        <v>380</v>
      </c>
      <c r="AF18" s="31">
        <f t="shared" si="10"/>
        <v>539</v>
      </c>
    </row>
    <row r="19" spans="2:32" ht="23.1" customHeight="1" x14ac:dyDescent="0.25">
      <c r="B19" s="23" t="s">
        <v>46</v>
      </c>
      <c r="C19" s="50">
        <v>118</v>
      </c>
      <c r="D19" s="50">
        <v>52</v>
      </c>
      <c r="E19" s="50">
        <v>25</v>
      </c>
      <c r="F19" s="50">
        <v>36</v>
      </c>
      <c r="G19" s="50">
        <v>1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63</v>
      </c>
      <c r="N19" s="50">
        <v>0</v>
      </c>
      <c r="O19" s="15">
        <f t="shared" si="0"/>
        <v>234</v>
      </c>
      <c r="P19" s="15">
        <f t="shared" si="1"/>
        <v>297</v>
      </c>
      <c r="R19" s="1" t="s">
        <v>15</v>
      </c>
      <c r="S19" s="17">
        <f t="shared" ref="S19:AF19" si="11">SUM(C46:C49)</f>
        <v>446</v>
      </c>
      <c r="T19" s="17">
        <f t="shared" si="11"/>
        <v>168</v>
      </c>
      <c r="U19" s="17">
        <f t="shared" si="11"/>
        <v>122</v>
      </c>
      <c r="V19" s="17">
        <f t="shared" si="11"/>
        <v>132</v>
      </c>
      <c r="W19" s="17">
        <f t="shared" si="11"/>
        <v>3</v>
      </c>
      <c r="X19" s="17">
        <f t="shared" si="11"/>
        <v>0</v>
      </c>
      <c r="Y19" s="17">
        <f t="shared" si="11"/>
        <v>15</v>
      </c>
      <c r="Z19" s="17">
        <f t="shared" si="11"/>
        <v>13</v>
      </c>
      <c r="AA19" s="17">
        <f t="shared" si="11"/>
        <v>1</v>
      </c>
      <c r="AB19" s="17">
        <f t="shared" si="11"/>
        <v>0</v>
      </c>
      <c r="AC19" s="17">
        <f t="shared" si="11"/>
        <v>225</v>
      </c>
      <c r="AD19" s="17">
        <f t="shared" si="11"/>
        <v>0</v>
      </c>
      <c r="AE19" s="31">
        <f t="shared" si="11"/>
        <v>900</v>
      </c>
      <c r="AF19" s="31">
        <f t="shared" si="11"/>
        <v>1125</v>
      </c>
    </row>
    <row r="20" spans="2:32" ht="23.1" customHeight="1" x14ac:dyDescent="0.25">
      <c r="B20" s="23" t="s">
        <v>47</v>
      </c>
      <c r="C20" s="50">
        <v>114</v>
      </c>
      <c r="D20" s="50">
        <v>54</v>
      </c>
      <c r="E20" s="50">
        <v>34</v>
      </c>
      <c r="F20" s="50">
        <v>39</v>
      </c>
      <c r="G20" s="50">
        <v>0</v>
      </c>
      <c r="H20" s="50">
        <v>1</v>
      </c>
      <c r="I20" s="50">
        <v>1</v>
      </c>
      <c r="J20" s="50">
        <v>3</v>
      </c>
      <c r="K20" s="50">
        <v>0</v>
      </c>
      <c r="L20" s="50">
        <v>0</v>
      </c>
      <c r="M20" s="50">
        <v>48</v>
      </c>
      <c r="N20" s="50">
        <v>0</v>
      </c>
      <c r="O20" s="15">
        <f t="shared" si="0"/>
        <v>246</v>
      </c>
      <c r="P20" s="15">
        <f t="shared" si="1"/>
        <v>294</v>
      </c>
      <c r="R20" s="1" t="s">
        <v>16</v>
      </c>
      <c r="S20" s="17">
        <f t="shared" ref="S20:AF20" si="12">SUM(C50:C53)</f>
        <v>983</v>
      </c>
      <c r="T20" s="17">
        <f t="shared" si="12"/>
        <v>433</v>
      </c>
      <c r="U20" s="17">
        <f t="shared" si="12"/>
        <v>228</v>
      </c>
      <c r="V20" s="17">
        <f t="shared" si="12"/>
        <v>275</v>
      </c>
      <c r="W20" s="17">
        <f t="shared" si="12"/>
        <v>1</v>
      </c>
      <c r="X20" s="17">
        <f t="shared" si="12"/>
        <v>1</v>
      </c>
      <c r="Y20" s="17">
        <f t="shared" si="12"/>
        <v>2</v>
      </c>
      <c r="Z20" s="17">
        <f t="shared" si="12"/>
        <v>7</v>
      </c>
      <c r="AA20" s="17">
        <f t="shared" si="12"/>
        <v>1</v>
      </c>
      <c r="AB20" s="17">
        <f t="shared" si="12"/>
        <v>0</v>
      </c>
      <c r="AC20" s="17">
        <f t="shared" si="12"/>
        <v>229</v>
      </c>
      <c r="AD20" s="17">
        <f t="shared" si="12"/>
        <v>0</v>
      </c>
      <c r="AE20" s="31">
        <f t="shared" si="12"/>
        <v>1931</v>
      </c>
      <c r="AF20" s="31">
        <f t="shared" si="12"/>
        <v>2160</v>
      </c>
    </row>
    <row r="21" spans="2:32" ht="23.1" customHeight="1" x14ac:dyDescent="0.25">
      <c r="B21" s="23" t="s">
        <v>48</v>
      </c>
      <c r="C21" s="50">
        <v>96</v>
      </c>
      <c r="D21" s="50">
        <v>39</v>
      </c>
      <c r="E21" s="50">
        <v>37</v>
      </c>
      <c r="F21" s="50">
        <v>25</v>
      </c>
      <c r="G21" s="50">
        <v>0</v>
      </c>
      <c r="H21" s="50">
        <v>1</v>
      </c>
      <c r="I21" s="50">
        <v>7</v>
      </c>
      <c r="J21" s="50">
        <v>2</v>
      </c>
      <c r="K21" s="50">
        <v>0</v>
      </c>
      <c r="L21" s="50">
        <v>1</v>
      </c>
      <c r="M21" s="50">
        <v>42</v>
      </c>
      <c r="N21" s="50">
        <v>0</v>
      </c>
      <c r="O21" s="15">
        <f t="shared" si="0"/>
        <v>208</v>
      </c>
      <c r="P21" s="15">
        <f t="shared" si="1"/>
        <v>250</v>
      </c>
      <c r="R21" s="36" t="s">
        <v>20</v>
      </c>
      <c r="S21" s="34">
        <f t="shared" ref="S21:AF21" si="13">SUM(C54:C57)</f>
        <v>757</v>
      </c>
      <c r="T21" s="17">
        <f t="shared" si="13"/>
        <v>260</v>
      </c>
      <c r="U21" s="17">
        <f t="shared" si="13"/>
        <v>156</v>
      </c>
      <c r="V21" s="17">
        <f t="shared" si="13"/>
        <v>177</v>
      </c>
      <c r="W21" s="17">
        <f t="shared" si="13"/>
        <v>0</v>
      </c>
      <c r="X21" s="17">
        <f t="shared" si="13"/>
        <v>0</v>
      </c>
      <c r="Y21" s="17">
        <f t="shared" si="13"/>
        <v>13</v>
      </c>
      <c r="Z21" s="17">
        <f t="shared" si="13"/>
        <v>4</v>
      </c>
      <c r="AA21" s="17">
        <f t="shared" si="13"/>
        <v>1</v>
      </c>
      <c r="AB21" s="17">
        <f t="shared" si="13"/>
        <v>1</v>
      </c>
      <c r="AC21" s="17">
        <f t="shared" si="13"/>
        <v>256</v>
      </c>
      <c r="AD21" s="17">
        <f t="shared" si="13"/>
        <v>0</v>
      </c>
      <c r="AE21" s="31">
        <f t="shared" si="13"/>
        <v>1369</v>
      </c>
      <c r="AF21" s="31">
        <f t="shared" si="13"/>
        <v>1625</v>
      </c>
    </row>
    <row r="22" spans="2:32" ht="23.1" customHeight="1" x14ac:dyDescent="0.25">
      <c r="B22" s="23" t="s">
        <v>49</v>
      </c>
      <c r="C22" s="50">
        <v>113</v>
      </c>
      <c r="D22" s="50">
        <v>30</v>
      </c>
      <c r="E22" s="50">
        <v>31</v>
      </c>
      <c r="F22" s="50">
        <v>33</v>
      </c>
      <c r="G22" s="50">
        <v>1</v>
      </c>
      <c r="H22" s="50">
        <v>0</v>
      </c>
      <c r="I22" s="50">
        <v>0</v>
      </c>
      <c r="J22" s="50">
        <v>4</v>
      </c>
      <c r="K22" s="50">
        <v>1</v>
      </c>
      <c r="L22" s="50">
        <v>0</v>
      </c>
      <c r="M22" s="50">
        <v>46</v>
      </c>
      <c r="N22" s="50">
        <v>0</v>
      </c>
      <c r="O22" s="15">
        <f t="shared" si="0"/>
        <v>213</v>
      </c>
      <c r="P22" s="15">
        <f t="shared" si="1"/>
        <v>259</v>
      </c>
      <c r="R22" s="38" t="s">
        <v>90</v>
      </c>
      <c r="S22" s="39">
        <f>MAX(S10:S12)</f>
        <v>498</v>
      </c>
      <c r="T22" s="39">
        <f t="shared" ref="T22:AF22" si="14">MAX(T10:T12)</f>
        <v>191</v>
      </c>
      <c r="U22" s="39">
        <f t="shared" si="14"/>
        <v>142</v>
      </c>
      <c r="V22" s="39">
        <f t="shared" si="14"/>
        <v>143</v>
      </c>
      <c r="W22" s="39">
        <f t="shared" si="14"/>
        <v>5</v>
      </c>
      <c r="X22" s="39">
        <f t="shared" si="14"/>
        <v>2</v>
      </c>
      <c r="Y22" s="39">
        <f t="shared" si="14"/>
        <v>16</v>
      </c>
      <c r="Z22" s="39">
        <f t="shared" si="14"/>
        <v>10</v>
      </c>
      <c r="AA22" s="39">
        <f t="shared" si="14"/>
        <v>0</v>
      </c>
      <c r="AB22" s="39">
        <f t="shared" si="14"/>
        <v>1</v>
      </c>
      <c r="AC22" s="39">
        <f t="shared" si="14"/>
        <v>323</v>
      </c>
      <c r="AD22" s="39">
        <f t="shared" si="14"/>
        <v>0</v>
      </c>
      <c r="AE22" s="40">
        <f t="shared" si="14"/>
        <v>944</v>
      </c>
      <c r="AF22" s="40">
        <f t="shared" si="14"/>
        <v>1267</v>
      </c>
    </row>
    <row r="23" spans="2:32" ht="23.1" customHeight="1" x14ac:dyDescent="0.25">
      <c r="B23" s="23" t="s">
        <v>50</v>
      </c>
      <c r="C23" s="50">
        <v>93</v>
      </c>
      <c r="D23" s="50">
        <v>22</v>
      </c>
      <c r="E23" s="50">
        <v>15</v>
      </c>
      <c r="F23" s="50">
        <v>38</v>
      </c>
      <c r="G23" s="50">
        <v>1</v>
      </c>
      <c r="H23" s="50">
        <v>0</v>
      </c>
      <c r="I23" s="50">
        <v>5</v>
      </c>
      <c r="J23" s="50">
        <v>4</v>
      </c>
      <c r="K23" s="50">
        <v>0</v>
      </c>
      <c r="L23" s="50">
        <v>1</v>
      </c>
      <c r="M23" s="50">
        <v>54</v>
      </c>
      <c r="N23" s="50">
        <v>0</v>
      </c>
      <c r="O23" s="15">
        <f t="shared" si="0"/>
        <v>179</v>
      </c>
      <c r="P23" s="15">
        <f t="shared" si="1"/>
        <v>233</v>
      </c>
      <c r="R23" s="38" t="s">
        <v>91</v>
      </c>
      <c r="S23" s="39">
        <f>MAX(S13:S18)</f>
        <v>351</v>
      </c>
      <c r="T23" s="39">
        <f t="shared" ref="T23:AF23" si="15">MAX(T13:T18)</f>
        <v>123</v>
      </c>
      <c r="U23" s="39">
        <f t="shared" si="15"/>
        <v>83</v>
      </c>
      <c r="V23" s="39">
        <f t="shared" si="15"/>
        <v>121</v>
      </c>
      <c r="W23" s="39">
        <f t="shared" si="15"/>
        <v>2</v>
      </c>
      <c r="X23" s="39">
        <f t="shared" si="15"/>
        <v>1</v>
      </c>
      <c r="Y23" s="39">
        <f t="shared" si="15"/>
        <v>14</v>
      </c>
      <c r="Z23" s="39">
        <f t="shared" si="15"/>
        <v>12</v>
      </c>
      <c r="AA23" s="39">
        <f t="shared" si="15"/>
        <v>2</v>
      </c>
      <c r="AB23" s="39">
        <f t="shared" si="15"/>
        <v>2</v>
      </c>
      <c r="AC23" s="39">
        <f t="shared" si="15"/>
        <v>193</v>
      </c>
      <c r="AD23" s="39">
        <f t="shared" si="15"/>
        <v>0</v>
      </c>
      <c r="AE23" s="40">
        <f t="shared" si="15"/>
        <v>674</v>
      </c>
      <c r="AF23" s="40">
        <f t="shared" si="15"/>
        <v>866</v>
      </c>
    </row>
    <row r="24" spans="2:32" ht="23.1" customHeight="1" x14ac:dyDescent="0.25">
      <c r="B24" s="23" t="s">
        <v>51</v>
      </c>
      <c r="C24" s="50">
        <v>83</v>
      </c>
      <c r="D24" s="50">
        <v>20</v>
      </c>
      <c r="E24" s="50">
        <v>19</v>
      </c>
      <c r="F24" s="50">
        <v>28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47</v>
      </c>
      <c r="N24" s="50">
        <v>0</v>
      </c>
      <c r="O24" s="15">
        <f t="shared" si="0"/>
        <v>150</v>
      </c>
      <c r="P24" s="15">
        <f t="shared" si="1"/>
        <v>197</v>
      </c>
      <c r="R24" s="38" t="s">
        <v>92</v>
      </c>
      <c r="S24" s="39">
        <f>MAX(S19:S21)</f>
        <v>983</v>
      </c>
      <c r="T24" s="39">
        <f t="shared" ref="T24:AF24" si="16">MAX(T19:T21)</f>
        <v>433</v>
      </c>
      <c r="U24" s="39">
        <f t="shared" si="16"/>
        <v>228</v>
      </c>
      <c r="V24" s="39">
        <f t="shared" si="16"/>
        <v>275</v>
      </c>
      <c r="W24" s="39">
        <f t="shared" si="16"/>
        <v>3</v>
      </c>
      <c r="X24" s="39">
        <f t="shared" si="16"/>
        <v>1</v>
      </c>
      <c r="Y24" s="39">
        <f t="shared" si="16"/>
        <v>15</v>
      </c>
      <c r="Z24" s="39">
        <f t="shared" si="16"/>
        <v>13</v>
      </c>
      <c r="AA24" s="39">
        <f t="shared" si="16"/>
        <v>1</v>
      </c>
      <c r="AB24" s="39">
        <f t="shared" si="16"/>
        <v>1</v>
      </c>
      <c r="AC24" s="39">
        <f t="shared" si="16"/>
        <v>256</v>
      </c>
      <c r="AD24" s="39">
        <f t="shared" si="16"/>
        <v>0</v>
      </c>
      <c r="AE24" s="40">
        <f t="shared" si="16"/>
        <v>1931</v>
      </c>
      <c r="AF24" s="40">
        <f t="shared" si="16"/>
        <v>2160</v>
      </c>
    </row>
    <row r="25" spans="2:32" ht="23.1" customHeight="1" x14ac:dyDescent="0.25">
      <c r="B25" s="23" t="s">
        <v>52</v>
      </c>
      <c r="C25" s="50">
        <v>61</v>
      </c>
      <c r="D25" s="50">
        <v>27</v>
      </c>
      <c r="E25" s="50">
        <v>18</v>
      </c>
      <c r="F25" s="50">
        <v>22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46</v>
      </c>
      <c r="N25" s="50">
        <v>0</v>
      </c>
      <c r="O25" s="15">
        <f t="shared" si="0"/>
        <v>131</v>
      </c>
      <c r="P25" s="15">
        <f t="shared" si="1"/>
        <v>177</v>
      </c>
      <c r="R25" s="37" t="s">
        <v>85</v>
      </c>
      <c r="S25" s="35">
        <f t="shared" ref="S25:AF25" si="17">SUM(S10:S12)</f>
        <v>1388</v>
      </c>
      <c r="T25" s="16">
        <f t="shared" si="17"/>
        <v>550</v>
      </c>
      <c r="U25" s="16">
        <f t="shared" si="17"/>
        <v>366</v>
      </c>
      <c r="V25" s="16">
        <f t="shared" si="17"/>
        <v>416</v>
      </c>
      <c r="W25" s="16">
        <f t="shared" si="17"/>
        <v>8</v>
      </c>
      <c r="X25" s="16">
        <f t="shared" si="17"/>
        <v>4</v>
      </c>
      <c r="Y25" s="16">
        <f t="shared" si="17"/>
        <v>33</v>
      </c>
      <c r="Z25" s="16">
        <f t="shared" si="17"/>
        <v>21</v>
      </c>
      <c r="AA25" s="16">
        <f t="shared" si="17"/>
        <v>0</v>
      </c>
      <c r="AB25" s="16">
        <f t="shared" si="17"/>
        <v>3</v>
      </c>
      <c r="AC25" s="16">
        <f t="shared" si="17"/>
        <v>794</v>
      </c>
      <c r="AD25" s="16">
        <f t="shared" si="17"/>
        <v>0</v>
      </c>
      <c r="AE25" s="32">
        <f t="shared" si="17"/>
        <v>2789</v>
      </c>
      <c r="AF25" s="32">
        <f t="shared" si="17"/>
        <v>3583</v>
      </c>
    </row>
    <row r="26" spans="2:32" ht="23.1" customHeight="1" x14ac:dyDescent="0.25">
      <c r="B26" s="23" t="s">
        <v>53</v>
      </c>
      <c r="C26" s="50">
        <v>63</v>
      </c>
      <c r="D26" s="50">
        <v>19</v>
      </c>
      <c r="E26" s="50">
        <v>18</v>
      </c>
      <c r="F26" s="50">
        <v>31</v>
      </c>
      <c r="G26" s="50">
        <v>0</v>
      </c>
      <c r="H26" s="50">
        <v>0</v>
      </c>
      <c r="I26" s="50">
        <v>1</v>
      </c>
      <c r="J26" s="50">
        <v>5</v>
      </c>
      <c r="K26" s="50">
        <v>0</v>
      </c>
      <c r="L26" s="50">
        <v>0</v>
      </c>
      <c r="M26" s="50">
        <v>58</v>
      </c>
      <c r="N26" s="50">
        <v>0</v>
      </c>
      <c r="O26" s="15">
        <f t="shared" si="0"/>
        <v>137</v>
      </c>
      <c r="P26" s="15">
        <f t="shared" si="1"/>
        <v>195</v>
      </c>
      <c r="R26" s="28" t="s">
        <v>86</v>
      </c>
      <c r="S26" s="16">
        <f t="shared" ref="S26:AF26" si="18">SUM(S13:S18)</f>
        <v>1456</v>
      </c>
      <c r="T26" s="16">
        <f t="shared" si="18"/>
        <v>570</v>
      </c>
      <c r="U26" s="16">
        <f t="shared" si="18"/>
        <v>429</v>
      </c>
      <c r="V26" s="16">
        <f t="shared" si="18"/>
        <v>558</v>
      </c>
      <c r="W26" s="16">
        <f t="shared" si="18"/>
        <v>8</v>
      </c>
      <c r="X26" s="16">
        <f t="shared" si="18"/>
        <v>1</v>
      </c>
      <c r="Y26" s="16">
        <f t="shared" si="18"/>
        <v>72</v>
      </c>
      <c r="Z26" s="16">
        <f t="shared" si="18"/>
        <v>57</v>
      </c>
      <c r="AA26" s="16">
        <f t="shared" si="18"/>
        <v>5</v>
      </c>
      <c r="AB26" s="16">
        <f t="shared" si="18"/>
        <v>3</v>
      </c>
      <c r="AC26" s="16">
        <f t="shared" si="18"/>
        <v>1030</v>
      </c>
      <c r="AD26" s="16">
        <f t="shared" si="18"/>
        <v>0</v>
      </c>
      <c r="AE26" s="32">
        <f t="shared" si="18"/>
        <v>3159</v>
      </c>
      <c r="AF26" s="32">
        <f t="shared" si="18"/>
        <v>4189</v>
      </c>
    </row>
    <row r="27" spans="2:32" ht="23.1" customHeight="1" x14ac:dyDescent="0.25">
      <c r="B27" s="23" t="s">
        <v>54</v>
      </c>
      <c r="C27" s="50">
        <v>38</v>
      </c>
      <c r="D27" s="50">
        <v>28</v>
      </c>
      <c r="E27" s="50">
        <v>13</v>
      </c>
      <c r="F27" s="50">
        <v>23</v>
      </c>
      <c r="G27" s="50">
        <v>0</v>
      </c>
      <c r="H27" s="50">
        <v>0</v>
      </c>
      <c r="I27" s="50">
        <v>3</v>
      </c>
      <c r="J27" s="50">
        <v>1</v>
      </c>
      <c r="K27" s="50">
        <v>0</v>
      </c>
      <c r="L27" s="50">
        <v>0</v>
      </c>
      <c r="M27" s="50">
        <v>35</v>
      </c>
      <c r="N27" s="50">
        <v>0</v>
      </c>
      <c r="O27" s="15">
        <f t="shared" si="0"/>
        <v>106</v>
      </c>
      <c r="P27" s="15">
        <f t="shared" si="1"/>
        <v>141</v>
      </c>
      <c r="R27" s="29" t="s">
        <v>87</v>
      </c>
      <c r="S27" s="16">
        <f t="shared" ref="S27:AF27" si="19">SUM(S19:S21)</f>
        <v>2186</v>
      </c>
      <c r="T27" s="16">
        <f t="shared" si="19"/>
        <v>861</v>
      </c>
      <c r="U27" s="16">
        <f t="shared" si="19"/>
        <v>506</v>
      </c>
      <c r="V27" s="16">
        <f t="shared" si="19"/>
        <v>584</v>
      </c>
      <c r="W27" s="16">
        <f t="shared" si="19"/>
        <v>4</v>
      </c>
      <c r="X27" s="16">
        <f t="shared" si="19"/>
        <v>1</v>
      </c>
      <c r="Y27" s="16">
        <f t="shared" si="19"/>
        <v>30</v>
      </c>
      <c r="Z27" s="16">
        <f t="shared" si="19"/>
        <v>24</v>
      </c>
      <c r="AA27" s="16">
        <f t="shared" si="19"/>
        <v>3</v>
      </c>
      <c r="AB27" s="16">
        <f t="shared" si="19"/>
        <v>1</v>
      </c>
      <c r="AC27" s="16">
        <f t="shared" si="19"/>
        <v>710</v>
      </c>
      <c r="AD27" s="16">
        <f t="shared" si="19"/>
        <v>0</v>
      </c>
      <c r="AE27" s="32">
        <f t="shared" si="19"/>
        <v>4200</v>
      </c>
      <c r="AF27" s="32">
        <f t="shared" si="19"/>
        <v>4910</v>
      </c>
    </row>
    <row r="28" spans="2:32" ht="23.1" customHeight="1" x14ac:dyDescent="0.25">
      <c r="B28" s="23" t="s">
        <v>55</v>
      </c>
      <c r="C28" s="50">
        <v>44</v>
      </c>
      <c r="D28" s="50">
        <v>33</v>
      </c>
      <c r="E28" s="50">
        <v>23</v>
      </c>
      <c r="F28" s="50">
        <v>26</v>
      </c>
      <c r="G28" s="50">
        <v>0</v>
      </c>
      <c r="H28" s="50">
        <v>0</v>
      </c>
      <c r="I28" s="50">
        <v>1</v>
      </c>
      <c r="J28" s="50">
        <v>3</v>
      </c>
      <c r="K28" s="50">
        <v>0</v>
      </c>
      <c r="L28" s="50">
        <v>0</v>
      </c>
      <c r="M28" s="50">
        <v>46</v>
      </c>
      <c r="N28" s="50">
        <v>0</v>
      </c>
      <c r="O28" s="15">
        <f t="shared" si="0"/>
        <v>130</v>
      </c>
      <c r="P28" s="15">
        <f t="shared" si="1"/>
        <v>176</v>
      </c>
      <c r="R28" s="5" t="s">
        <v>17</v>
      </c>
      <c r="S28" s="16">
        <f t="shared" ref="S28:AF28" si="20">SUM(S10:S21)</f>
        <v>5030</v>
      </c>
      <c r="T28" s="16">
        <f t="shared" si="20"/>
        <v>1981</v>
      </c>
      <c r="U28" s="16">
        <f t="shared" si="20"/>
        <v>1301</v>
      </c>
      <c r="V28" s="16">
        <f t="shared" si="20"/>
        <v>1558</v>
      </c>
      <c r="W28" s="16">
        <f t="shared" si="20"/>
        <v>20</v>
      </c>
      <c r="X28" s="16">
        <f t="shared" si="20"/>
        <v>6</v>
      </c>
      <c r="Y28" s="16">
        <f t="shared" si="20"/>
        <v>135</v>
      </c>
      <c r="Z28" s="16">
        <f t="shared" si="20"/>
        <v>102</v>
      </c>
      <c r="AA28" s="16">
        <f t="shared" si="20"/>
        <v>8</v>
      </c>
      <c r="AB28" s="16">
        <f t="shared" si="20"/>
        <v>7</v>
      </c>
      <c r="AC28" s="16">
        <f t="shared" si="20"/>
        <v>2534</v>
      </c>
      <c r="AD28" s="16">
        <f t="shared" si="20"/>
        <v>0</v>
      </c>
      <c r="AE28" s="32">
        <f t="shared" si="20"/>
        <v>10148</v>
      </c>
      <c r="AF28" s="32">
        <f t="shared" si="20"/>
        <v>12682</v>
      </c>
    </row>
    <row r="29" spans="2:32" ht="23.1" customHeight="1" x14ac:dyDescent="0.25">
      <c r="B29" s="23" t="s">
        <v>56</v>
      </c>
      <c r="C29" s="50">
        <v>51</v>
      </c>
      <c r="D29" s="50">
        <v>20</v>
      </c>
      <c r="E29" s="50">
        <v>16</v>
      </c>
      <c r="F29" s="50">
        <v>29</v>
      </c>
      <c r="G29" s="50">
        <v>2</v>
      </c>
      <c r="H29" s="50">
        <v>0</v>
      </c>
      <c r="I29" s="50">
        <v>9</v>
      </c>
      <c r="J29" s="50">
        <v>3</v>
      </c>
      <c r="K29" s="50">
        <v>0</v>
      </c>
      <c r="L29" s="50">
        <v>0</v>
      </c>
      <c r="M29" s="50">
        <v>36</v>
      </c>
      <c r="N29" s="50">
        <v>0</v>
      </c>
      <c r="O29" s="15">
        <f t="shared" si="0"/>
        <v>130</v>
      </c>
      <c r="P29" s="15">
        <f t="shared" si="1"/>
        <v>166</v>
      </c>
      <c r="R29"/>
      <c r="S29" s="20"/>
      <c r="T29" s="19"/>
    </row>
    <row r="30" spans="2:32" ht="23.1" customHeight="1" x14ac:dyDescent="0.25">
      <c r="B30" s="23" t="s">
        <v>57</v>
      </c>
      <c r="C30" s="50">
        <v>61</v>
      </c>
      <c r="D30" s="50">
        <v>32</v>
      </c>
      <c r="E30" s="50">
        <v>23</v>
      </c>
      <c r="F30" s="50">
        <v>28</v>
      </c>
      <c r="G30" s="50">
        <v>0</v>
      </c>
      <c r="H30" s="50">
        <v>0</v>
      </c>
      <c r="I30" s="50">
        <v>6</v>
      </c>
      <c r="J30" s="50">
        <v>3</v>
      </c>
      <c r="K30" s="50">
        <v>0</v>
      </c>
      <c r="L30" s="50">
        <v>0</v>
      </c>
      <c r="M30" s="50">
        <v>37</v>
      </c>
      <c r="N30" s="50">
        <v>0</v>
      </c>
      <c r="O30" s="15">
        <f t="shared" si="0"/>
        <v>153</v>
      </c>
      <c r="P30" s="15">
        <f t="shared" si="1"/>
        <v>190</v>
      </c>
    </row>
    <row r="31" spans="2:32" ht="23.1" customHeight="1" x14ac:dyDescent="0.25">
      <c r="B31" s="24" t="s">
        <v>58</v>
      </c>
      <c r="C31" s="50">
        <v>105</v>
      </c>
      <c r="D31" s="50">
        <v>26</v>
      </c>
      <c r="E31" s="50">
        <v>18</v>
      </c>
      <c r="F31" s="50">
        <v>17</v>
      </c>
      <c r="G31" s="50">
        <v>1</v>
      </c>
      <c r="H31" s="50">
        <v>0</v>
      </c>
      <c r="I31" s="50">
        <v>2</v>
      </c>
      <c r="J31" s="50">
        <v>2</v>
      </c>
      <c r="K31" s="50">
        <v>0</v>
      </c>
      <c r="L31" s="50">
        <v>0</v>
      </c>
      <c r="M31" s="50">
        <v>33</v>
      </c>
      <c r="N31" s="50">
        <v>0</v>
      </c>
      <c r="O31" s="15">
        <f t="shared" si="0"/>
        <v>171</v>
      </c>
      <c r="P31" s="15">
        <f t="shared" si="1"/>
        <v>204</v>
      </c>
    </row>
    <row r="32" spans="2:32" ht="23.1" customHeight="1" x14ac:dyDescent="0.25">
      <c r="B32" s="24" t="s">
        <v>59</v>
      </c>
      <c r="C32" s="50">
        <v>106</v>
      </c>
      <c r="D32" s="50">
        <v>37</v>
      </c>
      <c r="E32" s="50">
        <v>21</v>
      </c>
      <c r="F32" s="50">
        <v>30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2</v>
      </c>
      <c r="M32" s="50">
        <v>46</v>
      </c>
      <c r="N32" s="50">
        <v>0</v>
      </c>
      <c r="O32" s="15">
        <f t="shared" si="0"/>
        <v>199</v>
      </c>
      <c r="P32" s="15">
        <f t="shared" si="1"/>
        <v>245</v>
      </c>
    </row>
    <row r="33" spans="2:20" ht="23.1" customHeight="1" x14ac:dyDescent="0.25">
      <c r="B33" s="23" t="s">
        <v>60</v>
      </c>
      <c r="C33" s="50">
        <v>79</v>
      </c>
      <c r="D33" s="50">
        <v>28</v>
      </c>
      <c r="E33" s="50">
        <v>16</v>
      </c>
      <c r="F33" s="50">
        <v>23</v>
      </c>
      <c r="G33" s="50">
        <v>0</v>
      </c>
      <c r="H33" s="50">
        <v>0</v>
      </c>
      <c r="I33" s="50">
        <v>3</v>
      </c>
      <c r="J33" s="50">
        <v>1</v>
      </c>
      <c r="K33" s="50">
        <v>1</v>
      </c>
      <c r="L33" s="50">
        <v>0</v>
      </c>
      <c r="M33" s="50">
        <v>48</v>
      </c>
      <c r="N33" s="50">
        <v>0</v>
      </c>
      <c r="O33" s="15">
        <f t="shared" si="0"/>
        <v>151</v>
      </c>
      <c r="P33" s="15">
        <f t="shared" si="1"/>
        <v>199</v>
      </c>
    </row>
    <row r="34" spans="2:20" ht="23.1" customHeight="1" x14ac:dyDescent="0.25">
      <c r="B34" s="24" t="s">
        <v>61</v>
      </c>
      <c r="C34" s="50">
        <v>73</v>
      </c>
      <c r="D34" s="50">
        <v>36</v>
      </c>
      <c r="E34" s="50">
        <v>22</v>
      </c>
      <c r="F34" s="50">
        <v>18</v>
      </c>
      <c r="G34" s="50">
        <v>0</v>
      </c>
      <c r="H34" s="50">
        <v>0</v>
      </c>
      <c r="I34" s="50">
        <v>1</v>
      </c>
      <c r="J34" s="50">
        <v>3</v>
      </c>
      <c r="K34" s="50">
        <v>0</v>
      </c>
      <c r="L34" s="50">
        <v>0</v>
      </c>
      <c r="M34" s="50">
        <v>43</v>
      </c>
      <c r="N34" s="50">
        <v>0</v>
      </c>
      <c r="O34" s="15">
        <f t="shared" si="0"/>
        <v>153</v>
      </c>
      <c r="P34" s="15">
        <f t="shared" si="1"/>
        <v>196</v>
      </c>
    </row>
    <row r="35" spans="2:20" ht="23.1" customHeight="1" x14ac:dyDescent="0.25">
      <c r="B35" s="24" t="s">
        <v>62</v>
      </c>
      <c r="C35" s="50">
        <v>43</v>
      </c>
      <c r="D35" s="50">
        <v>23</v>
      </c>
      <c r="E35" s="50">
        <v>16</v>
      </c>
      <c r="F35" s="50">
        <v>21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34</v>
      </c>
      <c r="N35" s="50">
        <v>0</v>
      </c>
      <c r="O35" s="15">
        <f t="shared" si="0"/>
        <v>104</v>
      </c>
      <c r="P35" s="15">
        <f t="shared" si="1"/>
        <v>138</v>
      </c>
    </row>
    <row r="36" spans="2:20" ht="23.1" customHeight="1" x14ac:dyDescent="0.25">
      <c r="B36" s="24" t="s">
        <v>63</v>
      </c>
      <c r="C36" s="50">
        <v>49</v>
      </c>
      <c r="D36" s="50">
        <v>19</v>
      </c>
      <c r="E36" s="50">
        <v>21</v>
      </c>
      <c r="F36" s="50">
        <v>20</v>
      </c>
      <c r="G36" s="50">
        <v>1</v>
      </c>
      <c r="H36" s="50">
        <v>0</v>
      </c>
      <c r="I36" s="50">
        <v>8</v>
      </c>
      <c r="J36" s="50">
        <v>3</v>
      </c>
      <c r="K36" s="50">
        <v>0</v>
      </c>
      <c r="L36" s="50">
        <v>0</v>
      </c>
      <c r="M36" s="50">
        <v>44</v>
      </c>
      <c r="N36" s="50">
        <v>0</v>
      </c>
      <c r="O36" s="15">
        <f t="shared" si="0"/>
        <v>121</v>
      </c>
      <c r="P36" s="15">
        <f t="shared" si="1"/>
        <v>165</v>
      </c>
    </row>
    <row r="37" spans="2:20" ht="23.1" customHeight="1" x14ac:dyDescent="0.25">
      <c r="B37" s="23" t="s">
        <v>64</v>
      </c>
      <c r="C37" s="50">
        <v>53</v>
      </c>
      <c r="D37" s="50">
        <v>39</v>
      </c>
      <c r="E37" s="50">
        <v>11</v>
      </c>
      <c r="F37" s="50">
        <v>13</v>
      </c>
      <c r="G37" s="50">
        <v>0</v>
      </c>
      <c r="H37" s="50">
        <v>0</v>
      </c>
      <c r="I37" s="50">
        <v>2</v>
      </c>
      <c r="J37" s="50">
        <v>5</v>
      </c>
      <c r="K37" s="50">
        <v>0</v>
      </c>
      <c r="L37" s="50">
        <v>0</v>
      </c>
      <c r="M37" s="50">
        <v>35</v>
      </c>
      <c r="N37" s="50">
        <v>0</v>
      </c>
      <c r="O37" s="15">
        <f t="shared" si="0"/>
        <v>123</v>
      </c>
      <c r="P37" s="15">
        <f t="shared" si="1"/>
        <v>158</v>
      </c>
    </row>
    <row r="38" spans="2:20" ht="23.1" customHeight="1" x14ac:dyDescent="0.25">
      <c r="B38" s="24" t="s">
        <v>65</v>
      </c>
      <c r="C38" s="50">
        <v>47</v>
      </c>
      <c r="D38" s="50">
        <v>9</v>
      </c>
      <c r="E38" s="50">
        <v>10</v>
      </c>
      <c r="F38" s="50">
        <v>21</v>
      </c>
      <c r="G38" s="50">
        <v>0</v>
      </c>
      <c r="H38" s="50">
        <v>1</v>
      </c>
      <c r="I38" s="50">
        <v>3</v>
      </c>
      <c r="J38" s="50">
        <v>3</v>
      </c>
      <c r="K38" s="50">
        <v>0</v>
      </c>
      <c r="L38" s="50">
        <v>0</v>
      </c>
      <c r="M38" s="50">
        <v>58</v>
      </c>
      <c r="N38" s="50">
        <v>0</v>
      </c>
      <c r="O38" s="15">
        <f t="shared" si="0"/>
        <v>94</v>
      </c>
      <c r="P38" s="15">
        <f t="shared" si="1"/>
        <v>152</v>
      </c>
    </row>
    <row r="39" spans="2:20" ht="23.1" customHeight="1" x14ac:dyDescent="0.25">
      <c r="B39" s="24" t="s">
        <v>66</v>
      </c>
      <c r="C39" s="50">
        <v>53</v>
      </c>
      <c r="D39" s="50">
        <v>12</v>
      </c>
      <c r="E39" s="50">
        <v>14</v>
      </c>
      <c r="F39" s="50">
        <v>19</v>
      </c>
      <c r="G39" s="50">
        <v>0</v>
      </c>
      <c r="H39" s="50">
        <v>0</v>
      </c>
      <c r="I39" s="50">
        <v>8</v>
      </c>
      <c r="J39" s="50">
        <v>2</v>
      </c>
      <c r="K39" s="50">
        <v>1</v>
      </c>
      <c r="L39" s="50">
        <v>0</v>
      </c>
      <c r="M39" s="50">
        <v>38</v>
      </c>
      <c r="N39" s="50">
        <v>0</v>
      </c>
      <c r="O39" s="15">
        <f t="shared" si="0"/>
        <v>109</v>
      </c>
      <c r="P39" s="15">
        <f t="shared" si="1"/>
        <v>147</v>
      </c>
    </row>
    <row r="40" spans="2:20" ht="23.1" customHeight="1" x14ac:dyDescent="0.25">
      <c r="B40" s="24" t="s">
        <v>67</v>
      </c>
      <c r="C40" s="50">
        <v>39</v>
      </c>
      <c r="D40" s="50">
        <v>22</v>
      </c>
      <c r="E40" s="50">
        <v>17</v>
      </c>
      <c r="F40" s="50">
        <v>23</v>
      </c>
      <c r="G40" s="50">
        <v>2</v>
      </c>
      <c r="H40" s="50">
        <v>0</v>
      </c>
      <c r="I40" s="50">
        <v>1</v>
      </c>
      <c r="J40" s="50">
        <v>2</v>
      </c>
      <c r="K40" s="50">
        <v>0</v>
      </c>
      <c r="L40" s="50">
        <v>0</v>
      </c>
      <c r="M40" s="50">
        <v>41</v>
      </c>
      <c r="N40" s="50">
        <v>0</v>
      </c>
      <c r="O40" s="15">
        <f t="shared" si="0"/>
        <v>106</v>
      </c>
      <c r="P40" s="15">
        <f t="shared" si="1"/>
        <v>147</v>
      </c>
    </row>
    <row r="41" spans="2:20" ht="23.1" customHeight="1" x14ac:dyDescent="0.25">
      <c r="B41" s="23" t="s">
        <v>68</v>
      </c>
      <c r="C41" s="50">
        <v>57</v>
      </c>
      <c r="D41" s="50">
        <v>20</v>
      </c>
      <c r="E41" s="50">
        <v>17</v>
      </c>
      <c r="F41" s="50">
        <v>24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46</v>
      </c>
      <c r="N41" s="50">
        <v>0</v>
      </c>
      <c r="O41" s="15">
        <f t="shared" si="0"/>
        <v>119</v>
      </c>
      <c r="P41" s="15">
        <f t="shared" si="1"/>
        <v>165</v>
      </c>
    </row>
    <row r="42" spans="2:20" ht="23.1" customHeight="1" x14ac:dyDescent="0.25">
      <c r="B42" s="24" t="s">
        <v>69</v>
      </c>
      <c r="C42" s="50">
        <v>32</v>
      </c>
      <c r="D42" s="50">
        <v>11</v>
      </c>
      <c r="E42" s="50">
        <v>13</v>
      </c>
      <c r="F42" s="50">
        <v>16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0</v>
      </c>
      <c r="M42" s="50">
        <v>33</v>
      </c>
      <c r="N42" s="50">
        <v>0</v>
      </c>
      <c r="O42" s="15">
        <f t="shared" si="0"/>
        <v>73</v>
      </c>
      <c r="P42" s="15">
        <f t="shared" si="1"/>
        <v>106</v>
      </c>
    </row>
    <row r="43" spans="2:20" ht="23.1" customHeight="1" x14ac:dyDescent="0.25">
      <c r="B43" s="23" t="s">
        <v>70</v>
      </c>
      <c r="C43" s="50">
        <v>33</v>
      </c>
      <c r="D43" s="50">
        <v>12</v>
      </c>
      <c r="E43" s="50">
        <v>14</v>
      </c>
      <c r="F43" s="50">
        <v>13</v>
      </c>
      <c r="G43" s="50">
        <v>0</v>
      </c>
      <c r="H43" s="50">
        <v>0</v>
      </c>
      <c r="I43" s="50">
        <v>3</v>
      </c>
      <c r="J43" s="50">
        <v>5</v>
      </c>
      <c r="K43" s="50">
        <v>0</v>
      </c>
      <c r="L43" s="50">
        <v>0</v>
      </c>
      <c r="M43" s="50">
        <v>39</v>
      </c>
      <c r="N43" s="50">
        <v>0</v>
      </c>
      <c r="O43" s="15">
        <f t="shared" si="0"/>
        <v>80</v>
      </c>
      <c r="P43" s="15">
        <f t="shared" si="1"/>
        <v>119</v>
      </c>
    </row>
    <row r="44" spans="2:20" ht="23.1" customHeight="1" x14ac:dyDescent="0.25">
      <c r="B44" s="25" t="s">
        <v>71</v>
      </c>
      <c r="C44" s="50">
        <v>37</v>
      </c>
      <c r="D44" s="50">
        <v>17</v>
      </c>
      <c r="E44" s="50">
        <v>23</v>
      </c>
      <c r="F44" s="50">
        <v>15</v>
      </c>
      <c r="G44" s="50">
        <v>0</v>
      </c>
      <c r="H44" s="50">
        <v>0</v>
      </c>
      <c r="I44" s="50">
        <v>3</v>
      </c>
      <c r="J44" s="50">
        <v>4</v>
      </c>
      <c r="K44" s="50">
        <v>1</v>
      </c>
      <c r="L44" s="50">
        <v>0</v>
      </c>
      <c r="M44" s="50">
        <v>47</v>
      </c>
      <c r="N44" s="50">
        <v>0</v>
      </c>
      <c r="O44" s="15">
        <f t="shared" si="0"/>
        <v>100</v>
      </c>
      <c r="P44" s="15">
        <f t="shared" si="1"/>
        <v>147</v>
      </c>
    </row>
    <row r="45" spans="2:20" ht="23.1" customHeight="1" x14ac:dyDescent="0.25">
      <c r="B45" s="23" t="s">
        <v>72</v>
      </c>
      <c r="C45" s="50">
        <v>43</v>
      </c>
      <c r="D45" s="50">
        <v>28</v>
      </c>
      <c r="E45" s="50">
        <v>20</v>
      </c>
      <c r="F45" s="50">
        <v>27</v>
      </c>
      <c r="G45" s="50">
        <v>0</v>
      </c>
      <c r="H45" s="50">
        <v>0</v>
      </c>
      <c r="I45" s="50">
        <v>7</v>
      </c>
      <c r="J45" s="50">
        <v>2</v>
      </c>
      <c r="K45" s="50">
        <v>0</v>
      </c>
      <c r="L45" s="50">
        <v>0</v>
      </c>
      <c r="M45" s="50">
        <v>40</v>
      </c>
      <c r="N45" s="50">
        <v>0</v>
      </c>
      <c r="O45" s="15">
        <f t="shared" si="0"/>
        <v>127</v>
      </c>
      <c r="P45" s="15">
        <f t="shared" si="1"/>
        <v>167</v>
      </c>
    </row>
    <row r="46" spans="2:20" ht="23.1" customHeight="1" x14ac:dyDescent="0.25">
      <c r="B46" s="24" t="s">
        <v>73</v>
      </c>
      <c r="C46" s="50">
        <v>47</v>
      </c>
      <c r="D46" s="50">
        <v>13</v>
      </c>
      <c r="E46" s="50">
        <v>19</v>
      </c>
      <c r="F46" s="50">
        <v>17</v>
      </c>
      <c r="G46" s="50">
        <v>1</v>
      </c>
      <c r="H46" s="50">
        <v>0</v>
      </c>
      <c r="I46" s="50">
        <v>1</v>
      </c>
      <c r="J46" s="50">
        <v>4</v>
      </c>
      <c r="K46" s="50">
        <v>0</v>
      </c>
      <c r="L46" s="50">
        <v>0</v>
      </c>
      <c r="M46" s="50">
        <v>46</v>
      </c>
      <c r="N46" s="50">
        <v>0</v>
      </c>
      <c r="O46" s="15">
        <f t="shared" si="0"/>
        <v>102</v>
      </c>
      <c r="P46" s="15">
        <f t="shared" si="1"/>
        <v>148</v>
      </c>
      <c r="R46" s="8"/>
      <c r="T46"/>
    </row>
    <row r="47" spans="2:20" ht="23.1" customHeight="1" x14ac:dyDescent="0.25">
      <c r="B47" s="24" t="s">
        <v>74</v>
      </c>
      <c r="C47" s="50">
        <v>61</v>
      </c>
      <c r="D47" s="50">
        <v>39</v>
      </c>
      <c r="E47" s="50">
        <v>29</v>
      </c>
      <c r="F47" s="50">
        <v>27</v>
      </c>
      <c r="G47" s="50">
        <v>0</v>
      </c>
      <c r="H47" s="50">
        <v>0</v>
      </c>
      <c r="I47" s="50">
        <v>3</v>
      </c>
      <c r="J47" s="50">
        <v>2</v>
      </c>
      <c r="K47" s="50">
        <v>0</v>
      </c>
      <c r="L47" s="50">
        <v>0</v>
      </c>
      <c r="M47" s="50">
        <v>49</v>
      </c>
      <c r="N47" s="50">
        <v>0</v>
      </c>
      <c r="O47" s="15">
        <f t="shared" si="0"/>
        <v>161</v>
      </c>
      <c r="P47" s="15">
        <f t="shared" si="1"/>
        <v>210</v>
      </c>
      <c r="R47" s="8"/>
      <c r="T47"/>
    </row>
    <row r="48" spans="2:20" ht="23.1" customHeight="1" x14ac:dyDescent="0.25">
      <c r="B48" s="24" t="s">
        <v>75</v>
      </c>
      <c r="C48" s="50">
        <v>138</v>
      </c>
      <c r="D48" s="50">
        <v>48</v>
      </c>
      <c r="E48" s="50">
        <v>23</v>
      </c>
      <c r="F48" s="50">
        <v>22</v>
      </c>
      <c r="G48" s="50">
        <v>0</v>
      </c>
      <c r="H48" s="50">
        <v>0</v>
      </c>
      <c r="I48" s="50">
        <v>3</v>
      </c>
      <c r="J48" s="50">
        <v>2</v>
      </c>
      <c r="K48" s="50">
        <v>0</v>
      </c>
      <c r="L48" s="50">
        <v>0</v>
      </c>
      <c r="M48" s="50">
        <v>42</v>
      </c>
      <c r="N48" s="50">
        <v>0</v>
      </c>
      <c r="O48" s="15">
        <f t="shared" si="0"/>
        <v>236</v>
      </c>
      <c r="P48" s="15">
        <f t="shared" si="1"/>
        <v>278</v>
      </c>
      <c r="R48" s="8"/>
      <c r="T48"/>
    </row>
    <row r="49" spans="2:20" ht="23.1" customHeight="1" x14ac:dyDescent="0.25">
      <c r="B49" s="23" t="s">
        <v>76</v>
      </c>
      <c r="C49" s="50">
        <v>200</v>
      </c>
      <c r="D49" s="50">
        <v>68</v>
      </c>
      <c r="E49" s="50">
        <v>51</v>
      </c>
      <c r="F49" s="50">
        <v>66</v>
      </c>
      <c r="G49" s="50">
        <v>2</v>
      </c>
      <c r="H49" s="50">
        <v>0</v>
      </c>
      <c r="I49" s="50">
        <v>8</v>
      </c>
      <c r="J49" s="50">
        <v>5</v>
      </c>
      <c r="K49" s="50">
        <v>1</v>
      </c>
      <c r="L49" s="50">
        <v>0</v>
      </c>
      <c r="M49" s="50">
        <v>88</v>
      </c>
      <c r="N49" s="50">
        <v>0</v>
      </c>
      <c r="O49" s="15">
        <f t="shared" si="0"/>
        <v>401</v>
      </c>
      <c r="P49" s="15">
        <f t="shared" si="1"/>
        <v>489</v>
      </c>
      <c r="R49" s="8"/>
      <c r="T49"/>
    </row>
    <row r="50" spans="2:20" ht="23.1" customHeight="1" x14ac:dyDescent="0.25">
      <c r="B50" s="24" t="s">
        <v>77</v>
      </c>
      <c r="C50" s="50">
        <v>284</v>
      </c>
      <c r="D50" s="50">
        <v>134</v>
      </c>
      <c r="E50" s="50">
        <v>64</v>
      </c>
      <c r="F50" s="50">
        <v>100</v>
      </c>
      <c r="G50" s="50">
        <v>0</v>
      </c>
      <c r="H50" s="50">
        <v>0</v>
      </c>
      <c r="I50" s="50">
        <v>2</v>
      </c>
      <c r="J50" s="50">
        <v>3</v>
      </c>
      <c r="K50" s="50">
        <v>0</v>
      </c>
      <c r="L50" s="50">
        <v>0</v>
      </c>
      <c r="M50" s="50">
        <v>39</v>
      </c>
      <c r="N50" s="50">
        <v>0</v>
      </c>
      <c r="O50" s="15">
        <f t="shared" si="0"/>
        <v>587</v>
      </c>
      <c r="P50" s="15">
        <f t="shared" si="1"/>
        <v>626</v>
      </c>
      <c r="R50" s="8"/>
      <c r="T50"/>
    </row>
    <row r="51" spans="2:20" ht="23.1" customHeight="1" x14ac:dyDescent="0.25">
      <c r="B51" s="24" t="s">
        <v>78</v>
      </c>
      <c r="C51" s="50">
        <v>253</v>
      </c>
      <c r="D51" s="50">
        <v>99</v>
      </c>
      <c r="E51" s="50">
        <v>49</v>
      </c>
      <c r="F51" s="50">
        <v>63</v>
      </c>
      <c r="G51" s="50">
        <v>0</v>
      </c>
      <c r="H51" s="50">
        <v>1</v>
      </c>
      <c r="I51" s="50">
        <v>0</v>
      </c>
      <c r="J51" s="50">
        <v>0</v>
      </c>
      <c r="K51" s="50">
        <v>0</v>
      </c>
      <c r="L51" s="50">
        <v>0</v>
      </c>
      <c r="M51" s="50">
        <v>50</v>
      </c>
      <c r="N51" s="50">
        <v>0</v>
      </c>
      <c r="O51" s="15">
        <f t="shared" si="0"/>
        <v>465</v>
      </c>
      <c r="P51" s="15">
        <f t="shared" si="1"/>
        <v>515</v>
      </c>
      <c r="R51" s="8"/>
      <c r="T51"/>
    </row>
    <row r="52" spans="2:20" ht="23.1" customHeight="1" x14ac:dyDescent="0.25">
      <c r="B52" s="24" t="s">
        <v>79</v>
      </c>
      <c r="C52" s="50">
        <v>295</v>
      </c>
      <c r="D52" s="50">
        <v>122</v>
      </c>
      <c r="E52" s="50">
        <v>75</v>
      </c>
      <c r="F52" s="50">
        <v>64</v>
      </c>
      <c r="G52" s="50">
        <v>1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49</v>
      </c>
      <c r="N52" s="50">
        <v>0</v>
      </c>
      <c r="O52" s="15">
        <f t="shared" si="0"/>
        <v>559</v>
      </c>
      <c r="P52" s="15">
        <f t="shared" si="1"/>
        <v>608</v>
      </c>
      <c r="R52" s="8"/>
      <c r="T52"/>
    </row>
    <row r="53" spans="2:20" ht="23.1" customHeight="1" x14ac:dyDescent="0.25">
      <c r="B53" s="23" t="s">
        <v>80</v>
      </c>
      <c r="C53" s="50">
        <v>151</v>
      </c>
      <c r="D53" s="50">
        <v>78</v>
      </c>
      <c r="E53" s="50">
        <v>40</v>
      </c>
      <c r="F53" s="50">
        <v>48</v>
      </c>
      <c r="G53" s="50">
        <v>0</v>
      </c>
      <c r="H53" s="50">
        <v>0</v>
      </c>
      <c r="I53" s="50">
        <v>0</v>
      </c>
      <c r="J53" s="50">
        <v>2</v>
      </c>
      <c r="K53" s="50">
        <v>1</v>
      </c>
      <c r="L53" s="50">
        <v>0</v>
      </c>
      <c r="M53" s="50">
        <v>91</v>
      </c>
      <c r="N53" s="50">
        <v>0</v>
      </c>
      <c r="O53" s="15">
        <f t="shared" si="0"/>
        <v>320</v>
      </c>
      <c r="P53" s="15">
        <f t="shared" si="1"/>
        <v>411</v>
      </c>
      <c r="R53" s="8"/>
      <c r="T53"/>
    </row>
    <row r="54" spans="2:20" ht="23.1" customHeight="1" x14ac:dyDescent="0.25">
      <c r="B54" s="23" t="s">
        <v>81</v>
      </c>
      <c r="C54" s="50">
        <v>313</v>
      </c>
      <c r="D54" s="50">
        <v>63</v>
      </c>
      <c r="E54" s="50">
        <v>42</v>
      </c>
      <c r="F54" s="50">
        <v>51</v>
      </c>
      <c r="G54" s="50">
        <v>0</v>
      </c>
      <c r="H54" s="50">
        <v>0</v>
      </c>
      <c r="I54" s="50">
        <v>6</v>
      </c>
      <c r="J54" s="50">
        <v>1</v>
      </c>
      <c r="K54" s="50">
        <v>0</v>
      </c>
      <c r="L54" s="50">
        <v>0</v>
      </c>
      <c r="M54" s="50">
        <v>63</v>
      </c>
      <c r="N54" s="50">
        <v>0</v>
      </c>
      <c r="O54" s="15">
        <f t="shared" si="0"/>
        <v>476</v>
      </c>
      <c r="P54" s="15">
        <f t="shared" si="1"/>
        <v>539</v>
      </c>
      <c r="R54" s="8"/>
      <c r="T54"/>
    </row>
    <row r="55" spans="2:20" ht="23.1" customHeight="1" x14ac:dyDescent="0.25">
      <c r="B55" s="23" t="s">
        <v>82</v>
      </c>
      <c r="C55" s="50">
        <v>194</v>
      </c>
      <c r="D55" s="50">
        <v>94</v>
      </c>
      <c r="E55" s="50">
        <v>33</v>
      </c>
      <c r="F55" s="50">
        <v>40</v>
      </c>
      <c r="G55" s="50">
        <v>0</v>
      </c>
      <c r="H55" s="50">
        <v>0</v>
      </c>
      <c r="I55" s="50">
        <v>3</v>
      </c>
      <c r="J55" s="50">
        <v>2</v>
      </c>
      <c r="K55" s="50">
        <v>0</v>
      </c>
      <c r="L55" s="50">
        <v>0</v>
      </c>
      <c r="M55" s="50">
        <v>60</v>
      </c>
      <c r="N55" s="50">
        <v>0</v>
      </c>
      <c r="O55" s="15">
        <f t="shared" si="0"/>
        <v>366</v>
      </c>
      <c r="P55" s="15">
        <f t="shared" si="1"/>
        <v>426</v>
      </c>
      <c r="R55" s="8"/>
      <c r="T55"/>
    </row>
    <row r="56" spans="2:20" ht="23.1" customHeight="1" x14ac:dyDescent="0.25">
      <c r="B56" s="23" t="s">
        <v>83</v>
      </c>
      <c r="C56" s="50">
        <v>127</v>
      </c>
      <c r="D56" s="50">
        <v>64</v>
      </c>
      <c r="E56" s="50">
        <v>37</v>
      </c>
      <c r="F56" s="50">
        <v>33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73</v>
      </c>
      <c r="N56" s="50">
        <v>0</v>
      </c>
      <c r="O56" s="15">
        <f t="shared" si="0"/>
        <v>262</v>
      </c>
      <c r="P56" s="15">
        <f t="shared" si="1"/>
        <v>335</v>
      </c>
      <c r="R56" s="8"/>
      <c r="T56"/>
    </row>
    <row r="57" spans="2:20" ht="23.1" customHeight="1" x14ac:dyDescent="0.25">
      <c r="B57" s="23" t="s">
        <v>84</v>
      </c>
      <c r="C57" s="50">
        <v>123</v>
      </c>
      <c r="D57" s="50">
        <v>39</v>
      </c>
      <c r="E57" s="50">
        <v>44</v>
      </c>
      <c r="F57" s="50">
        <v>53</v>
      </c>
      <c r="G57" s="50">
        <v>0</v>
      </c>
      <c r="H57" s="50">
        <v>0</v>
      </c>
      <c r="I57" s="50">
        <v>4</v>
      </c>
      <c r="J57" s="50">
        <v>1</v>
      </c>
      <c r="K57" s="50">
        <v>0</v>
      </c>
      <c r="L57" s="50">
        <v>1</v>
      </c>
      <c r="M57" s="50">
        <v>60</v>
      </c>
      <c r="N57" s="50">
        <v>0</v>
      </c>
      <c r="O57" s="15">
        <f t="shared" si="0"/>
        <v>265</v>
      </c>
      <c r="P57" s="15">
        <f t="shared" si="1"/>
        <v>325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5030</v>
      </c>
      <c r="D58" s="16">
        <f t="shared" si="21"/>
        <v>1981</v>
      </c>
      <c r="E58" s="16">
        <f t="shared" si="21"/>
        <v>1301</v>
      </c>
      <c r="F58" s="16">
        <f t="shared" si="21"/>
        <v>1558</v>
      </c>
      <c r="G58" s="16">
        <f t="shared" si="21"/>
        <v>20</v>
      </c>
      <c r="H58" s="16">
        <f t="shared" si="21"/>
        <v>6</v>
      </c>
      <c r="I58" s="16">
        <f t="shared" si="21"/>
        <v>135</v>
      </c>
      <c r="J58" s="16">
        <f t="shared" si="21"/>
        <v>102</v>
      </c>
      <c r="K58" s="16">
        <f t="shared" si="21"/>
        <v>8</v>
      </c>
      <c r="L58" s="16">
        <f t="shared" si="21"/>
        <v>7</v>
      </c>
      <c r="M58" s="16">
        <f t="shared" si="21"/>
        <v>2534</v>
      </c>
      <c r="N58" s="16">
        <f t="shared" si="21"/>
        <v>0</v>
      </c>
      <c r="O58" s="16">
        <f t="shared" si="21"/>
        <v>10148</v>
      </c>
      <c r="P58" s="16">
        <f t="shared" si="21"/>
        <v>12682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0.39662513799085319</v>
      </c>
      <c r="D59" s="43">
        <f t="shared" si="22"/>
        <v>0.15620564579719287</v>
      </c>
      <c r="E59" s="43">
        <f t="shared" si="22"/>
        <v>0.10258634284813122</v>
      </c>
      <c r="F59" s="43">
        <f t="shared" si="22"/>
        <v>0.12285128528623246</v>
      </c>
      <c r="G59" s="43">
        <f t="shared" si="22"/>
        <v>1.5770383220312253E-3</v>
      </c>
      <c r="H59" s="43">
        <f t="shared" si="22"/>
        <v>4.7311149660936763E-4</v>
      </c>
      <c r="I59" s="43">
        <f t="shared" si="22"/>
        <v>1.064500867371077E-2</v>
      </c>
      <c r="J59" s="43">
        <f t="shared" si="22"/>
        <v>8.0428954423592495E-3</v>
      </c>
      <c r="K59" s="43">
        <f t="shared" si="22"/>
        <v>6.308153288124901E-4</v>
      </c>
      <c r="L59" s="43">
        <f t="shared" si="22"/>
        <v>5.5196341271092884E-4</v>
      </c>
      <c r="M59" s="43">
        <f t="shared" si="22"/>
        <v>0.19981075540135626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0.4956641702798581</v>
      </c>
      <c r="D60" s="44">
        <f t="shared" ref="D60:N60" si="23">D58/$O$58</f>
        <v>0.19521087899093417</v>
      </c>
      <c r="E60" s="44">
        <f t="shared" si="23"/>
        <v>0.12820260149783208</v>
      </c>
      <c r="F60" s="44">
        <f t="shared" si="23"/>
        <v>0.15352778872684272</v>
      </c>
      <c r="G60" s="44">
        <f t="shared" si="23"/>
        <v>1.970831690973591E-3</v>
      </c>
      <c r="H60" s="44">
        <f t="shared" si="23"/>
        <v>5.9124950729207723E-4</v>
      </c>
      <c r="I60" s="44">
        <f t="shared" si="23"/>
        <v>1.3303113914071739E-2</v>
      </c>
      <c r="J60" s="44">
        <f t="shared" si="23"/>
        <v>1.0051241623965314E-2</v>
      </c>
      <c r="K60" s="44">
        <f t="shared" si="23"/>
        <v>7.8833267638943631E-4</v>
      </c>
      <c r="L60" s="44">
        <f t="shared" si="23"/>
        <v>6.8979109184075682E-4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Nakawa-Bugolobi'!C3:G3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Bugolobi-Nakawa'!D5</f>
        <v>30.07.19</v>
      </c>
      <c r="E5" s="3"/>
      <c r="F5" s="41" t="s">
        <v>1</v>
      </c>
      <c r="G5" s="63" t="str">
        <f>'29.07 Bugolobi-Nakawa'!G5:H5</f>
        <v>Business Park</v>
      </c>
      <c r="H5" s="64"/>
      <c r="I5" s="14"/>
      <c r="J5" s="2" t="s">
        <v>5</v>
      </c>
      <c r="K5" s="63" t="str">
        <f>'29.07 Bugolobi-Nakawa'!K5:L5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Nakawa-Bugolobi'!D6:E6</f>
        <v>Nakawa</v>
      </c>
      <c r="E6" s="64"/>
      <c r="F6" s="2" t="s">
        <v>2</v>
      </c>
      <c r="G6" s="63" t="str">
        <f>'29.07 Nakawa-Bugolobi'!G6:H6</f>
        <v>Bugolobi</v>
      </c>
      <c r="H6" s="64"/>
      <c r="J6" s="2" t="s">
        <v>21</v>
      </c>
      <c r="K6" s="63" t="str">
        <f>'29.07 Bugolobi-Nakawa'!K6:L6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42</v>
      </c>
      <c r="D10" s="50">
        <v>11</v>
      </c>
      <c r="E10" s="50">
        <v>4</v>
      </c>
      <c r="F10" s="50">
        <v>6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53</v>
      </c>
      <c r="N10" s="50">
        <v>0</v>
      </c>
      <c r="O10" s="15">
        <f t="shared" ref="O10:O57" si="0">SUM(C10:L10,N10)</f>
        <v>66</v>
      </c>
      <c r="P10" s="15">
        <f t="shared" ref="P10:P57" si="1">SUM(C10:N10)</f>
        <v>119</v>
      </c>
      <c r="R10" s="1" t="s">
        <v>6</v>
      </c>
      <c r="S10" s="17">
        <f t="shared" ref="S10:AF10" si="2">SUM(C10:C13)</f>
        <v>213</v>
      </c>
      <c r="T10" s="17">
        <f t="shared" si="2"/>
        <v>45</v>
      </c>
      <c r="U10" s="17">
        <f t="shared" si="2"/>
        <v>21</v>
      </c>
      <c r="V10" s="17">
        <f t="shared" si="2"/>
        <v>44</v>
      </c>
      <c r="W10" s="17">
        <f t="shared" si="2"/>
        <v>4</v>
      </c>
      <c r="X10" s="17">
        <f t="shared" si="2"/>
        <v>1</v>
      </c>
      <c r="Y10" s="17">
        <f t="shared" si="2"/>
        <v>5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328</v>
      </c>
      <c r="AD10" s="17">
        <f t="shared" si="2"/>
        <v>0</v>
      </c>
      <c r="AE10" s="31">
        <f t="shared" si="2"/>
        <v>336</v>
      </c>
      <c r="AF10" s="31">
        <f t="shared" si="2"/>
        <v>664</v>
      </c>
    </row>
    <row r="11" spans="2:32" s="6" customFormat="1" ht="23.1" customHeight="1" x14ac:dyDescent="0.25">
      <c r="B11" s="23" t="s">
        <v>38</v>
      </c>
      <c r="C11" s="50">
        <v>54</v>
      </c>
      <c r="D11" s="50">
        <v>14</v>
      </c>
      <c r="E11" s="50">
        <v>2</v>
      </c>
      <c r="F11" s="50">
        <v>8</v>
      </c>
      <c r="G11" s="50">
        <v>0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75</v>
      </c>
      <c r="N11" s="50">
        <v>0</v>
      </c>
      <c r="O11" s="15">
        <f t="shared" si="0"/>
        <v>79</v>
      </c>
      <c r="P11" s="15">
        <f t="shared" si="1"/>
        <v>154</v>
      </c>
      <c r="R11" s="1" t="s">
        <v>7</v>
      </c>
      <c r="S11" s="17">
        <f t="shared" ref="S11:AF11" si="3">SUM(C14:C17)</f>
        <v>316</v>
      </c>
      <c r="T11" s="17">
        <f t="shared" si="3"/>
        <v>59</v>
      </c>
      <c r="U11" s="17">
        <f t="shared" si="3"/>
        <v>39</v>
      </c>
      <c r="V11" s="17">
        <f t="shared" si="3"/>
        <v>75</v>
      </c>
      <c r="W11" s="17">
        <f t="shared" si="3"/>
        <v>5</v>
      </c>
      <c r="X11" s="17">
        <f t="shared" si="3"/>
        <v>0</v>
      </c>
      <c r="Y11" s="17">
        <f t="shared" si="3"/>
        <v>13</v>
      </c>
      <c r="Z11" s="17">
        <f t="shared" si="3"/>
        <v>3</v>
      </c>
      <c r="AA11" s="17">
        <f t="shared" si="3"/>
        <v>0</v>
      </c>
      <c r="AB11" s="17">
        <f t="shared" si="3"/>
        <v>1</v>
      </c>
      <c r="AC11" s="17">
        <f t="shared" si="3"/>
        <v>595</v>
      </c>
      <c r="AD11" s="17">
        <f t="shared" si="3"/>
        <v>0</v>
      </c>
      <c r="AE11" s="31">
        <f t="shared" si="3"/>
        <v>511</v>
      </c>
      <c r="AF11" s="31">
        <f t="shared" si="3"/>
        <v>1106</v>
      </c>
    </row>
    <row r="12" spans="2:32" ht="23.1" customHeight="1" x14ac:dyDescent="0.25">
      <c r="B12" s="23" t="s">
        <v>39</v>
      </c>
      <c r="C12" s="50">
        <v>57</v>
      </c>
      <c r="D12" s="50">
        <v>9</v>
      </c>
      <c r="E12" s="50">
        <v>6</v>
      </c>
      <c r="F12" s="50">
        <v>8</v>
      </c>
      <c r="G12" s="50">
        <v>2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93</v>
      </c>
      <c r="N12" s="50">
        <v>0</v>
      </c>
      <c r="O12" s="15">
        <f t="shared" si="0"/>
        <v>85</v>
      </c>
      <c r="P12" s="15">
        <f t="shared" si="1"/>
        <v>178</v>
      </c>
      <c r="R12" s="1" t="s">
        <v>8</v>
      </c>
      <c r="S12" s="17">
        <f t="shared" ref="S12:AF12" si="4">SUM(C18:C21)</f>
        <v>267</v>
      </c>
      <c r="T12" s="17">
        <f t="shared" si="4"/>
        <v>73</v>
      </c>
      <c r="U12" s="17">
        <f t="shared" si="4"/>
        <v>39</v>
      </c>
      <c r="V12" s="17">
        <f t="shared" si="4"/>
        <v>82</v>
      </c>
      <c r="W12" s="17">
        <f t="shared" si="4"/>
        <v>2</v>
      </c>
      <c r="X12" s="17">
        <f t="shared" si="4"/>
        <v>0</v>
      </c>
      <c r="Y12" s="17">
        <f t="shared" si="4"/>
        <v>15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619</v>
      </c>
      <c r="AD12" s="17">
        <f t="shared" si="4"/>
        <v>0</v>
      </c>
      <c r="AE12" s="31">
        <f t="shared" si="4"/>
        <v>483</v>
      </c>
      <c r="AF12" s="31">
        <f t="shared" si="4"/>
        <v>1102</v>
      </c>
    </row>
    <row r="13" spans="2:32" ht="23.1" customHeight="1" x14ac:dyDescent="0.25">
      <c r="B13" s="23" t="s">
        <v>40</v>
      </c>
      <c r="C13" s="50">
        <v>60</v>
      </c>
      <c r="D13" s="50">
        <v>11</v>
      </c>
      <c r="E13" s="50">
        <v>9</v>
      </c>
      <c r="F13" s="50">
        <v>22</v>
      </c>
      <c r="G13" s="50">
        <v>1</v>
      </c>
      <c r="H13" s="50">
        <v>0</v>
      </c>
      <c r="I13" s="50">
        <v>0</v>
      </c>
      <c r="J13" s="50">
        <v>1</v>
      </c>
      <c r="K13" s="50">
        <v>0</v>
      </c>
      <c r="L13" s="50">
        <v>2</v>
      </c>
      <c r="M13" s="50">
        <v>107</v>
      </c>
      <c r="N13" s="50">
        <v>0</v>
      </c>
      <c r="O13" s="15">
        <f t="shared" si="0"/>
        <v>106</v>
      </c>
      <c r="P13" s="15">
        <f t="shared" si="1"/>
        <v>213</v>
      </c>
      <c r="R13" s="1" t="s">
        <v>9</v>
      </c>
      <c r="S13" s="17">
        <f t="shared" ref="S13:AF13" si="5">SUM(C22:C25)</f>
        <v>282</v>
      </c>
      <c r="T13" s="17">
        <f t="shared" si="5"/>
        <v>49</v>
      </c>
      <c r="U13" s="17">
        <f t="shared" si="5"/>
        <v>41</v>
      </c>
      <c r="V13" s="17">
        <f t="shared" si="5"/>
        <v>78</v>
      </c>
      <c r="W13" s="17">
        <f t="shared" si="5"/>
        <v>1</v>
      </c>
      <c r="X13" s="17">
        <f t="shared" si="5"/>
        <v>0</v>
      </c>
      <c r="Y13" s="17">
        <f t="shared" si="5"/>
        <v>13</v>
      </c>
      <c r="Z13" s="17">
        <f t="shared" si="5"/>
        <v>6</v>
      </c>
      <c r="AA13" s="17">
        <f t="shared" si="5"/>
        <v>2</v>
      </c>
      <c r="AB13" s="17">
        <f t="shared" si="5"/>
        <v>1</v>
      </c>
      <c r="AC13" s="17">
        <f t="shared" si="5"/>
        <v>433</v>
      </c>
      <c r="AD13" s="17">
        <f t="shared" si="5"/>
        <v>0</v>
      </c>
      <c r="AE13" s="31">
        <f t="shared" si="5"/>
        <v>473</v>
      </c>
      <c r="AF13" s="31">
        <f t="shared" si="5"/>
        <v>906</v>
      </c>
    </row>
    <row r="14" spans="2:32" ht="23.1" customHeight="1" x14ac:dyDescent="0.25">
      <c r="B14" s="23" t="s">
        <v>41</v>
      </c>
      <c r="C14" s="50">
        <v>69</v>
      </c>
      <c r="D14" s="50">
        <v>14</v>
      </c>
      <c r="E14" s="50">
        <v>11</v>
      </c>
      <c r="F14" s="50">
        <v>17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130</v>
      </c>
      <c r="N14" s="50">
        <v>0</v>
      </c>
      <c r="O14" s="15">
        <f t="shared" si="0"/>
        <v>114</v>
      </c>
      <c r="P14" s="15">
        <f t="shared" si="1"/>
        <v>244</v>
      </c>
      <c r="R14" s="1" t="s">
        <v>10</v>
      </c>
      <c r="S14" s="17">
        <f t="shared" ref="S14:AF14" si="6">SUM(C26:C29)</f>
        <v>265</v>
      </c>
      <c r="T14" s="17">
        <f t="shared" si="6"/>
        <v>70</v>
      </c>
      <c r="U14" s="17">
        <f t="shared" si="6"/>
        <v>55</v>
      </c>
      <c r="V14" s="17">
        <f t="shared" si="6"/>
        <v>79</v>
      </c>
      <c r="W14" s="17">
        <f t="shared" si="6"/>
        <v>1</v>
      </c>
      <c r="X14" s="17">
        <f t="shared" si="6"/>
        <v>0</v>
      </c>
      <c r="Y14" s="17">
        <f t="shared" si="6"/>
        <v>19</v>
      </c>
      <c r="Z14" s="17">
        <f t="shared" si="6"/>
        <v>5</v>
      </c>
      <c r="AA14" s="17">
        <f t="shared" si="6"/>
        <v>1</v>
      </c>
      <c r="AB14" s="17">
        <f t="shared" si="6"/>
        <v>1</v>
      </c>
      <c r="AC14" s="17">
        <f t="shared" si="6"/>
        <v>595</v>
      </c>
      <c r="AD14" s="17">
        <f t="shared" si="6"/>
        <v>0</v>
      </c>
      <c r="AE14" s="31">
        <f t="shared" si="6"/>
        <v>496</v>
      </c>
      <c r="AF14" s="31">
        <f t="shared" si="6"/>
        <v>1091</v>
      </c>
    </row>
    <row r="15" spans="2:32" ht="23.1" customHeight="1" x14ac:dyDescent="0.25">
      <c r="B15" s="23" t="s">
        <v>42</v>
      </c>
      <c r="C15" s="50">
        <v>77</v>
      </c>
      <c r="D15" s="50">
        <v>11</v>
      </c>
      <c r="E15" s="50">
        <v>5</v>
      </c>
      <c r="F15" s="50">
        <v>15</v>
      </c>
      <c r="G15" s="50">
        <v>2</v>
      </c>
      <c r="H15" s="50">
        <v>0</v>
      </c>
      <c r="I15" s="50">
        <v>2</v>
      </c>
      <c r="J15" s="50">
        <v>1</v>
      </c>
      <c r="K15" s="50">
        <v>0</v>
      </c>
      <c r="L15" s="50">
        <v>1</v>
      </c>
      <c r="M15" s="50">
        <v>187</v>
      </c>
      <c r="N15" s="50">
        <v>0</v>
      </c>
      <c r="O15" s="15">
        <f t="shared" si="0"/>
        <v>114</v>
      </c>
      <c r="P15" s="15">
        <f t="shared" si="1"/>
        <v>301</v>
      </c>
      <c r="R15" s="1" t="s">
        <v>11</v>
      </c>
      <c r="S15" s="17">
        <f t="shared" ref="S15:AF15" si="7">SUM(C30:C33)</f>
        <v>323</v>
      </c>
      <c r="T15" s="17">
        <f t="shared" si="7"/>
        <v>90</v>
      </c>
      <c r="U15" s="17">
        <f t="shared" si="7"/>
        <v>67</v>
      </c>
      <c r="V15" s="17">
        <f t="shared" si="7"/>
        <v>92</v>
      </c>
      <c r="W15" s="17">
        <f t="shared" si="7"/>
        <v>3</v>
      </c>
      <c r="X15" s="17">
        <f t="shared" si="7"/>
        <v>0</v>
      </c>
      <c r="Y15" s="17">
        <f t="shared" si="7"/>
        <v>13</v>
      </c>
      <c r="Z15" s="17">
        <f t="shared" si="7"/>
        <v>9</v>
      </c>
      <c r="AA15" s="17">
        <f t="shared" si="7"/>
        <v>1</v>
      </c>
      <c r="AB15" s="17">
        <f t="shared" si="7"/>
        <v>0</v>
      </c>
      <c r="AC15" s="17">
        <f t="shared" si="7"/>
        <v>526</v>
      </c>
      <c r="AD15" s="17">
        <f t="shared" si="7"/>
        <v>0</v>
      </c>
      <c r="AE15" s="31">
        <f t="shared" si="7"/>
        <v>598</v>
      </c>
      <c r="AF15" s="31">
        <f t="shared" si="7"/>
        <v>1124</v>
      </c>
    </row>
    <row r="16" spans="2:32" ht="23.1" customHeight="1" x14ac:dyDescent="0.25">
      <c r="B16" s="23" t="s">
        <v>43</v>
      </c>
      <c r="C16" s="50">
        <v>94</v>
      </c>
      <c r="D16" s="50">
        <v>15</v>
      </c>
      <c r="E16" s="50">
        <v>9</v>
      </c>
      <c r="F16" s="50">
        <v>20</v>
      </c>
      <c r="G16" s="50">
        <v>2</v>
      </c>
      <c r="H16" s="50">
        <v>0</v>
      </c>
      <c r="I16" s="50">
        <v>5</v>
      </c>
      <c r="J16" s="50">
        <v>1</v>
      </c>
      <c r="K16" s="50">
        <v>0</v>
      </c>
      <c r="L16" s="50">
        <v>0</v>
      </c>
      <c r="M16" s="50">
        <v>108</v>
      </c>
      <c r="N16" s="50">
        <v>0</v>
      </c>
      <c r="O16" s="15">
        <f t="shared" si="0"/>
        <v>146</v>
      </c>
      <c r="P16" s="15">
        <f t="shared" si="1"/>
        <v>254</v>
      </c>
      <c r="R16" s="1" t="s">
        <v>12</v>
      </c>
      <c r="S16" s="17">
        <f t="shared" ref="S16:AF16" si="8">SUM(C34:C37)</f>
        <v>269</v>
      </c>
      <c r="T16" s="17">
        <f t="shared" si="8"/>
        <v>67</v>
      </c>
      <c r="U16" s="17">
        <f t="shared" si="8"/>
        <v>82</v>
      </c>
      <c r="V16" s="17">
        <f t="shared" si="8"/>
        <v>59</v>
      </c>
      <c r="W16" s="17">
        <f t="shared" si="8"/>
        <v>0</v>
      </c>
      <c r="X16" s="17">
        <f t="shared" si="8"/>
        <v>0</v>
      </c>
      <c r="Y16" s="17">
        <f t="shared" si="8"/>
        <v>20</v>
      </c>
      <c r="Z16" s="17">
        <f t="shared" si="8"/>
        <v>5</v>
      </c>
      <c r="AA16" s="17">
        <f t="shared" si="8"/>
        <v>0</v>
      </c>
      <c r="AB16" s="17">
        <f t="shared" si="8"/>
        <v>1</v>
      </c>
      <c r="AC16" s="17">
        <f t="shared" si="8"/>
        <v>396</v>
      </c>
      <c r="AD16" s="17">
        <f t="shared" si="8"/>
        <v>0</v>
      </c>
      <c r="AE16" s="31">
        <f t="shared" si="8"/>
        <v>503</v>
      </c>
      <c r="AF16" s="31">
        <f t="shared" si="8"/>
        <v>899</v>
      </c>
    </row>
    <row r="17" spans="2:32" ht="23.1" customHeight="1" x14ac:dyDescent="0.25">
      <c r="B17" s="23" t="s">
        <v>44</v>
      </c>
      <c r="C17" s="50">
        <v>76</v>
      </c>
      <c r="D17" s="50">
        <v>19</v>
      </c>
      <c r="E17" s="50">
        <v>14</v>
      </c>
      <c r="F17" s="50">
        <v>23</v>
      </c>
      <c r="G17" s="50">
        <v>1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170</v>
      </c>
      <c r="N17" s="50">
        <v>0</v>
      </c>
      <c r="O17" s="15">
        <f t="shared" si="0"/>
        <v>137</v>
      </c>
      <c r="P17" s="15">
        <f t="shared" si="1"/>
        <v>307</v>
      </c>
      <c r="R17" s="1" t="s">
        <v>13</v>
      </c>
      <c r="S17" s="17">
        <f t="shared" ref="S17:AF17" si="9">SUM(C38:C41)</f>
        <v>205</v>
      </c>
      <c r="T17" s="17">
        <f t="shared" si="9"/>
        <v>57</v>
      </c>
      <c r="U17" s="17">
        <f t="shared" si="9"/>
        <v>70</v>
      </c>
      <c r="V17" s="17">
        <f t="shared" si="9"/>
        <v>85</v>
      </c>
      <c r="W17" s="17">
        <f t="shared" si="9"/>
        <v>2</v>
      </c>
      <c r="X17" s="17">
        <f t="shared" si="9"/>
        <v>0</v>
      </c>
      <c r="Y17" s="17">
        <f t="shared" si="9"/>
        <v>12</v>
      </c>
      <c r="Z17" s="17">
        <f t="shared" si="9"/>
        <v>5</v>
      </c>
      <c r="AA17" s="17">
        <f t="shared" si="9"/>
        <v>2</v>
      </c>
      <c r="AB17" s="17">
        <f t="shared" si="9"/>
        <v>1</v>
      </c>
      <c r="AC17" s="17">
        <f t="shared" si="9"/>
        <v>426</v>
      </c>
      <c r="AD17" s="17">
        <f t="shared" si="9"/>
        <v>0</v>
      </c>
      <c r="AE17" s="31">
        <f t="shared" si="9"/>
        <v>439</v>
      </c>
      <c r="AF17" s="31">
        <f t="shared" si="9"/>
        <v>865</v>
      </c>
    </row>
    <row r="18" spans="2:32" ht="23.1" customHeight="1" x14ac:dyDescent="0.25">
      <c r="B18" s="23" t="s">
        <v>45</v>
      </c>
      <c r="C18" s="50">
        <v>73</v>
      </c>
      <c r="D18" s="50">
        <v>17</v>
      </c>
      <c r="E18" s="50">
        <v>11</v>
      </c>
      <c r="F18" s="50">
        <v>31</v>
      </c>
      <c r="G18" s="50">
        <v>0</v>
      </c>
      <c r="H18" s="50">
        <v>0</v>
      </c>
      <c r="I18" s="50">
        <v>6</v>
      </c>
      <c r="J18" s="50">
        <v>3</v>
      </c>
      <c r="K18" s="50">
        <v>0</v>
      </c>
      <c r="L18" s="50">
        <v>0</v>
      </c>
      <c r="M18" s="50">
        <v>198</v>
      </c>
      <c r="N18" s="50">
        <v>0</v>
      </c>
      <c r="O18" s="15">
        <f t="shared" si="0"/>
        <v>141</v>
      </c>
      <c r="P18" s="15">
        <f t="shared" si="1"/>
        <v>339</v>
      </c>
      <c r="R18" s="1" t="s">
        <v>14</v>
      </c>
      <c r="S18" s="17">
        <f t="shared" ref="S18:AF18" si="10">SUM(C42:C45)</f>
        <v>243</v>
      </c>
      <c r="T18" s="17">
        <f t="shared" si="10"/>
        <v>56</v>
      </c>
      <c r="U18" s="17">
        <f t="shared" si="10"/>
        <v>50</v>
      </c>
      <c r="V18" s="17">
        <f t="shared" si="10"/>
        <v>49</v>
      </c>
      <c r="W18" s="17">
        <f t="shared" si="10"/>
        <v>1</v>
      </c>
      <c r="X18" s="17">
        <f t="shared" si="10"/>
        <v>1</v>
      </c>
      <c r="Y18" s="17">
        <f t="shared" si="10"/>
        <v>13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369</v>
      </c>
      <c r="AD18" s="17">
        <f t="shared" si="10"/>
        <v>0</v>
      </c>
      <c r="AE18" s="31">
        <f t="shared" si="10"/>
        <v>416</v>
      </c>
      <c r="AF18" s="31">
        <f t="shared" si="10"/>
        <v>785</v>
      </c>
    </row>
    <row r="19" spans="2:32" ht="23.1" customHeight="1" x14ac:dyDescent="0.25">
      <c r="B19" s="23" t="s">
        <v>46</v>
      </c>
      <c r="C19" s="50">
        <v>76</v>
      </c>
      <c r="D19" s="50">
        <v>20</v>
      </c>
      <c r="E19" s="50">
        <v>14</v>
      </c>
      <c r="F19" s="50">
        <v>18</v>
      </c>
      <c r="G19" s="50">
        <v>0</v>
      </c>
      <c r="H19" s="50">
        <v>0</v>
      </c>
      <c r="I19" s="50">
        <v>5</v>
      </c>
      <c r="J19" s="50">
        <v>0</v>
      </c>
      <c r="K19" s="50">
        <v>0</v>
      </c>
      <c r="L19" s="50">
        <v>0</v>
      </c>
      <c r="M19" s="50">
        <v>154</v>
      </c>
      <c r="N19" s="50">
        <v>0</v>
      </c>
      <c r="O19" s="15">
        <f t="shared" si="0"/>
        <v>133</v>
      </c>
      <c r="P19" s="15">
        <f t="shared" si="1"/>
        <v>287</v>
      </c>
      <c r="R19" s="1" t="s">
        <v>15</v>
      </c>
      <c r="S19" s="17">
        <f t="shared" ref="S19:AF19" si="11">SUM(C46:C49)</f>
        <v>335</v>
      </c>
      <c r="T19" s="17">
        <f t="shared" si="11"/>
        <v>95</v>
      </c>
      <c r="U19" s="17">
        <f t="shared" si="11"/>
        <v>63</v>
      </c>
      <c r="V19" s="17">
        <f t="shared" si="11"/>
        <v>61</v>
      </c>
      <c r="W19" s="17">
        <f t="shared" si="11"/>
        <v>5</v>
      </c>
      <c r="X19" s="17">
        <f t="shared" si="11"/>
        <v>0</v>
      </c>
      <c r="Y19" s="17">
        <f t="shared" si="11"/>
        <v>12</v>
      </c>
      <c r="Z19" s="17">
        <f t="shared" si="11"/>
        <v>10</v>
      </c>
      <c r="AA19" s="17">
        <f t="shared" si="11"/>
        <v>0</v>
      </c>
      <c r="AB19" s="17">
        <f t="shared" si="11"/>
        <v>0</v>
      </c>
      <c r="AC19" s="17">
        <f t="shared" si="11"/>
        <v>421</v>
      </c>
      <c r="AD19" s="17">
        <f t="shared" si="11"/>
        <v>0</v>
      </c>
      <c r="AE19" s="31">
        <f t="shared" si="11"/>
        <v>581</v>
      </c>
      <c r="AF19" s="31">
        <f t="shared" si="11"/>
        <v>1002</v>
      </c>
    </row>
    <row r="20" spans="2:32" ht="23.1" customHeight="1" x14ac:dyDescent="0.25">
      <c r="B20" s="23" t="s">
        <v>47</v>
      </c>
      <c r="C20" s="50">
        <v>60</v>
      </c>
      <c r="D20" s="50">
        <v>19</v>
      </c>
      <c r="E20" s="50">
        <v>6</v>
      </c>
      <c r="F20" s="50">
        <v>20</v>
      </c>
      <c r="G20" s="50">
        <v>1</v>
      </c>
      <c r="H20" s="50">
        <v>0</v>
      </c>
      <c r="I20" s="50">
        <v>3</v>
      </c>
      <c r="J20" s="50">
        <v>1</v>
      </c>
      <c r="K20" s="50">
        <v>0</v>
      </c>
      <c r="L20" s="50">
        <v>0</v>
      </c>
      <c r="M20" s="50">
        <v>175</v>
      </c>
      <c r="N20" s="50">
        <v>0</v>
      </c>
      <c r="O20" s="15">
        <f t="shared" si="0"/>
        <v>110</v>
      </c>
      <c r="P20" s="15">
        <f t="shared" si="1"/>
        <v>285</v>
      </c>
      <c r="R20" s="1" t="s">
        <v>16</v>
      </c>
      <c r="S20" s="17">
        <f t="shared" ref="S20:AF20" si="12">SUM(C50:C53)</f>
        <v>426</v>
      </c>
      <c r="T20" s="17">
        <f t="shared" si="12"/>
        <v>59</v>
      </c>
      <c r="U20" s="17">
        <f t="shared" si="12"/>
        <v>51</v>
      </c>
      <c r="V20" s="17">
        <f t="shared" si="12"/>
        <v>46</v>
      </c>
      <c r="W20" s="17">
        <f t="shared" si="12"/>
        <v>2</v>
      </c>
      <c r="X20" s="17">
        <f t="shared" si="12"/>
        <v>0</v>
      </c>
      <c r="Y20" s="17">
        <f t="shared" si="12"/>
        <v>12</v>
      </c>
      <c r="Z20" s="17">
        <f t="shared" si="12"/>
        <v>3</v>
      </c>
      <c r="AA20" s="17">
        <f t="shared" si="12"/>
        <v>0</v>
      </c>
      <c r="AB20" s="17">
        <f t="shared" si="12"/>
        <v>1</v>
      </c>
      <c r="AC20" s="17">
        <f t="shared" si="12"/>
        <v>665</v>
      </c>
      <c r="AD20" s="17">
        <f t="shared" si="12"/>
        <v>0</v>
      </c>
      <c r="AE20" s="31">
        <f t="shared" si="12"/>
        <v>600</v>
      </c>
      <c r="AF20" s="31">
        <f t="shared" si="12"/>
        <v>1265</v>
      </c>
    </row>
    <row r="21" spans="2:32" ht="23.1" customHeight="1" x14ac:dyDescent="0.25">
      <c r="B21" s="23" t="s">
        <v>48</v>
      </c>
      <c r="C21" s="50">
        <v>58</v>
      </c>
      <c r="D21" s="50">
        <v>17</v>
      </c>
      <c r="E21" s="50">
        <v>8</v>
      </c>
      <c r="F21" s="50">
        <v>13</v>
      </c>
      <c r="G21" s="50">
        <v>1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92</v>
      </c>
      <c r="N21" s="50">
        <v>0</v>
      </c>
      <c r="O21" s="15">
        <f t="shared" si="0"/>
        <v>99</v>
      </c>
      <c r="P21" s="15">
        <f t="shared" si="1"/>
        <v>191</v>
      </c>
      <c r="R21" s="36" t="s">
        <v>20</v>
      </c>
      <c r="S21" s="34">
        <f t="shared" ref="S21:AF21" si="13">SUM(C54:C57)</f>
        <v>336</v>
      </c>
      <c r="T21" s="17">
        <f t="shared" si="13"/>
        <v>80</v>
      </c>
      <c r="U21" s="17">
        <f t="shared" si="13"/>
        <v>63</v>
      </c>
      <c r="V21" s="17">
        <f t="shared" si="13"/>
        <v>97</v>
      </c>
      <c r="W21" s="17">
        <f t="shared" si="13"/>
        <v>2</v>
      </c>
      <c r="X21" s="17">
        <f t="shared" si="13"/>
        <v>0</v>
      </c>
      <c r="Y21" s="17">
        <f t="shared" si="13"/>
        <v>9</v>
      </c>
      <c r="Z21" s="17">
        <f t="shared" si="13"/>
        <v>7</v>
      </c>
      <c r="AA21" s="17">
        <f t="shared" si="13"/>
        <v>0</v>
      </c>
      <c r="AB21" s="17">
        <f t="shared" si="13"/>
        <v>1</v>
      </c>
      <c r="AC21" s="17">
        <f t="shared" si="13"/>
        <v>519</v>
      </c>
      <c r="AD21" s="17">
        <f t="shared" si="13"/>
        <v>0</v>
      </c>
      <c r="AE21" s="31">
        <f t="shared" si="13"/>
        <v>595</v>
      </c>
      <c r="AF21" s="31">
        <f t="shared" si="13"/>
        <v>1114</v>
      </c>
    </row>
    <row r="22" spans="2:32" ht="23.1" customHeight="1" x14ac:dyDescent="0.25">
      <c r="B22" s="23" t="s">
        <v>49</v>
      </c>
      <c r="C22" s="50">
        <v>84</v>
      </c>
      <c r="D22" s="50">
        <v>18</v>
      </c>
      <c r="E22" s="50">
        <v>7</v>
      </c>
      <c r="F22" s="50">
        <v>22</v>
      </c>
      <c r="G22" s="50">
        <v>0</v>
      </c>
      <c r="H22" s="50">
        <v>0</v>
      </c>
      <c r="I22" s="50">
        <v>5</v>
      </c>
      <c r="J22" s="50">
        <v>2</v>
      </c>
      <c r="K22" s="50">
        <v>0</v>
      </c>
      <c r="L22" s="50">
        <v>0</v>
      </c>
      <c r="M22" s="50">
        <v>120</v>
      </c>
      <c r="N22" s="50">
        <v>0</v>
      </c>
      <c r="O22" s="15">
        <f t="shared" si="0"/>
        <v>138</v>
      </c>
      <c r="P22" s="15">
        <f t="shared" si="1"/>
        <v>258</v>
      </c>
      <c r="R22" s="38" t="s">
        <v>90</v>
      </c>
      <c r="S22" s="39">
        <f>MAX(S10:S12)</f>
        <v>316</v>
      </c>
      <c r="T22" s="39">
        <f t="shared" ref="T22:AF22" si="14">MAX(T10:T12)</f>
        <v>73</v>
      </c>
      <c r="U22" s="39">
        <f t="shared" si="14"/>
        <v>39</v>
      </c>
      <c r="V22" s="39">
        <f t="shared" si="14"/>
        <v>82</v>
      </c>
      <c r="W22" s="39">
        <f t="shared" si="14"/>
        <v>5</v>
      </c>
      <c r="X22" s="39">
        <f t="shared" si="14"/>
        <v>1</v>
      </c>
      <c r="Y22" s="39">
        <f t="shared" si="14"/>
        <v>15</v>
      </c>
      <c r="Z22" s="39">
        <f t="shared" si="14"/>
        <v>5</v>
      </c>
      <c r="AA22" s="39">
        <f t="shared" si="14"/>
        <v>0</v>
      </c>
      <c r="AB22" s="39">
        <f t="shared" si="14"/>
        <v>2</v>
      </c>
      <c r="AC22" s="39">
        <f t="shared" si="14"/>
        <v>619</v>
      </c>
      <c r="AD22" s="39">
        <f t="shared" si="14"/>
        <v>0</v>
      </c>
      <c r="AE22" s="40">
        <f t="shared" si="14"/>
        <v>511</v>
      </c>
      <c r="AF22" s="40">
        <f t="shared" si="14"/>
        <v>1106</v>
      </c>
    </row>
    <row r="23" spans="2:32" ht="23.1" customHeight="1" x14ac:dyDescent="0.25">
      <c r="B23" s="23" t="s">
        <v>50</v>
      </c>
      <c r="C23" s="50">
        <v>52</v>
      </c>
      <c r="D23" s="50">
        <v>8</v>
      </c>
      <c r="E23" s="50">
        <v>3</v>
      </c>
      <c r="F23" s="50">
        <v>17</v>
      </c>
      <c r="G23" s="50">
        <v>0</v>
      </c>
      <c r="H23" s="50">
        <v>0</v>
      </c>
      <c r="I23" s="50">
        <v>2</v>
      </c>
      <c r="J23" s="50">
        <v>0</v>
      </c>
      <c r="K23" s="50">
        <v>2</v>
      </c>
      <c r="L23" s="50">
        <v>0</v>
      </c>
      <c r="M23" s="50">
        <v>108</v>
      </c>
      <c r="N23" s="50">
        <v>0</v>
      </c>
      <c r="O23" s="15">
        <f t="shared" si="0"/>
        <v>84</v>
      </c>
      <c r="P23" s="15">
        <f t="shared" si="1"/>
        <v>192</v>
      </c>
      <c r="R23" s="38" t="s">
        <v>91</v>
      </c>
      <c r="S23" s="39">
        <f>MAX(S13:S18)</f>
        <v>323</v>
      </c>
      <c r="T23" s="39">
        <f t="shared" ref="T23:AF23" si="15">MAX(T13:T18)</f>
        <v>90</v>
      </c>
      <c r="U23" s="39">
        <f t="shared" si="15"/>
        <v>82</v>
      </c>
      <c r="V23" s="39">
        <f t="shared" si="15"/>
        <v>92</v>
      </c>
      <c r="W23" s="39">
        <f t="shared" si="15"/>
        <v>3</v>
      </c>
      <c r="X23" s="39">
        <f t="shared" si="15"/>
        <v>1</v>
      </c>
      <c r="Y23" s="39">
        <f t="shared" si="15"/>
        <v>20</v>
      </c>
      <c r="Z23" s="39">
        <f t="shared" si="15"/>
        <v>9</v>
      </c>
      <c r="AA23" s="39">
        <f t="shared" si="15"/>
        <v>2</v>
      </c>
      <c r="AB23" s="39">
        <f t="shared" si="15"/>
        <v>1</v>
      </c>
      <c r="AC23" s="39">
        <f t="shared" si="15"/>
        <v>595</v>
      </c>
      <c r="AD23" s="39">
        <f t="shared" si="15"/>
        <v>0</v>
      </c>
      <c r="AE23" s="40">
        <f t="shared" si="15"/>
        <v>598</v>
      </c>
      <c r="AF23" s="40">
        <f t="shared" si="15"/>
        <v>1124</v>
      </c>
    </row>
    <row r="24" spans="2:32" ht="23.1" customHeight="1" x14ac:dyDescent="0.25">
      <c r="B24" s="23" t="s">
        <v>51</v>
      </c>
      <c r="C24" s="50">
        <v>65</v>
      </c>
      <c r="D24" s="50">
        <v>13</v>
      </c>
      <c r="E24" s="50">
        <v>12</v>
      </c>
      <c r="F24" s="50">
        <v>17</v>
      </c>
      <c r="G24" s="50">
        <v>1</v>
      </c>
      <c r="H24" s="50">
        <v>0</v>
      </c>
      <c r="I24" s="50">
        <v>4</v>
      </c>
      <c r="J24" s="50">
        <v>3</v>
      </c>
      <c r="K24" s="50">
        <v>0</v>
      </c>
      <c r="L24" s="50">
        <v>1</v>
      </c>
      <c r="M24" s="50">
        <v>66</v>
      </c>
      <c r="N24" s="50">
        <v>0</v>
      </c>
      <c r="O24" s="15">
        <f t="shared" si="0"/>
        <v>116</v>
      </c>
      <c r="P24" s="15">
        <f t="shared" si="1"/>
        <v>182</v>
      </c>
      <c r="R24" s="38" t="s">
        <v>92</v>
      </c>
      <c r="S24" s="39">
        <f>MAX(S19:S21)</f>
        <v>426</v>
      </c>
      <c r="T24" s="39">
        <f t="shared" ref="T24:AF24" si="16">MAX(T19:T21)</f>
        <v>95</v>
      </c>
      <c r="U24" s="39">
        <f t="shared" si="16"/>
        <v>63</v>
      </c>
      <c r="V24" s="39">
        <f t="shared" si="16"/>
        <v>97</v>
      </c>
      <c r="W24" s="39">
        <f t="shared" si="16"/>
        <v>5</v>
      </c>
      <c r="X24" s="39">
        <f t="shared" si="16"/>
        <v>0</v>
      </c>
      <c r="Y24" s="39">
        <f t="shared" si="16"/>
        <v>12</v>
      </c>
      <c r="Z24" s="39">
        <f t="shared" si="16"/>
        <v>10</v>
      </c>
      <c r="AA24" s="39">
        <f t="shared" si="16"/>
        <v>0</v>
      </c>
      <c r="AB24" s="39">
        <f t="shared" si="16"/>
        <v>1</v>
      </c>
      <c r="AC24" s="39">
        <f t="shared" si="16"/>
        <v>665</v>
      </c>
      <c r="AD24" s="39">
        <f t="shared" si="16"/>
        <v>0</v>
      </c>
      <c r="AE24" s="40">
        <f t="shared" si="16"/>
        <v>600</v>
      </c>
      <c r="AF24" s="40">
        <f t="shared" si="16"/>
        <v>1265</v>
      </c>
    </row>
    <row r="25" spans="2:32" ht="23.1" customHeight="1" x14ac:dyDescent="0.25">
      <c r="B25" s="23" t="s">
        <v>52</v>
      </c>
      <c r="C25" s="50">
        <v>81</v>
      </c>
      <c r="D25" s="50">
        <v>10</v>
      </c>
      <c r="E25" s="50">
        <v>19</v>
      </c>
      <c r="F25" s="50">
        <v>22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139</v>
      </c>
      <c r="N25" s="50">
        <v>0</v>
      </c>
      <c r="O25" s="15">
        <f t="shared" si="0"/>
        <v>135</v>
      </c>
      <c r="P25" s="15">
        <f t="shared" si="1"/>
        <v>274</v>
      </c>
      <c r="R25" s="37" t="s">
        <v>85</v>
      </c>
      <c r="S25" s="35">
        <f t="shared" ref="S25:AF25" si="17">SUM(S10:S12)</f>
        <v>796</v>
      </c>
      <c r="T25" s="16">
        <f t="shared" si="17"/>
        <v>177</v>
      </c>
      <c r="U25" s="16">
        <f t="shared" si="17"/>
        <v>99</v>
      </c>
      <c r="V25" s="16">
        <f t="shared" si="17"/>
        <v>201</v>
      </c>
      <c r="W25" s="16">
        <f t="shared" si="17"/>
        <v>11</v>
      </c>
      <c r="X25" s="16">
        <f t="shared" si="17"/>
        <v>1</v>
      </c>
      <c r="Y25" s="16">
        <f t="shared" si="17"/>
        <v>33</v>
      </c>
      <c r="Z25" s="16">
        <f t="shared" si="17"/>
        <v>9</v>
      </c>
      <c r="AA25" s="16">
        <f t="shared" si="17"/>
        <v>0</v>
      </c>
      <c r="AB25" s="16">
        <f t="shared" si="17"/>
        <v>3</v>
      </c>
      <c r="AC25" s="16">
        <f t="shared" si="17"/>
        <v>1542</v>
      </c>
      <c r="AD25" s="16">
        <f t="shared" si="17"/>
        <v>0</v>
      </c>
      <c r="AE25" s="32">
        <f t="shared" si="17"/>
        <v>1330</v>
      </c>
      <c r="AF25" s="32">
        <f t="shared" si="17"/>
        <v>2872</v>
      </c>
    </row>
    <row r="26" spans="2:32" ht="23.1" customHeight="1" x14ac:dyDescent="0.25">
      <c r="B26" s="23" t="s">
        <v>53</v>
      </c>
      <c r="C26" s="50">
        <v>78</v>
      </c>
      <c r="D26" s="50">
        <v>21</v>
      </c>
      <c r="E26" s="50">
        <v>13</v>
      </c>
      <c r="F26" s="50">
        <v>21</v>
      </c>
      <c r="G26" s="50">
        <v>0</v>
      </c>
      <c r="H26" s="50">
        <v>0</v>
      </c>
      <c r="I26" s="50">
        <v>5</v>
      </c>
      <c r="J26" s="50">
        <v>0</v>
      </c>
      <c r="K26" s="50">
        <v>0</v>
      </c>
      <c r="L26" s="50">
        <v>0</v>
      </c>
      <c r="M26" s="50">
        <v>164</v>
      </c>
      <c r="N26" s="50">
        <v>0</v>
      </c>
      <c r="O26" s="15">
        <f t="shared" si="0"/>
        <v>138</v>
      </c>
      <c r="P26" s="15">
        <f t="shared" si="1"/>
        <v>302</v>
      </c>
      <c r="R26" s="28" t="s">
        <v>86</v>
      </c>
      <c r="S26" s="16">
        <f t="shared" ref="S26:AF26" si="18">SUM(S13:S18)</f>
        <v>1587</v>
      </c>
      <c r="T26" s="16">
        <f t="shared" si="18"/>
        <v>389</v>
      </c>
      <c r="U26" s="16">
        <f t="shared" si="18"/>
        <v>365</v>
      </c>
      <c r="V26" s="16">
        <f t="shared" si="18"/>
        <v>442</v>
      </c>
      <c r="W26" s="16">
        <f t="shared" si="18"/>
        <v>8</v>
      </c>
      <c r="X26" s="16">
        <f t="shared" si="18"/>
        <v>1</v>
      </c>
      <c r="Y26" s="16">
        <f t="shared" si="18"/>
        <v>90</v>
      </c>
      <c r="Z26" s="16">
        <f t="shared" si="18"/>
        <v>33</v>
      </c>
      <c r="AA26" s="16">
        <f t="shared" si="18"/>
        <v>6</v>
      </c>
      <c r="AB26" s="16">
        <f t="shared" si="18"/>
        <v>4</v>
      </c>
      <c r="AC26" s="16">
        <f t="shared" si="18"/>
        <v>2745</v>
      </c>
      <c r="AD26" s="16">
        <f t="shared" si="18"/>
        <v>0</v>
      </c>
      <c r="AE26" s="32">
        <f t="shared" si="18"/>
        <v>2925</v>
      </c>
      <c r="AF26" s="32">
        <f t="shared" si="18"/>
        <v>5670</v>
      </c>
    </row>
    <row r="27" spans="2:32" ht="23.1" customHeight="1" x14ac:dyDescent="0.25">
      <c r="B27" s="23" t="s">
        <v>54</v>
      </c>
      <c r="C27" s="50">
        <v>65</v>
      </c>
      <c r="D27" s="50">
        <v>17</v>
      </c>
      <c r="E27" s="50">
        <v>14</v>
      </c>
      <c r="F27" s="50">
        <v>22</v>
      </c>
      <c r="G27" s="50">
        <v>1</v>
      </c>
      <c r="H27" s="50">
        <v>0</v>
      </c>
      <c r="I27" s="50">
        <v>8</v>
      </c>
      <c r="J27" s="50">
        <v>1</v>
      </c>
      <c r="K27" s="50">
        <v>0</v>
      </c>
      <c r="L27" s="50">
        <v>0</v>
      </c>
      <c r="M27" s="50">
        <v>105</v>
      </c>
      <c r="N27" s="50">
        <v>0</v>
      </c>
      <c r="O27" s="15">
        <f t="shared" si="0"/>
        <v>128</v>
      </c>
      <c r="P27" s="15">
        <f t="shared" si="1"/>
        <v>233</v>
      </c>
      <c r="R27" s="29" t="s">
        <v>87</v>
      </c>
      <c r="S27" s="16">
        <f t="shared" ref="S27:AF27" si="19">SUM(S19:S21)</f>
        <v>1097</v>
      </c>
      <c r="T27" s="16">
        <f t="shared" si="19"/>
        <v>234</v>
      </c>
      <c r="U27" s="16">
        <f t="shared" si="19"/>
        <v>177</v>
      </c>
      <c r="V27" s="16">
        <f t="shared" si="19"/>
        <v>204</v>
      </c>
      <c r="W27" s="16">
        <f t="shared" si="19"/>
        <v>9</v>
      </c>
      <c r="X27" s="16">
        <f t="shared" si="19"/>
        <v>0</v>
      </c>
      <c r="Y27" s="16">
        <f t="shared" si="19"/>
        <v>33</v>
      </c>
      <c r="Z27" s="16">
        <f t="shared" si="19"/>
        <v>20</v>
      </c>
      <c r="AA27" s="16">
        <f t="shared" si="19"/>
        <v>0</v>
      </c>
      <c r="AB27" s="16">
        <f t="shared" si="19"/>
        <v>2</v>
      </c>
      <c r="AC27" s="16">
        <f t="shared" si="19"/>
        <v>1605</v>
      </c>
      <c r="AD27" s="16">
        <f t="shared" si="19"/>
        <v>0</v>
      </c>
      <c r="AE27" s="32">
        <f t="shared" si="19"/>
        <v>1776</v>
      </c>
      <c r="AF27" s="32">
        <f t="shared" si="19"/>
        <v>3381</v>
      </c>
    </row>
    <row r="28" spans="2:32" ht="23.1" customHeight="1" x14ac:dyDescent="0.25">
      <c r="B28" s="23" t="s">
        <v>55</v>
      </c>
      <c r="C28" s="50">
        <v>72</v>
      </c>
      <c r="D28" s="50">
        <v>18</v>
      </c>
      <c r="E28" s="50">
        <v>13</v>
      </c>
      <c r="F28" s="50">
        <v>25</v>
      </c>
      <c r="G28" s="50">
        <v>0</v>
      </c>
      <c r="H28" s="50">
        <v>0</v>
      </c>
      <c r="I28" s="50">
        <v>3</v>
      </c>
      <c r="J28" s="50">
        <v>3</v>
      </c>
      <c r="K28" s="50">
        <v>1</v>
      </c>
      <c r="L28" s="50">
        <v>1</v>
      </c>
      <c r="M28" s="50">
        <v>156</v>
      </c>
      <c r="N28" s="50">
        <v>0</v>
      </c>
      <c r="O28" s="15">
        <f t="shared" si="0"/>
        <v>136</v>
      </c>
      <c r="P28" s="15">
        <f t="shared" si="1"/>
        <v>292</v>
      </c>
      <c r="R28" s="5" t="s">
        <v>17</v>
      </c>
      <c r="S28" s="16">
        <f t="shared" ref="S28:AF28" si="20">SUM(S10:S21)</f>
        <v>3480</v>
      </c>
      <c r="T28" s="16">
        <f t="shared" si="20"/>
        <v>800</v>
      </c>
      <c r="U28" s="16">
        <f t="shared" si="20"/>
        <v>641</v>
      </c>
      <c r="V28" s="16">
        <f t="shared" si="20"/>
        <v>847</v>
      </c>
      <c r="W28" s="16">
        <f t="shared" si="20"/>
        <v>28</v>
      </c>
      <c r="X28" s="16">
        <f t="shared" si="20"/>
        <v>2</v>
      </c>
      <c r="Y28" s="16">
        <f t="shared" si="20"/>
        <v>156</v>
      </c>
      <c r="Z28" s="16">
        <f t="shared" si="20"/>
        <v>62</v>
      </c>
      <c r="AA28" s="16">
        <f t="shared" si="20"/>
        <v>6</v>
      </c>
      <c r="AB28" s="16">
        <f t="shared" si="20"/>
        <v>9</v>
      </c>
      <c r="AC28" s="16">
        <f t="shared" si="20"/>
        <v>5892</v>
      </c>
      <c r="AD28" s="16">
        <f t="shared" si="20"/>
        <v>0</v>
      </c>
      <c r="AE28" s="32">
        <f t="shared" si="20"/>
        <v>6031</v>
      </c>
      <c r="AF28" s="32">
        <f t="shared" si="20"/>
        <v>11923</v>
      </c>
    </row>
    <row r="29" spans="2:32" ht="23.1" customHeight="1" x14ac:dyDescent="0.25">
      <c r="B29" s="23" t="s">
        <v>56</v>
      </c>
      <c r="C29" s="50">
        <v>50</v>
      </c>
      <c r="D29" s="50">
        <v>14</v>
      </c>
      <c r="E29" s="50">
        <v>15</v>
      </c>
      <c r="F29" s="50">
        <v>11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170</v>
      </c>
      <c r="N29" s="50">
        <v>0</v>
      </c>
      <c r="O29" s="15">
        <f t="shared" si="0"/>
        <v>94</v>
      </c>
      <c r="P29" s="15">
        <f t="shared" si="1"/>
        <v>264</v>
      </c>
      <c r="R29"/>
      <c r="S29" s="20"/>
      <c r="T29" s="19"/>
    </row>
    <row r="30" spans="2:32" ht="23.1" customHeight="1" x14ac:dyDescent="0.25">
      <c r="B30" s="23" t="s">
        <v>57</v>
      </c>
      <c r="C30" s="50">
        <v>64</v>
      </c>
      <c r="D30" s="50">
        <v>23</v>
      </c>
      <c r="E30" s="50">
        <v>13</v>
      </c>
      <c r="F30" s="50">
        <v>22</v>
      </c>
      <c r="G30" s="50">
        <v>0</v>
      </c>
      <c r="H30" s="50">
        <v>0</v>
      </c>
      <c r="I30" s="50">
        <v>6</v>
      </c>
      <c r="J30" s="50">
        <v>4</v>
      </c>
      <c r="K30" s="50">
        <v>0</v>
      </c>
      <c r="L30" s="50">
        <v>0</v>
      </c>
      <c r="M30" s="50">
        <v>135</v>
      </c>
      <c r="N30" s="50">
        <v>0</v>
      </c>
      <c r="O30" s="15">
        <f t="shared" si="0"/>
        <v>132</v>
      </c>
      <c r="P30" s="15">
        <f t="shared" si="1"/>
        <v>267</v>
      </c>
    </row>
    <row r="31" spans="2:32" ht="23.1" customHeight="1" x14ac:dyDescent="0.25">
      <c r="B31" s="24" t="s">
        <v>58</v>
      </c>
      <c r="C31" s="50">
        <v>83</v>
      </c>
      <c r="D31" s="50">
        <v>27</v>
      </c>
      <c r="E31" s="50">
        <v>13</v>
      </c>
      <c r="F31" s="50">
        <v>20</v>
      </c>
      <c r="G31" s="50">
        <v>2</v>
      </c>
      <c r="H31" s="50">
        <v>0</v>
      </c>
      <c r="I31" s="50">
        <v>1</v>
      </c>
      <c r="J31" s="50">
        <v>2</v>
      </c>
      <c r="K31" s="50">
        <v>0</v>
      </c>
      <c r="L31" s="50">
        <v>0</v>
      </c>
      <c r="M31" s="50">
        <v>103</v>
      </c>
      <c r="N31" s="50">
        <v>0</v>
      </c>
      <c r="O31" s="15">
        <f t="shared" si="0"/>
        <v>148</v>
      </c>
      <c r="P31" s="15">
        <f t="shared" si="1"/>
        <v>251</v>
      </c>
    </row>
    <row r="32" spans="2:32" ht="23.1" customHeight="1" x14ac:dyDescent="0.25">
      <c r="B32" s="24" t="s">
        <v>59</v>
      </c>
      <c r="C32" s="50">
        <v>85</v>
      </c>
      <c r="D32" s="50">
        <v>18</v>
      </c>
      <c r="E32" s="50">
        <v>24</v>
      </c>
      <c r="F32" s="50">
        <v>27</v>
      </c>
      <c r="G32" s="50">
        <v>0</v>
      </c>
      <c r="H32" s="50">
        <v>0</v>
      </c>
      <c r="I32" s="50">
        <v>4</v>
      </c>
      <c r="J32" s="50">
        <v>0</v>
      </c>
      <c r="K32" s="50">
        <v>1</v>
      </c>
      <c r="L32" s="50">
        <v>0</v>
      </c>
      <c r="M32" s="50">
        <v>119</v>
      </c>
      <c r="N32" s="50">
        <v>0</v>
      </c>
      <c r="O32" s="15">
        <f t="shared" si="0"/>
        <v>159</v>
      </c>
      <c r="P32" s="15">
        <f t="shared" si="1"/>
        <v>278</v>
      </c>
    </row>
    <row r="33" spans="2:20" ht="23.1" customHeight="1" x14ac:dyDescent="0.25">
      <c r="B33" s="23" t="s">
        <v>60</v>
      </c>
      <c r="C33" s="50">
        <v>91</v>
      </c>
      <c r="D33" s="50">
        <v>22</v>
      </c>
      <c r="E33" s="50">
        <v>17</v>
      </c>
      <c r="F33" s="50">
        <v>23</v>
      </c>
      <c r="G33" s="50">
        <v>1</v>
      </c>
      <c r="H33" s="50">
        <v>0</v>
      </c>
      <c r="I33" s="50">
        <v>2</v>
      </c>
      <c r="J33" s="50">
        <v>3</v>
      </c>
      <c r="K33" s="50">
        <v>0</v>
      </c>
      <c r="L33" s="50">
        <v>0</v>
      </c>
      <c r="M33" s="50">
        <v>169</v>
      </c>
      <c r="N33" s="50">
        <v>0</v>
      </c>
      <c r="O33" s="15">
        <f t="shared" si="0"/>
        <v>159</v>
      </c>
      <c r="P33" s="15">
        <f t="shared" si="1"/>
        <v>328</v>
      </c>
    </row>
    <row r="34" spans="2:20" ht="23.1" customHeight="1" x14ac:dyDescent="0.25">
      <c r="B34" s="24" t="s">
        <v>61</v>
      </c>
      <c r="C34" s="50">
        <v>91</v>
      </c>
      <c r="D34" s="50">
        <v>23</v>
      </c>
      <c r="E34" s="50">
        <v>17</v>
      </c>
      <c r="F34" s="50">
        <v>9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147</v>
      </c>
      <c r="N34" s="50">
        <v>0</v>
      </c>
      <c r="O34" s="15">
        <f t="shared" si="0"/>
        <v>143</v>
      </c>
      <c r="P34" s="15">
        <f t="shared" si="1"/>
        <v>290</v>
      </c>
    </row>
    <row r="35" spans="2:20" ht="23.1" customHeight="1" x14ac:dyDescent="0.25">
      <c r="B35" s="24" t="s">
        <v>62</v>
      </c>
      <c r="C35" s="50">
        <v>48</v>
      </c>
      <c r="D35" s="50">
        <v>11</v>
      </c>
      <c r="E35" s="50">
        <v>9</v>
      </c>
      <c r="F35" s="50">
        <v>13</v>
      </c>
      <c r="G35" s="50">
        <v>0</v>
      </c>
      <c r="H35" s="50">
        <v>0</v>
      </c>
      <c r="I35" s="50">
        <v>6</v>
      </c>
      <c r="J35" s="50">
        <v>3</v>
      </c>
      <c r="K35" s="50">
        <v>0</v>
      </c>
      <c r="L35" s="50">
        <v>1</v>
      </c>
      <c r="M35" s="50">
        <v>73</v>
      </c>
      <c r="N35" s="50">
        <v>0</v>
      </c>
      <c r="O35" s="15">
        <f t="shared" si="0"/>
        <v>91</v>
      </c>
      <c r="P35" s="15">
        <f t="shared" si="1"/>
        <v>164</v>
      </c>
    </row>
    <row r="36" spans="2:20" ht="23.1" customHeight="1" x14ac:dyDescent="0.25">
      <c r="B36" s="24" t="s">
        <v>63</v>
      </c>
      <c r="C36" s="50">
        <v>62</v>
      </c>
      <c r="D36" s="50">
        <v>14</v>
      </c>
      <c r="E36" s="50">
        <v>24</v>
      </c>
      <c r="F36" s="50">
        <v>20</v>
      </c>
      <c r="G36" s="50">
        <v>0</v>
      </c>
      <c r="H36" s="50">
        <v>0</v>
      </c>
      <c r="I36" s="50">
        <v>8</v>
      </c>
      <c r="J36" s="50">
        <v>0</v>
      </c>
      <c r="K36" s="50">
        <v>0</v>
      </c>
      <c r="L36" s="50">
        <v>0</v>
      </c>
      <c r="M36" s="50">
        <v>84</v>
      </c>
      <c r="N36" s="50">
        <v>0</v>
      </c>
      <c r="O36" s="15">
        <f t="shared" si="0"/>
        <v>128</v>
      </c>
      <c r="P36" s="15">
        <f t="shared" si="1"/>
        <v>212</v>
      </c>
    </row>
    <row r="37" spans="2:20" ht="23.1" customHeight="1" x14ac:dyDescent="0.25">
      <c r="B37" s="23" t="s">
        <v>64</v>
      </c>
      <c r="C37" s="50">
        <v>68</v>
      </c>
      <c r="D37" s="50">
        <v>19</v>
      </c>
      <c r="E37" s="50">
        <v>32</v>
      </c>
      <c r="F37" s="50">
        <v>17</v>
      </c>
      <c r="G37" s="50">
        <v>0</v>
      </c>
      <c r="H37" s="50">
        <v>0</v>
      </c>
      <c r="I37" s="50">
        <v>3</v>
      </c>
      <c r="J37" s="50">
        <v>2</v>
      </c>
      <c r="K37" s="50">
        <v>0</v>
      </c>
      <c r="L37" s="50">
        <v>0</v>
      </c>
      <c r="M37" s="50">
        <v>92</v>
      </c>
      <c r="N37" s="50">
        <v>0</v>
      </c>
      <c r="O37" s="15">
        <f t="shared" si="0"/>
        <v>141</v>
      </c>
      <c r="P37" s="15">
        <f t="shared" si="1"/>
        <v>233</v>
      </c>
    </row>
    <row r="38" spans="2:20" ht="23.1" customHeight="1" x14ac:dyDescent="0.25">
      <c r="B38" s="24" t="s">
        <v>65</v>
      </c>
      <c r="C38" s="50">
        <v>47</v>
      </c>
      <c r="D38" s="50">
        <v>12</v>
      </c>
      <c r="E38" s="50">
        <v>34</v>
      </c>
      <c r="F38" s="50">
        <v>29</v>
      </c>
      <c r="G38" s="50">
        <v>0</v>
      </c>
      <c r="H38" s="50">
        <v>0</v>
      </c>
      <c r="I38" s="50">
        <v>4</v>
      </c>
      <c r="J38" s="50">
        <v>1</v>
      </c>
      <c r="K38" s="50">
        <v>1</v>
      </c>
      <c r="L38" s="50">
        <v>0</v>
      </c>
      <c r="M38" s="50">
        <v>103</v>
      </c>
      <c r="N38" s="50">
        <v>0</v>
      </c>
      <c r="O38" s="15">
        <f t="shared" si="0"/>
        <v>128</v>
      </c>
      <c r="P38" s="15">
        <f t="shared" si="1"/>
        <v>231</v>
      </c>
    </row>
    <row r="39" spans="2:20" ht="23.1" customHeight="1" x14ac:dyDescent="0.25">
      <c r="B39" s="24" t="s">
        <v>66</v>
      </c>
      <c r="C39" s="50">
        <v>36</v>
      </c>
      <c r="D39" s="50">
        <v>7</v>
      </c>
      <c r="E39" s="50">
        <v>8</v>
      </c>
      <c r="F39" s="50">
        <v>23</v>
      </c>
      <c r="G39" s="50">
        <v>2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100</v>
      </c>
      <c r="N39" s="50">
        <v>0</v>
      </c>
      <c r="O39" s="15">
        <f t="shared" si="0"/>
        <v>77</v>
      </c>
      <c r="P39" s="15">
        <f t="shared" si="1"/>
        <v>177</v>
      </c>
    </row>
    <row r="40" spans="2:20" ht="23.1" customHeight="1" x14ac:dyDescent="0.25">
      <c r="B40" s="24" t="s">
        <v>67</v>
      </c>
      <c r="C40" s="50">
        <v>62</v>
      </c>
      <c r="D40" s="50">
        <v>17</v>
      </c>
      <c r="E40" s="50">
        <v>15</v>
      </c>
      <c r="F40" s="50">
        <v>19</v>
      </c>
      <c r="G40" s="50">
        <v>0</v>
      </c>
      <c r="H40" s="50">
        <v>0</v>
      </c>
      <c r="I40" s="50">
        <v>0</v>
      </c>
      <c r="J40" s="50">
        <v>2</v>
      </c>
      <c r="K40" s="50">
        <v>1</v>
      </c>
      <c r="L40" s="50">
        <v>1</v>
      </c>
      <c r="M40" s="50">
        <v>94</v>
      </c>
      <c r="N40" s="50">
        <v>0</v>
      </c>
      <c r="O40" s="15">
        <f t="shared" si="0"/>
        <v>117</v>
      </c>
      <c r="P40" s="15">
        <f t="shared" si="1"/>
        <v>211</v>
      </c>
    </row>
    <row r="41" spans="2:20" ht="23.1" customHeight="1" x14ac:dyDescent="0.25">
      <c r="B41" s="23" t="s">
        <v>68</v>
      </c>
      <c r="C41" s="50">
        <v>60</v>
      </c>
      <c r="D41" s="50">
        <v>21</v>
      </c>
      <c r="E41" s="50">
        <v>13</v>
      </c>
      <c r="F41" s="50">
        <v>14</v>
      </c>
      <c r="G41" s="50">
        <v>0</v>
      </c>
      <c r="H41" s="50">
        <v>0</v>
      </c>
      <c r="I41" s="50">
        <v>7</v>
      </c>
      <c r="J41" s="50">
        <v>2</v>
      </c>
      <c r="K41" s="50">
        <v>0</v>
      </c>
      <c r="L41" s="50">
        <v>0</v>
      </c>
      <c r="M41" s="50">
        <v>129</v>
      </c>
      <c r="N41" s="50">
        <v>0</v>
      </c>
      <c r="O41" s="15">
        <f t="shared" si="0"/>
        <v>117</v>
      </c>
      <c r="P41" s="15">
        <f t="shared" si="1"/>
        <v>246</v>
      </c>
    </row>
    <row r="42" spans="2:20" ht="23.1" customHeight="1" x14ac:dyDescent="0.25">
      <c r="B42" s="24" t="s">
        <v>69</v>
      </c>
      <c r="C42" s="50">
        <v>41</v>
      </c>
      <c r="D42" s="50">
        <v>8</v>
      </c>
      <c r="E42" s="50">
        <v>5</v>
      </c>
      <c r="F42" s="50">
        <v>12</v>
      </c>
      <c r="G42" s="50">
        <v>1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73</v>
      </c>
      <c r="N42" s="50">
        <v>0</v>
      </c>
      <c r="O42" s="15">
        <f t="shared" si="0"/>
        <v>72</v>
      </c>
      <c r="P42" s="15">
        <f t="shared" si="1"/>
        <v>145</v>
      </c>
    </row>
    <row r="43" spans="2:20" ht="23.1" customHeight="1" x14ac:dyDescent="0.25">
      <c r="B43" s="23" t="s">
        <v>70</v>
      </c>
      <c r="C43" s="50">
        <v>71</v>
      </c>
      <c r="D43" s="50">
        <v>21</v>
      </c>
      <c r="E43" s="50">
        <v>25</v>
      </c>
      <c r="F43" s="50">
        <v>11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0</v>
      </c>
      <c r="M43" s="50">
        <v>83</v>
      </c>
      <c r="N43" s="50">
        <v>0</v>
      </c>
      <c r="O43" s="15">
        <f t="shared" si="0"/>
        <v>131</v>
      </c>
      <c r="P43" s="15">
        <f t="shared" si="1"/>
        <v>214</v>
      </c>
    </row>
    <row r="44" spans="2:20" ht="23.1" customHeight="1" x14ac:dyDescent="0.25">
      <c r="B44" s="25" t="s">
        <v>71</v>
      </c>
      <c r="C44" s="50">
        <v>63</v>
      </c>
      <c r="D44" s="50">
        <v>12</v>
      </c>
      <c r="E44" s="50">
        <v>11</v>
      </c>
      <c r="F44" s="50">
        <v>15</v>
      </c>
      <c r="G44" s="50">
        <v>0</v>
      </c>
      <c r="H44" s="50">
        <v>1</v>
      </c>
      <c r="I44" s="50">
        <v>4</v>
      </c>
      <c r="J44" s="50">
        <v>1</v>
      </c>
      <c r="K44" s="50">
        <v>0</v>
      </c>
      <c r="L44" s="50">
        <v>0</v>
      </c>
      <c r="M44" s="50">
        <v>113</v>
      </c>
      <c r="N44" s="50">
        <v>0</v>
      </c>
      <c r="O44" s="15">
        <f t="shared" si="0"/>
        <v>107</v>
      </c>
      <c r="P44" s="15">
        <f t="shared" si="1"/>
        <v>220</v>
      </c>
    </row>
    <row r="45" spans="2:20" ht="23.1" customHeight="1" x14ac:dyDescent="0.25">
      <c r="B45" s="23" t="s">
        <v>72</v>
      </c>
      <c r="C45" s="50">
        <v>68</v>
      </c>
      <c r="D45" s="50">
        <v>15</v>
      </c>
      <c r="E45" s="50">
        <v>9</v>
      </c>
      <c r="F45" s="50">
        <v>11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100</v>
      </c>
      <c r="N45" s="50">
        <v>0</v>
      </c>
      <c r="O45" s="15">
        <f t="shared" si="0"/>
        <v>106</v>
      </c>
      <c r="P45" s="15">
        <f t="shared" si="1"/>
        <v>206</v>
      </c>
    </row>
    <row r="46" spans="2:20" ht="23.1" customHeight="1" x14ac:dyDescent="0.25">
      <c r="B46" s="24" t="s">
        <v>73</v>
      </c>
      <c r="C46" s="50">
        <v>76</v>
      </c>
      <c r="D46" s="50">
        <v>23</v>
      </c>
      <c r="E46" s="50">
        <v>15</v>
      </c>
      <c r="F46" s="50">
        <v>16</v>
      </c>
      <c r="G46" s="50">
        <v>1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89</v>
      </c>
      <c r="N46" s="50">
        <v>0</v>
      </c>
      <c r="O46" s="15">
        <f t="shared" si="0"/>
        <v>134</v>
      </c>
      <c r="P46" s="15">
        <f t="shared" si="1"/>
        <v>223</v>
      </c>
      <c r="R46" s="8"/>
      <c r="T46"/>
    </row>
    <row r="47" spans="2:20" ht="23.1" customHeight="1" x14ac:dyDescent="0.25">
      <c r="B47" s="24" t="s">
        <v>74</v>
      </c>
      <c r="C47" s="50">
        <v>92</v>
      </c>
      <c r="D47" s="50">
        <v>28</v>
      </c>
      <c r="E47" s="50">
        <v>15</v>
      </c>
      <c r="F47" s="50">
        <v>13</v>
      </c>
      <c r="G47" s="50">
        <v>2</v>
      </c>
      <c r="H47" s="50">
        <v>0</v>
      </c>
      <c r="I47" s="50">
        <v>5</v>
      </c>
      <c r="J47" s="50">
        <v>5</v>
      </c>
      <c r="K47" s="50">
        <v>0</v>
      </c>
      <c r="L47" s="50">
        <v>0</v>
      </c>
      <c r="M47" s="50">
        <v>88</v>
      </c>
      <c r="N47" s="50">
        <v>0</v>
      </c>
      <c r="O47" s="15">
        <f t="shared" si="0"/>
        <v>160</v>
      </c>
      <c r="P47" s="15">
        <f t="shared" si="1"/>
        <v>248</v>
      </c>
      <c r="R47" s="8"/>
      <c r="T47"/>
    </row>
    <row r="48" spans="2:20" ht="23.1" customHeight="1" x14ac:dyDescent="0.25">
      <c r="B48" s="24" t="s">
        <v>75</v>
      </c>
      <c r="C48" s="50">
        <v>47</v>
      </c>
      <c r="D48" s="50">
        <v>11</v>
      </c>
      <c r="E48" s="50">
        <v>13</v>
      </c>
      <c r="F48" s="50">
        <v>22</v>
      </c>
      <c r="G48" s="50">
        <v>1</v>
      </c>
      <c r="H48" s="50">
        <v>0</v>
      </c>
      <c r="I48" s="50">
        <v>5</v>
      </c>
      <c r="J48" s="50">
        <v>3</v>
      </c>
      <c r="K48" s="50">
        <v>0</v>
      </c>
      <c r="L48" s="50">
        <v>0</v>
      </c>
      <c r="M48" s="50">
        <v>100</v>
      </c>
      <c r="N48" s="50">
        <v>0</v>
      </c>
      <c r="O48" s="15">
        <f t="shared" si="0"/>
        <v>102</v>
      </c>
      <c r="P48" s="15">
        <f t="shared" si="1"/>
        <v>202</v>
      </c>
      <c r="R48" s="8"/>
      <c r="T48"/>
    </row>
    <row r="49" spans="2:20" ht="23.1" customHeight="1" x14ac:dyDescent="0.25">
      <c r="B49" s="23" t="s">
        <v>76</v>
      </c>
      <c r="C49" s="50">
        <v>120</v>
      </c>
      <c r="D49" s="50">
        <v>33</v>
      </c>
      <c r="E49" s="50">
        <v>20</v>
      </c>
      <c r="F49" s="50">
        <v>10</v>
      </c>
      <c r="G49" s="50">
        <v>1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144</v>
      </c>
      <c r="N49" s="50">
        <v>0</v>
      </c>
      <c r="O49" s="15">
        <f t="shared" si="0"/>
        <v>185</v>
      </c>
      <c r="P49" s="15">
        <f t="shared" si="1"/>
        <v>329</v>
      </c>
      <c r="R49" s="8"/>
      <c r="T49"/>
    </row>
    <row r="50" spans="2:20" ht="23.1" customHeight="1" x14ac:dyDescent="0.25">
      <c r="B50" s="24" t="s">
        <v>77</v>
      </c>
      <c r="C50" s="50">
        <v>60</v>
      </c>
      <c r="D50" s="50">
        <v>8</v>
      </c>
      <c r="E50" s="50">
        <v>6</v>
      </c>
      <c r="F50" s="50">
        <v>7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1</v>
      </c>
      <c r="M50" s="50">
        <v>135</v>
      </c>
      <c r="N50" s="50">
        <v>0</v>
      </c>
      <c r="O50" s="15">
        <f t="shared" si="0"/>
        <v>85</v>
      </c>
      <c r="P50" s="15">
        <f t="shared" si="1"/>
        <v>220</v>
      </c>
      <c r="R50" s="8"/>
      <c r="T50"/>
    </row>
    <row r="51" spans="2:20" ht="23.1" customHeight="1" x14ac:dyDescent="0.25">
      <c r="B51" s="24" t="s">
        <v>78</v>
      </c>
      <c r="C51" s="50">
        <v>133</v>
      </c>
      <c r="D51" s="50">
        <v>22</v>
      </c>
      <c r="E51" s="50">
        <v>15</v>
      </c>
      <c r="F51" s="50">
        <v>13</v>
      </c>
      <c r="G51" s="50">
        <v>0</v>
      </c>
      <c r="H51" s="50">
        <v>0</v>
      </c>
      <c r="I51" s="50">
        <v>6</v>
      </c>
      <c r="J51" s="50">
        <v>2</v>
      </c>
      <c r="K51" s="50">
        <v>0</v>
      </c>
      <c r="L51" s="50">
        <v>0</v>
      </c>
      <c r="M51" s="50">
        <v>152</v>
      </c>
      <c r="N51" s="50">
        <v>0</v>
      </c>
      <c r="O51" s="15">
        <f t="shared" si="0"/>
        <v>191</v>
      </c>
      <c r="P51" s="15">
        <f t="shared" si="1"/>
        <v>343</v>
      </c>
      <c r="R51" s="8"/>
      <c r="T51"/>
    </row>
    <row r="52" spans="2:20" ht="23.1" customHeight="1" x14ac:dyDescent="0.25">
      <c r="B52" s="24" t="s">
        <v>79</v>
      </c>
      <c r="C52" s="50">
        <v>120</v>
      </c>
      <c r="D52" s="50">
        <v>18</v>
      </c>
      <c r="E52" s="50">
        <v>12</v>
      </c>
      <c r="F52" s="50">
        <v>9</v>
      </c>
      <c r="G52" s="50">
        <v>2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195</v>
      </c>
      <c r="N52" s="50">
        <v>0</v>
      </c>
      <c r="O52" s="15">
        <f t="shared" si="0"/>
        <v>161</v>
      </c>
      <c r="P52" s="15">
        <f t="shared" si="1"/>
        <v>356</v>
      </c>
      <c r="R52" s="8"/>
      <c r="T52"/>
    </row>
    <row r="53" spans="2:20" ht="23.1" customHeight="1" x14ac:dyDescent="0.25">
      <c r="B53" s="23" t="s">
        <v>80</v>
      </c>
      <c r="C53" s="50">
        <v>113</v>
      </c>
      <c r="D53" s="50">
        <v>11</v>
      </c>
      <c r="E53" s="50">
        <v>18</v>
      </c>
      <c r="F53" s="50">
        <v>17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183</v>
      </c>
      <c r="N53" s="50">
        <v>0</v>
      </c>
      <c r="O53" s="15">
        <f t="shared" si="0"/>
        <v>163</v>
      </c>
      <c r="P53" s="15">
        <f t="shared" si="1"/>
        <v>346</v>
      </c>
      <c r="R53" s="8"/>
      <c r="T53"/>
    </row>
    <row r="54" spans="2:20" ht="23.1" customHeight="1" x14ac:dyDescent="0.25">
      <c r="B54" s="23" t="s">
        <v>81</v>
      </c>
      <c r="C54" s="50">
        <v>73</v>
      </c>
      <c r="D54" s="50">
        <v>18</v>
      </c>
      <c r="E54" s="50">
        <v>14</v>
      </c>
      <c r="F54" s="50">
        <v>14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1</v>
      </c>
      <c r="M54" s="50">
        <v>129</v>
      </c>
      <c r="N54" s="50">
        <v>0</v>
      </c>
      <c r="O54" s="15">
        <f t="shared" si="0"/>
        <v>121</v>
      </c>
      <c r="P54" s="15">
        <f t="shared" si="1"/>
        <v>250</v>
      </c>
      <c r="R54" s="8"/>
      <c r="T54"/>
    </row>
    <row r="55" spans="2:20" ht="23.1" customHeight="1" x14ac:dyDescent="0.25">
      <c r="B55" s="23" t="s">
        <v>82</v>
      </c>
      <c r="C55" s="50">
        <v>75</v>
      </c>
      <c r="D55" s="50">
        <v>25</v>
      </c>
      <c r="E55" s="50">
        <v>19</v>
      </c>
      <c r="F55" s="50">
        <v>25</v>
      </c>
      <c r="G55" s="50">
        <v>0</v>
      </c>
      <c r="H55" s="50">
        <v>0</v>
      </c>
      <c r="I55" s="50">
        <v>3</v>
      </c>
      <c r="J55" s="50">
        <v>5</v>
      </c>
      <c r="K55" s="50">
        <v>0</v>
      </c>
      <c r="L55" s="50">
        <v>0</v>
      </c>
      <c r="M55" s="50">
        <v>130</v>
      </c>
      <c r="N55" s="50">
        <v>0</v>
      </c>
      <c r="O55" s="15">
        <f t="shared" si="0"/>
        <v>152</v>
      </c>
      <c r="P55" s="15">
        <f t="shared" si="1"/>
        <v>282</v>
      </c>
      <c r="R55" s="8"/>
      <c r="T55"/>
    </row>
    <row r="56" spans="2:20" ht="23.1" customHeight="1" x14ac:dyDescent="0.25">
      <c r="B56" s="23" t="s">
        <v>83</v>
      </c>
      <c r="C56" s="50">
        <v>109</v>
      </c>
      <c r="D56" s="50">
        <v>16</v>
      </c>
      <c r="E56" s="50">
        <v>18</v>
      </c>
      <c r="F56" s="50">
        <v>26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135</v>
      </c>
      <c r="N56" s="50">
        <v>0</v>
      </c>
      <c r="O56" s="15">
        <f t="shared" si="0"/>
        <v>171</v>
      </c>
      <c r="P56" s="15">
        <f t="shared" si="1"/>
        <v>306</v>
      </c>
      <c r="R56" s="8"/>
      <c r="T56"/>
    </row>
    <row r="57" spans="2:20" ht="23.1" customHeight="1" x14ac:dyDescent="0.25">
      <c r="B57" s="23" t="s">
        <v>84</v>
      </c>
      <c r="C57" s="50">
        <v>79</v>
      </c>
      <c r="D57" s="50">
        <v>21</v>
      </c>
      <c r="E57" s="50">
        <v>12</v>
      </c>
      <c r="F57" s="50">
        <v>32</v>
      </c>
      <c r="G57" s="50">
        <v>2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125</v>
      </c>
      <c r="N57" s="50">
        <v>0</v>
      </c>
      <c r="O57" s="15">
        <f t="shared" si="0"/>
        <v>151</v>
      </c>
      <c r="P57" s="15">
        <f t="shared" si="1"/>
        <v>276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3480</v>
      </c>
      <c r="D58" s="16">
        <f t="shared" si="21"/>
        <v>800</v>
      </c>
      <c r="E58" s="16">
        <f t="shared" si="21"/>
        <v>641</v>
      </c>
      <c r="F58" s="16">
        <f t="shared" si="21"/>
        <v>847</v>
      </c>
      <c r="G58" s="16">
        <f t="shared" si="21"/>
        <v>28</v>
      </c>
      <c r="H58" s="16">
        <f t="shared" si="21"/>
        <v>2</v>
      </c>
      <c r="I58" s="16">
        <f t="shared" si="21"/>
        <v>156</v>
      </c>
      <c r="J58" s="16">
        <f t="shared" si="21"/>
        <v>62</v>
      </c>
      <c r="K58" s="16">
        <f t="shared" si="21"/>
        <v>6</v>
      </c>
      <c r="L58" s="16">
        <f t="shared" si="21"/>
        <v>9</v>
      </c>
      <c r="M58" s="16">
        <f t="shared" si="21"/>
        <v>5892</v>
      </c>
      <c r="N58" s="16">
        <f t="shared" si="21"/>
        <v>0</v>
      </c>
      <c r="O58" s="16">
        <f t="shared" si="21"/>
        <v>6031</v>
      </c>
      <c r="P58" s="16">
        <f t="shared" si="21"/>
        <v>11923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0.29187285079258574</v>
      </c>
      <c r="D59" s="43">
        <f t="shared" si="22"/>
        <v>6.7097207078755342E-2</v>
      </c>
      <c r="E59" s="43">
        <f t="shared" si="22"/>
        <v>5.3761637171852721E-2</v>
      </c>
      <c r="F59" s="43">
        <f t="shared" si="22"/>
        <v>7.1039167994632224E-2</v>
      </c>
      <c r="G59" s="43">
        <f t="shared" si="22"/>
        <v>2.3484022477564372E-3</v>
      </c>
      <c r="H59" s="43">
        <f t="shared" si="22"/>
        <v>1.6774301769688837E-4</v>
      </c>
      <c r="I59" s="43">
        <f t="shared" si="22"/>
        <v>1.3083955380357292E-2</v>
      </c>
      <c r="J59" s="43">
        <f t="shared" si="22"/>
        <v>5.2000335486035391E-3</v>
      </c>
      <c r="K59" s="43">
        <f t="shared" si="22"/>
        <v>5.0322905309066511E-4</v>
      </c>
      <c r="L59" s="43">
        <f t="shared" si="22"/>
        <v>7.5484357963599767E-4</v>
      </c>
      <c r="M59" s="43">
        <f t="shared" si="22"/>
        <v>0.4941709301350331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0.577018736527939</v>
      </c>
      <c r="D60" s="44">
        <f t="shared" ref="D60:N60" si="23">D58/$O$58</f>
        <v>0.13264798540872161</v>
      </c>
      <c r="E60" s="44">
        <f t="shared" si="23"/>
        <v>0.10628419830873818</v>
      </c>
      <c r="F60" s="44">
        <f t="shared" si="23"/>
        <v>0.14044105455148401</v>
      </c>
      <c r="G60" s="44">
        <f t="shared" si="23"/>
        <v>4.6426794893052563E-3</v>
      </c>
      <c r="H60" s="44">
        <f t="shared" si="23"/>
        <v>3.3161996352180402E-4</v>
      </c>
      <c r="I60" s="44">
        <f t="shared" si="23"/>
        <v>2.5866357154700714E-2</v>
      </c>
      <c r="J60" s="44">
        <f t="shared" si="23"/>
        <v>1.0280218869175925E-2</v>
      </c>
      <c r="K60" s="44">
        <f t="shared" si="23"/>
        <v>9.9485989056541206E-4</v>
      </c>
      <c r="L60" s="44">
        <f t="shared" si="23"/>
        <v>1.4922898358481181E-3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Bugolobi-Nakawa'!C3:G3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3" t="str">
        <f>'29.07 Bugolobi-Nakawa'!G5:H5</f>
        <v>Business Park</v>
      </c>
      <c r="H5" s="64"/>
      <c r="I5" s="14"/>
      <c r="J5" s="2" t="s">
        <v>5</v>
      </c>
      <c r="K5" s="63" t="str">
        <f>'29.07 Bugolobi-Nakawa'!K5:L5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Bugolobi-Nakawa'!D6:E6</f>
        <v>Bugolobi</v>
      </c>
      <c r="E6" s="64"/>
      <c r="F6" s="2" t="s">
        <v>2</v>
      </c>
      <c r="G6" s="63" t="str">
        <f>'29.07 Bugolobi-Nakawa'!G6:H6</f>
        <v>Nakawa</v>
      </c>
      <c r="H6" s="64"/>
      <c r="J6" s="2" t="s">
        <v>21</v>
      </c>
      <c r="K6" s="63" t="str">
        <f>'29.07 Bugolobi-Nakawa'!K6:L6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113</v>
      </c>
      <c r="D10" s="50">
        <v>40</v>
      </c>
      <c r="E10" s="50">
        <v>35</v>
      </c>
      <c r="F10" s="50">
        <v>33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64</v>
      </c>
      <c r="N10" s="50">
        <v>0</v>
      </c>
      <c r="O10" s="15">
        <f t="shared" ref="O10:O57" si="0">SUM(C10:L10,N10)</f>
        <v>221</v>
      </c>
      <c r="P10" s="15">
        <f t="shared" ref="P10:P57" si="1">SUM(C10:N10)</f>
        <v>285</v>
      </c>
      <c r="R10" s="1" t="s">
        <v>6</v>
      </c>
      <c r="S10" s="17">
        <f t="shared" ref="S10:AF10" si="2">SUM(C10:C13)</f>
        <v>464</v>
      </c>
      <c r="T10" s="17">
        <f t="shared" si="2"/>
        <v>221</v>
      </c>
      <c r="U10" s="17">
        <f t="shared" si="2"/>
        <v>170</v>
      </c>
      <c r="V10" s="17">
        <f t="shared" si="2"/>
        <v>194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274</v>
      </c>
      <c r="AD10" s="17">
        <f t="shared" si="2"/>
        <v>0</v>
      </c>
      <c r="AE10" s="31">
        <f t="shared" si="2"/>
        <v>1055</v>
      </c>
      <c r="AF10" s="31">
        <f t="shared" si="2"/>
        <v>1329</v>
      </c>
    </row>
    <row r="11" spans="2:32" s="6" customFormat="1" ht="23.1" customHeight="1" x14ac:dyDescent="0.25">
      <c r="B11" s="23" t="s">
        <v>38</v>
      </c>
      <c r="C11" s="50">
        <v>63</v>
      </c>
      <c r="D11" s="50">
        <v>53</v>
      </c>
      <c r="E11" s="50">
        <v>21</v>
      </c>
      <c r="F11" s="50">
        <v>38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63</v>
      </c>
      <c r="N11" s="50">
        <v>0</v>
      </c>
      <c r="O11" s="15">
        <f t="shared" si="0"/>
        <v>175</v>
      </c>
      <c r="P11" s="15">
        <f t="shared" si="1"/>
        <v>238</v>
      </c>
      <c r="R11" s="1" t="s">
        <v>7</v>
      </c>
      <c r="S11" s="17">
        <f t="shared" ref="S11:AF11" si="3">SUM(C14:C17)</f>
        <v>449</v>
      </c>
      <c r="T11" s="17">
        <f t="shared" si="3"/>
        <v>157</v>
      </c>
      <c r="U11" s="17">
        <f t="shared" si="3"/>
        <v>83</v>
      </c>
      <c r="V11" s="17">
        <f t="shared" si="3"/>
        <v>221</v>
      </c>
      <c r="W11" s="17">
        <f t="shared" si="3"/>
        <v>0</v>
      </c>
      <c r="X11" s="17">
        <f t="shared" si="3"/>
        <v>3</v>
      </c>
      <c r="Y11" s="17">
        <f t="shared" si="3"/>
        <v>9</v>
      </c>
      <c r="Z11" s="17">
        <f t="shared" si="3"/>
        <v>6</v>
      </c>
      <c r="AA11" s="17">
        <f t="shared" si="3"/>
        <v>1</v>
      </c>
      <c r="AB11" s="17">
        <f t="shared" si="3"/>
        <v>2</v>
      </c>
      <c r="AC11" s="17">
        <f t="shared" si="3"/>
        <v>321</v>
      </c>
      <c r="AD11" s="17">
        <f t="shared" si="3"/>
        <v>0</v>
      </c>
      <c r="AE11" s="31">
        <f t="shared" si="3"/>
        <v>931</v>
      </c>
      <c r="AF11" s="31">
        <f t="shared" si="3"/>
        <v>1252</v>
      </c>
    </row>
    <row r="12" spans="2:32" ht="23.1" customHeight="1" x14ac:dyDescent="0.25">
      <c r="B12" s="23" t="s">
        <v>39</v>
      </c>
      <c r="C12" s="50">
        <v>135</v>
      </c>
      <c r="D12" s="50">
        <v>63</v>
      </c>
      <c r="E12" s="50">
        <v>64</v>
      </c>
      <c r="F12" s="50">
        <v>64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0</v>
      </c>
      <c r="M12" s="50">
        <v>73</v>
      </c>
      <c r="N12" s="50">
        <v>0</v>
      </c>
      <c r="O12" s="15">
        <f t="shared" si="0"/>
        <v>329</v>
      </c>
      <c r="P12" s="15">
        <f t="shared" si="1"/>
        <v>402</v>
      </c>
      <c r="R12" s="1" t="s">
        <v>8</v>
      </c>
      <c r="S12" s="17">
        <f t="shared" ref="S12:AF12" si="4">SUM(C18:C21)</f>
        <v>279</v>
      </c>
      <c r="T12" s="17">
        <f t="shared" si="4"/>
        <v>99</v>
      </c>
      <c r="U12" s="17">
        <f t="shared" si="4"/>
        <v>72</v>
      </c>
      <c r="V12" s="17">
        <f t="shared" si="4"/>
        <v>145</v>
      </c>
      <c r="W12" s="17">
        <f t="shared" si="4"/>
        <v>1</v>
      </c>
      <c r="X12" s="17">
        <f t="shared" si="4"/>
        <v>2</v>
      </c>
      <c r="Y12" s="17">
        <f t="shared" si="4"/>
        <v>8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370</v>
      </c>
      <c r="AD12" s="17">
        <f t="shared" si="4"/>
        <v>0</v>
      </c>
      <c r="AE12" s="31">
        <f t="shared" si="4"/>
        <v>611</v>
      </c>
      <c r="AF12" s="31">
        <f t="shared" si="4"/>
        <v>981</v>
      </c>
    </row>
    <row r="13" spans="2:32" ht="23.1" customHeight="1" x14ac:dyDescent="0.25">
      <c r="B13" s="23" t="s">
        <v>40</v>
      </c>
      <c r="C13" s="50">
        <v>153</v>
      </c>
      <c r="D13" s="50">
        <v>65</v>
      </c>
      <c r="E13" s="50">
        <v>50</v>
      </c>
      <c r="F13" s="50">
        <v>59</v>
      </c>
      <c r="G13" s="50">
        <v>0</v>
      </c>
      <c r="H13" s="50">
        <v>1</v>
      </c>
      <c r="I13" s="50">
        <v>0</v>
      </c>
      <c r="J13" s="50">
        <v>2</v>
      </c>
      <c r="K13" s="50">
        <v>0</v>
      </c>
      <c r="L13" s="50">
        <v>0</v>
      </c>
      <c r="M13" s="50">
        <v>74</v>
      </c>
      <c r="N13" s="50">
        <v>0</v>
      </c>
      <c r="O13" s="15">
        <f t="shared" si="0"/>
        <v>330</v>
      </c>
      <c r="P13" s="15">
        <f t="shared" si="1"/>
        <v>404</v>
      </c>
      <c r="R13" s="1" t="s">
        <v>9</v>
      </c>
      <c r="S13" s="17">
        <f t="shared" ref="S13:AF13" si="5">SUM(C22:C25)</f>
        <v>250</v>
      </c>
      <c r="T13" s="17">
        <f t="shared" si="5"/>
        <v>94</v>
      </c>
      <c r="U13" s="17">
        <f t="shared" si="5"/>
        <v>85</v>
      </c>
      <c r="V13" s="17">
        <f t="shared" si="5"/>
        <v>125</v>
      </c>
      <c r="W13" s="17">
        <f t="shared" si="5"/>
        <v>0</v>
      </c>
      <c r="X13" s="17">
        <f t="shared" si="5"/>
        <v>2</v>
      </c>
      <c r="Y13" s="17">
        <f t="shared" si="5"/>
        <v>7</v>
      </c>
      <c r="Z13" s="17">
        <f t="shared" si="5"/>
        <v>11</v>
      </c>
      <c r="AA13" s="17">
        <f t="shared" si="5"/>
        <v>1</v>
      </c>
      <c r="AB13" s="17">
        <f t="shared" si="5"/>
        <v>1</v>
      </c>
      <c r="AC13" s="17">
        <f t="shared" si="5"/>
        <v>241</v>
      </c>
      <c r="AD13" s="17">
        <f t="shared" si="5"/>
        <v>0</v>
      </c>
      <c r="AE13" s="31">
        <f t="shared" si="5"/>
        <v>576</v>
      </c>
      <c r="AF13" s="31">
        <f t="shared" si="5"/>
        <v>817</v>
      </c>
    </row>
    <row r="14" spans="2:32" ht="23.1" customHeight="1" x14ac:dyDescent="0.25">
      <c r="B14" s="23" t="s">
        <v>41</v>
      </c>
      <c r="C14" s="50">
        <v>103</v>
      </c>
      <c r="D14" s="50">
        <v>43</v>
      </c>
      <c r="E14" s="50">
        <v>12</v>
      </c>
      <c r="F14" s="50">
        <v>50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1</v>
      </c>
      <c r="M14" s="50">
        <v>79</v>
      </c>
      <c r="N14" s="50">
        <v>0</v>
      </c>
      <c r="O14" s="15">
        <f t="shared" si="0"/>
        <v>210</v>
      </c>
      <c r="P14" s="15">
        <f t="shared" si="1"/>
        <v>289</v>
      </c>
      <c r="R14" s="1" t="s">
        <v>10</v>
      </c>
      <c r="S14" s="17">
        <f t="shared" ref="S14:AF14" si="6">SUM(C26:C29)</f>
        <v>320</v>
      </c>
      <c r="T14" s="17">
        <f t="shared" si="6"/>
        <v>179</v>
      </c>
      <c r="U14" s="17">
        <f t="shared" si="6"/>
        <v>113</v>
      </c>
      <c r="V14" s="17">
        <f t="shared" si="6"/>
        <v>175</v>
      </c>
      <c r="W14" s="17">
        <f t="shared" si="6"/>
        <v>2</v>
      </c>
      <c r="X14" s="17">
        <f t="shared" si="6"/>
        <v>0</v>
      </c>
      <c r="Y14" s="17">
        <f t="shared" si="6"/>
        <v>20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215</v>
      </c>
      <c r="AD14" s="17">
        <f t="shared" si="6"/>
        <v>0</v>
      </c>
      <c r="AE14" s="31">
        <f t="shared" si="6"/>
        <v>817</v>
      </c>
      <c r="AF14" s="31">
        <f t="shared" si="6"/>
        <v>1032</v>
      </c>
    </row>
    <row r="15" spans="2:32" ht="23.1" customHeight="1" x14ac:dyDescent="0.25">
      <c r="B15" s="23" t="s">
        <v>42</v>
      </c>
      <c r="C15" s="50">
        <v>106</v>
      </c>
      <c r="D15" s="50">
        <v>28</v>
      </c>
      <c r="E15" s="50">
        <v>22</v>
      </c>
      <c r="F15" s="50">
        <v>41</v>
      </c>
      <c r="G15" s="50">
        <v>0</v>
      </c>
      <c r="H15" s="50">
        <v>0</v>
      </c>
      <c r="I15" s="50">
        <v>3</v>
      </c>
      <c r="J15" s="50">
        <v>0</v>
      </c>
      <c r="K15" s="50">
        <v>1</v>
      </c>
      <c r="L15" s="50">
        <v>1</v>
      </c>
      <c r="M15" s="50">
        <v>68</v>
      </c>
      <c r="N15" s="50">
        <v>0</v>
      </c>
      <c r="O15" s="15">
        <f t="shared" si="0"/>
        <v>202</v>
      </c>
      <c r="P15" s="15">
        <f t="shared" si="1"/>
        <v>270</v>
      </c>
      <c r="R15" s="1" t="s">
        <v>11</v>
      </c>
      <c r="S15" s="17">
        <f t="shared" ref="S15:AF15" si="7">SUM(C30:C33)</f>
        <v>303</v>
      </c>
      <c r="T15" s="17">
        <f t="shared" si="7"/>
        <v>145</v>
      </c>
      <c r="U15" s="17">
        <f t="shared" si="7"/>
        <v>77</v>
      </c>
      <c r="V15" s="17">
        <f t="shared" si="7"/>
        <v>152</v>
      </c>
      <c r="W15" s="17">
        <f t="shared" si="7"/>
        <v>0</v>
      </c>
      <c r="X15" s="17">
        <f t="shared" si="7"/>
        <v>1</v>
      </c>
      <c r="Y15" s="17">
        <f t="shared" si="7"/>
        <v>21</v>
      </c>
      <c r="Z15" s="17">
        <f t="shared" si="7"/>
        <v>6</v>
      </c>
      <c r="AA15" s="17">
        <f t="shared" si="7"/>
        <v>0</v>
      </c>
      <c r="AB15" s="17">
        <f t="shared" si="7"/>
        <v>1</v>
      </c>
      <c r="AC15" s="17">
        <f t="shared" si="7"/>
        <v>261</v>
      </c>
      <c r="AD15" s="17">
        <f t="shared" si="7"/>
        <v>0</v>
      </c>
      <c r="AE15" s="31">
        <f t="shared" si="7"/>
        <v>706</v>
      </c>
      <c r="AF15" s="31">
        <f t="shared" si="7"/>
        <v>967</v>
      </c>
    </row>
    <row r="16" spans="2:32" ht="23.1" customHeight="1" x14ac:dyDescent="0.25">
      <c r="B16" s="23" t="s">
        <v>43</v>
      </c>
      <c r="C16" s="50">
        <v>97</v>
      </c>
      <c r="D16" s="50">
        <v>28</v>
      </c>
      <c r="E16" s="50">
        <v>28</v>
      </c>
      <c r="F16" s="50">
        <v>57</v>
      </c>
      <c r="G16" s="50">
        <v>0</v>
      </c>
      <c r="H16" s="50">
        <v>1</v>
      </c>
      <c r="I16" s="50">
        <v>1</v>
      </c>
      <c r="J16" s="50">
        <v>3</v>
      </c>
      <c r="K16" s="50">
        <v>0</v>
      </c>
      <c r="L16" s="50">
        <v>0</v>
      </c>
      <c r="M16" s="50">
        <v>88</v>
      </c>
      <c r="N16" s="50">
        <v>0</v>
      </c>
      <c r="O16" s="15">
        <f t="shared" si="0"/>
        <v>215</v>
      </c>
      <c r="P16" s="15">
        <f t="shared" si="1"/>
        <v>303</v>
      </c>
      <c r="R16" s="1" t="s">
        <v>12</v>
      </c>
      <c r="S16" s="17">
        <f t="shared" ref="S16:AF16" si="8">SUM(C34:C37)</f>
        <v>304</v>
      </c>
      <c r="T16" s="17">
        <f t="shared" si="8"/>
        <v>144</v>
      </c>
      <c r="U16" s="17">
        <f t="shared" si="8"/>
        <v>129</v>
      </c>
      <c r="V16" s="17">
        <f t="shared" si="8"/>
        <v>219</v>
      </c>
      <c r="W16" s="17">
        <f t="shared" si="8"/>
        <v>1</v>
      </c>
      <c r="X16" s="17">
        <f t="shared" si="8"/>
        <v>0</v>
      </c>
      <c r="Y16" s="17">
        <f t="shared" si="8"/>
        <v>10</v>
      </c>
      <c r="Z16" s="17">
        <f t="shared" si="8"/>
        <v>11</v>
      </c>
      <c r="AA16" s="17">
        <f t="shared" si="8"/>
        <v>3</v>
      </c>
      <c r="AB16" s="17">
        <f t="shared" si="8"/>
        <v>3</v>
      </c>
      <c r="AC16" s="17">
        <f t="shared" si="8"/>
        <v>317</v>
      </c>
      <c r="AD16" s="17">
        <f t="shared" si="8"/>
        <v>0</v>
      </c>
      <c r="AE16" s="31">
        <f t="shared" si="8"/>
        <v>824</v>
      </c>
      <c r="AF16" s="31">
        <f t="shared" si="8"/>
        <v>1141</v>
      </c>
    </row>
    <row r="17" spans="2:32" ht="23.1" customHeight="1" x14ac:dyDescent="0.25">
      <c r="B17" s="23" t="s">
        <v>44</v>
      </c>
      <c r="C17" s="50">
        <v>143</v>
      </c>
      <c r="D17" s="50">
        <v>58</v>
      </c>
      <c r="E17" s="50">
        <v>21</v>
      </c>
      <c r="F17" s="50">
        <v>73</v>
      </c>
      <c r="G17" s="50">
        <v>0</v>
      </c>
      <c r="H17" s="50">
        <v>2</v>
      </c>
      <c r="I17" s="50">
        <v>5</v>
      </c>
      <c r="J17" s="50">
        <v>2</v>
      </c>
      <c r="K17" s="50">
        <v>0</v>
      </c>
      <c r="L17" s="50">
        <v>0</v>
      </c>
      <c r="M17" s="50">
        <v>86</v>
      </c>
      <c r="N17" s="50">
        <v>0</v>
      </c>
      <c r="O17" s="15">
        <f t="shared" si="0"/>
        <v>304</v>
      </c>
      <c r="P17" s="15">
        <f t="shared" si="1"/>
        <v>390</v>
      </c>
      <c r="R17" s="1" t="s">
        <v>13</v>
      </c>
      <c r="S17" s="17">
        <f t="shared" ref="S17:AF17" si="9">SUM(C38:C41)</f>
        <v>473</v>
      </c>
      <c r="T17" s="17">
        <f t="shared" si="9"/>
        <v>121</v>
      </c>
      <c r="U17" s="17">
        <f t="shared" si="9"/>
        <v>71</v>
      </c>
      <c r="V17" s="17">
        <f t="shared" si="9"/>
        <v>140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12</v>
      </c>
      <c r="AA17" s="17">
        <f t="shared" si="9"/>
        <v>1</v>
      </c>
      <c r="AB17" s="17">
        <f t="shared" si="9"/>
        <v>1</v>
      </c>
      <c r="AC17" s="17">
        <f t="shared" si="9"/>
        <v>359</v>
      </c>
      <c r="AD17" s="17">
        <f t="shared" si="9"/>
        <v>0</v>
      </c>
      <c r="AE17" s="31">
        <f t="shared" si="9"/>
        <v>827</v>
      </c>
      <c r="AF17" s="31">
        <f t="shared" si="9"/>
        <v>1186</v>
      </c>
    </row>
    <row r="18" spans="2:32" ht="23.1" customHeight="1" x14ac:dyDescent="0.25">
      <c r="B18" s="23" t="s">
        <v>45</v>
      </c>
      <c r="C18" s="50">
        <v>108</v>
      </c>
      <c r="D18" s="50">
        <v>53</v>
      </c>
      <c r="E18" s="50">
        <v>46</v>
      </c>
      <c r="F18" s="50">
        <v>63</v>
      </c>
      <c r="G18" s="50">
        <v>0</v>
      </c>
      <c r="H18" s="50">
        <v>1</v>
      </c>
      <c r="I18" s="50">
        <v>2</v>
      </c>
      <c r="J18" s="50">
        <v>1</v>
      </c>
      <c r="K18" s="50">
        <v>0</v>
      </c>
      <c r="L18" s="50">
        <v>0</v>
      </c>
      <c r="M18" s="50">
        <v>94</v>
      </c>
      <c r="N18" s="50">
        <v>0</v>
      </c>
      <c r="O18" s="15">
        <f t="shared" si="0"/>
        <v>274</v>
      </c>
      <c r="P18" s="15">
        <f t="shared" si="1"/>
        <v>368</v>
      </c>
      <c r="R18" s="1" t="s">
        <v>14</v>
      </c>
      <c r="S18" s="17">
        <f t="shared" ref="S18:AF18" si="10">SUM(C42:C45)</f>
        <v>624</v>
      </c>
      <c r="T18" s="17">
        <f t="shared" si="10"/>
        <v>85</v>
      </c>
      <c r="U18" s="17">
        <f t="shared" si="10"/>
        <v>77</v>
      </c>
      <c r="V18" s="17">
        <f t="shared" si="10"/>
        <v>98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5</v>
      </c>
      <c r="AA18" s="17">
        <f t="shared" si="10"/>
        <v>1</v>
      </c>
      <c r="AB18" s="17">
        <f t="shared" si="10"/>
        <v>0</v>
      </c>
      <c r="AC18" s="17">
        <f t="shared" si="10"/>
        <v>275</v>
      </c>
      <c r="AD18" s="17">
        <f t="shared" si="10"/>
        <v>0</v>
      </c>
      <c r="AE18" s="31">
        <f t="shared" si="10"/>
        <v>897</v>
      </c>
      <c r="AF18" s="31">
        <f t="shared" si="10"/>
        <v>1172</v>
      </c>
    </row>
    <row r="19" spans="2:32" ht="23.1" customHeight="1" x14ac:dyDescent="0.25">
      <c r="B19" s="23" t="s">
        <v>46</v>
      </c>
      <c r="C19" s="50">
        <v>47</v>
      </c>
      <c r="D19" s="50">
        <v>13</v>
      </c>
      <c r="E19" s="50">
        <v>8</v>
      </c>
      <c r="F19" s="50">
        <v>35</v>
      </c>
      <c r="G19" s="50">
        <v>0</v>
      </c>
      <c r="H19" s="50">
        <v>1</v>
      </c>
      <c r="I19" s="50">
        <v>1</v>
      </c>
      <c r="J19" s="50">
        <v>1</v>
      </c>
      <c r="K19" s="50">
        <v>0</v>
      </c>
      <c r="L19" s="50">
        <v>0</v>
      </c>
      <c r="M19" s="50">
        <v>122</v>
      </c>
      <c r="N19" s="50">
        <v>0</v>
      </c>
      <c r="O19" s="15">
        <f t="shared" si="0"/>
        <v>106</v>
      </c>
      <c r="P19" s="15">
        <f t="shared" si="1"/>
        <v>228</v>
      </c>
      <c r="R19" s="1" t="s">
        <v>15</v>
      </c>
      <c r="S19" s="17">
        <f t="shared" ref="S19:AF19" si="11">SUM(C46:C49)</f>
        <v>584</v>
      </c>
      <c r="T19" s="17">
        <f t="shared" si="11"/>
        <v>146</v>
      </c>
      <c r="U19" s="17">
        <f t="shared" si="11"/>
        <v>97</v>
      </c>
      <c r="V19" s="17">
        <f t="shared" si="11"/>
        <v>175</v>
      </c>
      <c r="W19" s="17">
        <f t="shared" si="11"/>
        <v>1</v>
      </c>
      <c r="X19" s="17">
        <f t="shared" si="11"/>
        <v>0</v>
      </c>
      <c r="Y19" s="17">
        <f t="shared" si="11"/>
        <v>7</v>
      </c>
      <c r="Z19" s="17">
        <f t="shared" si="11"/>
        <v>14</v>
      </c>
      <c r="AA19" s="17">
        <f t="shared" si="11"/>
        <v>0</v>
      </c>
      <c r="AB19" s="17">
        <f t="shared" si="11"/>
        <v>1</v>
      </c>
      <c r="AC19" s="17">
        <f t="shared" si="11"/>
        <v>229</v>
      </c>
      <c r="AD19" s="17">
        <f t="shared" si="11"/>
        <v>0</v>
      </c>
      <c r="AE19" s="31">
        <f t="shared" si="11"/>
        <v>1025</v>
      </c>
      <c r="AF19" s="31">
        <f t="shared" si="11"/>
        <v>1254</v>
      </c>
    </row>
    <row r="20" spans="2:32" ht="23.1" customHeight="1" x14ac:dyDescent="0.25">
      <c r="B20" s="23" t="s">
        <v>47</v>
      </c>
      <c r="C20" s="50">
        <v>78</v>
      </c>
      <c r="D20" s="50">
        <v>7</v>
      </c>
      <c r="E20" s="50">
        <v>16</v>
      </c>
      <c r="F20" s="50">
        <v>26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75</v>
      </c>
      <c r="N20" s="50">
        <v>0</v>
      </c>
      <c r="O20" s="15">
        <f t="shared" si="0"/>
        <v>130</v>
      </c>
      <c r="P20" s="15">
        <f t="shared" si="1"/>
        <v>205</v>
      </c>
      <c r="R20" s="1" t="s">
        <v>16</v>
      </c>
      <c r="S20" s="17">
        <f t="shared" ref="S20:AF20" si="12">SUM(C50:C53)</f>
        <v>501</v>
      </c>
      <c r="T20" s="17">
        <f t="shared" si="12"/>
        <v>195</v>
      </c>
      <c r="U20" s="17">
        <f t="shared" si="12"/>
        <v>109</v>
      </c>
      <c r="V20" s="17">
        <f t="shared" si="12"/>
        <v>115</v>
      </c>
      <c r="W20" s="17">
        <f t="shared" si="12"/>
        <v>2</v>
      </c>
      <c r="X20" s="17">
        <f t="shared" si="12"/>
        <v>1</v>
      </c>
      <c r="Y20" s="17">
        <f t="shared" si="12"/>
        <v>11</v>
      </c>
      <c r="Z20" s="17">
        <f t="shared" si="12"/>
        <v>11</v>
      </c>
      <c r="AA20" s="17">
        <f t="shared" si="12"/>
        <v>0</v>
      </c>
      <c r="AB20" s="17">
        <f t="shared" si="12"/>
        <v>0</v>
      </c>
      <c r="AC20" s="17">
        <f t="shared" si="12"/>
        <v>324</v>
      </c>
      <c r="AD20" s="17">
        <f t="shared" si="12"/>
        <v>0</v>
      </c>
      <c r="AE20" s="31">
        <f t="shared" si="12"/>
        <v>945</v>
      </c>
      <c r="AF20" s="31">
        <f t="shared" si="12"/>
        <v>1269</v>
      </c>
    </row>
    <row r="21" spans="2:32" ht="23.1" customHeight="1" x14ac:dyDescent="0.25">
      <c r="B21" s="23" t="s">
        <v>48</v>
      </c>
      <c r="C21" s="50">
        <v>46</v>
      </c>
      <c r="D21" s="50">
        <v>26</v>
      </c>
      <c r="E21" s="50">
        <v>2</v>
      </c>
      <c r="F21" s="50">
        <v>21</v>
      </c>
      <c r="G21" s="50">
        <v>1</v>
      </c>
      <c r="H21" s="50">
        <v>0</v>
      </c>
      <c r="I21" s="50">
        <v>2</v>
      </c>
      <c r="J21" s="50">
        <v>3</v>
      </c>
      <c r="K21" s="50">
        <v>0</v>
      </c>
      <c r="L21" s="50">
        <v>0</v>
      </c>
      <c r="M21" s="50">
        <v>79</v>
      </c>
      <c r="N21" s="50">
        <v>0</v>
      </c>
      <c r="O21" s="15">
        <f t="shared" si="0"/>
        <v>101</v>
      </c>
      <c r="P21" s="15">
        <f t="shared" si="1"/>
        <v>180</v>
      </c>
      <c r="R21" s="36" t="s">
        <v>20</v>
      </c>
      <c r="S21" s="34">
        <f t="shared" ref="S21:AF21" si="13">SUM(C54:C57)</f>
        <v>456</v>
      </c>
      <c r="T21" s="17">
        <f t="shared" si="13"/>
        <v>87</v>
      </c>
      <c r="U21" s="17">
        <f t="shared" si="13"/>
        <v>83</v>
      </c>
      <c r="V21" s="17">
        <f t="shared" si="13"/>
        <v>110</v>
      </c>
      <c r="W21" s="17">
        <f t="shared" si="13"/>
        <v>5</v>
      </c>
      <c r="X21" s="17">
        <f t="shared" si="13"/>
        <v>1</v>
      </c>
      <c r="Y21" s="17">
        <f t="shared" si="13"/>
        <v>5</v>
      </c>
      <c r="Z21" s="17">
        <f t="shared" si="13"/>
        <v>13</v>
      </c>
      <c r="AA21" s="17">
        <f t="shared" si="13"/>
        <v>0</v>
      </c>
      <c r="AB21" s="17">
        <f t="shared" si="13"/>
        <v>0</v>
      </c>
      <c r="AC21" s="17">
        <f t="shared" si="13"/>
        <v>318</v>
      </c>
      <c r="AD21" s="17">
        <f t="shared" si="13"/>
        <v>0</v>
      </c>
      <c r="AE21" s="31">
        <f t="shared" si="13"/>
        <v>760</v>
      </c>
      <c r="AF21" s="31">
        <f t="shared" si="13"/>
        <v>1078</v>
      </c>
    </row>
    <row r="22" spans="2:32" ht="23.1" customHeight="1" x14ac:dyDescent="0.25">
      <c r="B22" s="23" t="s">
        <v>49</v>
      </c>
      <c r="C22" s="50">
        <v>73</v>
      </c>
      <c r="D22" s="50">
        <v>27</v>
      </c>
      <c r="E22" s="50">
        <v>22</v>
      </c>
      <c r="F22" s="50">
        <v>33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56</v>
      </c>
      <c r="N22" s="50">
        <v>0</v>
      </c>
      <c r="O22" s="15">
        <f t="shared" si="0"/>
        <v>158</v>
      </c>
      <c r="P22" s="15">
        <f t="shared" si="1"/>
        <v>214</v>
      </c>
      <c r="R22" s="38" t="s">
        <v>90</v>
      </c>
      <c r="S22" s="39">
        <f>MAX(S10:S12)</f>
        <v>464</v>
      </c>
      <c r="T22" s="39">
        <f t="shared" ref="T22:AF22" si="14">MAX(T10:T12)</f>
        <v>221</v>
      </c>
      <c r="U22" s="39">
        <f t="shared" si="14"/>
        <v>170</v>
      </c>
      <c r="V22" s="39">
        <f t="shared" si="14"/>
        <v>221</v>
      </c>
      <c r="W22" s="39">
        <f t="shared" si="14"/>
        <v>1</v>
      </c>
      <c r="X22" s="39">
        <f t="shared" si="14"/>
        <v>3</v>
      </c>
      <c r="Y22" s="39">
        <f t="shared" si="14"/>
        <v>9</v>
      </c>
      <c r="Z22" s="39">
        <f t="shared" si="14"/>
        <v>6</v>
      </c>
      <c r="AA22" s="39">
        <f t="shared" si="14"/>
        <v>1</v>
      </c>
      <c r="AB22" s="39">
        <f t="shared" si="14"/>
        <v>2</v>
      </c>
      <c r="AC22" s="39">
        <f t="shared" si="14"/>
        <v>370</v>
      </c>
      <c r="AD22" s="39">
        <f t="shared" si="14"/>
        <v>0</v>
      </c>
      <c r="AE22" s="40">
        <f t="shared" si="14"/>
        <v>1055</v>
      </c>
      <c r="AF22" s="40">
        <f t="shared" si="14"/>
        <v>1329</v>
      </c>
    </row>
    <row r="23" spans="2:32" ht="23.1" customHeight="1" x14ac:dyDescent="0.25">
      <c r="B23" s="23" t="s">
        <v>50</v>
      </c>
      <c r="C23" s="50">
        <v>67</v>
      </c>
      <c r="D23" s="50">
        <v>23</v>
      </c>
      <c r="E23" s="50">
        <v>27</v>
      </c>
      <c r="F23" s="50">
        <v>26</v>
      </c>
      <c r="G23" s="50">
        <v>0</v>
      </c>
      <c r="H23" s="50">
        <v>1</v>
      </c>
      <c r="I23" s="50">
        <v>1</v>
      </c>
      <c r="J23" s="50">
        <v>5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150</v>
      </c>
      <c r="P23" s="15">
        <f t="shared" si="1"/>
        <v>210</v>
      </c>
      <c r="R23" s="38" t="s">
        <v>91</v>
      </c>
      <c r="S23" s="39">
        <f>MAX(S13:S18)</f>
        <v>624</v>
      </c>
      <c r="T23" s="39">
        <f t="shared" ref="T23:AF23" si="15">MAX(T13:T18)</f>
        <v>179</v>
      </c>
      <c r="U23" s="39">
        <f t="shared" si="15"/>
        <v>129</v>
      </c>
      <c r="V23" s="39">
        <f t="shared" si="15"/>
        <v>219</v>
      </c>
      <c r="W23" s="39">
        <f t="shared" si="15"/>
        <v>2</v>
      </c>
      <c r="X23" s="39">
        <f t="shared" si="15"/>
        <v>2</v>
      </c>
      <c r="Y23" s="39">
        <f t="shared" si="15"/>
        <v>21</v>
      </c>
      <c r="Z23" s="39">
        <f t="shared" si="15"/>
        <v>12</v>
      </c>
      <c r="AA23" s="39">
        <f t="shared" si="15"/>
        <v>3</v>
      </c>
      <c r="AB23" s="39">
        <f t="shared" si="15"/>
        <v>3</v>
      </c>
      <c r="AC23" s="39">
        <f t="shared" si="15"/>
        <v>359</v>
      </c>
      <c r="AD23" s="39">
        <f t="shared" si="15"/>
        <v>0</v>
      </c>
      <c r="AE23" s="40">
        <f t="shared" si="15"/>
        <v>897</v>
      </c>
      <c r="AF23" s="40">
        <f t="shared" si="15"/>
        <v>1186</v>
      </c>
    </row>
    <row r="24" spans="2:32" ht="23.1" customHeight="1" x14ac:dyDescent="0.25">
      <c r="B24" s="23" t="s">
        <v>51</v>
      </c>
      <c r="C24" s="50">
        <v>47</v>
      </c>
      <c r="D24" s="50">
        <v>22</v>
      </c>
      <c r="E24" s="50">
        <v>16</v>
      </c>
      <c r="F24" s="50">
        <v>29</v>
      </c>
      <c r="G24" s="50">
        <v>0</v>
      </c>
      <c r="H24" s="50">
        <v>1</v>
      </c>
      <c r="I24" s="50">
        <v>2</v>
      </c>
      <c r="J24" s="50">
        <v>3</v>
      </c>
      <c r="K24" s="50">
        <v>0</v>
      </c>
      <c r="L24" s="50">
        <v>0</v>
      </c>
      <c r="M24" s="50">
        <v>57</v>
      </c>
      <c r="N24" s="50">
        <v>0</v>
      </c>
      <c r="O24" s="15">
        <f t="shared" si="0"/>
        <v>120</v>
      </c>
      <c r="P24" s="15">
        <f t="shared" si="1"/>
        <v>177</v>
      </c>
      <c r="R24" s="38" t="s">
        <v>92</v>
      </c>
      <c r="S24" s="39">
        <f>MAX(S19:S21)</f>
        <v>584</v>
      </c>
      <c r="T24" s="39">
        <f t="shared" ref="T24:AF24" si="16">MAX(T19:T21)</f>
        <v>195</v>
      </c>
      <c r="U24" s="39">
        <f t="shared" si="16"/>
        <v>109</v>
      </c>
      <c r="V24" s="39">
        <f t="shared" si="16"/>
        <v>175</v>
      </c>
      <c r="W24" s="39">
        <f t="shared" si="16"/>
        <v>5</v>
      </c>
      <c r="X24" s="39">
        <f t="shared" si="16"/>
        <v>1</v>
      </c>
      <c r="Y24" s="39">
        <f t="shared" si="16"/>
        <v>11</v>
      </c>
      <c r="Z24" s="39">
        <f t="shared" si="16"/>
        <v>14</v>
      </c>
      <c r="AA24" s="39">
        <f t="shared" si="16"/>
        <v>0</v>
      </c>
      <c r="AB24" s="39">
        <f t="shared" si="16"/>
        <v>1</v>
      </c>
      <c r="AC24" s="39">
        <f t="shared" si="16"/>
        <v>324</v>
      </c>
      <c r="AD24" s="39">
        <f t="shared" si="16"/>
        <v>0</v>
      </c>
      <c r="AE24" s="40">
        <f t="shared" si="16"/>
        <v>1025</v>
      </c>
      <c r="AF24" s="40">
        <f t="shared" si="16"/>
        <v>1269</v>
      </c>
    </row>
    <row r="25" spans="2:32" ht="23.1" customHeight="1" x14ac:dyDescent="0.25">
      <c r="B25" s="23" t="s">
        <v>52</v>
      </c>
      <c r="C25" s="50">
        <v>63</v>
      </c>
      <c r="D25" s="50">
        <v>22</v>
      </c>
      <c r="E25" s="50">
        <v>20</v>
      </c>
      <c r="F25" s="50">
        <v>37</v>
      </c>
      <c r="G25" s="50">
        <v>0</v>
      </c>
      <c r="H25" s="50">
        <v>0</v>
      </c>
      <c r="I25" s="50">
        <v>2</v>
      </c>
      <c r="J25" s="50">
        <v>2</v>
      </c>
      <c r="K25" s="50">
        <v>1</v>
      </c>
      <c r="L25" s="50">
        <v>1</v>
      </c>
      <c r="M25" s="50">
        <v>68</v>
      </c>
      <c r="N25" s="50">
        <v>0</v>
      </c>
      <c r="O25" s="15">
        <f t="shared" si="0"/>
        <v>148</v>
      </c>
      <c r="P25" s="15">
        <f t="shared" si="1"/>
        <v>216</v>
      </c>
      <c r="R25" s="37" t="s">
        <v>85</v>
      </c>
      <c r="S25" s="35">
        <f t="shared" ref="S25:AF25" si="17">SUM(S10:S12)</f>
        <v>1192</v>
      </c>
      <c r="T25" s="16">
        <f t="shared" si="17"/>
        <v>477</v>
      </c>
      <c r="U25" s="16">
        <f t="shared" si="17"/>
        <v>325</v>
      </c>
      <c r="V25" s="16">
        <f t="shared" si="17"/>
        <v>560</v>
      </c>
      <c r="W25" s="16">
        <f t="shared" si="17"/>
        <v>1</v>
      </c>
      <c r="X25" s="16">
        <f t="shared" si="17"/>
        <v>6</v>
      </c>
      <c r="Y25" s="16">
        <f t="shared" si="17"/>
        <v>18</v>
      </c>
      <c r="Z25" s="16">
        <f t="shared" si="17"/>
        <v>15</v>
      </c>
      <c r="AA25" s="16">
        <f t="shared" si="17"/>
        <v>1</v>
      </c>
      <c r="AB25" s="16">
        <f t="shared" si="17"/>
        <v>2</v>
      </c>
      <c r="AC25" s="16">
        <f t="shared" si="17"/>
        <v>965</v>
      </c>
      <c r="AD25" s="16">
        <f t="shared" si="17"/>
        <v>0</v>
      </c>
      <c r="AE25" s="32">
        <f t="shared" si="17"/>
        <v>2597</v>
      </c>
      <c r="AF25" s="32">
        <f t="shared" si="17"/>
        <v>3562</v>
      </c>
    </row>
    <row r="26" spans="2:32" ht="23.1" customHeight="1" x14ac:dyDescent="0.25">
      <c r="B26" s="23" t="s">
        <v>53</v>
      </c>
      <c r="C26" s="50">
        <v>65</v>
      </c>
      <c r="D26" s="50">
        <v>46</v>
      </c>
      <c r="E26" s="50">
        <v>33</v>
      </c>
      <c r="F26" s="50">
        <v>38</v>
      </c>
      <c r="G26" s="50">
        <v>0</v>
      </c>
      <c r="H26" s="50">
        <v>0</v>
      </c>
      <c r="I26" s="50">
        <v>5</v>
      </c>
      <c r="J26" s="50">
        <v>2</v>
      </c>
      <c r="K26" s="50">
        <v>0</v>
      </c>
      <c r="L26" s="50">
        <v>0</v>
      </c>
      <c r="M26" s="50">
        <v>56</v>
      </c>
      <c r="N26" s="50">
        <v>0</v>
      </c>
      <c r="O26" s="15">
        <f t="shared" si="0"/>
        <v>189</v>
      </c>
      <c r="P26" s="15">
        <f t="shared" si="1"/>
        <v>245</v>
      </c>
      <c r="R26" s="28" t="s">
        <v>86</v>
      </c>
      <c r="S26" s="16">
        <f t="shared" ref="S26:AF26" si="18">SUM(S13:S18)</f>
        <v>2274</v>
      </c>
      <c r="T26" s="16">
        <f t="shared" si="18"/>
        <v>768</v>
      </c>
      <c r="U26" s="16">
        <f t="shared" si="18"/>
        <v>552</v>
      </c>
      <c r="V26" s="16">
        <f t="shared" si="18"/>
        <v>909</v>
      </c>
      <c r="W26" s="16">
        <f t="shared" si="18"/>
        <v>3</v>
      </c>
      <c r="X26" s="16">
        <f t="shared" si="18"/>
        <v>3</v>
      </c>
      <c r="Y26" s="16">
        <f t="shared" si="18"/>
        <v>73</v>
      </c>
      <c r="Z26" s="16">
        <f t="shared" si="18"/>
        <v>53</v>
      </c>
      <c r="AA26" s="16">
        <f t="shared" si="18"/>
        <v>6</v>
      </c>
      <c r="AB26" s="16">
        <f t="shared" si="18"/>
        <v>6</v>
      </c>
      <c r="AC26" s="16">
        <f t="shared" si="18"/>
        <v>1668</v>
      </c>
      <c r="AD26" s="16">
        <f t="shared" si="18"/>
        <v>0</v>
      </c>
      <c r="AE26" s="32">
        <f t="shared" si="18"/>
        <v>4647</v>
      </c>
      <c r="AF26" s="32">
        <f t="shared" si="18"/>
        <v>6315</v>
      </c>
    </row>
    <row r="27" spans="2:32" ht="23.1" customHeight="1" x14ac:dyDescent="0.25">
      <c r="B27" s="23" t="s">
        <v>54</v>
      </c>
      <c r="C27" s="50">
        <v>68</v>
      </c>
      <c r="D27" s="50">
        <v>37</v>
      </c>
      <c r="E27" s="50">
        <v>24</v>
      </c>
      <c r="F27" s="50">
        <v>41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49</v>
      </c>
      <c r="N27" s="50">
        <v>0</v>
      </c>
      <c r="O27" s="15">
        <f t="shared" si="0"/>
        <v>173</v>
      </c>
      <c r="P27" s="15">
        <f t="shared" si="1"/>
        <v>222</v>
      </c>
      <c r="R27" s="29" t="s">
        <v>87</v>
      </c>
      <c r="S27" s="16">
        <f t="shared" ref="S27:AF27" si="19">SUM(S19:S21)</f>
        <v>1541</v>
      </c>
      <c r="T27" s="16">
        <f t="shared" si="19"/>
        <v>428</v>
      </c>
      <c r="U27" s="16">
        <f t="shared" si="19"/>
        <v>289</v>
      </c>
      <c r="V27" s="16">
        <f t="shared" si="19"/>
        <v>400</v>
      </c>
      <c r="W27" s="16">
        <f t="shared" si="19"/>
        <v>8</v>
      </c>
      <c r="X27" s="16">
        <f t="shared" si="19"/>
        <v>2</v>
      </c>
      <c r="Y27" s="16">
        <f t="shared" si="19"/>
        <v>23</v>
      </c>
      <c r="Z27" s="16">
        <f t="shared" si="19"/>
        <v>38</v>
      </c>
      <c r="AA27" s="16">
        <f t="shared" si="19"/>
        <v>0</v>
      </c>
      <c r="AB27" s="16">
        <f t="shared" si="19"/>
        <v>1</v>
      </c>
      <c r="AC27" s="16">
        <f t="shared" si="19"/>
        <v>871</v>
      </c>
      <c r="AD27" s="16">
        <f t="shared" si="19"/>
        <v>0</v>
      </c>
      <c r="AE27" s="32">
        <f t="shared" si="19"/>
        <v>2730</v>
      </c>
      <c r="AF27" s="32">
        <f t="shared" si="19"/>
        <v>3601</v>
      </c>
    </row>
    <row r="28" spans="2:32" ht="23.1" customHeight="1" x14ac:dyDescent="0.25">
      <c r="B28" s="23" t="s">
        <v>55</v>
      </c>
      <c r="C28" s="50">
        <v>78</v>
      </c>
      <c r="D28" s="50">
        <v>48</v>
      </c>
      <c r="E28" s="50">
        <v>23</v>
      </c>
      <c r="F28" s="50">
        <v>46</v>
      </c>
      <c r="G28" s="50">
        <v>2</v>
      </c>
      <c r="H28" s="50">
        <v>0</v>
      </c>
      <c r="I28" s="50">
        <v>11</v>
      </c>
      <c r="J28" s="50">
        <v>2</v>
      </c>
      <c r="K28" s="50">
        <v>0</v>
      </c>
      <c r="L28" s="50">
        <v>0</v>
      </c>
      <c r="M28" s="50">
        <v>42</v>
      </c>
      <c r="N28" s="50">
        <v>0</v>
      </c>
      <c r="O28" s="15">
        <f t="shared" si="0"/>
        <v>210</v>
      </c>
      <c r="P28" s="15">
        <f t="shared" si="1"/>
        <v>252</v>
      </c>
      <c r="R28" s="5" t="s">
        <v>17</v>
      </c>
      <c r="S28" s="16">
        <f t="shared" ref="S28:AF28" si="20">SUM(S10:S21)</f>
        <v>5007</v>
      </c>
      <c r="T28" s="16">
        <f t="shared" si="20"/>
        <v>1673</v>
      </c>
      <c r="U28" s="16">
        <f t="shared" si="20"/>
        <v>1166</v>
      </c>
      <c r="V28" s="16">
        <f t="shared" si="20"/>
        <v>1869</v>
      </c>
      <c r="W28" s="16">
        <f t="shared" si="20"/>
        <v>12</v>
      </c>
      <c r="X28" s="16">
        <f t="shared" si="20"/>
        <v>11</v>
      </c>
      <c r="Y28" s="16">
        <f t="shared" si="20"/>
        <v>114</v>
      </c>
      <c r="Z28" s="16">
        <f t="shared" si="20"/>
        <v>106</v>
      </c>
      <c r="AA28" s="16">
        <f t="shared" si="20"/>
        <v>7</v>
      </c>
      <c r="AB28" s="16">
        <f t="shared" si="20"/>
        <v>9</v>
      </c>
      <c r="AC28" s="16">
        <f t="shared" si="20"/>
        <v>3504</v>
      </c>
      <c r="AD28" s="16">
        <f t="shared" si="20"/>
        <v>0</v>
      </c>
      <c r="AE28" s="32">
        <f t="shared" si="20"/>
        <v>9974</v>
      </c>
      <c r="AF28" s="32">
        <f t="shared" si="20"/>
        <v>13478</v>
      </c>
    </row>
    <row r="29" spans="2:32" ht="23.1" customHeight="1" x14ac:dyDescent="0.25">
      <c r="B29" s="23" t="s">
        <v>56</v>
      </c>
      <c r="C29" s="50">
        <v>109</v>
      </c>
      <c r="D29" s="50">
        <v>48</v>
      </c>
      <c r="E29" s="50">
        <v>33</v>
      </c>
      <c r="F29" s="50">
        <v>50</v>
      </c>
      <c r="G29" s="50">
        <v>0</v>
      </c>
      <c r="H29" s="50">
        <v>0</v>
      </c>
      <c r="I29" s="50">
        <v>3</v>
      </c>
      <c r="J29" s="50">
        <v>2</v>
      </c>
      <c r="K29" s="50">
        <v>0</v>
      </c>
      <c r="L29" s="50">
        <v>0</v>
      </c>
      <c r="M29" s="50">
        <v>68</v>
      </c>
      <c r="N29" s="50">
        <v>0</v>
      </c>
      <c r="O29" s="15">
        <f t="shared" si="0"/>
        <v>245</v>
      </c>
      <c r="P29" s="15">
        <f t="shared" si="1"/>
        <v>313</v>
      </c>
      <c r="R29"/>
      <c r="S29" s="20"/>
      <c r="T29" s="19"/>
    </row>
    <row r="30" spans="2:32" ht="23.1" customHeight="1" x14ac:dyDescent="0.25">
      <c r="B30" s="23" t="s">
        <v>57</v>
      </c>
      <c r="C30" s="50">
        <v>83</v>
      </c>
      <c r="D30" s="50">
        <v>43</v>
      </c>
      <c r="E30" s="50">
        <v>19</v>
      </c>
      <c r="F30" s="50">
        <v>42</v>
      </c>
      <c r="G30" s="50">
        <v>0</v>
      </c>
      <c r="H30" s="50">
        <v>0</v>
      </c>
      <c r="I30" s="50">
        <v>5</v>
      </c>
      <c r="J30" s="50">
        <v>2</v>
      </c>
      <c r="K30" s="50">
        <v>0</v>
      </c>
      <c r="L30" s="50">
        <v>1</v>
      </c>
      <c r="M30" s="50">
        <v>50</v>
      </c>
      <c r="N30" s="50">
        <v>0</v>
      </c>
      <c r="O30" s="15">
        <f t="shared" si="0"/>
        <v>195</v>
      </c>
      <c r="P30" s="15">
        <f t="shared" si="1"/>
        <v>245</v>
      </c>
    </row>
    <row r="31" spans="2:32" ht="23.1" customHeight="1" x14ac:dyDescent="0.25">
      <c r="B31" s="24" t="s">
        <v>58</v>
      </c>
      <c r="C31" s="50">
        <v>74</v>
      </c>
      <c r="D31" s="50">
        <v>38</v>
      </c>
      <c r="E31" s="50">
        <v>17</v>
      </c>
      <c r="F31" s="50">
        <v>34</v>
      </c>
      <c r="G31" s="50">
        <v>0</v>
      </c>
      <c r="H31" s="50">
        <v>1</v>
      </c>
      <c r="I31" s="50">
        <v>6</v>
      </c>
      <c r="J31" s="50">
        <v>1</v>
      </c>
      <c r="K31" s="50">
        <v>0</v>
      </c>
      <c r="L31" s="50">
        <v>0</v>
      </c>
      <c r="M31" s="50">
        <v>71</v>
      </c>
      <c r="N31" s="50">
        <v>0</v>
      </c>
      <c r="O31" s="15">
        <f t="shared" si="0"/>
        <v>171</v>
      </c>
      <c r="P31" s="15">
        <f t="shared" si="1"/>
        <v>242</v>
      </c>
    </row>
    <row r="32" spans="2:32" ht="23.1" customHeight="1" x14ac:dyDescent="0.25">
      <c r="B32" s="24" t="s">
        <v>59</v>
      </c>
      <c r="C32" s="50">
        <v>63</v>
      </c>
      <c r="D32" s="50">
        <v>31</v>
      </c>
      <c r="E32" s="50">
        <v>24</v>
      </c>
      <c r="F32" s="50">
        <v>33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61</v>
      </c>
      <c r="N32" s="50">
        <v>0</v>
      </c>
      <c r="O32" s="15">
        <f t="shared" si="0"/>
        <v>154</v>
      </c>
      <c r="P32" s="15">
        <f t="shared" si="1"/>
        <v>215</v>
      </c>
    </row>
    <row r="33" spans="2:20" ht="23.1" customHeight="1" x14ac:dyDescent="0.25">
      <c r="B33" s="23" t="s">
        <v>60</v>
      </c>
      <c r="C33" s="50">
        <v>83</v>
      </c>
      <c r="D33" s="50">
        <v>33</v>
      </c>
      <c r="E33" s="50">
        <v>17</v>
      </c>
      <c r="F33" s="50">
        <v>43</v>
      </c>
      <c r="G33" s="50">
        <v>0</v>
      </c>
      <c r="H33" s="50">
        <v>0</v>
      </c>
      <c r="I33" s="50">
        <v>8</v>
      </c>
      <c r="J33" s="50">
        <v>2</v>
      </c>
      <c r="K33" s="50">
        <v>0</v>
      </c>
      <c r="L33" s="50">
        <v>0</v>
      </c>
      <c r="M33" s="50">
        <v>79</v>
      </c>
      <c r="N33" s="50">
        <v>0</v>
      </c>
      <c r="O33" s="15">
        <f t="shared" si="0"/>
        <v>186</v>
      </c>
      <c r="P33" s="15">
        <f t="shared" si="1"/>
        <v>265</v>
      </c>
    </row>
    <row r="34" spans="2:20" ht="23.1" customHeight="1" x14ac:dyDescent="0.25">
      <c r="B34" s="24" t="s">
        <v>61</v>
      </c>
      <c r="C34" s="50">
        <v>89</v>
      </c>
      <c r="D34" s="50">
        <v>34</v>
      </c>
      <c r="E34" s="50">
        <v>48</v>
      </c>
      <c r="F34" s="50">
        <v>63</v>
      </c>
      <c r="G34" s="50">
        <v>0</v>
      </c>
      <c r="H34" s="50">
        <v>0</v>
      </c>
      <c r="I34" s="50">
        <v>1</v>
      </c>
      <c r="J34" s="50">
        <v>4</v>
      </c>
      <c r="K34" s="50">
        <v>1</v>
      </c>
      <c r="L34" s="50">
        <v>2</v>
      </c>
      <c r="M34" s="50">
        <v>79</v>
      </c>
      <c r="N34" s="50">
        <v>0</v>
      </c>
      <c r="O34" s="15">
        <f t="shared" si="0"/>
        <v>242</v>
      </c>
      <c r="P34" s="15">
        <f t="shared" si="1"/>
        <v>321</v>
      </c>
    </row>
    <row r="35" spans="2:20" ht="23.1" customHeight="1" x14ac:dyDescent="0.25">
      <c r="B35" s="24" t="s">
        <v>62</v>
      </c>
      <c r="C35" s="50">
        <v>62</v>
      </c>
      <c r="D35" s="50">
        <v>25</v>
      </c>
      <c r="E35" s="50">
        <v>30</v>
      </c>
      <c r="F35" s="50">
        <v>38</v>
      </c>
      <c r="G35" s="50">
        <v>1</v>
      </c>
      <c r="H35" s="50">
        <v>0</v>
      </c>
      <c r="I35" s="50">
        <v>2</v>
      </c>
      <c r="J35" s="50">
        <v>0</v>
      </c>
      <c r="K35" s="50">
        <v>1</v>
      </c>
      <c r="L35" s="50">
        <v>0</v>
      </c>
      <c r="M35" s="50">
        <v>84</v>
      </c>
      <c r="N35" s="50">
        <v>0</v>
      </c>
      <c r="O35" s="15">
        <f t="shared" si="0"/>
        <v>159</v>
      </c>
      <c r="P35" s="15">
        <f t="shared" si="1"/>
        <v>243</v>
      </c>
    </row>
    <row r="36" spans="2:20" ht="23.1" customHeight="1" x14ac:dyDescent="0.25">
      <c r="B36" s="24" t="s">
        <v>63</v>
      </c>
      <c r="C36" s="50">
        <v>85</v>
      </c>
      <c r="D36" s="50">
        <v>38</v>
      </c>
      <c r="E36" s="50">
        <v>32</v>
      </c>
      <c r="F36" s="50">
        <v>46</v>
      </c>
      <c r="G36" s="50">
        <v>0</v>
      </c>
      <c r="H36" s="50">
        <v>0</v>
      </c>
      <c r="I36" s="50">
        <v>4</v>
      </c>
      <c r="J36" s="50">
        <v>3</v>
      </c>
      <c r="K36" s="50">
        <v>0</v>
      </c>
      <c r="L36" s="50">
        <v>0</v>
      </c>
      <c r="M36" s="50">
        <v>86</v>
      </c>
      <c r="N36" s="50">
        <v>0</v>
      </c>
      <c r="O36" s="15">
        <f t="shared" si="0"/>
        <v>208</v>
      </c>
      <c r="P36" s="15">
        <f t="shared" si="1"/>
        <v>294</v>
      </c>
    </row>
    <row r="37" spans="2:20" ht="23.1" customHeight="1" x14ac:dyDescent="0.25">
      <c r="B37" s="23" t="s">
        <v>64</v>
      </c>
      <c r="C37" s="50">
        <v>68</v>
      </c>
      <c r="D37" s="50">
        <v>47</v>
      </c>
      <c r="E37" s="50">
        <v>19</v>
      </c>
      <c r="F37" s="50">
        <v>72</v>
      </c>
      <c r="G37" s="50">
        <v>0</v>
      </c>
      <c r="H37" s="50">
        <v>0</v>
      </c>
      <c r="I37" s="50">
        <v>3</v>
      </c>
      <c r="J37" s="50">
        <v>4</v>
      </c>
      <c r="K37" s="50">
        <v>1</v>
      </c>
      <c r="L37" s="50">
        <v>1</v>
      </c>
      <c r="M37" s="50">
        <v>68</v>
      </c>
      <c r="N37" s="50">
        <v>0</v>
      </c>
      <c r="O37" s="15">
        <f t="shared" si="0"/>
        <v>215</v>
      </c>
      <c r="P37" s="15">
        <f t="shared" si="1"/>
        <v>283</v>
      </c>
    </row>
    <row r="38" spans="2:20" ht="23.1" customHeight="1" x14ac:dyDescent="0.25">
      <c r="B38" s="24" t="s">
        <v>65</v>
      </c>
      <c r="C38" s="50">
        <v>97</v>
      </c>
      <c r="D38" s="50">
        <v>50</v>
      </c>
      <c r="E38" s="50">
        <v>17</v>
      </c>
      <c r="F38" s="50">
        <v>55</v>
      </c>
      <c r="G38" s="50">
        <v>0</v>
      </c>
      <c r="H38" s="50">
        <v>0</v>
      </c>
      <c r="I38" s="50">
        <v>2</v>
      </c>
      <c r="J38" s="50">
        <v>3</v>
      </c>
      <c r="K38" s="50">
        <v>0</v>
      </c>
      <c r="L38" s="50">
        <v>0</v>
      </c>
      <c r="M38" s="50">
        <v>53</v>
      </c>
      <c r="N38" s="50">
        <v>0</v>
      </c>
      <c r="O38" s="15">
        <f t="shared" si="0"/>
        <v>224</v>
      </c>
      <c r="P38" s="15">
        <f t="shared" si="1"/>
        <v>277</v>
      </c>
    </row>
    <row r="39" spans="2:20" ht="23.1" customHeight="1" x14ac:dyDescent="0.25">
      <c r="B39" s="24" t="s">
        <v>66</v>
      </c>
      <c r="C39" s="50">
        <v>120</v>
      </c>
      <c r="D39" s="50">
        <v>18</v>
      </c>
      <c r="E39" s="50">
        <v>24</v>
      </c>
      <c r="F39" s="50">
        <v>21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100</v>
      </c>
      <c r="N39" s="50">
        <v>0</v>
      </c>
      <c r="O39" s="15">
        <f t="shared" si="0"/>
        <v>185</v>
      </c>
      <c r="P39" s="15">
        <f t="shared" si="1"/>
        <v>285</v>
      </c>
    </row>
    <row r="40" spans="2:20" ht="23.1" customHeight="1" x14ac:dyDescent="0.25">
      <c r="B40" s="24" t="s">
        <v>67</v>
      </c>
      <c r="C40" s="50">
        <v>138</v>
      </c>
      <c r="D40" s="50">
        <v>25</v>
      </c>
      <c r="E40" s="50">
        <v>10</v>
      </c>
      <c r="F40" s="50">
        <v>26</v>
      </c>
      <c r="G40" s="50">
        <v>0</v>
      </c>
      <c r="H40" s="50">
        <v>0</v>
      </c>
      <c r="I40" s="50">
        <v>3</v>
      </c>
      <c r="J40" s="50">
        <v>2</v>
      </c>
      <c r="K40" s="50">
        <v>1</v>
      </c>
      <c r="L40" s="50">
        <v>0</v>
      </c>
      <c r="M40" s="50">
        <v>95</v>
      </c>
      <c r="N40" s="50">
        <v>0</v>
      </c>
      <c r="O40" s="15">
        <f t="shared" si="0"/>
        <v>205</v>
      </c>
      <c r="P40" s="15">
        <f t="shared" si="1"/>
        <v>300</v>
      </c>
    </row>
    <row r="41" spans="2:20" ht="23.1" customHeight="1" x14ac:dyDescent="0.25">
      <c r="B41" s="23" t="s">
        <v>68</v>
      </c>
      <c r="C41" s="50">
        <v>118</v>
      </c>
      <c r="D41" s="50">
        <v>28</v>
      </c>
      <c r="E41" s="50">
        <v>20</v>
      </c>
      <c r="F41" s="50">
        <v>38</v>
      </c>
      <c r="G41" s="50">
        <v>0</v>
      </c>
      <c r="H41" s="50">
        <v>0</v>
      </c>
      <c r="I41" s="50">
        <v>2</v>
      </c>
      <c r="J41" s="50">
        <v>6</v>
      </c>
      <c r="K41" s="50">
        <v>0</v>
      </c>
      <c r="L41" s="50">
        <v>1</v>
      </c>
      <c r="M41" s="50">
        <v>111</v>
      </c>
      <c r="N41" s="50">
        <v>0</v>
      </c>
      <c r="O41" s="15">
        <f t="shared" si="0"/>
        <v>213</v>
      </c>
      <c r="P41" s="15">
        <f t="shared" si="1"/>
        <v>324</v>
      </c>
    </row>
    <row r="42" spans="2:20" ht="23.1" customHeight="1" x14ac:dyDescent="0.25">
      <c r="B42" s="24" t="s">
        <v>69</v>
      </c>
      <c r="C42" s="50">
        <v>91</v>
      </c>
      <c r="D42" s="50">
        <v>6</v>
      </c>
      <c r="E42" s="50">
        <v>15</v>
      </c>
      <c r="F42" s="50">
        <v>20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67</v>
      </c>
      <c r="N42" s="50">
        <v>0</v>
      </c>
      <c r="O42" s="15">
        <f t="shared" si="0"/>
        <v>134</v>
      </c>
      <c r="P42" s="15">
        <f t="shared" si="1"/>
        <v>201</v>
      </c>
    </row>
    <row r="43" spans="2:20" ht="23.1" customHeight="1" x14ac:dyDescent="0.25">
      <c r="B43" s="23" t="s">
        <v>70</v>
      </c>
      <c r="C43" s="50">
        <v>130</v>
      </c>
      <c r="D43" s="50">
        <v>15</v>
      </c>
      <c r="E43" s="50">
        <v>19</v>
      </c>
      <c r="F43" s="50">
        <v>23</v>
      </c>
      <c r="G43" s="50">
        <v>0</v>
      </c>
      <c r="H43" s="50">
        <v>0</v>
      </c>
      <c r="I43" s="50">
        <v>0</v>
      </c>
      <c r="J43" s="50">
        <v>3</v>
      </c>
      <c r="K43" s="50">
        <v>0</v>
      </c>
      <c r="L43" s="50">
        <v>0</v>
      </c>
      <c r="M43" s="50">
        <v>85</v>
      </c>
      <c r="N43" s="50">
        <v>0</v>
      </c>
      <c r="O43" s="15">
        <f t="shared" si="0"/>
        <v>190</v>
      </c>
      <c r="P43" s="15">
        <f t="shared" si="1"/>
        <v>275</v>
      </c>
    </row>
    <row r="44" spans="2:20" ht="23.1" customHeight="1" x14ac:dyDescent="0.25">
      <c r="B44" s="25" t="s">
        <v>71</v>
      </c>
      <c r="C44" s="50">
        <v>195</v>
      </c>
      <c r="D44" s="50">
        <v>35</v>
      </c>
      <c r="E44" s="50">
        <v>15</v>
      </c>
      <c r="F44" s="50">
        <v>25</v>
      </c>
      <c r="G44" s="50">
        <v>0</v>
      </c>
      <c r="H44" s="50">
        <v>0</v>
      </c>
      <c r="I44" s="50">
        <v>3</v>
      </c>
      <c r="J44" s="50">
        <v>1</v>
      </c>
      <c r="K44" s="50">
        <v>1</v>
      </c>
      <c r="L44" s="50">
        <v>0</v>
      </c>
      <c r="M44" s="50">
        <v>70</v>
      </c>
      <c r="N44" s="50">
        <v>0</v>
      </c>
      <c r="O44" s="15">
        <f t="shared" si="0"/>
        <v>275</v>
      </c>
      <c r="P44" s="15">
        <f t="shared" si="1"/>
        <v>345</v>
      </c>
    </row>
    <row r="45" spans="2:20" ht="23.1" customHeight="1" x14ac:dyDescent="0.25">
      <c r="B45" s="23" t="s">
        <v>72</v>
      </c>
      <c r="C45" s="50">
        <v>208</v>
      </c>
      <c r="D45" s="50">
        <v>29</v>
      </c>
      <c r="E45" s="50">
        <v>28</v>
      </c>
      <c r="F45" s="50">
        <v>30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53</v>
      </c>
      <c r="N45" s="50">
        <v>0</v>
      </c>
      <c r="O45" s="15">
        <f t="shared" si="0"/>
        <v>298</v>
      </c>
      <c r="P45" s="15">
        <f t="shared" si="1"/>
        <v>351</v>
      </c>
    </row>
    <row r="46" spans="2:20" ht="23.1" customHeight="1" x14ac:dyDescent="0.25">
      <c r="B46" s="24" t="s">
        <v>73</v>
      </c>
      <c r="C46" s="50">
        <v>153</v>
      </c>
      <c r="D46" s="50">
        <v>21</v>
      </c>
      <c r="E46" s="50">
        <v>23</v>
      </c>
      <c r="F46" s="50">
        <v>27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56</v>
      </c>
      <c r="N46" s="50">
        <v>0</v>
      </c>
      <c r="O46" s="15">
        <f t="shared" si="0"/>
        <v>228</v>
      </c>
      <c r="P46" s="15">
        <f t="shared" si="1"/>
        <v>284</v>
      </c>
      <c r="R46" s="8"/>
      <c r="T46"/>
    </row>
    <row r="47" spans="2:20" ht="23.1" customHeight="1" x14ac:dyDescent="0.25">
      <c r="B47" s="24" t="s">
        <v>74</v>
      </c>
      <c r="C47" s="50">
        <v>159</v>
      </c>
      <c r="D47" s="50">
        <v>63</v>
      </c>
      <c r="E47" s="50">
        <v>23</v>
      </c>
      <c r="F47" s="50">
        <v>46</v>
      </c>
      <c r="G47" s="50">
        <v>0</v>
      </c>
      <c r="H47" s="50">
        <v>0</v>
      </c>
      <c r="I47" s="50">
        <v>2</v>
      </c>
      <c r="J47" s="50">
        <v>6</v>
      </c>
      <c r="K47" s="50">
        <v>0</v>
      </c>
      <c r="L47" s="50">
        <v>1</v>
      </c>
      <c r="M47" s="50">
        <v>58</v>
      </c>
      <c r="N47" s="50">
        <v>0</v>
      </c>
      <c r="O47" s="15">
        <f t="shared" si="0"/>
        <v>300</v>
      </c>
      <c r="P47" s="15">
        <f t="shared" si="1"/>
        <v>358</v>
      </c>
      <c r="R47" s="8"/>
      <c r="T47"/>
    </row>
    <row r="48" spans="2:20" ht="23.1" customHeight="1" x14ac:dyDescent="0.25">
      <c r="B48" s="24" t="s">
        <v>75</v>
      </c>
      <c r="C48" s="50">
        <v>143</v>
      </c>
      <c r="D48" s="50">
        <v>26</v>
      </c>
      <c r="E48" s="50">
        <v>33</v>
      </c>
      <c r="F48" s="50">
        <v>59</v>
      </c>
      <c r="G48" s="50">
        <v>0</v>
      </c>
      <c r="H48" s="50">
        <v>0</v>
      </c>
      <c r="I48" s="50">
        <v>1</v>
      </c>
      <c r="J48" s="50">
        <v>4</v>
      </c>
      <c r="K48" s="50">
        <v>0</v>
      </c>
      <c r="L48" s="50">
        <v>0</v>
      </c>
      <c r="M48" s="50">
        <v>63</v>
      </c>
      <c r="N48" s="50">
        <v>0</v>
      </c>
      <c r="O48" s="15">
        <f t="shared" si="0"/>
        <v>266</v>
      </c>
      <c r="P48" s="15">
        <f t="shared" si="1"/>
        <v>329</v>
      </c>
      <c r="R48" s="8"/>
      <c r="T48"/>
    </row>
    <row r="49" spans="2:20" ht="23.1" customHeight="1" x14ac:dyDescent="0.25">
      <c r="B49" s="23" t="s">
        <v>76</v>
      </c>
      <c r="C49" s="50">
        <v>129</v>
      </c>
      <c r="D49" s="50">
        <v>36</v>
      </c>
      <c r="E49" s="50">
        <v>18</v>
      </c>
      <c r="F49" s="50">
        <v>43</v>
      </c>
      <c r="G49" s="50">
        <v>1</v>
      </c>
      <c r="H49" s="50">
        <v>0</v>
      </c>
      <c r="I49" s="50">
        <v>2</v>
      </c>
      <c r="J49" s="50">
        <v>2</v>
      </c>
      <c r="K49" s="50">
        <v>0</v>
      </c>
      <c r="L49" s="50">
        <v>0</v>
      </c>
      <c r="M49" s="50">
        <v>52</v>
      </c>
      <c r="N49" s="50">
        <v>0</v>
      </c>
      <c r="O49" s="15">
        <f t="shared" si="0"/>
        <v>231</v>
      </c>
      <c r="P49" s="15">
        <f t="shared" si="1"/>
        <v>283</v>
      </c>
      <c r="R49" s="8"/>
      <c r="T49"/>
    </row>
    <row r="50" spans="2:20" ht="23.1" customHeight="1" x14ac:dyDescent="0.25">
      <c r="B50" s="24" t="s">
        <v>77</v>
      </c>
      <c r="C50" s="50">
        <v>139</v>
      </c>
      <c r="D50" s="50">
        <v>47</v>
      </c>
      <c r="E50" s="50">
        <v>31</v>
      </c>
      <c r="F50" s="50">
        <v>39</v>
      </c>
      <c r="G50" s="50">
        <v>1</v>
      </c>
      <c r="H50" s="50">
        <v>0</v>
      </c>
      <c r="I50" s="50">
        <v>8</v>
      </c>
      <c r="J50" s="50">
        <v>3</v>
      </c>
      <c r="K50" s="50">
        <v>0</v>
      </c>
      <c r="L50" s="50">
        <v>0</v>
      </c>
      <c r="M50" s="50">
        <v>67</v>
      </c>
      <c r="N50" s="50">
        <v>0</v>
      </c>
      <c r="O50" s="15">
        <f t="shared" si="0"/>
        <v>268</v>
      </c>
      <c r="P50" s="15">
        <f t="shared" si="1"/>
        <v>335</v>
      </c>
      <c r="R50" s="8"/>
      <c r="T50"/>
    </row>
    <row r="51" spans="2:20" ht="23.1" customHeight="1" x14ac:dyDescent="0.25">
      <c r="B51" s="24" t="s">
        <v>78</v>
      </c>
      <c r="C51" s="50">
        <v>110</v>
      </c>
      <c r="D51" s="50">
        <v>48</v>
      </c>
      <c r="E51" s="50">
        <v>36</v>
      </c>
      <c r="F51" s="50">
        <v>26</v>
      </c>
      <c r="G51" s="50">
        <v>0</v>
      </c>
      <c r="H51" s="50">
        <v>1</v>
      </c>
      <c r="I51" s="50">
        <v>0</v>
      </c>
      <c r="J51" s="50">
        <v>1</v>
      </c>
      <c r="K51" s="50">
        <v>0</v>
      </c>
      <c r="L51" s="50">
        <v>0</v>
      </c>
      <c r="M51" s="50">
        <v>71</v>
      </c>
      <c r="N51" s="50">
        <v>0</v>
      </c>
      <c r="O51" s="15">
        <f t="shared" si="0"/>
        <v>222</v>
      </c>
      <c r="P51" s="15">
        <f t="shared" si="1"/>
        <v>293</v>
      </c>
      <c r="R51" s="8"/>
      <c r="T51"/>
    </row>
    <row r="52" spans="2:20" ht="23.1" customHeight="1" x14ac:dyDescent="0.25">
      <c r="B52" s="24" t="s">
        <v>79</v>
      </c>
      <c r="C52" s="50">
        <v>128</v>
      </c>
      <c r="D52" s="50">
        <v>51</v>
      </c>
      <c r="E52" s="50">
        <v>26</v>
      </c>
      <c r="F52" s="50">
        <v>21</v>
      </c>
      <c r="G52" s="50">
        <v>1</v>
      </c>
      <c r="H52" s="50">
        <v>0</v>
      </c>
      <c r="I52" s="50">
        <v>2</v>
      </c>
      <c r="J52" s="50">
        <v>6</v>
      </c>
      <c r="K52" s="50">
        <v>0</v>
      </c>
      <c r="L52" s="50">
        <v>0</v>
      </c>
      <c r="M52" s="50">
        <v>83</v>
      </c>
      <c r="N52" s="50">
        <v>0</v>
      </c>
      <c r="O52" s="15">
        <f t="shared" si="0"/>
        <v>235</v>
      </c>
      <c r="P52" s="15">
        <f t="shared" si="1"/>
        <v>318</v>
      </c>
      <c r="R52" s="8"/>
      <c r="T52"/>
    </row>
    <row r="53" spans="2:20" ht="23.1" customHeight="1" x14ac:dyDescent="0.25">
      <c r="B53" s="23" t="s">
        <v>80</v>
      </c>
      <c r="C53" s="50">
        <v>124</v>
      </c>
      <c r="D53" s="50">
        <v>49</v>
      </c>
      <c r="E53" s="50">
        <v>16</v>
      </c>
      <c r="F53" s="50">
        <v>29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103</v>
      </c>
      <c r="N53" s="50">
        <v>0</v>
      </c>
      <c r="O53" s="15">
        <f t="shared" si="0"/>
        <v>220</v>
      </c>
      <c r="P53" s="15">
        <f t="shared" si="1"/>
        <v>323</v>
      </c>
      <c r="R53" s="8"/>
      <c r="T53"/>
    </row>
    <row r="54" spans="2:20" ht="23.1" customHeight="1" x14ac:dyDescent="0.25">
      <c r="B54" s="23" t="s">
        <v>81</v>
      </c>
      <c r="C54" s="50">
        <v>91</v>
      </c>
      <c r="D54" s="50">
        <v>31</v>
      </c>
      <c r="E54" s="50">
        <v>22</v>
      </c>
      <c r="F54" s="50">
        <v>29</v>
      </c>
      <c r="G54" s="50">
        <v>1</v>
      </c>
      <c r="H54" s="50">
        <v>0</v>
      </c>
      <c r="I54" s="50">
        <v>2</v>
      </c>
      <c r="J54" s="50">
        <v>6</v>
      </c>
      <c r="K54" s="50">
        <v>0</v>
      </c>
      <c r="L54" s="50">
        <v>0</v>
      </c>
      <c r="M54" s="50">
        <v>62</v>
      </c>
      <c r="N54" s="50">
        <v>0</v>
      </c>
      <c r="O54" s="15">
        <f t="shared" si="0"/>
        <v>182</v>
      </c>
      <c r="P54" s="15">
        <f t="shared" si="1"/>
        <v>244</v>
      </c>
      <c r="R54" s="8"/>
      <c r="T54"/>
    </row>
    <row r="55" spans="2:20" ht="23.1" customHeight="1" x14ac:dyDescent="0.25">
      <c r="B55" s="23" t="s">
        <v>82</v>
      </c>
      <c r="C55" s="50">
        <v>103</v>
      </c>
      <c r="D55" s="50">
        <v>16</v>
      </c>
      <c r="E55" s="50">
        <v>21</v>
      </c>
      <c r="F55" s="50">
        <v>15</v>
      </c>
      <c r="G55" s="50">
        <v>1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73</v>
      </c>
      <c r="N55" s="50">
        <v>0</v>
      </c>
      <c r="O55" s="15">
        <f t="shared" si="0"/>
        <v>159</v>
      </c>
      <c r="P55" s="15">
        <f t="shared" si="1"/>
        <v>232</v>
      </c>
      <c r="R55" s="8"/>
      <c r="T55"/>
    </row>
    <row r="56" spans="2:20" ht="23.1" customHeight="1" x14ac:dyDescent="0.25">
      <c r="B56" s="23" t="s">
        <v>83</v>
      </c>
      <c r="C56" s="50">
        <v>143</v>
      </c>
      <c r="D56" s="50">
        <v>21</v>
      </c>
      <c r="E56" s="50">
        <v>24</v>
      </c>
      <c r="F56" s="50">
        <v>29</v>
      </c>
      <c r="G56" s="50">
        <v>1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89</v>
      </c>
      <c r="N56" s="50">
        <v>0</v>
      </c>
      <c r="O56" s="15">
        <f t="shared" si="0"/>
        <v>221</v>
      </c>
      <c r="P56" s="15">
        <f t="shared" si="1"/>
        <v>310</v>
      </c>
      <c r="R56" s="8"/>
      <c r="T56"/>
    </row>
    <row r="57" spans="2:20" ht="23.1" customHeight="1" x14ac:dyDescent="0.25">
      <c r="B57" s="23" t="s">
        <v>84</v>
      </c>
      <c r="C57" s="50">
        <v>119</v>
      </c>
      <c r="D57" s="50">
        <v>19</v>
      </c>
      <c r="E57" s="50">
        <v>16</v>
      </c>
      <c r="F57" s="50">
        <v>37</v>
      </c>
      <c r="G57" s="50">
        <v>2</v>
      </c>
      <c r="H57" s="50">
        <v>1</v>
      </c>
      <c r="I57" s="50">
        <v>0</v>
      </c>
      <c r="J57" s="50">
        <v>4</v>
      </c>
      <c r="K57" s="50">
        <v>0</v>
      </c>
      <c r="L57" s="50">
        <v>0</v>
      </c>
      <c r="M57" s="50">
        <v>94</v>
      </c>
      <c r="N57" s="50">
        <v>0</v>
      </c>
      <c r="O57" s="15">
        <f t="shared" si="0"/>
        <v>198</v>
      </c>
      <c r="P57" s="15">
        <f t="shared" si="1"/>
        <v>292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5007</v>
      </c>
      <c r="D58" s="16">
        <f t="shared" si="21"/>
        <v>1673</v>
      </c>
      <c r="E58" s="16">
        <f t="shared" si="21"/>
        <v>1166</v>
      </c>
      <c r="F58" s="16">
        <f t="shared" si="21"/>
        <v>1869</v>
      </c>
      <c r="G58" s="16">
        <f t="shared" si="21"/>
        <v>12</v>
      </c>
      <c r="H58" s="16">
        <f t="shared" si="21"/>
        <v>11</v>
      </c>
      <c r="I58" s="16">
        <f t="shared" si="21"/>
        <v>114</v>
      </c>
      <c r="J58" s="16">
        <f t="shared" si="21"/>
        <v>106</v>
      </c>
      <c r="K58" s="16">
        <f t="shared" si="21"/>
        <v>7</v>
      </c>
      <c r="L58" s="16">
        <f t="shared" si="21"/>
        <v>9</v>
      </c>
      <c r="M58" s="16">
        <f t="shared" si="21"/>
        <v>3504</v>
      </c>
      <c r="N58" s="16">
        <f t="shared" si="21"/>
        <v>0</v>
      </c>
      <c r="O58" s="16">
        <f t="shared" si="21"/>
        <v>9974</v>
      </c>
      <c r="P58" s="16">
        <f t="shared" si="21"/>
        <v>13478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0.37149428698619974</v>
      </c>
      <c r="D59" s="43">
        <f t="shared" si="22"/>
        <v>0.12412820893307612</v>
      </c>
      <c r="E59" s="43">
        <f t="shared" si="22"/>
        <v>8.6511351832616115E-2</v>
      </c>
      <c r="F59" s="43">
        <f t="shared" si="22"/>
        <v>0.13867042587921055</v>
      </c>
      <c r="G59" s="43">
        <f t="shared" si="22"/>
        <v>8.9033981302863929E-4</v>
      </c>
      <c r="H59" s="43">
        <f t="shared" si="22"/>
        <v>8.1614482860958599E-4</v>
      </c>
      <c r="I59" s="43">
        <f t="shared" si="22"/>
        <v>8.4582282237720737E-3</v>
      </c>
      <c r="J59" s="43">
        <f t="shared" si="22"/>
        <v>7.8646683484196473E-3</v>
      </c>
      <c r="K59" s="43">
        <f t="shared" si="22"/>
        <v>5.1936489093337289E-4</v>
      </c>
      <c r="L59" s="43">
        <f t="shared" si="22"/>
        <v>6.6775485977147949E-4</v>
      </c>
      <c r="M59" s="43">
        <f t="shared" si="22"/>
        <v>0.25997922540436269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0.50200521355524363</v>
      </c>
      <c r="D60" s="44">
        <f t="shared" ref="D60:N60" si="23">D58/$O$58</f>
        <v>0.16773611389612994</v>
      </c>
      <c r="E60" s="44">
        <f t="shared" si="23"/>
        <v>0.11690395027070383</v>
      </c>
      <c r="F60" s="44">
        <f t="shared" si="23"/>
        <v>0.18738720673751755</v>
      </c>
      <c r="G60" s="44">
        <f t="shared" si="23"/>
        <v>1.20312813314618E-3</v>
      </c>
      <c r="H60" s="44">
        <f t="shared" si="23"/>
        <v>1.1028674553839983E-3</v>
      </c>
      <c r="I60" s="44">
        <f t="shared" si="23"/>
        <v>1.1429717264888711E-2</v>
      </c>
      <c r="J60" s="44">
        <f t="shared" si="23"/>
        <v>1.0627631842791257E-2</v>
      </c>
      <c r="K60" s="44">
        <f t="shared" si="23"/>
        <v>7.0182474433527168E-4</v>
      </c>
      <c r="L60" s="44">
        <f t="shared" si="23"/>
        <v>9.0234609985963504E-4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Nakawa-Bugolobi'!C3:G3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Bugolobi-Nakawa'!D5</f>
        <v>31.07.19</v>
      </c>
      <c r="E5" s="3"/>
      <c r="F5" s="41" t="s">
        <v>1</v>
      </c>
      <c r="G5" s="63" t="str">
        <f>'29.07 Bugolobi-Nakawa'!G5:H5</f>
        <v>Business Park</v>
      </c>
      <c r="H5" s="64"/>
      <c r="I5" s="14"/>
      <c r="J5" s="2" t="s">
        <v>5</v>
      </c>
      <c r="K5" s="63" t="str">
        <f>'29.07 Bugolobi-Nakawa'!K5:L5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Nakawa-Bugolobi'!D6:E6</f>
        <v>Nakawa</v>
      </c>
      <c r="E6" s="64"/>
      <c r="F6" s="2" t="s">
        <v>2</v>
      </c>
      <c r="G6" s="63" t="str">
        <f>'29.07 Nakawa-Bugolobi'!G6:H6</f>
        <v>Bugolobi</v>
      </c>
      <c r="H6" s="64"/>
      <c r="J6" s="2" t="s">
        <v>21</v>
      </c>
      <c r="K6" s="63" t="str">
        <f>'29.07 Bugolobi-Nakawa'!K6:L6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113</v>
      </c>
      <c r="D10" s="50">
        <v>40</v>
      </c>
      <c r="E10" s="50">
        <v>35</v>
      </c>
      <c r="F10" s="50">
        <v>33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64</v>
      </c>
      <c r="N10" s="50">
        <v>0</v>
      </c>
      <c r="O10" s="15">
        <f t="shared" ref="O10:O57" si="0">SUM(C10:L10,N10)</f>
        <v>221</v>
      </c>
      <c r="P10" s="15">
        <f t="shared" ref="P10:P57" si="1">SUM(C10:N10)</f>
        <v>285</v>
      </c>
      <c r="R10" s="1" t="s">
        <v>6</v>
      </c>
      <c r="S10" s="17">
        <f t="shared" ref="S10:AF10" si="2">SUM(C10:C13)</f>
        <v>464</v>
      </c>
      <c r="T10" s="17">
        <f t="shared" si="2"/>
        <v>221</v>
      </c>
      <c r="U10" s="17">
        <f t="shared" si="2"/>
        <v>170</v>
      </c>
      <c r="V10" s="17">
        <f t="shared" si="2"/>
        <v>194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274</v>
      </c>
      <c r="AD10" s="17">
        <f t="shared" si="2"/>
        <v>0</v>
      </c>
      <c r="AE10" s="31">
        <f t="shared" si="2"/>
        <v>1055</v>
      </c>
      <c r="AF10" s="31">
        <f t="shared" si="2"/>
        <v>1329</v>
      </c>
    </row>
    <row r="11" spans="2:32" s="6" customFormat="1" ht="23.1" customHeight="1" x14ac:dyDescent="0.25">
      <c r="B11" s="23" t="s">
        <v>38</v>
      </c>
      <c r="C11" s="50">
        <v>63</v>
      </c>
      <c r="D11" s="50">
        <v>53</v>
      </c>
      <c r="E11" s="50">
        <v>21</v>
      </c>
      <c r="F11" s="50">
        <v>38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63</v>
      </c>
      <c r="N11" s="50">
        <v>0</v>
      </c>
      <c r="O11" s="15">
        <f t="shared" si="0"/>
        <v>175</v>
      </c>
      <c r="P11" s="15">
        <f t="shared" si="1"/>
        <v>238</v>
      </c>
      <c r="R11" s="1" t="s">
        <v>7</v>
      </c>
      <c r="S11" s="17">
        <f t="shared" ref="S11:AF11" si="3">SUM(C14:C17)</f>
        <v>449</v>
      </c>
      <c r="T11" s="17">
        <f t="shared" si="3"/>
        <v>157</v>
      </c>
      <c r="U11" s="17">
        <f t="shared" si="3"/>
        <v>83</v>
      </c>
      <c r="V11" s="17">
        <f t="shared" si="3"/>
        <v>221</v>
      </c>
      <c r="W11" s="17">
        <f t="shared" si="3"/>
        <v>0</v>
      </c>
      <c r="X11" s="17">
        <f t="shared" si="3"/>
        <v>3</v>
      </c>
      <c r="Y11" s="17">
        <f t="shared" si="3"/>
        <v>9</v>
      </c>
      <c r="Z11" s="17">
        <f t="shared" si="3"/>
        <v>6</v>
      </c>
      <c r="AA11" s="17">
        <f t="shared" si="3"/>
        <v>1</v>
      </c>
      <c r="AB11" s="17">
        <f t="shared" si="3"/>
        <v>2</v>
      </c>
      <c r="AC11" s="17">
        <f t="shared" si="3"/>
        <v>321</v>
      </c>
      <c r="AD11" s="17">
        <f t="shared" si="3"/>
        <v>0</v>
      </c>
      <c r="AE11" s="31">
        <f t="shared" si="3"/>
        <v>931</v>
      </c>
      <c r="AF11" s="31">
        <f t="shared" si="3"/>
        <v>1252</v>
      </c>
    </row>
    <row r="12" spans="2:32" ht="23.1" customHeight="1" x14ac:dyDescent="0.25">
      <c r="B12" s="23" t="s">
        <v>39</v>
      </c>
      <c r="C12" s="50">
        <v>135</v>
      </c>
      <c r="D12" s="50">
        <v>63</v>
      </c>
      <c r="E12" s="50">
        <v>64</v>
      </c>
      <c r="F12" s="50">
        <v>64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0</v>
      </c>
      <c r="M12" s="50">
        <v>73</v>
      </c>
      <c r="N12" s="50">
        <v>0</v>
      </c>
      <c r="O12" s="15">
        <f t="shared" si="0"/>
        <v>329</v>
      </c>
      <c r="P12" s="15">
        <f t="shared" si="1"/>
        <v>402</v>
      </c>
      <c r="R12" s="1" t="s">
        <v>8</v>
      </c>
      <c r="S12" s="17">
        <f t="shared" ref="S12:AF12" si="4">SUM(C18:C21)</f>
        <v>279</v>
      </c>
      <c r="T12" s="17">
        <f t="shared" si="4"/>
        <v>99</v>
      </c>
      <c r="U12" s="17">
        <f t="shared" si="4"/>
        <v>72</v>
      </c>
      <c r="V12" s="17">
        <f t="shared" si="4"/>
        <v>145</v>
      </c>
      <c r="W12" s="17">
        <f t="shared" si="4"/>
        <v>1</v>
      </c>
      <c r="X12" s="17">
        <f t="shared" si="4"/>
        <v>2</v>
      </c>
      <c r="Y12" s="17">
        <f t="shared" si="4"/>
        <v>8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370</v>
      </c>
      <c r="AD12" s="17">
        <f t="shared" si="4"/>
        <v>0</v>
      </c>
      <c r="AE12" s="31">
        <f t="shared" si="4"/>
        <v>611</v>
      </c>
      <c r="AF12" s="31">
        <f t="shared" si="4"/>
        <v>981</v>
      </c>
    </row>
    <row r="13" spans="2:32" ht="23.1" customHeight="1" x14ac:dyDescent="0.25">
      <c r="B13" s="23" t="s">
        <v>40</v>
      </c>
      <c r="C13" s="50">
        <v>153</v>
      </c>
      <c r="D13" s="50">
        <v>65</v>
      </c>
      <c r="E13" s="50">
        <v>50</v>
      </c>
      <c r="F13" s="50">
        <v>59</v>
      </c>
      <c r="G13" s="50">
        <v>0</v>
      </c>
      <c r="H13" s="50">
        <v>1</v>
      </c>
      <c r="I13" s="50">
        <v>0</v>
      </c>
      <c r="J13" s="50">
        <v>2</v>
      </c>
      <c r="K13" s="50">
        <v>0</v>
      </c>
      <c r="L13" s="50">
        <v>0</v>
      </c>
      <c r="M13" s="50">
        <v>74</v>
      </c>
      <c r="N13" s="50">
        <v>0</v>
      </c>
      <c r="O13" s="15">
        <f t="shared" si="0"/>
        <v>330</v>
      </c>
      <c r="P13" s="15">
        <f t="shared" si="1"/>
        <v>404</v>
      </c>
      <c r="R13" s="1" t="s">
        <v>9</v>
      </c>
      <c r="S13" s="17">
        <f t="shared" ref="S13:AF13" si="5">SUM(C22:C25)</f>
        <v>250</v>
      </c>
      <c r="T13" s="17">
        <f t="shared" si="5"/>
        <v>94</v>
      </c>
      <c r="U13" s="17">
        <f t="shared" si="5"/>
        <v>85</v>
      </c>
      <c r="V13" s="17">
        <f t="shared" si="5"/>
        <v>125</v>
      </c>
      <c r="W13" s="17">
        <f t="shared" si="5"/>
        <v>0</v>
      </c>
      <c r="X13" s="17">
        <f t="shared" si="5"/>
        <v>2</v>
      </c>
      <c r="Y13" s="17">
        <f t="shared" si="5"/>
        <v>7</v>
      </c>
      <c r="Z13" s="17">
        <f t="shared" si="5"/>
        <v>11</v>
      </c>
      <c r="AA13" s="17">
        <f t="shared" si="5"/>
        <v>1</v>
      </c>
      <c r="AB13" s="17">
        <f t="shared" si="5"/>
        <v>1</v>
      </c>
      <c r="AC13" s="17">
        <f t="shared" si="5"/>
        <v>241</v>
      </c>
      <c r="AD13" s="17">
        <f t="shared" si="5"/>
        <v>0</v>
      </c>
      <c r="AE13" s="31">
        <f t="shared" si="5"/>
        <v>576</v>
      </c>
      <c r="AF13" s="31">
        <f t="shared" si="5"/>
        <v>817</v>
      </c>
    </row>
    <row r="14" spans="2:32" ht="23.1" customHeight="1" x14ac:dyDescent="0.25">
      <c r="B14" s="23" t="s">
        <v>41</v>
      </c>
      <c r="C14" s="50">
        <v>103</v>
      </c>
      <c r="D14" s="50">
        <v>43</v>
      </c>
      <c r="E14" s="50">
        <v>12</v>
      </c>
      <c r="F14" s="50">
        <v>50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1</v>
      </c>
      <c r="M14" s="50">
        <v>79</v>
      </c>
      <c r="N14" s="50">
        <v>0</v>
      </c>
      <c r="O14" s="15">
        <f t="shared" si="0"/>
        <v>210</v>
      </c>
      <c r="P14" s="15">
        <f t="shared" si="1"/>
        <v>289</v>
      </c>
      <c r="R14" s="1" t="s">
        <v>10</v>
      </c>
      <c r="S14" s="17">
        <f t="shared" ref="S14:AF14" si="6">SUM(C26:C29)</f>
        <v>320</v>
      </c>
      <c r="T14" s="17">
        <f t="shared" si="6"/>
        <v>179</v>
      </c>
      <c r="U14" s="17">
        <f t="shared" si="6"/>
        <v>113</v>
      </c>
      <c r="V14" s="17">
        <f t="shared" si="6"/>
        <v>175</v>
      </c>
      <c r="W14" s="17">
        <f t="shared" si="6"/>
        <v>2</v>
      </c>
      <c r="X14" s="17">
        <f t="shared" si="6"/>
        <v>0</v>
      </c>
      <c r="Y14" s="17">
        <f t="shared" si="6"/>
        <v>20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215</v>
      </c>
      <c r="AD14" s="17">
        <f t="shared" si="6"/>
        <v>0</v>
      </c>
      <c r="AE14" s="31">
        <f t="shared" si="6"/>
        <v>817</v>
      </c>
      <c r="AF14" s="31">
        <f t="shared" si="6"/>
        <v>1032</v>
      </c>
    </row>
    <row r="15" spans="2:32" ht="23.1" customHeight="1" x14ac:dyDescent="0.25">
      <c r="B15" s="23" t="s">
        <v>42</v>
      </c>
      <c r="C15" s="50">
        <v>106</v>
      </c>
      <c r="D15" s="50">
        <v>28</v>
      </c>
      <c r="E15" s="50">
        <v>22</v>
      </c>
      <c r="F15" s="50">
        <v>41</v>
      </c>
      <c r="G15" s="50">
        <v>0</v>
      </c>
      <c r="H15" s="50">
        <v>0</v>
      </c>
      <c r="I15" s="50">
        <v>3</v>
      </c>
      <c r="J15" s="50">
        <v>0</v>
      </c>
      <c r="K15" s="50">
        <v>1</v>
      </c>
      <c r="L15" s="50">
        <v>1</v>
      </c>
      <c r="M15" s="50">
        <v>68</v>
      </c>
      <c r="N15" s="50">
        <v>0</v>
      </c>
      <c r="O15" s="15">
        <f t="shared" si="0"/>
        <v>202</v>
      </c>
      <c r="P15" s="15">
        <f t="shared" si="1"/>
        <v>270</v>
      </c>
      <c r="R15" s="1" t="s">
        <v>11</v>
      </c>
      <c r="S15" s="17">
        <f t="shared" ref="S15:AF15" si="7">SUM(C30:C33)</f>
        <v>303</v>
      </c>
      <c r="T15" s="17">
        <f t="shared" si="7"/>
        <v>145</v>
      </c>
      <c r="U15" s="17">
        <f t="shared" si="7"/>
        <v>77</v>
      </c>
      <c r="V15" s="17">
        <f t="shared" si="7"/>
        <v>152</v>
      </c>
      <c r="W15" s="17">
        <f t="shared" si="7"/>
        <v>0</v>
      </c>
      <c r="X15" s="17">
        <f t="shared" si="7"/>
        <v>1</v>
      </c>
      <c r="Y15" s="17">
        <f t="shared" si="7"/>
        <v>21</v>
      </c>
      <c r="Z15" s="17">
        <f t="shared" si="7"/>
        <v>6</v>
      </c>
      <c r="AA15" s="17">
        <f t="shared" si="7"/>
        <v>0</v>
      </c>
      <c r="AB15" s="17">
        <f t="shared" si="7"/>
        <v>1</v>
      </c>
      <c r="AC15" s="17">
        <f t="shared" si="7"/>
        <v>261</v>
      </c>
      <c r="AD15" s="17">
        <f t="shared" si="7"/>
        <v>0</v>
      </c>
      <c r="AE15" s="31">
        <f t="shared" si="7"/>
        <v>706</v>
      </c>
      <c r="AF15" s="31">
        <f t="shared" si="7"/>
        <v>967</v>
      </c>
    </row>
    <row r="16" spans="2:32" ht="23.1" customHeight="1" x14ac:dyDescent="0.25">
      <c r="B16" s="23" t="s">
        <v>43</v>
      </c>
      <c r="C16" s="50">
        <v>97</v>
      </c>
      <c r="D16" s="50">
        <v>28</v>
      </c>
      <c r="E16" s="50">
        <v>28</v>
      </c>
      <c r="F16" s="50">
        <v>57</v>
      </c>
      <c r="G16" s="50">
        <v>0</v>
      </c>
      <c r="H16" s="50">
        <v>1</v>
      </c>
      <c r="I16" s="50">
        <v>1</v>
      </c>
      <c r="J16" s="50">
        <v>3</v>
      </c>
      <c r="K16" s="50">
        <v>0</v>
      </c>
      <c r="L16" s="50">
        <v>0</v>
      </c>
      <c r="M16" s="50">
        <v>88</v>
      </c>
      <c r="N16" s="50">
        <v>0</v>
      </c>
      <c r="O16" s="15">
        <f t="shared" si="0"/>
        <v>215</v>
      </c>
      <c r="P16" s="15">
        <f t="shared" si="1"/>
        <v>303</v>
      </c>
      <c r="R16" s="1" t="s">
        <v>12</v>
      </c>
      <c r="S16" s="17">
        <f t="shared" ref="S16:AF16" si="8">SUM(C34:C37)</f>
        <v>304</v>
      </c>
      <c r="T16" s="17">
        <f t="shared" si="8"/>
        <v>144</v>
      </c>
      <c r="U16" s="17">
        <f t="shared" si="8"/>
        <v>129</v>
      </c>
      <c r="V16" s="17">
        <f t="shared" si="8"/>
        <v>219</v>
      </c>
      <c r="W16" s="17">
        <f t="shared" si="8"/>
        <v>1</v>
      </c>
      <c r="X16" s="17">
        <f t="shared" si="8"/>
        <v>0</v>
      </c>
      <c r="Y16" s="17">
        <f t="shared" si="8"/>
        <v>10</v>
      </c>
      <c r="Z16" s="17">
        <f t="shared" si="8"/>
        <v>11</v>
      </c>
      <c r="AA16" s="17">
        <f t="shared" si="8"/>
        <v>3</v>
      </c>
      <c r="AB16" s="17">
        <f t="shared" si="8"/>
        <v>3</v>
      </c>
      <c r="AC16" s="17">
        <f t="shared" si="8"/>
        <v>317</v>
      </c>
      <c r="AD16" s="17">
        <f t="shared" si="8"/>
        <v>0</v>
      </c>
      <c r="AE16" s="31">
        <f t="shared" si="8"/>
        <v>824</v>
      </c>
      <c r="AF16" s="31">
        <f t="shared" si="8"/>
        <v>1141</v>
      </c>
    </row>
    <row r="17" spans="2:32" ht="23.1" customHeight="1" x14ac:dyDescent="0.25">
      <c r="B17" s="23" t="s">
        <v>44</v>
      </c>
      <c r="C17" s="50">
        <v>143</v>
      </c>
      <c r="D17" s="50">
        <v>58</v>
      </c>
      <c r="E17" s="50">
        <v>21</v>
      </c>
      <c r="F17" s="50">
        <v>73</v>
      </c>
      <c r="G17" s="50">
        <v>0</v>
      </c>
      <c r="H17" s="50">
        <v>2</v>
      </c>
      <c r="I17" s="50">
        <v>5</v>
      </c>
      <c r="J17" s="50">
        <v>2</v>
      </c>
      <c r="K17" s="50">
        <v>0</v>
      </c>
      <c r="L17" s="50">
        <v>0</v>
      </c>
      <c r="M17" s="50">
        <v>86</v>
      </c>
      <c r="N17" s="50">
        <v>0</v>
      </c>
      <c r="O17" s="15">
        <f t="shared" si="0"/>
        <v>304</v>
      </c>
      <c r="P17" s="15">
        <f t="shared" si="1"/>
        <v>390</v>
      </c>
      <c r="R17" s="1" t="s">
        <v>13</v>
      </c>
      <c r="S17" s="17">
        <f t="shared" ref="S17:AF17" si="9">SUM(C38:C41)</f>
        <v>473</v>
      </c>
      <c r="T17" s="17">
        <f t="shared" si="9"/>
        <v>121</v>
      </c>
      <c r="U17" s="17">
        <f t="shared" si="9"/>
        <v>71</v>
      </c>
      <c r="V17" s="17">
        <f t="shared" si="9"/>
        <v>140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12</v>
      </c>
      <c r="AA17" s="17">
        <f t="shared" si="9"/>
        <v>1</v>
      </c>
      <c r="AB17" s="17">
        <f t="shared" si="9"/>
        <v>1</v>
      </c>
      <c r="AC17" s="17">
        <f t="shared" si="9"/>
        <v>359</v>
      </c>
      <c r="AD17" s="17">
        <f t="shared" si="9"/>
        <v>0</v>
      </c>
      <c r="AE17" s="31">
        <f t="shared" si="9"/>
        <v>827</v>
      </c>
      <c r="AF17" s="31">
        <f t="shared" si="9"/>
        <v>1186</v>
      </c>
    </row>
    <row r="18" spans="2:32" ht="23.1" customHeight="1" x14ac:dyDescent="0.25">
      <c r="B18" s="23" t="s">
        <v>45</v>
      </c>
      <c r="C18" s="50">
        <v>108</v>
      </c>
      <c r="D18" s="50">
        <v>53</v>
      </c>
      <c r="E18" s="50">
        <v>46</v>
      </c>
      <c r="F18" s="50">
        <v>63</v>
      </c>
      <c r="G18" s="50">
        <v>0</v>
      </c>
      <c r="H18" s="50">
        <v>1</v>
      </c>
      <c r="I18" s="50">
        <v>2</v>
      </c>
      <c r="J18" s="50">
        <v>1</v>
      </c>
      <c r="K18" s="50">
        <v>0</v>
      </c>
      <c r="L18" s="50">
        <v>0</v>
      </c>
      <c r="M18" s="50">
        <v>94</v>
      </c>
      <c r="N18" s="50">
        <v>0</v>
      </c>
      <c r="O18" s="15">
        <f t="shared" si="0"/>
        <v>274</v>
      </c>
      <c r="P18" s="15">
        <f t="shared" si="1"/>
        <v>368</v>
      </c>
      <c r="R18" s="1" t="s">
        <v>14</v>
      </c>
      <c r="S18" s="17">
        <f t="shared" ref="S18:AF18" si="10">SUM(C42:C45)</f>
        <v>624</v>
      </c>
      <c r="T18" s="17">
        <f t="shared" si="10"/>
        <v>85</v>
      </c>
      <c r="U18" s="17">
        <f t="shared" si="10"/>
        <v>77</v>
      </c>
      <c r="V18" s="17">
        <f t="shared" si="10"/>
        <v>98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5</v>
      </c>
      <c r="AA18" s="17">
        <f t="shared" si="10"/>
        <v>1</v>
      </c>
      <c r="AB18" s="17">
        <f t="shared" si="10"/>
        <v>0</v>
      </c>
      <c r="AC18" s="17">
        <f t="shared" si="10"/>
        <v>275</v>
      </c>
      <c r="AD18" s="17">
        <f t="shared" si="10"/>
        <v>0</v>
      </c>
      <c r="AE18" s="31">
        <f t="shared" si="10"/>
        <v>897</v>
      </c>
      <c r="AF18" s="31">
        <f t="shared" si="10"/>
        <v>1172</v>
      </c>
    </row>
    <row r="19" spans="2:32" ht="23.1" customHeight="1" x14ac:dyDescent="0.25">
      <c r="B19" s="23" t="s">
        <v>46</v>
      </c>
      <c r="C19" s="50">
        <v>47</v>
      </c>
      <c r="D19" s="50">
        <v>13</v>
      </c>
      <c r="E19" s="50">
        <v>8</v>
      </c>
      <c r="F19" s="50">
        <v>35</v>
      </c>
      <c r="G19" s="50">
        <v>0</v>
      </c>
      <c r="H19" s="50">
        <v>1</v>
      </c>
      <c r="I19" s="50">
        <v>1</v>
      </c>
      <c r="J19" s="50">
        <v>1</v>
      </c>
      <c r="K19" s="50">
        <v>0</v>
      </c>
      <c r="L19" s="50">
        <v>0</v>
      </c>
      <c r="M19" s="50">
        <v>122</v>
      </c>
      <c r="N19" s="50">
        <v>0</v>
      </c>
      <c r="O19" s="15">
        <f t="shared" si="0"/>
        <v>106</v>
      </c>
      <c r="P19" s="15">
        <f t="shared" si="1"/>
        <v>228</v>
      </c>
      <c r="R19" s="1" t="s">
        <v>15</v>
      </c>
      <c r="S19" s="17">
        <f t="shared" ref="S19:AF19" si="11">SUM(C46:C49)</f>
        <v>584</v>
      </c>
      <c r="T19" s="17">
        <f t="shared" si="11"/>
        <v>146</v>
      </c>
      <c r="U19" s="17">
        <f t="shared" si="11"/>
        <v>97</v>
      </c>
      <c r="V19" s="17">
        <f t="shared" si="11"/>
        <v>175</v>
      </c>
      <c r="W19" s="17">
        <f t="shared" si="11"/>
        <v>1</v>
      </c>
      <c r="X19" s="17">
        <f t="shared" si="11"/>
        <v>0</v>
      </c>
      <c r="Y19" s="17">
        <f t="shared" si="11"/>
        <v>7</v>
      </c>
      <c r="Z19" s="17">
        <f t="shared" si="11"/>
        <v>14</v>
      </c>
      <c r="AA19" s="17">
        <f t="shared" si="11"/>
        <v>0</v>
      </c>
      <c r="AB19" s="17">
        <f t="shared" si="11"/>
        <v>1</v>
      </c>
      <c r="AC19" s="17">
        <f t="shared" si="11"/>
        <v>229</v>
      </c>
      <c r="AD19" s="17">
        <f t="shared" si="11"/>
        <v>0</v>
      </c>
      <c r="AE19" s="31">
        <f t="shared" si="11"/>
        <v>1025</v>
      </c>
      <c r="AF19" s="31">
        <f t="shared" si="11"/>
        <v>1254</v>
      </c>
    </row>
    <row r="20" spans="2:32" ht="23.1" customHeight="1" x14ac:dyDescent="0.25">
      <c r="B20" s="23" t="s">
        <v>47</v>
      </c>
      <c r="C20" s="50">
        <v>78</v>
      </c>
      <c r="D20" s="50">
        <v>7</v>
      </c>
      <c r="E20" s="50">
        <v>16</v>
      </c>
      <c r="F20" s="50">
        <v>26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75</v>
      </c>
      <c r="N20" s="50">
        <v>0</v>
      </c>
      <c r="O20" s="15">
        <f t="shared" si="0"/>
        <v>130</v>
      </c>
      <c r="P20" s="15">
        <f t="shared" si="1"/>
        <v>205</v>
      </c>
      <c r="R20" s="1" t="s">
        <v>16</v>
      </c>
      <c r="S20" s="17">
        <f t="shared" ref="S20:AF20" si="12">SUM(C50:C53)</f>
        <v>501</v>
      </c>
      <c r="T20" s="17">
        <f t="shared" si="12"/>
        <v>195</v>
      </c>
      <c r="U20" s="17">
        <f t="shared" si="12"/>
        <v>109</v>
      </c>
      <c r="V20" s="17">
        <f t="shared" si="12"/>
        <v>115</v>
      </c>
      <c r="W20" s="17">
        <f t="shared" si="12"/>
        <v>2</v>
      </c>
      <c r="X20" s="17">
        <f t="shared" si="12"/>
        <v>1</v>
      </c>
      <c r="Y20" s="17">
        <f t="shared" si="12"/>
        <v>11</v>
      </c>
      <c r="Z20" s="17">
        <f t="shared" si="12"/>
        <v>11</v>
      </c>
      <c r="AA20" s="17">
        <f t="shared" si="12"/>
        <v>0</v>
      </c>
      <c r="AB20" s="17">
        <f t="shared" si="12"/>
        <v>0</v>
      </c>
      <c r="AC20" s="17">
        <f t="shared" si="12"/>
        <v>324</v>
      </c>
      <c r="AD20" s="17">
        <f t="shared" si="12"/>
        <v>0</v>
      </c>
      <c r="AE20" s="31">
        <f t="shared" si="12"/>
        <v>945</v>
      </c>
      <c r="AF20" s="31">
        <f t="shared" si="12"/>
        <v>1269</v>
      </c>
    </row>
    <row r="21" spans="2:32" ht="23.1" customHeight="1" x14ac:dyDescent="0.25">
      <c r="B21" s="23" t="s">
        <v>48</v>
      </c>
      <c r="C21" s="50">
        <v>46</v>
      </c>
      <c r="D21" s="50">
        <v>26</v>
      </c>
      <c r="E21" s="50">
        <v>2</v>
      </c>
      <c r="F21" s="50">
        <v>21</v>
      </c>
      <c r="G21" s="50">
        <v>1</v>
      </c>
      <c r="H21" s="50">
        <v>0</v>
      </c>
      <c r="I21" s="50">
        <v>2</v>
      </c>
      <c r="J21" s="50">
        <v>3</v>
      </c>
      <c r="K21" s="50">
        <v>0</v>
      </c>
      <c r="L21" s="50">
        <v>0</v>
      </c>
      <c r="M21" s="50">
        <v>79</v>
      </c>
      <c r="N21" s="50">
        <v>0</v>
      </c>
      <c r="O21" s="15">
        <f t="shared" si="0"/>
        <v>101</v>
      </c>
      <c r="P21" s="15">
        <f t="shared" si="1"/>
        <v>180</v>
      </c>
      <c r="R21" s="36" t="s">
        <v>20</v>
      </c>
      <c r="S21" s="34">
        <f t="shared" ref="S21:AF21" si="13">SUM(C54:C57)</f>
        <v>456</v>
      </c>
      <c r="T21" s="17">
        <f t="shared" si="13"/>
        <v>87</v>
      </c>
      <c r="U21" s="17">
        <f t="shared" si="13"/>
        <v>83</v>
      </c>
      <c r="V21" s="17">
        <f t="shared" si="13"/>
        <v>110</v>
      </c>
      <c r="W21" s="17">
        <f t="shared" si="13"/>
        <v>5</v>
      </c>
      <c r="X21" s="17">
        <f t="shared" si="13"/>
        <v>1</v>
      </c>
      <c r="Y21" s="17">
        <f t="shared" si="13"/>
        <v>5</v>
      </c>
      <c r="Z21" s="17">
        <f t="shared" si="13"/>
        <v>13</v>
      </c>
      <c r="AA21" s="17">
        <f t="shared" si="13"/>
        <v>0</v>
      </c>
      <c r="AB21" s="17">
        <f t="shared" si="13"/>
        <v>0</v>
      </c>
      <c r="AC21" s="17">
        <f t="shared" si="13"/>
        <v>318</v>
      </c>
      <c r="AD21" s="17">
        <f t="shared" si="13"/>
        <v>0</v>
      </c>
      <c r="AE21" s="31">
        <f t="shared" si="13"/>
        <v>760</v>
      </c>
      <c r="AF21" s="31">
        <f t="shared" si="13"/>
        <v>1078</v>
      </c>
    </row>
    <row r="22" spans="2:32" ht="23.1" customHeight="1" x14ac:dyDescent="0.25">
      <c r="B22" s="23" t="s">
        <v>49</v>
      </c>
      <c r="C22" s="50">
        <v>73</v>
      </c>
      <c r="D22" s="50">
        <v>27</v>
      </c>
      <c r="E22" s="50">
        <v>22</v>
      </c>
      <c r="F22" s="50">
        <v>33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56</v>
      </c>
      <c r="N22" s="50">
        <v>0</v>
      </c>
      <c r="O22" s="15">
        <f t="shared" si="0"/>
        <v>158</v>
      </c>
      <c r="P22" s="15">
        <f t="shared" si="1"/>
        <v>214</v>
      </c>
      <c r="R22" s="38" t="s">
        <v>90</v>
      </c>
      <c r="S22" s="39">
        <f>MAX(S10:S12)</f>
        <v>464</v>
      </c>
      <c r="T22" s="39">
        <f t="shared" ref="T22:AF22" si="14">MAX(T10:T12)</f>
        <v>221</v>
      </c>
      <c r="U22" s="39">
        <f t="shared" si="14"/>
        <v>170</v>
      </c>
      <c r="V22" s="39">
        <f t="shared" si="14"/>
        <v>221</v>
      </c>
      <c r="W22" s="39">
        <f t="shared" si="14"/>
        <v>1</v>
      </c>
      <c r="X22" s="39">
        <f t="shared" si="14"/>
        <v>3</v>
      </c>
      <c r="Y22" s="39">
        <f t="shared" si="14"/>
        <v>9</v>
      </c>
      <c r="Z22" s="39">
        <f t="shared" si="14"/>
        <v>6</v>
      </c>
      <c r="AA22" s="39">
        <f t="shared" si="14"/>
        <v>1</v>
      </c>
      <c r="AB22" s="39">
        <f t="shared" si="14"/>
        <v>2</v>
      </c>
      <c r="AC22" s="39">
        <f t="shared" si="14"/>
        <v>370</v>
      </c>
      <c r="AD22" s="39">
        <f t="shared" si="14"/>
        <v>0</v>
      </c>
      <c r="AE22" s="40">
        <f t="shared" si="14"/>
        <v>1055</v>
      </c>
      <c r="AF22" s="40">
        <f t="shared" si="14"/>
        <v>1329</v>
      </c>
    </row>
    <row r="23" spans="2:32" ht="23.1" customHeight="1" x14ac:dyDescent="0.25">
      <c r="B23" s="23" t="s">
        <v>50</v>
      </c>
      <c r="C23" s="50">
        <v>67</v>
      </c>
      <c r="D23" s="50">
        <v>23</v>
      </c>
      <c r="E23" s="50">
        <v>27</v>
      </c>
      <c r="F23" s="50">
        <v>26</v>
      </c>
      <c r="G23" s="50">
        <v>0</v>
      </c>
      <c r="H23" s="50">
        <v>1</v>
      </c>
      <c r="I23" s="50">
        <v>1</v>
      </c>
      <c r="J23" s="50">
        <v>5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150</v>
      </c>
      <c r="P23" s="15">
        <f t="shared" si="1"/>
        <v>210</v>
      </c>
      <c r="R23" s="38" t="s">
        <v>91</v>
      </c>
      <c r="S23" s="39">
        <f>MAX(S13:S18)</f>
        <v>624</v>
      </c>
      <c r="T23" s="39">
        <f t="shared" ref="T23:AF23" si="15">MAX(T13:T18)</f>
        <v>179</v>
      </c>
      <c r="U23" s="39">
        <f t="shared" si="15"/>
        <v>129</v>
      </c>
      <c r="V23" s="39">
        <f t="shared" si="15"/>
        <v>219</v>
      </c>
      <c r="W23" s="39">
        <f t="shared" si="15"/>
        <v>2</v>
      </c>
      <c r="X23" s="39">
        <f t="shared" si="15"/>
        <v>2</v>
      </c>
      <c r="Y23" s="39">
        <f t="shared" si="15"/>
        <v>21</v>
      </c>
      <c r="Z23" s="39">
        <f t="shared" si="15"/>
        <v>12</v>
      </c>
      <c r="AA23" s="39">
        <f t="shared" si="15"/>
        <v>3</v>
      </c>
      <c r="AB23" s="39">
        <f t="shared" si="15"/>
        <v>3</v>
      </c>
      <c r="AC23" s="39">
        <f t="shared" si="15"/>
        <v>359</v>
      </c>
      <c r="AD23" s="39">
        <f t="shared" si="15"/>
        <v>0</v>
      </c>
      <c r="AE23" s="40">
        <f t="shared" si="15"/>
        <v>897</v>
      </c>
      <c r="AF23" s="40">
        <f t="shared" si="15"/>
        <v>1186</v>
      </c>
    </row>
    <row r="24" spans="2:32" ht="23.1" customHeight="1" x14ac:dyDescent="0.25">
      <c r="B24" s="23" t="s">
        <v>51</v>
      </c>
      <c r="C24" s="50">
        <v>47</v>
      </c>
      <c r="D24" s="50">
        <v>22</v>
      </c>
      <c r="E24" s="50">
        <v>16</v>
      </c>
      <c r="F24" s="50">
        <v>29</v>
      </c>
      <c r="G24" s="50">
        <v>0</v>
      </c>
      <c r="H24" s="50">
        <v>1</v>
      </c>
      <c r="I24" s="50">
        <v>2</v>
      </c>
      <c r="J24" s="50">
        <v>3</v>
      </c>
      <c r="K24" s="50">
        <v>0</v>
      </c>
      <c r="L24" s="50">
        <v>0</v>
      </c>
      <c r="M24" s="50">
        <v>57</v>
      </c>
      <c r="N24" s="50">
        <v>0</v>
      </c>
      <c r="O24" s="15">
        <f t="shared" si="0"/>
        <v>120</v>
      </c>
      <c r="P24" s="15">
        <f t="shared" si="1"/>
        <v>177</v>
      </c>
      <c r="R24" s="38" t="s">
        <v>92</v>
      </c>
      <c r="S24" s="39">
        <f>MAX(S19:S21)</f>
        <v>584</v>
      </c>
      <c r="T24" s="39">
        <f t="shared" ref="T24:AF24" si="16">MAX(T19:T21)</f>
        <v>195</v>
      </c>
      <c r="U24" s="39">
        <f t="shared" si="16"/>
        <v>109</v>
      </c>
      <c r="V24" s="39">
        <f t="shared" si="16"/>
        <v>175</v>
      </c>
      <c r="W24" s="39">
        <f t="shared" si="16"/>
        <v>5</v>
      </c>
      <c r="X24" s="39">
        <f t="shared" si="16"/>
        <v>1</v>
      </c>
      <c r="Y24" s="39">
        <f t="shared" si="16"/>
        <v>11</v>
      </c>
      <c r="Z24" s="39">
        <f t="shared" si="16"/>
        <v>14</v>
      </c>
      <c r="AA24" s="39">
        <f t="shared" si="16"/>
        <v>0</v>
      </c>
      <c r="AB24" s="39">
        <f t="shared" si="16"/>
        <v>1</v>
      </c>
      <c r="AC24" s="39">
        <f t="shared" si="16"/>
        <v>324</v>
      </c>
      <c r="AD24" s="39">
        <f t="shared" si="16"/>
        <v>0</v>
      </c>
      <c r="AE24" s="40">
        <f t="shared" si="16"/>
        <v>1025</v>
      </c>
      <c r="AF24" s="40">
        <f t="shared" si="16"/>
        <v>1269</v>
      </c>
    </row>
    <row r="25" spans="2:32" ht="23.1" customHeight="1" x14ac:dyDescent="0.25">
      <c r="B25" s="23" t="s">
        <v>52</v>
      </c>
      <c r="C25" s="50">
        <v>63</v>
      </c>
      <c r="D25" s="50">
        <v>22</v>
      </c>
      <c r="E25" s="50">
        <v>20</v>
      </c>
      <c r="F25" s="50">
        <v>37</v>
      </c>
      <c r="G25" s="50">
        <v>0</v>
      </c>
      <c r="H25" s="50">
        <v>0</v>
      </c>
      <c r="I25" s="50">
        <v>2</v>
      </c>
      <c r="J25" s="50">
        <v>2</v>
      </c>
      <c r="K25" s="50">
        <v>1</v>
      </c>
      <c r="L25" s="50">
        <v>1</v>
      </c>
      <c r="M25" s="50">
        <v>68</v>
      </c>
      <c r="N25" s="50">
        <v>0</v>
      </c>
      <c r="O25" s="15">
        <f t="shared" si="0"/>
        <v>148</v>
      </c>
      <c r="P25" s="15">
        <f t="shared" si="1"/>
        <v>216</v>
      </c>
      <c r="R25" s="37" t="s">
        <v>85</v>
      </c>
      <c r="S25" s="35">
        <f t="shared" ref="S25:AF25" si="17">SUM(S10:S12)</f>
        <v>1192</v>
      </c>
      <c r="T25" s="16">
        <f t="shared" si="17"/>
        <v>477</v>
      </c>
      <c r="U25" s="16">
        <f t="shared" si="17"/>
        <v>325</v>
      </c>
      <c r="V25" s="16">
        <f t="shared" si="17"/>
        <v>560</v>
      </c>
      <c r="W25" s="16">
        <f t="shared" si="17"/>
        <v>1</v>
      </c>
      <c r="X25" s="16">
        <f t="shared" si="17"/>
        <v>6</v>
      </c>
      <c r="Y25" s="16">
        <f t="shared" si="17"/>
        <v>18</v>
      </c>
      <c r="Z25" s="16">
        <f t="shared" si="17"/>
        <v>15</v>
      </c>
      <c r="AA25" s="16">
        <f t="shared" si="17"/>
        <v>1</v>
      </c>
      <c r="AB25" s="16">
        <f t="shared" si="17"/>
        <v>2</v>
      </c>
      <c r="AC25" s="16">
        <f t="shared" si="17"/>
        <v>965</v>
      </c>
      <c r="AD25" s="16">
        <f t="shared" si="17"/>
        <v>0</v>
      </c>
      <c r="AE25" s="32">
        <f t="shared" si="17"/>
        <v>2597</v>
      </c>
      <c r="AF25" s="32">
        <f t="shared" si="17"/>
        <v>3562</v>
      </c>
    </row>
    <row r="26" spans="2:32" ht="23.1" customHeight="1" x14ac:dyDescent="0.25">
      <c r="B26" s="23" t="s">
        <v>53</v>
      </c>
      <c r="C26" s="50">
        <v>65</v>
      </c>
      <c r="D26" s="50">
        <v>46</v>
      </c>
      <c r="E26" s="50">
        <v>33</v>
      </c>
      <c r="F26" s="50">
        <v>38</v>
      </c>
      <c r="G26" s="50">
        <v>0</v>
      </c>
      <c r="H26" s="50">
        <v>0</v>
      </c>
      <c r="I26" s="50">
        <v>5</v>
      </c>
      <c r="J26" s="50">
        <v>2</v>
      </c>
      <c r="K26" s="50">
        <v>0</v>
      </c>
      <c r="L26" s="50">
        <v>0</v>
      </c>
      <c r="M26" s="50">
        <v>56</v>
      </c>
      <c r="N26" s="50">
        <v>0</v>
      </c>
      <c r="O26" s="15">
        <f t="shared" si="0"/>
        <v>189</v>
      </c>
      <c r="P26" s="15">
        <f t="shared" si="1"/>
        <v>245</v>
      </c>
      <c r="R26" s="28" t="s">
        <v>86</v>
      </c>
      <c r="S26" s="16">
        <f t="shared" ref="S26:AF26" si="18">SUM(S13:S18)</f>
        <v>2274</v>
      </c>
      <c r="T26" s="16">
        <f t="shared" si="18"/>
        <v>768</v>
      </c>
      <c r="U26" s="16">
        <f t="shared" si="18"/>
        <v>552</v>
      </c>
      <c r="V26" s="16">
        <f t="shared" si="18"/>
        <v>909</v>
      </c>
      <c r="W26" s="16">
        <f t="shared" si="18"/>
        <v>3</v>
      </c>
      <c r="X26" s="16">
        <f t="shared" si="18"/>
        <v>3</v>
      </c>
      <c r="Y26" s="16">
        <f t="shared" si="18"/>
        <v>73</v>
      </c>
      <c r="Z26" s="16">
        <f t="shared" si="18"/>
        <v>53</v>
      </c>
      <c r="AA26" s="16">
        <f t="shared" si="18"/>
        <v>6</v>
      </c>
      <c r="AB26" s="16">
        <f t="shared" si="18"/>
        <v>6</v>
      </c>
      <c r="AC26" s="16">
        <f t="shared" si="18"/>
        <v>1668</v>
      </c>
      <c r="AD26" s="16">
        <f t="shared" si="18"/>
        <v>0</v>
      </c>
      <c r="AE26" s="32">
        <f t="shared" si="18"/>
        <v>4647</v>
      </c>
      <c r="AF26" s="32">
        <f t="shared" si="18"/>
        <v>6315</v>
      </c>
    </row>
    <row r="27" spans="2:32" ht="23.1" customHeight="1" x14ac:dyDescent="0.25">
      <c r="B27" s="23" t="s">
        <v>54</v>
      </c>
      <c r="C27" s="50">
        <v>68</v>
      </c>
      <c r="D27" s="50">
        <v>37</v>
      </c>
      <c r="E27" s="50">
        <v>24</v>
      </c>
      <c r="F27" s="50">
        <v>41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49</v>
      </c>
      <c r="N27" s="50">
        <v>0</v>
      </c>
      <c r="O27" s="15">
        <f t="shared" si="0"/>
        <v>173</v>
      </c>
      <c r="P27" s="15">
        <f t="shared" si="1"/>
        <v>222</v>
      </c>
      <c r="R27" s="29" t="s">
        <v>87</v>
      </c>
      <c r="S27" s="16">
        <f t="shared" ref="S27:AF27" si="19">SUM(S19:S21)</f>
        <v>1541</v>
      </c>
      <c r="T27" s="16">
        <f t="shared" si="19"/>
        <v>428</v>
      </c>
      <c r="U27" s="16">
        <f t="shared" si="19"/>
        <v>289</v>
      </c>
      <c r="V27" s="16">
        <f t="shared" si="19"/>
        <v>400</v>
      </c>
      <c r="W27" s="16">
        <f t="shared" si="19"/>
        <v>8</v>
      </c>
      <c r="X27" s="16">
        <f t="shared" si="19"/>
        <v>2</v>
      </c>
      <c r="Y27" s="16">
        <f t="shared" si="19"/>
        <v>23</v>
      </c>
      <c r="Z27" s="16">
        <f t="shared" si="19"/>
        <v>38</v>
      </c>
      <c r="AA27" s="16">
        <f t="shared" si="19"/>
        <v>0</v>
      </c>
      <c r="AB27" s="16">
        <f t="shared" si="19"/>
        <v>1</v>
      </c>
      <c r="AC27" s="16">
        <f t="shared" si="19"/>
        <v>871</v>
      </c>
      <c r="AD27" s="16">
        <f t="shared" si="19"/>
        <v>0</v>
      </c>
      <c r="AE27" s="32">
        <f t="shared" si="19"/>
        <v>2730</v>
      </c>
      <c r="AF27" s="32">
        <f t="shared" si="19"/>
        <v>3601</v>
      </c>
    </row>
    <row r="28" spans="2:32" ht="23.1" customHeight="1" x14ac:dyDescent="0.25">
      <c r="B28" s="23" t="s">
        <v>55</v>
      </c>
      <c r="C28" s="50">
        <v>78</v>
      </c>
      <c r="D28" s="50">
        <v>48</v>
      </c>
      <c r="E28" s="50">
        <v>23</v>
      </c>
      <c r="F28" s="50">
        <v>46</v>
      </c>
      <c r="G28" s="50">
        <v>2</v>
      </c>
      <c r="H28" s="50">
        <v>0</v>
      </c>
      <c r="I28" s="50">
        <v>11</v>
      </c>
      <c r="J28" s="50">
        <v>2</v>
      </c>
      <c r="K28" s="50">
        <v>0</v>
      </c>
      <c r="L28" s="50">
        <v>0</v>
      </c>
      <c r="M28" s="50">
        <v>42</v>
      </c>
      <c r="N28" s="50">
        <v>0</v>
      </c>
      <c r="O28" s="15">
        <f t="shared" si="0"/>
        <v>210</v>
      </c>
      <c r="P28" s="15">
        <f t="shared" si="1"/>
        <v>252</v>
      </c>
      <c r="R28" s="5" t="s">
        <v>17</v>
      </c>
      <c r="S28" s="16">
        <f t="shared" ref="S28:AF28" si="20">SUM(S10:S21)</f>
        <v>5007</v>
      </c>
      <c r="T28" s="16">
        <f t="shared" si="20"/>
        <v>1673</v>
      </c>
      <c r="U28" s="16">
        <f t="shared" si="20"/>
        <v>1166</v>
      </c>
      <c r="V28" s="16">
        <f t="shared" si="20"/>
        <v>1869</v>
      </c>
      <c r="W28" s="16">
        <f t="shared" si="20"/>
        <v>12</v>
      </c>
      <c r="X28" s="16">
        <f t="shared" si="20"/>
        <v>11</v>
      </c>
      <c r="Y28" s="16">
        <f t="shared" si="20"/>
        <v>114</v>
      </c>
      <c r="Z28" s="16">
        <f t="shared" si="20"/>
        <v>106</v>
      </c>
      <c r="AA28" s="16">
        <f t="shared" si="20"/>
        <v>7</v>
      </c>
      <c r="AB28" s="16">
        <f t="shared" si="20"/>
        <v>9</v>
      </c>
      <c r="AC28" s="16">
        <f t="shared" si="20"/>
        <v>3504</v>
      </c>
      <c r="AD28" s="16">
        <f t="shared" si="20"/>
        <v>0</v>
      </c>
      <c r="AE28" s="32">
        <f t="shared" si="20"/>
        <v>9974</v>
      </c>
      <c r="AF28" s="32">
        <f t="shared" si="20"/>
        <v>13478</v>
      </c>
    </row>
    <row r="29" spans="2:32" ht="23.1" customHeight="1" x14ac:dyDescent="0.25">
      <c r="B29" s="23" t="s">
        <v>56</v>
      </c>
      <c r="C29" s="50">
        <v>109</v>
      </c>
      <c r="D29" s="50">
        <v>48</v>
      </c>
      <c r="E29" s="50">
        <v>33</v>
      </c>
      <c r="F29" s="50">
        <v>50</v>
      </c>
      <c r="G29" s="50">
        <v>0</v>
      </c>
      <c r="H29" s="50">
        <v>0</v>
      </c>
      <c r="I29" s="50">
        <v>3</v>
      </c>
      <c r="J29" s="50">
        <v>2</v>
      </c>
      <c r="K29" s="50">
        <v>0</v>
      </c>
      <c r="L29" s="50">
        <v>0</v>
      </c>
      <c r="M29" s="50">
        <v>68</v>
      </c>
      <c r="N29" s="50">
        <v>0</v>
      </c>
      <c r="O29" s="15">
        <f t="shared" si="0"/>
        <v>245</v>
      </c>
      <c r="P29" s="15">
        <f t="shared" si="1"/>
        <v>313</v>
      </c>
      <c r="R29"/>
      <c r="S29" s="20"/>
      <c r="T29" s="19"/>
    </row>
    <row r="30" spans="2:32" ht="23.1" customHeight="1" x14ac:dyDescent="0.25">
      <c r="B30" s="23" t="s">
        <v>57</v>
      </c>
      <c r="C30" s="50">
        <v>83</v>
      </c>
      <c r="D30" s="50">
        <v>43</v>
      </c>
      <c r="E30" s="50">
        <v>19</v>
      </c>
      <c r="F30" s="50">
        <v>42</v>
      </c>
      <c r="G30" s="50">
        <v>0</v>
      </c>
      <c r="H30" s="50">
        <v>0</v>
      </c>
      <c r="I30" s="50">
        <v>5</v>
      </c>
      <c r="J30" s="50">
        <v>2</v>
      </c>
      <c r="K30" s="50">
        <v>0</v>
      </c>
      <c r="L30" s="50">
        <v>1</v>
      </c>
      <c r="M30" s="50">
        <v>50</v>
      </c>
      <c r="N30" s="50">
        <v>0</v>
      </c>
      <c r="O30" s="15">
        <f t="shared" si="0"/>
        <v>195</v>
      </c>
      <c r="P30" s="15">
        <f t="shared" si="1"/>
        <v>245</v>
      </c>
    </row>
    <row r="31" spans="2:32" ht="23.1" customHeight="1" x14ac:dyDescent="0.25">
      <c r="B31" s="24" t="s">
        <v>58</v>
      </c>
      <c r="C31" s="50">
        <v>74</v>
      </c>
      <c r="D31" s="50">
        <v>38</v>
      </c>
      <c r="E31" s="50">
        <v>17</v>
      </c>
      <c r="F31" s="50">
        <v>34</v>
      </c>
      <c r="G31" s="50">
        <v>0</v>
      </c>
      <c r="H31" s="50">
        <v>1</v>
      </c>
      <c r="I31" s="50">
        <v>6</v>
      </c>
      <c r="J31" s="50">
        <v>1</v>
      </c>
      <c r="K31" s="50">
        <v>0</v>
      </c>
      <c r="L31" s="50">
        <v>0</v>
      </c>
      <c r="M31" s="50">
        <v>71</v>
      </c>
      <c r="N31" s="50">
        <v>0</v>
      </c>
      <c r="O31" s="15">
        <f t="shared" si="0"/>
        <v>171</v>
      </c>
      <c r="P31" s="15">
        <f t="shared" si="1"/>
        <v>242</v>
      </c>
    </row>
    <row r="32" spans="2:32" ht="23.1" customHeight="1" x14ac:dyDescent="0.25">
      <c r="B32" s="24" t="s">
        <v>59</v>
      </c>
      <c r="C32" s="50">
        <v>63</v>
      </c>
      <c r="D32" s="50">
        <v>31</v>
      </c>
      <c r="E32" s="50">
        <v>24</v>
      </c>
      <c r="F32" s="50">
        <v>33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61</v>
      </c>
      <c r="N32" s="50">
        <v>0</v>
      </c>
      <c r="O32" s="15">
        <f t="shared" si="0"/>
        <v>154</v>
      </c>
      <c r="P32" s="15">
        <f t="shared" si="1"/>
        <v>215</v>
      </c>
    </row>
    <row r="33" spans="2:20" ht="23.1" customHeight="1" x14ac:dyDescent="0.25">
      <c r="B33" s="23" t="s">
        <v>60</v>
      </c>
      <c r="C33" s="50">
        <v>83</v>
      </c>
      <c r="D33" s="50">
        <v>33</v>
      </c>
      <c r="E33" s="50">
        <v>17</v>
      </c>
      <c r="F33" s="50">
        <v>43</v>
      </c>
      <c r="G33" s="50">
        <v>0</v>
      </c>
      <c r="H33" s="50">
        <v>0</v>
      </c>
      <c r="I33" s="50">
        <v>8</v>
      </c>
      <c r="J33" s="50">
        <v>2</v>
      </c>
      <c r="K33" s="50">
        <v>0</v>
      </c>
      <c r="L33" s="50">
        <v>0</v>
      </c>
      <c r="M33" s="50">
        <v>79</v>
      </c>
      <c r="N33" s="50">
        <v>0</v>
      </c>
      <c r="O33" s="15">
        <f t="shared" si="0"/>
        <v>186</v>
      </c>
      <c r="P33" s="15">
        <f t="shared" si="1"/>
        <v>265</v>
      </c>
    </row>
    <row r="34" spans="2:20" ht="23.1" customHeight="1" x14ac:dyDescent="0.25">
      <c r="B34" s="24" t="s">
        <v>61</v>
      </c>
      <c r="C34" s="50">
        <v>89</v>
      </c>
      <c r="D34" s="50">
        <v>34</v>
      </c>
      <c r="E34" s="50">
        <v>48</v>
      </c>
      <c r="F34" s="50">
        <v>63</v>
      </c>
      <c r="G34" s="50">
        <v>0</v>
      </c>
      <c r="H34" s="50">
        <v>0</v>
      </c>
      <c r="I34" s="50">
        <v>1</v>
      </c>
      <c r="J34" s="50">
        <v>4</v>
      </c>
      <c r="K34" s="50">
        <v>1</v>
      </c>
      <c r="L34" s="50">
        <v>2</v>
      </c>
      <c r="M34" s="50">
        <v>79</v>
      </c>
      <c r="N34" s="50">
        <v>0</v>
      </c>
      <c r="O34" s="15">
        <f t="shared" si="0"/>
        <v>242</v>
      </c>
      <c r="P34" s="15">
        <f t="shared" si="1"/>
        <v>321</v>
      </c>
    </row>
    <row r="35" spans="2:20" ht="23.1" customHeight="1" x14ac:dyDescent="0.25">
      <c r="B35" s="24" t="s">
        <v>62</v>
      </c>
      <c r="C35" s="50">
        <v>62</v>
      </c>
      <c r="D35" s="50">
        <v>25</v>
      </c>
      <c r="E35" s="50">
        <v>30</v>
      </c>
      <c r="F35" s="50">
        <v>38</v>
      </c>
      <c r="G35" s="50">
        <v>1</v>
      </c>
      <c r="H35" s="50">
        <v>0</v>
      </c>
      <c r="I35" s="50">
        <v>2</v>
      </c>
      <c r="J35" s="50">
        <v>0</v>
      </c>
      <c r="K35" s="50">
        <v>1</v>
      </c>
      <c r="L35" s="50">
        <v>0</v>
      </c>
      <c r="M35" s="50">
        <v>84</v>
      </c>
      <c r="N35" s="50">
        <v>0</v>
      </c>
      <c r="O35" s="15">
        <f t="shared" si="0"/>
        <v>159</v>
      </c>
      <c r="P35" s="15">
        <f t="shared" si="1"/>
        <v>243</v>
      </c>
    </row>
    <row r="36" spans="2:20" ht="23.1" customHeight="1" x14ac:dyDescent="0.25">
      <c r="B36" s="24" t="s">
        <v>63</v>
      </c>
      <c r="C36" s="50">
        <v>85</v>
      </c>
      <c r="D36" s="50">
        <v>38</v>
      </c>
      <c r="E36" s="50">
        <v>32</v>
      </c>
      <c r="F36" s="50">
        <v>46</v>
      </c>
      <c r="G36" s="50">
        <v>0</v>
      </c>
      <c r="H36" s="50">
        <v>0</v>
      </c>
      <c r="I36" s="50">
        <v>4</v>
      </c>
      <c r="J36" s="50">
        <v>3</v>
      </c>
      <c r="K36" s="50">
        <v>0</v>
      </c>
      <c r="L36" s="50">
        <v>0</v>
      </c>
      <c r="M36" s="50">
        <v>86</v>
      </c>
      <c r="N36" s="50">
        <v>0</v>
      </c>
      <c r="O36" s="15">
        <f t="shared" si="0"/>
        <v>208</v>
      </c>
      <c r="P36" s="15">
        <f t="shared" si="1"/>
        <v>294</v>
      </c>
    </row>
    <row r="37" spans="2:20" ht="23.1" customHeight="1" x14ac:dyDescent="0.25">
      <c r="B37" s="23" t="s">
        <v>64</v>
      </c>
      <c r="C37" s="50">
        <v>68</v>
      </c>
      <c r="D37" s="50">
        <v>47</v>
      </c>
      <c r="E37" s="50">
        <v>19</v>
      </c>
      <c r="F37" s="50">
        <v>72</v>
      </c>
      <c r="G37" s="50">
        <v>0</v>
      </c>
      <c r="H37" s="50">
        <v>0</v>
      </c>
      <c r="I37" s="50">
        <v>3</v>
      </c>
      <c r="J37" s="50">
        <v>4</v>
      </c>
      <c r="K37" s="50">
        <v>1</v>
      </c>
      <c r="L37" s="50">
        <v>1</v>
      </c>
      <c r="M37" s="50">
        <v>68</v>
      </c>
      <c r="N37" s="50">
        <v>0</v>
      </c>
      <c r="O37" s="15">
        <f t="shared" si="0"/>
        <v>215</v>
      </c>
      <c r="P37" s="15">
        <f t="shared" si="1"/>
        <v>283</v>
      </c>
    </row>
    <row r="38" spans="2:20" ht="23.1" customHeight="1" x14ac:dyDescent="0.25">
      <c r="B38" s="24" t="s">
        <v>65</v>
      </c>
      <c r="C38" s="50">
        <v>97</v>
      </c>
      <c r="D38" s="50">
        <v>50</v>
      </c>
      <c r="E38" s="50">
        <v>17</v>
      </c>
      <c r="F38" s="50">
        <v>55</v>
      </c>
      <c r="G38" s="50">
        <v>0</v>
      </c>
      <c r="H38" s="50">
        <v>0</v>
      </c>
      <c r="I38" s="50">
        <v>2</v>
      </c>
      <c r="J38" s="50">
        <v>3</v>
      </c>
      <c r="K38" s="50">
        <v>0</v>
      </c>
      <c r="L38" s="50">
        <v>0</v>
      </c>
      <c r="M38" s="50">
        <v>53</v>
      </c>
      <c r="N38" s="50">
        <v>0</v>
      </c>
      <c r="O38" s="15">
        <f t="shared" si="0"/>
        <v>224</v>
      </c>
      <c r="P38" s="15">
        <f t="shared" si="1"/>
        <v>277</v>
      </c>
    </row>
    <row r="39" spans="2:20" ht="23.1" customHeight="1" x14ac:dyDescent="0.25">
      <c r="B39" s="24" t="s">
        <v>66</v>
      </c>
      <c r="C39" s="50">
        <v>120</v>
      </c>
      <c r="D39" s="50">
        <v>18</v>
      </c>
      <c r="E39" s="50">
        <v>24</v>
      </c>
      <c r="F39" s="50">
        <v>21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100</v>
      </c>
      <c r="N39" s="50">
        <v>0</v>
      </c>
      <c r="O39" s="15">
        <f t="shared" si="0"/>
        <v>185</v>
      </c>
      <c r="P39" s="15">
        <f t="shared" si="1"/>
        <v>285</v>
      </c>
    </row>
    <row r="40" spans="2:20" ht="23.1" customHeight="1" x14ac:dyDescent="0.25">
      <c r="B40" s="24" t="s">
        <v>67</v>
      </c>
      <c r="C40" s="50">
        <v>138</v>
      </c>
      <c r="D40" s="50">
        <v>25</v>
      </c>
      <c r="E40" s="50">
        <v>10</v>
      </c>
      <c r="F40" s="50">
        <v>26</v>
      </c>
      <c r="G40" s="50">
        <v>0</v>
      </c>
      <c r="H40" s="50">
        <v>0</v>
      </c>
      <c r="I40" s="50">
        <v>3</v>
      </c>
      <c r="J40" s="50">
        <v>2</v>
      </c>
      <c r="K40" s="50">
        <v>1</v>
      </c>
      <c r="L40" s="50">
        <v>0</v>
      </c>
      <c r="M40" s="50">
        <v>95</v>
      </c>
      <c r="N40" s="50">
        <v>0</v>
      </c>
      <c r="O40" s="15">
        <f t="shared" si="0"/>
        <v>205</v>
      </c>
      <c r="P40" s="15">
        <f t="shared" si="1"/>
        <v>300</v>
      </c>
    </row>
    <row r="41" spans="2:20" ht="23.1" customHeight="1" x14ac:dyDescent="0.25">
      <c r="B41" s="23" t="s">
        <v>68</v>
      </c>
      <c r="C41" s="50">
        <v>118</v>
      </c>
      <c r="D41" s="50">
        <v>28</v>
      </c>
      <c r="E41" s="50">
        <v>20</v>
      </c>
      <c r="F41" s="50">
        <v>38</v>
      </c>
      <c r="G41" s="50">
        <v>0</v>
      </c>
      <c r="H41" s="50">
        <v>0</v>
      </c>
      <c r="I41" s="50">
        <v>2</v>
      </c>
      <c r="J41" s="50">
        <v>6</v>
      </c>
      <c r="K41" s="50">
        <v>0</v>
      </c>
      <c r="L41" s="50">
        <v>1</v>
      </c>
      <c r="M41" s="50">
        <v>111</v>
      </c>
      <c r="N41" s="50">
        <v>0</v>
      </c>
      <c r="O41" s="15">
        <f t="shared" si="0"/>
        <v>213</v>
      </c>
      <c r="P41" s="15">
        <f t="shared" si="1"/>
        <v>324</v>
      </c>
    </row>
    <row r="42" spans="2:20" ht="23.1" customHeight="1" x14ac:dyDescent="0.25">
      <c r="B42" s="24" t="s">
        <v>69</v>
      </c>
      <c r="C42" s="50">
        <v>91</v>
      </c>
      <c r="D42" s="50">
        <v>6</v>
      </c>
      <c r="E42" s="50">
        <v>15</v>
      </c>
      <c r="F42" s="50">
        <v>20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67</v>
      </c>
      <c r="N42" s="50">
        <v>0</v>
      </c>
      <c r="O42" s="15">
        <f t="shared" si="0"/>
        <v>134</v>
      </c>
      <c r="P42" s="15">
        <f t="shared" si="1"/>
        <v>201</v>
      </c>
    </row>
    <row r="43" spans="2:20" ht="23.1" customHeight="1" x14ac:dyDescent="0.25">
      <c r="B43" s="23" t="s">
        <v>70</v>
      </c>
      <c r="C43" s="50">
        <v>130</v>
      </c>
      <c r="D43" s="50">
        <v>15</v>
      </c>
      <c r="E43" s="50">
        <v>19</v>
      </c>
      <c r="F43" s="50">
        <v>23</v>
      </c>
      <c r="G43" s="50">
        <v>0</v>
      </c>
      <c r="H43" s="50">
        <v>0</v>
      </c>
      <c r="I43" s="50">
        <v>0</v>
      </c>
      <c r="J43" s="50">
        <v>3</v>
      </c>
      <c r="K43" s="50">
        <v>0</v>
      </c>
      <c r="L43" s="50">
        <v>0</v>
      </c>
      <c r="M43" s="50">
        <v>85</v>
      </c>
      <c r="N43" s="50">
        <v>0</v>
      </c>
      <c r="O43" s="15">
        <f t="shared" si="0"/>
        <v>190</v>
      </c>
      <c r="P43" s="15">
        <f t="shared" si="1"/>
        <v>275</v>
      </c>
    </row>
    <row r="44" spans="2:20" ht="23.1" customHeight="1" x14ac:dyDescent="0.25">
      <c r="B44" s="25" t="s">
        <v>71</v>
      </c>
      <c r="C44" s="50">
        <v>195</v>
      </c>
      <c r="D44" s="50">
        <v>35</v>
      </c>
      <c r="E44" s="50">
        <v>15</v>
      </c>
      <c r="F44" s="50">
        <v>25</v>
      </c>
      <c r="G44" s="50">
        <v>0</v>
      </c>
      <c r="H44" s="50">
        <v>0</v>
      </c>
      <c r="I44" s="50">
        <v>3</v>
      </c>
      <c r="J44" s="50">
        <v>1</v>
      </c>
      <c r="K44" s="50">
        <v>1</v>
      </c>
      <c r="L44" s="50">
        <v>0</v>
      </c>
      <c r="M44" s="50">
        <v>70</v>
      </c>
      <c r="N44" s="50">
        <v>0</v>
      </c>
      <c r="O44" s="15">
        <f t="shared" si="0"/>
        <v>275</v>
      </c>
      <c r="P44" s="15">
        <f t="shared" si="1"/>
        <v>345</v>
      </c>
    </row>
    <row r="45" spans="2:20" ht="23.1" customHeight="1" x14ac:dyDescent="0.25">
      <c r="B45" s="23" t="s">
        <v>72</v>
      </c>
      <c r="C45" s="50">
        <v>208</v>
      </c>
      <c r="D45" s="50">
        <v>29</v>
      </c>
      <c r="E45" s="50">
        <v>28</v>
      </c>
      <c r="F45" s="50">
        <v>30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53</v>
      </c>
      <c r="N45" s="50">
        <v>0</v>
      </c>
      <c r="O45" s="15">
        <f t="shared" si="0"/>
        <v>298</v>
      </c>
      <c r="P45" s="15">
        <f t="shared" si="1"/>
        <v>351</v>
      </c>
    </row>
    <row r="46" spans="2:20" ht="23.1" customHeight="1" x14ac:dyDescent="0.25">
      <c r="B46" s="24" t="s">
        <v>73</v>
      </c>
      <c r="C46" s="50">
        <v>153</v>
      </c>
      <c r="D46" s="50">
        <v>21</v>
      </c>
      <c r="E46" s="50">
        <v>23</v>
      </c>
      <c r="F46" s="50">
        <v>27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56</v>
      </c>
      <c r="N46" s="50">
        <v>0</v>
      </c>
      <c r="O46" s="15">
        <f t="shared" si="0"/>
        <v>228</v>
      </c>
      <c r="P46" s="15">
        <f t="shared" si="1"/>
        <v>284</v>
      </c>
      <c r="R46" s="8"/>
      <c r="T46"/>
    </row>
    <row r="47" spans="2:20" ht="23.1" customHeight="1" x14ac:dyDescent="0.25">
      <c r="B47" s="24" t="s">
        <v>74</v>
      </c>
      <c r="C47" s="50">
        <v>159</v>
      </c>
      <c r="D47" s="50">
        <v>63</v>
      </c>
      <c r="E47" s="50">
        <v>23</v>
      </c>
      <c r="F47" s="50">
        <v>46</v>
      </c>
      <c r="G47" s="50">
        <v>0</v>
      </c>
      <c r="H47" s="50">
        <v>0</v>
      </c>
      <c r="I47" s="50">
        <v>2</v>
      </c>
      <c r="J47" s="50">
        <v>6</v>
      </c>
      <c r="K47" s="50">
        <v>0</v>
      </c>
      <c r="L47" s="50">
        <v>1</v>
      </c>
      <c r="M47" s="50">
        <v>58</v>
      </c>
      <c r="N47" s="50">
        <v>0</v>
      </c>
      <c r="O47" s="15">
        <f t="shared" si="0"/>
        <v>300</v>
      </c>
      <c r="P47" s="15">
        <f t="shared" si="1"/>
        <v>358</v>
      </c>
      <c r="R47" s="8"/>
      <c r="T47"/>
    </row>
    <row r="48" spans="2:20" ht="23.1" customHeight="1" x14ac:dyDescent="0.25">
      <c r="B48" s="24" t="s">
        <v>75</v>
      </c>
      <c r="C48" s="50">
        <v>143</v>
      </c>
      <c r="D48" s="50">
        <v>26</v>
      </c>
      <c r="E48" s="50">
        <v>33</v>
      </c>
      <c r="F48" s="50">
        <v>59</v>
      </c>
      <c r="G48" s="50">
        <v>0</v>
      </c>
      <c r="H48" s="50">
        <v>0</v>
      </c>
      <c r="I48" s="50">
        <v>1</v>
      </c>
      <c r="J48" s="50">
        <v>4</v>
      </c>
      <c r="K48" s="50">
        <v>0</v>
      </c>
      <c r="L48" s="50">
        <v>0</v>
      </c>
      <c r="M48" s="50">
        <v>63</v>
      </c>
      <c r="N48" s="50">
        <v>0</v>
      </c>
      <c r="O48" s="15">
        <f t="shared" si="0"/>
        <v>266</v>
      </c>
      <c r="P48" s="15">
        <f t="shared" si="1"/>
        <v>329</v>
      </c>
      <c r="R48" s="8"/>
      <c r="T48"/>
    </row>
    <row r="49" spans="2:20" ht="23.1" customHeight="1" x14ac:dyDescent="0.25">
      <c r="B49" s="23" t="s">
        <v>76</v>
      </c>
      <c r="C49" s="50">
        <v>129</v>
      </c>
      <c r="D49" s="50">
        <v>36</v>
      </c>
      <c r="E49" s="50">
        <v>18</v>
      </c>
      <c r="F49" s="50">
        <v>43</v>
      </c>
      <c r="G49" s="50">
        <v>1</v>
      </c>
      <c r="H49" s="50">
        <v>0</v>
      </c>
      <c r="I49" s="50">
        <v>2</v>
      </c>
      <c r="J49" s="50">
        <v>2</v>
      </c>
      <c r="K49" s="50">
        <v>0</v>
      </c>
      <c r="L49" s="50">
        <v>0</v>
      </c>
      <c r="M49" s="50">
        <v>52</v>
      </c>
      <c r="N49" s="50">
        <v>0</v>
      </c>
      <c r="O49" s="15">
        <f t="shared" si="0"/>
        <v>231</v>
      </c>
      <c r="P49" s="15">
        <f t="shared" si="1"/>
        <v>283</v>
      </c>
      <c r="R49" s="8"/>
      <c r="T49"/>
    </row>
    <row r="50" spans="2:20" ht="23.1" customHeight="1" x14ac:dyDescent="0.25">
      <c r="B50" s="24" t="s">
        <v>77</v>
      </c>
      <c r="C50" s="50">
        <v>139</v>
      </c>
      <c r="D50" s="50">
        <v>47</v>
      </c>
      <c r="E50" s="50">
        <v>31</v>
      </c>
      <c r="F50" s="50">
        <v>39</v>
      </c>
      <c r="G50" s="50">
        <v>1</v>
      </c>
      <c r="H50" s="50">
        <v>0</v>
      </c>
      <c r="I50" s="50">
        <v>8</v>
      </c>
      <c r="J50" s="50">
        <v>3</v>
      </c>
      <c r="K50" s="50">
        <v>0</v>
      </c>
      <c r="L50" s="50">
        <v>0</v>
      </c>
      <c r="M50" s="50">
        <v>67</v>
      </c>
      <c r="N50" s="50">
        <v>0</v>
      </c>
      <c r="O50" s="15">
        <f t="shared" si="0"/>
        <v>268</v>
      </c>
      <c r="P50" s="15">
        <f t="shared" si="1"/>
        <v>335</v>
      </c>
      <c r="R50" s="8"/>
      <c r="T50"/>
    </row>
    <row r="51" spans="2:20" ht="23.1" customHeight="1" x14ac:dyDescent="0.25">
      <c r="B51" s="24" t="s">
        <v>78</v>
      </c>
      <c r="C51" s="50">
        <v>110</v>
      </c>
      <c r="D51" s="50">
        <v>48</v>
      </c>
      <c r="E51" s="50">
        <v>36</v>
      </c>
      <c r="F51" s="50">
        <v>26</v>
      </c>
      <c r="G51" s="50">
        <v>0</v>
      </c>
      <c r="H51" s="50">
        <v>1</v>
      </c>
      <c r="I51" s="50">
        <v>0</v>
      </c>
      <c r="J51" s="50">
        <v>1</v>
      </c>
      <c r="K51" s="50">
        <v>0</v>
      </c>
      <c r="L51" s="50">
        <v>0</v>
      </c>
      <c r="M51" s="50">
        <v>71</v>
      </c>
      <c r="N51" s="50">
        <v>0</v>
      </c>
      <c r="O51" s="15">
        <f t="shared" si="0"/>
        <v>222</v>
      </c>
      <c r="P51" s="15">
        <f t="shared" si="1"/>
        <v>293</v>
      </c>
      <c r="R51" s="8"/>
      <c r="T51"/>
    </row>
    <row r="52" spans="2:20" ht="23.1" customHeight="1" x14ac:dyDescent="0.25">
      <c r="B52" s="24" t="s">
        <v>79</v>
      </c>
      <c r="C52" s="50">
        <v>128</v>
      </c>
      <c r="D52" s="50">
        <v>51</v>
      </c>
      <c r="E52" s="50">
        <v>26</v>
      </c>
      <c r="F52" s="50">
        <v>21</v>
      </c>
      <c r="G52" s="50">
        <v>1</v>
      </c>
      <c r="H52" s="50">
        <v>0</v>
      </c>
      <c r="I52" s="50">
        <v>2</v>
      </c>
      <c r="J52" s="50">
        <v>6</v>
      </c>
      <c r="K52" s="50">
        <v>0</v>
      </c>
      <c r="L52" s="50">
        <v>0</v>
      </c>
      <c r="M52" s="50">
        <v>83</v>
      </c>
      <c r="N52" s="50">
        <v>0</v>
      </c>
      <c r="O52" s="15">
        <f t="shared" si="0"/>
        <v>235</v>
      </c>
      <c r="P52" s="15">
        <f t="shared" si="1"/>
        <v>318</v>
      </c>
      <c r="R52" s="8"/>
      <c r="T52"/>
    </row>
    <row r="53" spans="2:20" ht="23.1" customHeight="1" x14ac:dyDescent="0.25">
      <c r="B53" s="23" t="s">
        <v>80</v>
      </c>
      <c r="C53" s="50">
        <v>124</v>
      </c>
      <c r="D53" s="50">
        <v>49</v>
      </c>
      <c r="E53" s="50">
        <v>16</v>
      </c>
      <c r="F53" s="50">
        <v>29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103</v>
      </c>
      <c r="N53" s="50">
        <v>0</v>
      </c>
      <c r="O53" s="15">
        <f t="shared" si="0"/>
        <v>220</v>
      </c>
      <c r="P53" s="15">
        <f t="shared" si="1"/>
        <v>323</v>
      </c>
      <c r="R53" s="8"/>
      <c r="T53"/>
    </row>
    <row r="54" spans="2:20" ht="23.1" customHeight="1" x14ac:dyDescent="0.25">
      <c r="B54" s="23" t="s">
        <v>81</v>
      </c>
      <c r="C54" s="50">
        <v>91</v>
      </c>
      <c r="D54" s="50">
        <v>31</v>
      </c>
      <c r="E54" s="50">
        <v>22</v>
      </c>
      <c r="F54" s="50">
        <v>29</v>
      </c>
      <c r="G54" s="50">
        <v>1</v>
      </c>
      <c r="H54" s="50">
        <v>0</v>
      </c>
      <c r="I54" s="50">
        <v>2</v>
      </c>
      <c r="J54" s="50">
        <v>6</v>
      </c>
      <c r="K54" s="50">
        <v>0</v>
      </c>
      <c r="L54" s="50">
        <v>0</v>
      </c>
      <c r="M54" s="50">
        <v>62</v>
      </c>
      <c r="N54" s="50">
        <v>0</v>
      </c>
      <c r="O54" s="15">
        <f t="shared" si="0"/>
        <v>182</v>
      </c>
      <c r="P54" s="15">
        <f t="shared" si="1"/>
        <v>244</v>
      </c>
      <c r="R54" s="8"/>
      <c r="T54"/>
    </row>
    <row r="55" spans="2:20" ht="23.1" customHeight="1" x14ac:dyDescent="0.25">
      <c r="B55" s="23" t="s">
        <v>82</v>
      </c>
      <c r="C55" s="50">
        <v>103</v>
      </c>
      <c r="D55" s="50">
        <v>16</v>
      </c>
      <c r="E55" s="50">
        <v>21</v>
      </c>
      <c r="F55" s="50">
        <v>15</v>
      </c>
      <c r="G55" s="50">
        <v>1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73</v>
      </c>
      <c r="N55" s="50">
        <v>0</v>
      </c>
      <c r="O55" s="15">
        <f t="shared" si="0"/>
        <v>159</v>
      </c>
      <c r="P55" s="15">
        <f t="shared" si="1"/>
        <v>232</v>
      </c>
      <c r="R55" s="8"/>
      <c r="T55"/>
    </row>
    <row r="56" spans="2:20" ht="23.1" customHeight="1" x14ac:dyDescent="0.25">
      <c r="B56" s="23" t="s">
        <v>83</v>
      </c>
      <c r="C56" s="50">
        <v>143</v>
      </c>
      <c r="D56" s="50">
        <v>21</v>
      </c>
      <c r="E56" s="50">
        <v>24</v>
      </c>
      <c r="F56" s="50">
        <v>29</v>
      </c>
      <c r="G56" s="50">
        <v>1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89</v>
      </c>
      <c r="N56" s="50">
        <v>0</v>
      </c>
      <c r="O56" s="15">
        <f t="shared" si="0"/>
        <v>221</v>
      </c>
      <c r="P56" s="15">
        <f t="shared" si="1"/>
        <v>310</v>
      </c>
      <c r="R56" s="8"/>
      <c r="T56"/>
    </row>
    <row r="57" spans="2:20" ht="23.1" customHeight="1" x14ac:dyDescent="0.25">
      <c r="B57" s="23" t="s">
        <v>84</v>
      </c>
      <c r="C57" s="50">
        <v>119</v>
      </c>
      <c r="D57" s="50">
        <v>19</v>
      </c>
      <c r="E57" s="50">
        <v>16</v>
      </c>
      <c r="F57" s="50">
        <v>37</v>
      </c>
      <c r="G57" s="50">
        <v>2</v>
      </c>
      <c r="H57" s="50">
        <v>1</v>
      </c>
      <c r="I57" s="50">
        <v>0</v>
      </c>
      <c r="J57" s="50">
        <v>4</v>
      </c>
      <c r="K57" s="50">
        <v>0</v>
      </c>
      <c r="L57" s="50">
        <v>0</v>
      </c>
      <c r="M57" s="50">
        <v>94</v>
      </c>
      <c r="N57" s="50">
        <v>0</v>
      </c>
      <c r="O57" s="15">
        <f t="shared" si="0"/>
        <v>198</v>
      </c>
      <c r="P57" s="15">
        <f t="shared" si="1"/>
        <v>292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5007</v>
      </c>
      <c r="D58" s="16">
        <f t="shared" si="21"/>
        <v>1673</v>
      </c>
      <c r="E58" s="16">
        <f t="shared" si="21"/>
        <v>1166</v>
      </c>
      <c r="F58" s="16">
        <f t="shared" si="21"/>
        <v>1869</v>
      </c>
      <c r="G58" s="16">
        <f t="shared" si="21"/>
        <v>12</v>
      </c>
      <c r="H58" s="16">
        <f t="shared" si="21"/>
        <v>11</v>
      </c>
      <c r="I58" s="16">
        <f t="shared" si="21"/>
        <v>114</v>
      </c>
      <c r="J58" s="16">
        <f t="shared" si="21"/>
        <v>106</v>
      </c>
      <c r="K58" s="16">
        <f t="shared" si="21"/>
        <v>7</v>
      </c>
      <c r="L58" s="16">
        <f t="shared" si="21"/>
        <v>9</v>
      </c>
      <c r="M58" s="16">
        <f t="shared" si="21"/>
        <v>3504</v>
      </c>
      <c r="N58" s="16">
        <f t="shared" si="21"/>
        <v>0</v>
      </c>
      <c r="O58" s="16">
        <f t="shared" si="21"/>
        <v>9974</v>
      </c>
      <c r="P58" s="16">
        <f t="shared" si="21"/>
        <v>13478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0.37149428698619974</v>
      </c>
      <c r="D59" s="43">
        <f t="shared" si="22"/>
        <v>0.12412820893307612</v>
      </c>
      <c r="E59" s="43">
        <f t="shared" si="22"/>
        <v>8.6511351832616115E-2</v>
      </c>
      <c r="F59" s="43">
        <f t="shared" si="22"/>
        <v>0.13867042587921055</v>
      </c>
      <c r="G59" s="43">
        <f t="shared" si="22"/>
        <v>8.9033981302863929E-4</v>
      </c>
      <c r="H59" s="43">
        <f t="shared" si="22"/>
        <v>8.1614482860958599E-4</v>
      </c>
      <c r="I59" s="43">
        <f t="shared" si="22"/>
        <v>8.4582282237720737E-3</v>
      </c>
      <c r="J59" s="43">
        <f t="shared" si="22"/>
        <v>7.8646683484196473E-3</v>
      </c>
      <c r="K59" s="43">
        <f t="shared" si="22"/>
        <v>5.1936489093337289E-4</v>
      </c>
      <c r="L59" s="43">
        <f t="shared" si="22"/>
        <v>6.6775485977147949E-4</v>
      </c>
      <c r="M59" s="43">
        <f t="shared" si="22"/>
        <v>0.25997922540436269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0.50200521355524363</v>
      </c>
      <c r="D60" s="44">
        <f t="shared" ref="D60:N60" si="23">D58/$O$58</f>
        <v>0.16773611389612994</v>
      </c>
      <c r="E60" s="44">
        <f t="shared" si="23"/>
        <v>0.11690395027070383</v>
      </c>
      <c r="F60" s="44">
        <f t="shared" si="23"/>
        <v>0.18738720673751755</v>
      </c>
      <c r="G60" s="44">
        <f t="shared" si="23"/>
        <v>1.20312813314618E-3</v>
      </c>
      <c r="H60" s="44">
        <f t="shared" si="23"/>
        <v>1.1028674553839983E-3</v>
      </c>
      <c r="I60" s="44">
        <f t="shared" si="23"/>
        <v>1.1429717264888711E-2</v>
      </c>
      <c r="J60" s="44">
        <f t="shared" si="23"/>
        <v>1.0627631842791257E-2</v>
      </c>
      <c r="K60" s="44">
        <f t="shared" si="23"/>
        <v>7.0182474433527168E-4</v>
      </c>
      <c r="L60" s="44">
        <f t="shared" si="23"/>
        <v>9.0234609985963504E-4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L9" sqref="L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Bugolobi-Nakawa'!C3:G3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3" t="str">
        <f>'02.08 Nakawa-Bugolobi'!G5:H5</f>
        <v>Business Park</v>
      </c>
      <c r="H5" s="64"/>
      <c r="I5" s="14"/>
      <c r="J5" s="2" t="s">
        <v>5</v>
      </c>
      <c r="K5" s="63" t="str">
        <f>'02.08 Nakawa-Bugolobi'!K5:L5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Bugolobi-Nakawa'!D6:E6</f>
        <v>Bugolobi</v>
      </c>
      <c r="E6" s="64"/>
      <c r="F6" s="2" t="s">
        <v>2</v>
      </c>
      <c r="G6" s="63" t="str">
        <f>'29.07 Bugolobi-Nakawa'!G6:H6</f>
        <v>Nakawa</v>
      </c>
      <c r="H6" s="64"/>
      <c r="J6" s="2" t="s">
        <v>21</v>
      </c>
      <c r="K6" s="63" t="str">
        <f>'02.08 Nakawa-Bugolobi'!K6:L6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128</v>
      </c>
      <c r="D10" s="50">
        <v>33</v>
      </c>
      <c r="E10" s="50">
        <v>33</v>
      </c>
      <c r="F10" s="50">
        <v>69</v>
      </c>
      <c r="G10" s="50">
        <v>0</v>
      </c>
      <c r="H10" s="50">
        <v>0</v>
      </c>
      <c r="I10" s="50">
        <v>8</v>
      </c>
      <c r="J10" s="50">
        <v>1</v>
      </c>
      <c r="K10" s="50">
        <v>0</v>
      </c>
      <c r="L10" s="50">
        <v>0</v>
      </c>
      <c r="M10" s="50">
        <v>102</v>
      </c>
      <c r="N10" s="50">
        <v>0</v>
      </c>
      <c r="O10" s="15">
        <f t="shared" ref="O10:O57" si="0">SUM(C10:L10,N10)</f>
        <v>272</v>
      </c>
      <c r="P10" s="15">
        <f t="shared" ref="P10:P57" si="1">SUM(C10:N10)</f>
        <v>374</v>
      </c>
      <c r="R10" s="1" t="s">
        <v>6</v>
      </c>
      <c r="S10" s="17">
        <f t="shared" ref="S10:AF10" si="2">SUM(C10:C13)</f>
        <v>476</v>
      </c>
      <c r="T10" s="17">
        <f t="shared" si="2"/>
        <v>175</v>
      </c>
      <c r="U10" s="17">
        <f t="shared" si="2"/>
        <v>113</v>
      </c>
      <c r="V10" s="17">
        <f t="shared" si="2"/>
        <v>261</v>
      </c>
      <c r="W10" s="17">
        <f t="shared" si="2"/>
        <v>0</v>
      </c>
      <c r="X10" s="17">
        <f t="shared" si="2"/>
        <v>1</v>
      </c>
      <c r="Y10" s="17">
        <f t="shared" si="2"/>
        <v>8</v>
      </c>
      <c r="Z10" s="17">
        <f t="shared" si="2"/>
        <v>2</v>
      </c>
      <c r="AA10" s="17">
        <f t="shared" si="2"/>
        <v>0</v>
      </c>
      <c r="AB10" s="17">
        <f t="shared" si="2"/>
        <v>2</v>
      </c>
      <c r="AC10" s="17">
        <f t="shared" si="2"/>
        <v>344</v>
      </c>
      <c r="AD10" s="17">
        <f t="shared" si="2"/>
        <v>0</v>
      </c>
      <c r="AE10" s="31">
        <f t="shared" si="2"/>
        <v>1038</v>
      </c>
      <c r="AF10" s="31">
        <f t="shared" si="2"/>
        <v>1382</v>
      </c>
    </row>
    <row r="11" spans="2:32" s="6" customFormat="1" ht="23.1" customHeight="1" x14ac:dyDescent="0.25">
      <c r="B11" s="45" t="s">
        <v>38</v>
      </c>
      <c r="C11" s="50">
        <v>138</v>
      </c>
      <c r="D11" s="50">
        <v>43</v>
      </c>
      <c r="E11" s="50">
        <v>24</v>
      </c>
      <c r="F11" s="50">
        <v>63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67</v>
      </c>
      <c r="N11" s="50">
        <v>0</v>
      </c>
      <c r="O11" s="15">
        <f t="shared" si="0"/>
        <v>268</v>
      </c>
      <c r="P11" s="15">
        <f t="shared" si="1"/>
        <v>335</v>
      </c>
      <c r="R11" s="1" t="s">
        <v>7</v>
      </c>
      <c r="S11" s="17">
        <f t="shared" ref="S11:AF11" si="3">SUM(C14:C17)</f>
        <v>674</v>
      </c>
      <c r="T11" s="17">
        <f t="shared" si="3"/>
        <v>197</v>
      </c>
      <c r="U11" s="17">
        <f t="shared" si="3"/>
        <v>145</v>
      </c>
      <c r="V11" s="17">
        <f t="shared" si="3"/>
        <v>268</v>
      </c>
      <c r="W11" s="17">
        <f t="shared" si="3"/>
        <v>0</v>
      </c>
      <c r="X11" s="17">
        <f t="shared" si="3"/>
        <v>0</v>
      </c>
      <c r="Y11" s="17">
        <f t="shared" si="3"/>
        <v>14</v>
      </c>
      <c r="Z11" s="17">
        <f t="shared" si="3"/>
        <v>3</v>
      </c>
      <c r="AA11" s="17">
        <f t="shared" si="3"/>
        <v>1</v>
      </c>
      <c r="AB11" s="17">
        <f t="shared" si="3"/>
        <v>0</v>
      </c>
      <c r="AC11" s="17">
        <f t="shared" si="3"/>
        <v>336</v>
      </c>
      <c r="AD11" s="17">
        <f t="shared" si="3"/>
        <v>0</v>
      </c>
      <c r="AE11" s="31">
        <f t="shared" si="3"/>
        <v>1302</v>
      </c>
      <c r="AF11" s="31">
        <f t="shared" si="3"/>
        <v>1638</v>
      </c>
    </row>
    <row r="12" spans="2:32" ht="23.1" customHeight="1" x14ac:dyDescent="0.25">
      <c r="B12" s="45" t="s">
        <v>39</v>
      </c>
      <c r="C12" s="50">
        <v>66</v>
      </c>
      <c r="D12" s="50">
        <v>21</v>
      </c>
      <c r="E12" s="50">
        <v>31</v>
      </c>
      <c r="F12" s="50">
        <v>61</v>
      </c>
      <c r="G12" s="50">
        <v>0</v>
      </c>
      <c r="H12" s="50">
        <v>1</v>
      </c>
      <c r="I12" s="50">
        <v>0</v>
      </c>
      <c r="J12" s="50">
        <v>0</v>
      </c>
      <c r="K12" s="50">
        <v>0</v>
      </c>
      <c r="L12" s="50">
        <v>0</v>
      </c>
      <c r="M12" s="50">
        <v>83</v>
      </c>
      <c r="N12" s="50">
        <v>0</v>
      </c>
      <c r="O12" s="15">
        <f t="shared" si="0"/>
        <v>180</v>
      </c>
      <c r="P12" s="15">
        <f t="shared" si="1"/>
        <v>263</v>
      </c>
      <c r="R12" s="1" t="s">
        <v>8</v>
      </c>
      <c r="S12" s="17">
        <f t="shared" ref="S12:AF12" si="4">SUM(C18:C21)</f>
        <v>514</v>
      </c>
      <c r="T12" s="17">
        <f t="shared" si="4"/>
        <v>153</v>
      </c>
      <c r="U12" s="17">
        <f t="shared" si="4"/>
        <v>134</v>
      </c>
      <c r="V12" s="17">
        <f t="shared" si="4"/>
        <v>166</v>
      </c>
      <c r="W12" s="17">
        <f t="shared" si="4"/>
        <v>1</v>
      </c>
      <c r="X12" s="17">
        <f t="shared" si="4"/>
        <v>0</v>
      </c>
      <c r="Y12" s="17">
        <f t="shared" si="4"/>
        <v>7</v>
      </c>
      <c r="Z12" s="17">
        <f t="shared" si="4"/>
        <v>7</v>
      </c>
      <c r="AA12" s="17">
        <f t="shared" si="4"/>
        <v>1</v>
      </c>
      <c r="AB12" s="17">
        <f t="shared" si="4"/>
        <v>0</v>
      </c>
      <c r="AC12" s="17">
        <f t="shared" si="4"/>
        <v>277</v>
      </c>
      <c r="AD12" s="17">
        <f t="shared" si="4"/>
        <v>0</v>
      </c>
      <c r="AE12" s="31">
        <f t="shared" si="4"/>
        <v>983</v>
      </c>
      <c r="AF12" s="31">
        <f t="shared" si="4"/>
        <v>1260</v>
      </c>
    </row>
    <row r="13" spans="2:32" ht="23.1" customHeight="1" x14ac:dyDescent="0.25">
      <c r="B13" s="45" t="s">
        <v>40</v>
      </c>
      <c r="C13" s="50">
        <v>144</v>
      </c>
      <c r="D13" s="50">
        <v>78</v>
      </c>
      <c r="E13" s="50">
        <v>25</v>
      </c>
      <c r="F13" s="50">
        <v>68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2</v>
      </c>
      <c r="M13" s="50">
        <v>92</v>
      </c>
      <c r="N13" s="50">
        <v>0</v>
      </c>
      <c r="O13" s="15">
        <f t="shared" si="0"/>
        <v>318</v>
      </c>
      <c r="P13" s="15">
        <f t="shared" si="1"/>
        <v>410</v>
      </c>
      <c r="R13" s="1" t="s">
        <v>9</v>
      </c>
      <c r="S13" s="17">
        <f t="shared" ref="S13:AF13" si="5">SUM(C22:C25)</f>
        <v>413</v>
      </c>
      <c r="T13" s="17">
        <f t="shared" si="5"/>
        <v>177</v>
      </c>
      <c r="U13" s="17">
        <f t="shared" si="5"/>
        <v>112</v>
      </c>
      <c r="V13" s="17">
        <f t="shared" si="5"/>
        <v>155</v>
      </c>
      <c r="W13" s="17">
        <f t="shared" si="5"/>
        <v>2</v>
      </c>
      <c r="X13" s="17">
        <f t="shared" si="5"/>
        <v>0</v>
      </c>
      <c r="Y13" s="17">
        <f t="shared" si="5"/>
        <v>6</v>
      </c>
      <c r="Z13" s="17">
        <f t="shared" si="5"/>
        <v>11</v>
      </c>
      <c r="AA13" s="17">
        <f t="shared" si="5"/>
        <v>1</v>
      </c>
      <c r="AB13" s="17">
        <f t="shared" si="5"/>
        <v>1</v>
      </c>
      <c r="AC13" s="17">
        <f t="shared" si="5"/>
        <v>290</v>
      </c>
      <c r="AD13" s="17">
        <f t="shared" si="5"/>
        <v>0</v>
      </c>
      <c r="AE13" s="31">
        <f t="shared" si="5"/>
        <v>878</v>
      </c>
      <c r="AF13" s="31">
        <f t="shared" si="5"/>
        <v>1168</v>
      </c>
    </row>
    <row r="14" spans="2:32" ht="23.1" customHeight="1" x14ac:dyDescent="0.25">
      <c r="B14" s="45" t="s">
        <v>41</v>
      </c>
      <c r="C14" s="50">
        <v>123</v>
      </c>
      <c r="D14" s="50">
        <v>42</v>
      </c>
      <c r="E14" s="50">
        <v>43</v>
      </c>
      <c r="F14" s="50">
        <v>120</v>
      </c>
      <c r="G14" s="50">
        <v>0</v>
      </c>
      <c r="H14" s="50">
        <v>0</v>
      </c>
      <c r="I14" s="50">
        <v>7</v>
      </c>
      <c r="J14" s="50">
        <v>1</v>
      </c>
      <c r="K14" s="50">
        <v>0</v>
      </c>
      <c r="L14" s="50">
        <v>0</v>
      </c>
      <c r="M14" s="50">
        <v>97</v>
      </c>
      <c r="N14" s="50">
        <v>0</v>
      </c>
      <c r="O14" s="15">
        <f t="shared" si="0"/>
        <v>336</v>
      </c>
      <c r="P14" s="15">
        <f t="shared" si="1"/>
        <v>433</v>
      </c>
      <c r="R14" s="1" t="s">
        <v>10</v>
      </c>
      <c r="S14" s="17">
        <f t="shared" ref="S14:AF14" si="6">SUM(C26:C29)</f>
        <v>383</v>
      </c>
      <c r="T14" s="17">
        <f t="shared" si="6"/>
        <v>131</v>
      </c>
      <c r="U14" s="17">
        <f t="shared" si="6"/>
        <v>113</v>
      </c>
      <c r="V14" s="17">
        <f t="shared" si="6"/>
        <v>106</v>
      </c>
      <c r="W14" s="17">
        <f t="shared" si="6"/>
        <v>1</v>
      </c>
      <c r="X14" s="17">
        <f t="shared" si="6"/>
        <v>3</v>
      </c>
      <c r="Y14" s="17">
        <f t="shared" si="6"/>
        <v>15</v>
      </c>
      <c r="Z14" s="17">
        <f t="shared" si="6"/>
        <v>5</v>
      </c>
      <c r="AA14" s="17">
        <f t="shared" si="6"/>
        <v>1</v>
      </c>
      <c r="AB14" s="17">
        <f t="shared" si="6"/>
        <v>3</v>
      </c>
      <c r="AC14" s="17">
        <f t="shared" si="6"/>
        <v>227</v>
      </c>
      <c r="AD14" s="17">
        <f t="shared" si="6"/>
        <v>0</v>
      </c>
      <c r="AE14" s="31">
        <f t="shared" si="6"/>
        <v>761</v>
      </c>
      <c r="AF14" s="31">
        <f t="shared" si="6"/>
        <v>988</v>
      </c>
    </row>
    <row r="15" spans="2:32" ht="23.1" customHeight="1" x14ac:dyDescent="0.25">
      <c r="B15" s="45" t="s">
        <v>42</v>
      </c>
      <c r="C15" s="50">
        <v>214</v>
      </c>
      <c r="D15" s="50">
        <v>63</v>
      </c>
      <c r="E15" s="50">
        <v>36</v>
      </c>
      <c r="F15" s="50">
        <v>48</v>
      </c>
      <c r="G15" s="50">
        <v>0</v>
      </c>
      <c r="H15" s="50">
        <v>0</v>
      </c>
      <c r="I15" s="50">
        <v>1</v>
      </c>
      <c r="J15" s="50">
        <v>2</v>
      </c>
      <c r="K15" s="50">
        <v>1</v>
      </c>
      <c r="L15" s="50">
        <v>0</v>
      </c>
      <c r="M15" s="50">
        <v>83</v>
      </c>
      <c r="N15" s="50">
        <v>0</v>
      </c>
      <c r="O15" s="15">
        <f t="shared" si="0"/>
        <v>365</v>
      </c>
      <c r="P15" s="15">
        <f t="shared" si="1"/>
        <v>448</v>
      </c>
      <c r="R15" s="1" t="s">
        <v>11</v>
      </c>
      <c r="S15" s="17">
        <f t="shared" ref="S15:AF15" si="7">SUM(C30:C33)</f>
        <v>404</v>
      </c>
      <c r="T15" s="17">
        <f t="shared" si="7"/>
        <v>147</v>
      </c>
      <c r="U15" s="17">
        <f t="shared" si="7"/>
        <v>84</v>
      </c>
      <c r="V15" s="17">
        <f t="shared" si="7"/>
        <v>156</v>
      </c>
      <c r="W15" s="17">
        <f t="shared" si="7"/>
        <v>1</v>
      </c>
      <c r="X15" s="17">
        <f t="shared" si="7"/>
        <v>0</v>
      </c>
      <c r="Y15" s="17">
        <f t="shared" si="7"/>
        <v>13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330</v>
      </c>
      <c r="AD15" s="17">
        <f t="shared" si="7"/>
        <v>0</v>
      </c>
      <c r="AE15" s="31">
        <f t="shared" si="7"/>
        <v>811</v>
      </c>
      <c r="AF15" s="31">
        <f t="shared" si="7"/>
        <v>1141</v>
      </c>
    </row>
    <row r="16" spans="2:32" ht="23.1" customHeight="1" x14ac:dyDescent="0.25">
      <c r="B16" s="45" t="s">
        <v>43</v>
      </c>
      <c r="C16" s="50">
        <v>173</v>
      </c>
      <c r="D16" s="50">
        <v>44</v>
      </c>
      <c r="E16" s="50">
        <v>38</v>
      </c>
      <c r="F16" s="50">
        <v>59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79</v>
      </c>
      <c r="N16" s="50">
        <v>0</v>
      </c>
      <c r="O16" s="15">
        <f t="shared" si="0"/>
        <v>315</v>
      </c>
      <c r="P16" s="15">
        <f t="shared" si="1"/>
        <v>394</v>
      </c>
      <c r="R16" s="1" t="s">
        <v>12</v>
      </c>
      <c r="S16" s="17">
        <f t="shared" ref="S16:AF16" si="8">SUM(C34:C37)</f>
        <v>263</v>
      </c>
      <c r="T16" s="17">
        <f t="shared" si="8"/>
        <v>86</v>
      </c>
      <c r="U16" s="17">
        <f t="shared" si="8"/>
        <v>98</v>
      </c>
      <c r="V16" s="17">
        <f t="shared" si="8"/>
        <v>85</v>
      </c>
      <c r="W16" s="17">
        <f t="shared" si="8"/>
        <v>1</v>
      </c>
      <c r="X16" s="17">
        <f t="shared" si="8"/>
        <v>0</v>
      </c>
      <c r="Y16" s="17">
        <f t="shared" si="8"/>
        <v>12</v>
      </c>
      <c r="Z16" s="17">
        <f t="shared" si="8"/>
        <v>7</v>
      </c>
      <c r="AA16" s="17">
        <f t="shared" si="8"/>
        <v>0</v>
      </c>
      <c r="AB16" s="17">
        <f t="shared" si="8"/>
        <v>1</v>
      </c>
      <c r="AC16" s="17">
        <f t="shared" si="8"/>
        <v>254</v>
      </c>
      <c r="AD16" s="17">
        <f t="shared" si="8"/>
        <v>0</v>
      </c>
      <c r="AE16" s="31">
        <f t="shared" si="8"/>
        <v>553</v>
      </c>
      <c r="AF16" s="31">
        <f t="shared" si="8"/>
        <v>807</v>
      </c>
    </row>
    <row r="17" spans="2:32" ht="23.1" customHeight="1" x14ac:dyDescent="0.25">
      <c r="B17" s="45" t="s">
        <v>44</v>
      </c>
      <c r="C17" s="50">
        <v>164</v>
      </c>
      <c r="D17" s="50">
        <v>48</v>
      </c>
      <c r="E17" s="50">
        <v>28</v>
      </c>
      <c r="F17" s="50">
        <v>41</v>
      </c>
      <c r="G17" s="50">
        <v>0</v>
      </c>
      <c r="H17" s="50">
        <v>0</v>
      </c>
      <c r="I17" s="50">
        <v>5</v>
      </c>
      <c r="J17" s="50">
        <v>0</v>
      </c>
      <c r="K17" s="50">
        <v>0</v>
      </c>
      <c r="L17" s="50">
        <v>0</v>
      </c>
      <c r="M17" s="50">
        <v>77</v>
      </c>
      <c r="N17" s="50">
        <v>0</v>
      </c>
      <c r="O17" s="15">
        <f t="shared" si="0"/>
        <v>286</v>
      </c>
      <c r="P17" s="15">
        <f t="shared" si="1"/>
        <v>363</v>
      </c>
      <c r="R17" s="1" t="s">
        <v>13</v>
      </c>
      <c r="S17" s="17">
        <f t="shared" ref="S17:AF17" si="9">SUM(C38:C41)</f>
        <v>288</v>
      </c>
      <c r="T17" s="17">
        <f t="shared" si="9"/>
        <v>139</v>
      </c>
      <c r="U17" s="17">
        <f t="shared" si="9"/>
        <v>125</v>
      </c>
      <c r="V17" s="17">
        <f t="shared" si="9"/>
        <v>158</v>
      </c>
      <c r="W17" s="17">
        <f t="shared" si="9"/>
        <v>0</v>
      </c>
      <c r="X17" s="17">
        <f t="shared" si="9"/>
        <v>3</v>
      </c>
      <c r="Y17" s="17">
        <f t="shared" si="9"/>
        <v>29</v>
      </c>
      <c r="Z17" s="17">
        <f t="shared" si="9"/>
        <v>4</v>
      </c>
      <c r="AA17" s="17">
        <f t="shared" si="9"/>
        <v>1</v>
      </c>
      <c r="AB17" s="17">
        <f t="shared" si="9"/>
        <v>2</v>
      </c>
      <c r="AC17" s="17">
        <f t="shared" si="9"/>
        <v>263</v>
      </c>
      <c r="AD17" s="17">
        <f t="shared" si="9"/>
        <v>0</v>
      </c>
      <c r="AE17" s="31">
        <f t="shared" si="9"/>
        <v>749</v>
      </c>
      <c r="AF17" s="31">
        <f t="shared" si="9"/>
        <v>1012</v>
      </c>
    </row>
    <row r="18" spans="2:32" ht="23.1" customHeight="1" x14ac:dyDescent="0.25">
      <c r="B18" s="45" t="s">
        <v>45</v>
      </c>
      <c r="C18" s="50">
        <v>165</v>
      </c>
      <c r="D18" s="50">
        <v>53</v>
      </c>
      <c r="E18" s="50">
        <v>29</v>
      </c>
      <c r="F18" s="50">
        <v>47</v>
      </c>
      <c r="G18" s="50">
        <v>0</v>
      </c>
      <c r="H18" s="50">
        <v>0</v>
      </c>
      <c r="I18" s="50">
        <v>3</v>
      </c>
      <c r="J18" s="50">
        <v>1</v>
      </c>
      <c r="K18" s="50">
        <v>0</v>
      </c>
      <c r="L18" s="50">
        <v>0</v>
      </c>
      <c r="M18" s="50">
        <v>70</v>
      </c>
      <c r="N18" s="50">
        <v>0</v>
      </c>
      <c r="O18" s="15">
        <f t="shared" si="0"/>
        <v>298</v>
      </c>
      <c r="P18" s="15">
        <f t="shared" si="1"/>
        <v>368</v>
      </c>
      <c r="R18" s="1" t="s">
        <v>14</v>
      </c>
      <c r="S18" s="17">
        <f t="shared" ref="S18:AF18" si="10">SUM(C42:C45)</f>
        <v>282</v>
      </c>
      <c r="T18" s="17">
        <f t="shared" si="10"/>
        <v>128</v>
      </c>
      <c r="U18" s="17">
        <f t="shared" si="10"/>
        <v>103</v>
      </c>
      <c r="V18" s="17">
        <f t="shared" si="10"/>
        <v>168</v>
      </c>
      <c r="W18" s="17">
        <f t="shared" si="10"/>
        <v>0</v>
      </c>
      <c r="X18" s="17">
        <f t="shared" si="10"/>
        <v>0</v>
      </c>
      <c r="Y18" s="17">
        <f t="shared" si="10"/>
        <v>14</v>
      </c>
      <c r="Z18" s="17">
        <f t="shared" si="10"/>
        <v>3</v>
      </c>
      <c r="AA18" s="17">
        <f t="shared" si="10"/>
        <v>2</v>
      </c>
      <c r="AB18" s="17">
        <f t="shared" si="10"/>
        <v>0</v>
      </c>
      <c r="AC18" s="17">
        <f t="shared" si="10"/>
        <v>265</v>
      </c>
      <c r="AD18" s="17">
        <f t="shared" si="10"/>
        <v>0</v>
      </c>
      <c r="AE18" s="31">
        <f t="shared" si="10"/>
        <v>700</v>
      </c>
      <c r="AF18" s="31">
        <f t="shared" si="10"/>
        <v>965</v>
      </c>
    </row>
    <row r="19" spans="2:32" ht="23.1" customHeight="1" x14ac:dyDescent="0.25">
      <c r="B19" s="45" t="s">
        <v>46</v>
      </c>
      <c r="C19" s="50">
        <v>106</v>
      </c>
      <c r="D19" s="50">
        <v>39</v>
      </c>
      <c r="E19" s="50">
        <v>26</v>
      </c>
      <c r="F19" s="50">
        <v>42</v>
      </c>
      <c r="G19" s="50">
        <v>0</v>
      </c>
      <c r="H19" s="50">
        <v>0</v>
      </c>
      <c r="I19" s="50">
        <v>0</v>
      </c>
      <c r="J19" s="50">
        <v>4</v>
      </c>
      <c r="K19" s="50">
        <v>0</v>
      </c>
      <c r="L19" s="50">
        <v>0</v>
      </c>
      <c r="M19" s="50">
        <v>65</v>
      </c>
      <c r="N19" s="50">
        <v>0</v>
      </c>
      <c r="O19" s="15">
        <f t="shared" si="0"/>
        <v>217</v>
      </c>
      <c r="P19" s="15">
        <f t="shared" si="1"/>
        <v>282</v>
      </c>
      <c r="R19" s="1" t="s">
        <v>15</v>
      </c>
      <c r="S19" s="17">
        <f t="shared" ref="S19:AF19" si="11">SUM(C46:C49)</f>
        <v>267</v>
      </c>
      <c r="T19" s="17">
        <f t="shared" si="11"/>
        <v>150</v>
      </c>
      <c r="U19" s="17">
        <f t="shared" si="11"/>
        <v>87</v>
      </c>
      <c r="V19" s="17">
        <f t="shared" si="11"/>
        <v>124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5</v>
      </c>
      <c r="AA19" s="17">
        <f t="shared" si="11"/>
        <v>4</v>
      </c>
      <c r="AB19" s="17">
        <f t="shared" si="11"/>
        <v>1</v>
      </c>
      <c r="AC19" s="17">
        <f t="shared" si="11"/>
        <v>303</v>
      </c>
      <c r="AD19" s="17">
        <f t="shared" si="11"/>
        <v>0</v>
      </c>
      <c r="AE19" s="31">
        <f t="shared" si="11"/>
        <v>644</v>
      </c>
      <c r="AF19" s="31">
        <f t="shared" si="11"/>
        <v>947</v>
      </c>
    </row>
    <row r="20" spans="2:32" ht="23.1" customHeight="1" x14ac:dyDescent="0.25">
      <c r="B20" s="45" t="s">
        <v>47</v>
      </c>
      <c r="C20" s="50">
        <v>133</v>
      </c>
      <c r="D20" s="50">
        <v>22</v>
      </c>
      <c r="E20" s="50">
        <v>38</v>
      </c>
      <c r="F20" s="50">
        <v>38</v>
      </c>
      <c r="G20" s="50">
        <v>1</v>
      </c>
      <c r="H20" s="50">
        <v>0</v>
      </c>
      <c r="I20" s="50">
        <v>0</v>
      </c>
      <c r="J20" s="50">
        <v>2</v>
      </c>
      <c r="K20" s="50">
        <v>1</v>
      </c>
      <c r="L20" s="50">
        <v>0</v>
      </c>
      <c r="M20" s="50">
        <v>59</v>
      </c>
      <c r="N20" s="50">
        <v>0</v>
      </c>
      <c r="O20" s="15">
        <f t="shared" si="0"/>
        <v>235</v>
      </c>
      <c r="P20" s="15">
        <f t="shared" si="1"/>
        <v>294</v>
      </c>
      <c r="R20" s="1" t="s">
        <v>16</v>
      </c>
      <c r="S20" s="17">
        <f t="shared" ref="S20:AF20" si="12">SUM(C50:C53)</f>
        <v>483</v>
      </c>
      <c r="T20" s="17">
        <f t="shared" si="12"/>
        <v>133</v>
      </c>
      <c r="U20" s="17">
        <f t="shared" si="12"/>
        <v>69</v>
      </c>
      <c r="V20" s="17">
        <f t="shared" si="12"/>
        <v>107</v>
      </c>
      <c r="W20" s="17">
        <f t="shared" si="12"/>
        <v>1</v>
      </c>
      <c r="X20" s="17">
        <f t="shared" si="12"/>
        <v>3</v>
      </c>
      <c r="Y20" s="17">
        <f t="shared" si="12"/>
        <v>21</v>
      </c>
      <c r="Z20" s="17">
        <f t="shared" si="12"/>
        <v>4</v>
      </c>
      <c r="AA20" s="17">
        <f t="shared" si="12"/>
        <v>0</v>
      </c>
      <c r="AB20" s="17">
        <f t="shared" si="12"/>
        <v>1</v>
      </c>
      <c r="AC20" s="17">
        <f t="shared" si="12"/>
        <v>243</v>
      </c>
      <c r="AD20" s="17">
        <f t="shared" si="12"/>
        <v>0</v>
      </c>
      <c r="AE20" s="31">
        <f t="shared" si="12"/>
        <v>822</v>
      </c>
      <c r="AF20" s="31">
        <f t="shared" si="12"/>
        <v>1065</v>
      </c>
    </row>
    <row r="21" spans="2:32" ht="23.1" customHeight="1" x14ac:dyDescent="0.25">
      <c r="B21" s="45" t="s">
        <v>48</v>
      </c>
      <c r="C21" s="50">
        <v>110</v>
      </c>
      <c r="D21" s="50">
        <v>39</v>
      </c>
      <c r="E21" s="50">
        <v>41</v>
      </c>
      <c r="F21" s="50">
        <v>39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83</v>
      </c>
      <c r="N21" s="50">
        <v>0</v>
      </c>
      <c r="O21" s="15">
        <f t="shared" si="0"/>
        <v>233</v>
      </c>
      <c r="P21" s="15">
        <f t="shared" si="1"/>
        <v>316</v>
      </c>
      <c r="R21" s="36" t="s">
        <v>20</v>
      </c>
      <c r="S21" s="34">
        <f t="shared" ref="S21:AF21" si="13">SUM(C54:C57)</f>
        <v>478</v>
      </c>
      <c r="T21" s="17">
        <f t="shared" si="13"/>
        <v>103</v>
      </c>
      <c r="U21" s="17">
        <f t="shared" si="13"/>
        <v>61</v>
      </c>
      <c r="V21" s="17">
        <f t="shared" si="13"/>
        <v>99</v>
      </c>
      <c r="W21" s="17">
        <f t="shared" si="13"/>
        <v>2</v>
      </c>
      <c r="X21" s="17">
        <f t="shared" si="13"/>
        <v>0</v>
      </c>
      <c r="Y21" s="17">
        <f t="shared" si="13"/>
        <v>19</v>
      </c>
      <c r="Z21" s="17">
        <f t="shared" si="13"/>
        <v>7</v>
      </c>
      <c r="AA21" s="17">
        <f t="shared" si="13"/>
        <v>1</v>
      </c>
      <c r="AB21" s="17">
        <f t="shared" si="13"/>
        <v>0</v>
      </c>
      <c r="AC21" s="17">
        <f t="shared" si="13"/>
        <v>215</v>
      </c>
      <c r="AD21" s="17">
        <f t="shared" si="13"/>
        <v>0</v>
      </c>
      <c r="AE21" s="31">
        <f t="shared" si="13"/>
        <v>770</v>
      </c>
      <c r="AF21" s="31">
        <f t="shared" si="13"/>
        <v>985</v>
      </c>
    </row>
    <row r="22" spans="2:32" ht="23.1" customHeight="1" x14ac:dyDescent="0.25">
      <c r="B22" s="45" t="s">
        <v>49</v>
      </c>
      <c r="C22" s="50">
        <v>85</v>
      </c>
      <c r="D22" s="50">
        <v>43</v>
      </c>
      <c r="E22" s="50">
        <v>28</v>
      </c>
      <c r="F22" s="50">
        <v>35</v>
      </c>
      <c r="G22" s="50">
        <v>0</v>
      </c>
      <c r="H22" s="50">
        <v>0</v>
      </c>
      <c r="I22" s="50">
        <v>3</v>
      </c>
      <c r="J22" s="50">
        <v>1</v>
      </c>
      <c r="K22" s="50">
        <v>0</v>
      </c>
      <c r="L22" s="50">
        <v>0</v>
      </c>
      <c r="M22" s="50">
        <v>75</v>
      </c>
      <c r="N22" s="50">
        <v>0</v>
      </c>
      <c r="O22" s="15">
        <f t="shared" si="0"/>
        <v>195</v>
      </c>
      <c r="P22" s="15">
        <f t="shared" si="1"/>
        <v>270</v>
      </c>
      <c r="R22" s="36" t="s">
        <v>146</v>
      </c>
      <c r="S22" s="34">
        <f>SUM(C58:C61)</f>
        <v>203</v>
      </c>
      <c r="T22" s="34">
        <f t="shared" ref="T22:AF22" si="14">SUM(D58:D61)</f>
        <v>109</v>
      </c>
      <c r="U22" s="34">
        <f t="shared" si="14"/>
        <v>65</v>
      </c>
      <c r="V22" s="34">
        <f t="shared" si="14"/>
        <v>95</v>
      </c>
      <c r="W22" s="34">
        <f t="shared" si="14"/>
        <v>2</v>
      </c>
      <c r="X22" s="34">
        <f t="shared" si="14"/>
        <v>0</v>
      </c>
      <c r="Y22" s="34">
        <f t="shared" si="14"/>
        <v>12</v>
      </c>
      <c r="Z22" s="34">
        <f t="shared" si="14"/>
        <v>7</v>
      </c>
      <c r="AA22" s="34">
        <f t="shared" si="14"/>
        <v>0</v>
      </c>
      <c r="AB22" s="34">
        <f t="shared" si="14"/>
        <v>1</v>
      </c>
      <c r="AC22" s="34">
        <f t="shared" si="14"/>
        <v>197</v>
      </c>
      <c r="AD22" s="34">
        <f t="shared" si="14"/>
        <v>0</v>
      </c>
      <c r="AE22" s="31">
        <f t="shared" si="14"/>
        <v>494</v>
      </c>
      <c r="AF22" s="31">
        <f t="shared" si="14"/>
        <v>691</v>
      </c>
    </row>
    <row r="23" spans="2:32" ht="23.1" customHeight="1" x14ac:dyDescent="0.25">
      <c r="B23" s="45" t="s">
        <v>50</v>
      </c>
      <c r="C23" s="50">
        <v>103</v>
      </c>
      <c r="D23" s="50">
        <v>23</v>
      </c>
      <c r="E23" s="50">
        <v>17</v>
      </c>
      <c r="F23" s="50">
        <v>34</v>
      </c>
      <c r="G23" s="50">
        <v>1</v>
      </c>
      <c r="H23" s="50">
        <v>0</v>
      </c>
      <c r="I23" s="50">
        <v>1</v>
      </c>
      <c r="J23" s="50">
        <v>0</v>
      </c>
      <c r="K23" s="50">
        <v>1</v>
      </c>
      <c r="L23" s="50">
        <v>0</v>
      </c>
      <c r="M23" s="50">
        <v>53</v>
      </c>
      <c r="N23" s="50">
        <v>0</v>
      </c>
      <c r="O23" s="15">
        <f t="shared" si="0"/>
        <v>180</v>
      </c>
      <c r="P23" s="15">
        <f t="shared" si="1"/>
        <v>233</v>
      </c>
      <c r="R23" s="36" t="s">
        <v>147</v>
      </c>
      <c r="S23" s="34">
        <f>SUM(C62:C65)</f>
        <v>171</v>
      </c>
      <c r="T23" s="34">
        <f t="shared" ref="T23:AF23" si="15">SUM(D62:D65)</f>
        <v>65</v>
      </c>
      <c r="U23" s="34">
        <f t="shared" si="15"/>
        <v>55</v>
      </c>
      <c r="V23" s="34">
        <f t="shared" si="15"/>
        <v>71</v>
      </c>
      <c r="W23" s="34">
        <f t="shared" si="15"/>
        <v>1</v>
      </c>
      <c r="X23" s="34">
        <f t="shared" si="15"/>
        <v>0</v>
      </c>
      <c r="Y23" s="34">
        <f t="shared" si="15"/>
        <v>7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174</v>
      </c>
      <c r="AD23" s="34">
        <f t="shared" si="15"/>
        <v>0</v>
      </c>
      <c r="AE23" s="31">
        <f t="shared" si="15"/>
        <v>372</v>
      </c>
      <c r="AF23" s="31">
        <f t="shared" si="15"/>
        <v>546</v>
      </c>
    </row>
    <row r="24" spans="2:32" ht="23.1" customHeight="1" x14ac:dyDescent="0.25">
      <c r="B24" s="45" t="s">
        <v>51</v>
      </c>
      <c r="C24" s="50">
        <v>102</v>
      </c>
      <c r="D24" s="50">
        <v>49</v>
      </c>
      <c r="E24" s="50">
        <v>37</v>
      </c>
      <c r="F24" s="50">
        <v>48</v>
      </c>
      <c r="G24" s="50">
        <v>1</v>
      </c>
      <c r="H24" s="50">
        <v>0</v>
      </c>
      <c r="I24" s="50">
        <v>0</v>
      </c>
      <c r="J24" s="50">
        <v>8</v>
      </c>
      <c r="K24" s="50">
        <v>0</v>
      </c>
      <c r="L24" s="50">
        <v>1</v>
      </c>
      <c r="M24" s="50">
        <v>83</v>
      </c>
      <c r="N24" s="50">
        <v>0</v>
      </c>
      <c r="O24" s="15">
        <f t="shared" si="0"/>
        <v>246</v>
      </c>
      <c r="P24" s="15">
        <f t="shared" si="1"/>
        <v>329</v>
      </c>
      <c r="R24" s="36" t="s">
        <v>148</v>
      </c>
      <c r="S24" s="34">
        <f>SUM(C66:C69)</f>
        <v>132</v>
      </c>
      <c r="T24" s="34">
        <f t="shared" ref="T24:AF24" si="16">SUM(D66:D69)</f>
        <v>65</v>
      </c>
      <c r="U24" s="34">
        <f t="shared" si="16"/>
        <v>43</v>
      </c>
      <c r="V24" s="34">
        <f t="shared" si="16"/>
        <v>69</v>
      </c>
      <c r="W24" s="34">
        <f t="shared" si="16"/>
        <v>0</v>
      </c>
      <c r="X24" s="34">
        <f t="shared" si="16"/>
        <v>1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137</v>
      </c>
      <c r="AD24" s="34">
        <f t="shared" si="16"/>
        <v>0</v>
      </c>
      <c r="AE24" s="31">
        <f t="shared" si="16"/>
        <v>311</v>
      </c>
      <c r="AF24" s="31">
        <f t="shared" si="16"/>
        <v>448</v>
      </c>
    </row>
    <row r="25" spans="2:32" ht="23.1" customHeight="1" x14ac:dyDescent="0.25">
      <c r="B25" s="45" t="s">
        <v>52</v>
      </c>
      <c r="C25" s="50">
        <v>123</v>
      </c>
      <c r="D25" s="50">
        <v>62</v>
      </c>
      <c r="E25" s="50">
        <v>30</v>
      </c>
      <c r="F25" s="50">
        <v>38</v>
      </c>
      <c r="G25" s="50">
        <v>0</v>
      </c>
      <c r="H25" s="50">
        <v>0</v>
      </c>
      <c r="I25" s="50">
        <v>2</v>
      </c>
      <c r="J25" s="50">
        <v>2</v>
      </c>
      <c r="K25" s="50">
        <v>0</v>
      </c>
      <c r="L25" s="50">
        <v>0</v>
      </c>
      <c r="M25" s="50">
        <v>79</v>
      </c>
      <c r="N25" s="50">
        <v>0</v>
      </c>
      <c r="O25" s="15">
        <f t="shared" si="0"/>
        <v>257</v>
      </c>
      <c r="P25" s="15">
        <f t="shared" si="1"/>
        <v>336</v>
      </c>
      <c r="R25" s="36" t="s">
        <v>149</v>
      </c>
      <c r="S25" s="34">
        <f>SUM(C70:C73)</f>
        <v>103</v>
      </c>
      <c r="T25" s="34">
        <f t="shared" ref="T25:AF25" si="17">SUM(D70:D73)</f>
        <v>31</v>
      </c>
      <c r="U25" s="34">
        <f t="shared" si="17"/>
        <v>8</v>
      </c>
      <c r="V25" s="34">
        <f t="shared" si="17"/>
        <v>26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1</v>
      </c>
      <c r="AB25" s="34">
        <f t="shared" si="17"/>
        <v>1</v>
      </c>
      <c r="AC25" s="34">
        <f t="shared" si="17"/>
        <v>77</v>
      </c>
      <c r="AD25" s="34">
        <f t="shared" si="17"/>
        <v>0</v>
      </c>
      <c r="AE25" s="31">
        <f t="shared" si="17"/>
        <v>171</v>
      </c>
      <c r="AF25" s="31">
        <f t="shared" si="17"/>
        <v>248</v>
      </c>
    </row>
    <row r="26" spans="2:32" ht="23.1" customHeight="1" x14ac:dyDescent="0.25">
      <c r="B26" s="45" t="s">
        <v>53</v>
      </c>
      <c r="C26" s="50">
        <v>99</v>
      </c>
      <c r="D26" s="50">
        <v>48</v>
      </c>
      <c r="E26" s="50">
        <v>33</v>
      </c>
      <c r="F26" s="50">
        <v>44</v>
      </c>
      <c r="G26" s="50">
        <v>1</v>
      </c>
      <c r="H26" s="50">
        <v>3</v>
      </c>
      <c r="I26" s="50">
        <v>7</v>
      </c>
      <c r="J26" s="50">
        <v>0</v>
      </c>
      <c r="K26" s="50">
        <v>0</v>
      </c>
      <c r="L26" s="50">
        <v>2</v>
      </c>
      <c r="M26" s="50">
        <v>58</v>
      </c>
      <c r="N26" s="50">
        <v>0</v>
      </c>
      <c r="O26" s="15">
        <f t="shared" si="0"/>
        <v>237</v>
      </c>
      <c r="P26" s="15">
        <f t="shared" si="1"/>
        <v>295</v>
      </c>
      <c r="R26" s="36" t="s">
        <v>150</v>
      </c>
      <c r="S26" s="34">
        <f>SUM(C74:C77)</f>
        <v>106</v>
      </c>
      <c r="T26" s="34">
        <f t="shared" ref="T26:AF26" si="18">SUM(D74:D77)</f>
        <v>6</v>
      </c>
      <c r="U26" s="34">
        <f t="shared" si="18"/>
        <v>9</v>
      </c>
      <c r="V26" s="34">
        <f t="shared" si="18"/>
        <v>15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1</v>
      </c>
      <c r="AB26" s="34">
        <f t="shared" si="18"/>
        <v>0</v>
      </c>
      <c r="AC26" s="34">
        <f t="shared" si="18"/>
        <v>49</v>
      </c>
      <c r="AD26" s="34">
        <f t="shared" si="18"/>
        <v>0</v>
      </c>
      <c r="AE26" s="31">
        <f t="shared" si="18"/>
        <v>138</v>
      </c>
      <c r="AF26" s="31">
        <f t="shared" si="18"/>
        <v>187</v>
      </c>
    </row>
    <row r="27" spans="2:32" ht="23.1" customHeight="1" x14ac:dyDescent="0.25">
      <c r="B27" s="45" t="s">
        <v>54</v>
      </c>
      <c r="C27" s="50">
        <v>103</v>
      </c>
      <c r="D27" s="50">
        <v>24</v>
      </c>
      <c r="E27" s="50">
        <v>21</v>
      </c>
      <c r="F27" s="50">
        <v>31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68</v>
      </c>
      <c r="N27" s="50">
        <v>0</v>
      </c>
      <c r="O27" s="15">
        <f t="shared" si="0"/>
        <v>182</v>
      </c>
      <c r="P27" s="15">
        <f t="shared" si="1"/>
        <v>250</v>
      </c>
      <c r="R27" s="36" t="s">
        <v>151</v>
      </c>
      <c r="S27" s="34">
        <f>SUM(C78:C81)</f>
        <v>31</v>
      </c>
      <c r="T27" s="34">
        <f t="shared" ref="T27:AF27" si="19">SUM(D78:D81)</f>
        <v>1</v>
      </c>
      <c r="U27" s="34">
        <f t="shared" si="19"/>
        <v>2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27</v>
      </c>
      <c r="AD27" s="34">
        <f t="shared" si="19"/>
        <v>0</v>
      </c>
      <c r="AE27" s="31">
        <f t="shared" si="19"/>
        <v>37</v>
      </c>
      <c r="AF27" s="31">
        <f t="shared" si="19"/>
        <v>64</v>
      </c>
    </row>
    <row r="28" spans="2:32" ht="23.1" customHeight="1" x14ac:dyDescent="0.25">
      <c r="B28" s="45" t="s">
        <v>55</v>
      </c>
      <c r="C28" s="50">
        <v>78</v>
      </c>
      <c r="D28" s="50">
        <v>31</v>
      </c>
      <c r="E28" s="50">
        <v>23</v>
      </c>
      <c r="F28" s="50">
        <v>0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47</v>
      </c>
      <c r="N28" s="50">
        <v>0</v>
      </c>
      <c r="O28" s="15">
        <f t="shared" si="0"/>
        <v>135</v>
      </c>
      <c r="P28" s="15">
        <f t="shared" si="1"/>
        <v>182</v>
      </c>
      <c r="R28" s="36" t="s">
        <v>152</v>
      </c>
      <c r="S28" s="34">
        <f>SUM(C82:C85)</f>
        <v>29</v>
      </c>
      <c r="T28" s="34">
        <f t="shared" ref="T28:AF28" si="20">SUM(D82:D85)</f>
        <v>5</v>
      </c>
      <c r="U28" s="34">
        <f t="shared" si="20"/>
        <v>1</v>
      </c>
      <c r="V28" s="34">
        <f t="shared" si="20"/>
        <v>4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1</v>
      </c>
      <c r="AC28" s="34">
        <f t="shared" si="20"/>
        <v>19</v>
      </c>
      <c r="AD28" s="34">
        <f t="shared" si="20"/>
        <v>0</v>
      </c>
      <c r="AE28" s="31">
        <f t="shared" si="20"/>
        <v>40</v>
      </c>
      <c r="AF28" s="31">
        <f t="shared" si="20"/>
        <v>59</v>
      </c>
    </row>
    <row r="29" spans="2:32" ht="23.1" customHeight="1" x14ac:dyDescent="0.25">
      <c r="B29" s="45" t="s">
        <v>56</v>
      </c>
      <c r="C29" s="50">
        <v>103</v>
      </c>
      <c r="D29" s="50">
        <v>28</v>
      </c>
      <c r="E29" s="50">
        <v>36</v>
      </c>
      <c r="F29" s="50">
        <v>31</v>
      </c>
      <c r="G29" s="50">
        <v>0</v>
      </c>
      <c r="H29" s="50">
        <v>0</v>
      </c>
      <c r="I29" s="50">
        <v>2</v>
      </c>
      <c r="J29" s="50">
        <v>5</v>
      </c>
      <c r="K29" s="50">
        <v>1</v>
      </c>
      <c r="L29" s="50">
        <v>1</v>
      </c>
      <c r="M29" s="50">
        <v>54</v>
      </c>
      <c r="N29" s="50">
        <v>0</v>
      </c>
      <c r="O29" s="15">
        <f t="shared" si="0"/>
        <v>207</v>
      </c>
      <c r="P29" s="15">
        <f t="shared" si="1"/>
        <v>261</v>
      </c>
      <c r="R29" s="36" t="s">
        <v>153</v>
      </c>
      <c r="S29" s="34">
        <f>SUM(C86:C89)</f>
        <v>24</v>
      </c>
      <c r="T29" s="34">
        <f t="shared" ref="T29:AF29" si="21">SUM(D86:D89)</f>
        <v>1</v>
      </c>
      <c r="U29" s="34">
        <f t="shared" si="21"/>
        <v>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19</v>
      </c>
      <c r="AD29" s="34">
        <f t="shared" si="21"/>
        <v>0</v>
      </c>
      <c r="AE29" s="31">
        <f t="shared" si="21"/>
        <v>30</v>
      </c>
      <c r="AF29" s="31">
        <f t="shared" si="21"/>
        <v>49</v>
      </c>
    </row>
    <row r="30" spans="2:32" ht="23.1" customHeight="1" x14ac:dyDescent="0.25">
      <c r="B30" s="45" t="s">
        <v>57</v>
      </c>
      <c r="C30" s="50">
        <v>109</v>
      </c>
      <c r="D30" s="50">
        <v>31</v>
      </c>
      <c r="E30" s="50">
        <v>18</v>
      </c>
      <c r="F30" s="50">
        <v>21</v>
      </c>
      <c r="G30" s="50">
        <v>0</v>
      </c>
      <c r="H30" s="50">
        <v>0</v>
      </c>
      <c r="I30" s="50">
        <v>8</v>
      </c>
      <c r="J30" s="50">
        <v>1</v>
      </c>
      <c r="K30" s="50">
        <v>0</v>
      </c>
      <c r="L30" s="50">
        <v>0</v>
      </c>
      <c r="M30" s="50">
        <v>77</v>
      </c>
      <c r="N30" s="50">
        <v>0</v>
      </c>
      <c r="O30" s="15">
        <f t="shared" si="0"/>
        <v>188</v>
      </c>
      <c r="P30" s="15">
        <f t="shared" si="1"/>
        <v>265</v>
      </c>
      <c r="R30" s="36" t="s">
        <v>154</v>
      </c>
      <c r="S30" s="34">
        <f>SUM(C90:C93)</f>
        <v>17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1</v>
      </c>
      <c r="AC30" s="34">
        <f t="shared" si="22"/>
        <v>21</v>
      </c>
      <c r="AD30" s="34">
        <f t="shared" si="22"/>
        <v>0</v>
      </c>
      <c r="AE30" s="31">
        <f t="shared" si="22"/>
        <v>20</v>
      </c>
      <c r="AF30" s="31">
        <f t="shared" si="22"/>
        <v>41</v>
      </c>
    </row>
    <row r="31" spans="2:32" ht="23.1" customHeight="1" x14ac:dyDescent="0.25">
      <c r="B31" s="46" t="s">
        <v>58</v>
      </c>
      <c r="C31" s="50">
        <v>93</v>
      </c>
      <c r="D31" s="50">
        <v>49</v>
      </c>
      <c r="E31" s="50">
        <v>20</v>
      </c>
      <c r="F31" s="50">
        <v>42</v>
      </c>
      <c r="G31" s="50">
        <v>1</v>
      </c>
      <c r="H31" s="50">
        <v>0</v>
      </c>
      <c r="I31" s="50">
        <v>1</v>
      </c>
      <c r="J31" s="50">
        <v>1</v>
      </c>
      <c r="K31" s="50">
        <v>1</v>
      </c>
      <c r="L31" s="50">
        <v>0</v>
      </c>
      <c r="M31" s="50">
        <v>84</v>
      </c>
      <c r="N31" s="50">
        <v>0</v>
      </c>
      <c r="O31" s="15">
        <f t="shared" si="0"/>
        <v>208</v>
      </c>
      <c r="P31" s="15">
        <f t="shared" si="1"/>
        <v>292</v>
      </c>
      <c r="R31" s="36" t="s">
        <v>155</v>
      </c>
      <c r="S31" s="34">
        <f>SUM(C94:C97)</f>
        <v>15</v>
      </c>
      <c r="T31" s="34">
        <f t="shared" ref="T31:AF31" si="23">SUM(D94:D97)</f>
        <v>0</v>
      </c>
      <c r="U31" s="34">
        <f t="shared" si="23"/>
        <v>2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2</v>
      </c>
      <c r="AA31" s="34">
        <f t="shared" si="23"/>
        <v>0</v>
      </c>
      <c r="AB31" s="34">
        <f t="shared" si="23"/>
        <v>1</v>
      </c>
      <c r="AC31" s="34">
        <f t="shared" si="23"/>
        <v>39</v>
      </c>
      <c r="AD31" s="34">
        <f t="shared" si="23"/>
        <v>0</v>
      </c>
      <c r="AE31" s="31">
        <f t="shared" si="23"/>
        <v>22</v>
      </c>
      <c r="AF31" s="31">
        <f t="shared" si="23"/>
        <v>61</v>
      </c>
    </row>
    <row r="32" spans="2:32" ht="23.1" customHeight="1" x14ac:dyDescent="0.25">
      <c r="B32" s="46" t="s">
        <v>59</v>
      </c>
      <c r="C32" s="50">
        <v>105</v>
      </c>
      <c r="D32" s="50">
        <v>35</v>
      </c>
      <c r="E32" s="50">
        <v>21</v>
      </c>
      <c r="F32" s="50">
        <v>41</v>
      </c>
      <c r="G32" s="50">
        <v>0</v>
      </c>
      <c r="H32" s="50">
        <v>0</v>
      </c>
      <c r="I32" s="50">
        <v>1</v>
      </c>
      <c r="J32" s="50">
        <v>2</v>
      </c>
      <c r="K32" s="50">
        <v>0</v>
      </c>
      <c r="L32" s="50">
        <v>0</v>
      </c>
      <c r="M32" s="50">
        <v>91</v>
      </c>
      <c r="N32" s="50">
        <v>0</v>
      </c>
      <c r="O32" s="15">
        <f t="shared" si="0"/>
        <v>205</v>
      </c>
      <c r="P32" s="15">
        <f t="shared" si="1"/>
        <v>296</v>
      </c>
      <c r="R32" s="33" t="s">
        <v>156</v>
      </c>
      <c r="S32" s="34">
        <f>SUM(C98:C101)</f>
        <v>33</v>
      </c>
      <c r="T32" s="34">
        <f t="shared" ref="T32:AF32" si="24">SUM(D98:D101)</f>
        <v>10</v>
      </c>
      <c r="U32" s="34">
        <f t="shared" si="24"/>
        <v>4</v>
      </c>
      <c r="V32" s="34">
        <f t="shared" si="24"/>
        <v>20</v>
      </c>
      <c r="W32" s="34">
        <f t="shared" si="24"/>
        <v>4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1</v>
      </c>
      <c r="AC32" s="34">
        <f t="shared" si="24"/>
        <v>89</v>
      </c>
      <c r="AD32" s="34">
        <f t="shared" si="24"/>
        <v>0</v>
      </c>
      <c r="AE32" s="31">
        <f t="shared" si="24"/>
        <v>72</v>
      </c>
      <c r="AF32" s="31">
        <f t="shared" si="24"/>
        <v>161</v>
      </c>
    </row>
    <row r="33" spans="2:32" ht="23.1" customHeight="1" x14ac:dyDescent="0.25">
      <c r="B33" s="45" t="s">
        <v>60</v>
      </c>
      <c r="C33" s="50">
        <v>97</v>
      </c>
      <c r="D33" s="50">
        <v>32</v>
      </c>
      <c r="E33" s="50">
        <v>25</v>
      </c>
      <c r="F33" s="50">
        <v>52</v>
      </c>
      <c r="G33" s="50">
        <v>0</v>
      </c>
      <c r="H33" s="50">
        <v>0</v>
      </c>
      <c r="I33" s="50">
        <v>3</v>
      </c>
      <c r="J33" s="50">
        <v>1</v>
      </c>
      <c r="K33" s="50">
        <v>0</v>
      </c>
      <c r="L33" s="50">
        <v>0</v>
      </c>
      <c r="M33" s="50">
        <v>78</v>
      </c>
      <c r="N33" s="50">
        <v>0</v>
      </c>
      <c r="O33" s="15">
        <f t="shared" si="0"/>
        <v>210</v>
      </c>
      <c r="P33" s="15">
        <f t="shared" si="1"/>
        <v>288</v>
      </c>
      <c r="R33" s="33" t="s">
        <v>157</v>
      </c>
      <c r="S33" s="34">
        <f>SUM(C102:C105)</f>
        <v>203</v>
      </c>
      <c r="T33" s="34">
        <f t="shared" ref="T33:AF33" si="25">SUM(D102:D105)</f>
        <v>79</v>
      </c>
      <c r="U33" s="34">
        <f t="shared" si="25"/>
        <v>27</v>
      </c>
      <c r="V33" s="34">
        <f t="shared" si="25"/>
        <v>119</v>
      </c>
      <c r="W33" s="34">
        <f t="shared" si="25"/>
        <v>0</v>
      </c>
      <c r="X33" s="34">
        <f t="shared" si="25"/>
        <v>0</v>
      </c>
      <c r="Y33" s="34">
        <f t="shared" si="25"/>
        <v>5</v>
      </c>
      <c r="Z33" s="34">
        <f t="shared" si="25"/>
        <v>0</v>
      </c>
      <c r="AA33" s="34">
        <f t="shared" si="25"/>
        <v>0</v>
      </c>
      <c r="AB33" s="34">
        <f t="shared" si="25"/>
        <v>3</v>
      </c>
      <c r="AC33" s="34">
        <f t="shared" si="25"/>
        <v>230</v>
      </c>
      <c r="AD33" s="34">
        <f t="shared" si="25"/>
        <v>0</v>
      </c>
      <c r="AE33" s="31">
        <f t="shared" si="25"/>
        <v>436</v>
      </c>
      <c r="AF33" s="31">
        <f t="shared" si="25"/>
        <v>666</v>
      </c>
    </row>
    <row r="34" spans="2:32" ht="23.1" customHeight="1" x14ac:dyDescent="0.25">
      <c r="B34" s="46" t="s">
        <v>61</v>
      </c>
      <c r="C34" s="50">
        <v>98</v>
      </c>
      <c r="D34" s="50">
        <v>28</v>
      </c>
      <c r="E34" s="50">
        <v>31</v>
      </c>
      <c r="F34" s="50">
        <v>34</v>
      </c>
      <c r="G34" s="50">
        <v>0</v>
      </c>
      <c r="H34" s="50">
        <v>0</v>
      </c>
      <c r="I34" s="50">
        <v>5</v>
      </c>
      <c r="J34" s="50">
        <v>1</v>
      </c>
      <c r="K34" s="50">
        <v>0</v>
      </c>
      <c r="L34" s="50">
        <v>0</v>
      </c>
      <c r="M34" s="50">
        <v>89</v>
      </c>
      <c r="N34" s="50">
        <v>0</v>
      </c>
      <c r="O34" s="15">
        <f t="shared" si="0"/>
        <v>197</v>
      </c>
      <c r="P34" s="15">
        <f t="shared" si="1"/>
        <v>286</v>
      </c>
      <c r="R34" s="38" t="s">
        <v>90</v>
      </c>
      <c r="S34" s="39">
        <f t="shared" ref="S34:AF34" si="26">MAX(S10:S12)</f>
        <v>674</v>
      </c>
      <c r="T34" s="39">
        <f t="shared" si="26"/>
        <v>197</v>
      </c>
      <c r="U34" s="39">
        <f t="shared" si="26"/>
        <v>145</v>
      </c>
      <c r="V34" s="39">
        <f t="shared" si="26"/>
        <v>268</v>
      </c>
      <c r="W34" s="39">
        <f t="shared" si="26"/>
        <v>1</v>
      </c>
      <c r="X34" s="39">
        <f t="shared" si="26"/>
        <v>1</v>
      </c>
      <c r="Y34" s="39">
        <f t="shared" si="26"/>
        <v>14</v>
      </c>
      <c r="Z34" s="39">
        <f t="shared" si="26"/>
        <v>7</v>
      </c>
      <c r="AA34" s="39">
        <f t="shared" si="26"/>
        <v>1</v>
      </c>
      <c r="AB34" s="39">
        <f t="shared" si="26"/>
        <v>2</v>
      </c>
      <c r="AC34" s="39">
        <f t="shared" si="26"/>
        <v>344</v>
      </c>
      <c r="AD34" s="39">
        <f t="shared" si="26"/>
        <v>0</v>
      </c>
      <c r="AE34" s="40">
        <f t="shared" si="26"/>
        <v>1302</v>
      </c>
      <c r="AF34" s="40">
        <f t="shared" si="26"/>
        <v>1638</v>
      </c>
    </row>
    <row r="35" spans="2:32" ht="23.1" customHeight="1" x14ac:dyDescent="0.25">
      <c r="B35" s="46" t="s">
        <v>62</v>
      </c>
      <c r="C35" s="50">
        <v>62</v>
      </c>
      <c r="D35" s="50">
        <v>17</v>
      </c>
      <c r="E35" s="50">
        <v>30</v>
      </c>
      <c r="F35" s="50">
        <v>0</v>
      </c>
      <c r="G35" s="50">
        <v>0</v>
      </c>
      <c r="H35" s="50">
        <v>0</v>
      </c>
      <c r="I35" s="50">
        <v>1</v>
      </c>
      <c r="J35" s="50">
        <v>3</v>
      </c>
      <c r="K35" s="50">
        <v>0</v>
      </c>
      <c r="L35" s="50">
        <v>0</v>
      </c>
      <c r="M35" s="50">
        <v>74</v>
      </c>
      <c r="N35" s="50">
        <v>0</v>
      </c>
      <c r="O35" s="15">
        <f t="shared" si="0"/>
        <v>113</v>
      </c>
      <c r="P35" s="15">
        <f t="shared" si="1"/>
        <v>187</v>
      </c>
      <c r="R35" s="38" t="s">
        <v>91</v>
      </c>
      <c r="S35" s="39">
        <f t="shared" ref="S35:AF35" si="27">MAX(S13:S18)</f>
        <v>413</v>
      </c>
      <c r="T35" s="39">
        <f t="shared" si="27"/>
        <v>177</v>
      </c>
      <c r="U35" s="39">
        <f t="shared" si="27"/>
        <v>125</v>
      </c>
      <c r="V35" s="39">
        <f t="shared" si="27"/>
        <v>168</v>
      </c>
      <c r="W35" s="39">
        <f t="shared" si="27"/>
        <v>2</v>
      </c>
      <c r="X35" s="39">
        <f t="shared" si="27"/>
        <v>3</v>
      </c>
      <c r="Y35" s="39">
        <f t="shared" si="27"/>
        <v>29</v>
      </c>
      <c r="Z35" s="39">
        <f t="shared" si="27"/>
        <v>11</v>
      </c>
      <c r="AA35" s="39">
        <f t="shared" si="27"/>
        <v>2</v>
      </c>
      <c r="AB35" s="39">
        <f t="shared" si="27"/>
        <v>3</v>
      </c>
      <c r="AC35" s="39">
        <f t="shared" si="27"/>
        <v>330</v>
      </c>
      <c r="AD35" s="39">
        <f t="shared" si="27"/>
        <v>0</v>
      </c>
      <c r="AE35" s="40">
        <f t="shared" si="27"/>
        <v>878</v>
      </c>
      <c r="AF35" s="40">
        <f t="shared" si="27"/>
        <v>1168</v>
      </c>
    </row>
    <row r="36" spans="2:32" ht="23.1" customHeight="1" x14ac:dyDescent="0.25">
      <c r="B36" s="46" t="s">
        <v>63</v>
      </c>
      <c r="C36" s="50">
        <v>51</v>
      </c>
      <c r="D36" s="50">
        <v>26</v>
      </c>
      <c r="E36" s="50">
        <v>15</v>
      </c>
      <c r="F36" s="50">
        <v>28</v>
      </c>
      <c r="G36" s="50">
        <v>0</v>
      </c>
      <c r="H36" s="50">
        <v>0</v>
      </c>
      <c r="I36" s="50">
        <v>3</v>
      </c>
      <c r="J36" s="50">
        <v>2</v>
      </c>
      <c r="K36" s="50">
        <v>0</v>
      </c>
      <c r="L36" s="50">
        <v>0</v>
      </c>
      <c r="M36" s="50">
        <v>48</v>
      </c>
      <c r="N36" s="50">
        <v>0</v>
      </c>
      <c r="O36" s="15">
        <f t="shared" si="0"/>
        <v>125</v>
      </c>
      <c r="P36" s="15">
        <f t="shared" si="1"/>
        <v>173</v>
      </c>
      <c r="R36" s="38" t="s">
        <v>92</v>
      </c>
      <c r="S36" s="39">
        <f t="shared" ref="S36:AF36" si="28">MAX(S19:S21)</f>
        <v>483</v>
      </c>
      <c r="T36" s="39">
        <f t="shared" si="28"/>
        <v>150</v>
      </c>
      <c r="U36" s="39">
        <f t="shared" si="28"/>
        <v>87</v>
      </c>
      <c r="V36" s="39">
        <f t="shared" si="28"/>
        <v>124</v>
      </c>
      <c r="W36" s="39">
        <f t="shared" si="28"/>
        <v>2</v>
      </c>
      <c r="X36" s="39">
        <f t="shared" si="28"/>
        <v>3</v>
      </c>
      <c r="Y36" s="39">
        <f t="shared" si="28"/>
        <v>21</v>
      </c>
      <c r="Z36" s="39">
        <f t="shared" si="28"/>
        <v>7</v>
      </c>
      <c r="AA36" s="39">
        <f t="shared" si="28"/>
        <v>4</v>
      </c>
      <c r="AB36" s="39">
        <f t="shared" si="28"/>
        <v>1</v>
      </c>
      <c r="AC36" s="39">
        <f t="shared" si="28"/>
        <v>303</v>
      </c>
      <c r="AD36" s="39">
        <f t="shared" si="28"/>
        <v>0</v>
      </c>
      <c r="AE36" s="40">
        <f t="shared" si="28"/>
        <v>822</v>
      </c>
      <c r="AF36" s="40">
        <f t="shared" si="28"/>
        <v>1065</v>
      </c>
    </row>
    <row r="37" spans="2:32" ht="23.1" customHeight="1" x14ac:dyDescent="0.25">
      <c r="B37" s="45" t="s">
        <v>64</v>
      </c>
      <c r="C37" s="50">
        <v>52</v>
      </c>
      <c r="D37" s="50">
        <v>15</v>
      </c>
      <c r="E37" s="50">
        <v>22</v>
      </c>
      <c r="F37" s="50">
        <v>23</v>
      </c>
      <c r="G37" s="50">
        <v>1</v>
      </c>
      <c r="H37" s="50">
        <v>0</v>
      </c>
      <c r="I37" s="50">
        <v>3</v>
      </c>
      <c r="J37" s="50">
        <v>1</v>
      </c>
      <c r="K37" s="50">
        <v>0</v>
      </c>
      <c r="L37" s="50">
        <v>1</v>
      </c>
      <c r="M37" s="50">
        <v>43</v>
      </c>
      <c r="N37" s="50">
        <v>0</v>
      </c>
      <c r="O37" s="15">
        <f t="shared" si="0"/>
        <v>118</v>
      </c>
      <c r="P37" s="15">
        <f t="shared" si="1"/>
        <v>161</v>
      </c>
      <c r="R37" s="37" t="s">
        <v>85</v>
      </c>
      <c r="S37" s="35">
        <f t="shared" ref="S37:AF37" si="29">SUM(S10:S12)</f>
        <v>1664</v>
      </c>
      <c r="T37" s="16">
        <f t="shared" si="29"/>
        <v>525</v>
      </c>
      <c r="U37" s="16">
        <f t="shared" si="29"/>
        <v>392</v>
      </c>
      <c r="V37" s="16">
        <f t="shared" si="29"/>
        <v>695</v>
      </c>
      <c r="W37" s="16">
        <f t="shared" si="29"/>
        <v>1</v>
      </c>
      <c r="X37" s="16">
        <f t="shared" si="29"/>
        <v>1</v>
      </c>
      <c r="Y37" s="16">
        <f t="shared" si="29"/>
        <v>29</v>
      </c>
      <c r="Z37" s="16">
        <f t="shared" si="29"/>
        <v>12</v>
      </c>
      <c r="AA37" s="16">
        <f t="shared" si="29"/>
        <v>2</v>
      </c>
      <c r="AB37" s="16">
        <f t="shared" si="29"/>
        <v>2</v>
      </c>
      <c r="AC37" s="16">
        <f t="shared" si="29"/>
        <v>957</v>
      </c>
      <c r="AD37" s="16">
        <f t="shared" si="29"/>
        <v>0</v>
      </c>
      <c r="AE37" s="32">
        <f t="shared" si="29"/>
        <v>3323</v>
      </c>
      <c r="AF37" s="32">
        <f t="shared" si="29"/>
        <v>4280</v>
      </c>
    </row>
    <row r="38" spans="2:32" ht="23.1" customHeight="1" x14ac:dyDescent="0.25">
      <c r="B38" s="46" t="s">
        <v>65</v>
      </c>
      <c r="C38" s="50">
        <v>62</v>
      </c>
      <c r="D38" s="50">
        <v>36</v>
      </c>
      <c r="E38" s="50">
        <v>21</v>
      </c>
      <c r="F38" s="50">
        <v>36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52</v>
      </c>
      <c r="N38" s="50">
        <v>0</v>
      </c>
      <c r="O38" s="15">
        <f t="shared" si="0"/>
        <v>157</v>
      </c>
      <c r="P38" s="15">
        <f t="shared" si="1"/>
        <v>209</v>
      </c>
      <c r="R38" s="28" t="s">
        <v>86</v>
      </c>
      <c r="S38" s="16">
        <f t="shared" ref="S38:AF38" si="30">SUM(S13:S18)</f>
        <v>2033</v>
      </c>
      <c r="T38" s="16">
        <f t="shared" si="30"/>
        <v>808</v>
      </c>
      <c r="U38" s="16">
        <f t="shared" si="30"/>
        <v>635</v>
      </c>
      <c r="V38" s="16">
        <f t="shared" si="30"/>
        <v>828</v>
      </c>
      <c r="W38" s="16">
        <f t="shared" si="30"/>
        <v>5</v>
      </c>
      <c r="X38" s="16">
        <f t="shared" si="30"/>
        <v>6</v>
      </c>
      <c r="Y38" s="16">
        <f t="shared" si="30"/>
        <v>89</v>
      </c>
      <c r="Z38" s="16">
        <f t="shared" si="30"/>
        <v>35</v>
      </c>
      <c r="AA38" s="16">
        <f t="shared" si="30"/>
        <v>6</v>
      </c>
      <c r="AB38" s="16">
        <f t="shared" si="30"/>
        <v>7</v>
      </c>
      <c r="AC38" s="16">
        <f t="shared" si="30"/>
        <v>1629</v>
      </c>
      <c r="AD38" s="16">
        <f t="shared" si="30"/>
        <v>0</v>
      </c>
      <c r="AE38" s="32">
        <f t="shared" si="30"/>
        <v>4452</v>
      </c>
      <c r="AF38" s="32">
        <f t="shared" si="30"/>
        <v>6081</v>
      </c>
    </row>
    <row r="39" spans="2:32" ht="23.1" customHeight="1" x14ac:dyDescent="0.25">
      <c r="B39" s="46" t="s">
        <v>66</v>
      </c>
      <c r="C39" s="50">
        <v>45</v>
      </c>
      <c r="D39" s="50">
        <v>20</v>
      </c>
      <c r="E39" s="50">
        <v>44</v>
      </c>
      <c r="F39" s="50">
        <v>42</v>
      </c>
      <c r="G39" s="50">
        <v>0</v>
      </c>
      <c r="H39" s="50">
        <v>3</v>
      </c>
      <c r="I39" s="50">
        <v>9</v>
      </c>
      <c r="J39" s="50">
        <v>0</v>
      </c>
      <c r="K39" s="50">
        <v>0</v>
      </c>
      <c r="L39" s="50">
        <v>1</v>
      </c>
      <c r="M39" s="50">
        <v>63</v>
      </c>
      <c r="N39" s="50">
        <v>0</v>
      </c>
      <c r="O39" s="15">
        <f t="shared" si="0"/>
        <v>164</v>
      </c>
      <c r="P39" s="15">
        <f t="shared" si="1"/>
        <v>227</v>
      </c>
      <c r="R39" s="29" t="s">
        <v>87</v>
      </c>
      <c r="S39" s="16">
        <f t="shared" ref="S39:AF39" si="31">SUM(S19:S21)</f>
        <v>1228</v>
      </c>
      <c r="T39" s="16">
        <f t="shared" si="31"/>
        <v>386</v>
      </c>
      <c r="U39" s="16">
        <f t="shared" si="31"/>
        <v>217</v>
      </c>
      <c r="V39" s="16">
        <f t="shared" si="31"/>
        <v>330</v>
      </c>
      <c r="W39" s="16">
        <f t="shared" si="31"/>
        <v>3</v>
      </c>
      <c r="X39" s="16">
        <f t="shared" si="31"/>
        <v>3</v>
      </c>
      <c r="Y39" s="16">
        <f t="shared" si="31"/>
        <v>46</v>
      </c>
      <c r="Z39" s="16">
        <f t="shared" si="31"/>
        <v>16</v>
      </c>
      <c r="AA39" s="16">
        <f t="shared" si="31"/>
        <v>5</v>
      </c>
      <c r="AB39" s="16">
        <f t="shared" si="31"/>
        <v>2</v>
      </c>
      <c r="AC39" s="16">
        <f t="shared" si="31"/>
        <v>761</v>
      </c>
      <c r="AD39" s="16">
        <f t="shared" si="31"/>
        <v>0</v>
      </c>
      <c r="AE39" s="32">
        <f t="shared" si="31"/>
        <v>2236</v>
      </c>
      <c r="AF39" s="32">
        <f t="shared" si="31"/>
        <v>2997</v>
      </c>
    </row>
    <row r="40" spans="2:32" ht="23.1" customHeight="1" x14ac:dyDescent="0.25">
      <c r="B40" s="46" t="s">
        <v>67</v>
      </c>
      <c r="C40" s="50">
        <v>68</v>
      </c>
      <c r="D40" s="50">
        <v>22</v>
      </c>
      <c r="E40" s="50">
        <v>22</v>
      </c>
      <c r="F40" s="50">
        <v>43</v>
      </c>
      <c r="G40" s="50">
        <v>0</v>
      </c>
      <c r="H40" s="50">
        <v>0</v>
      </c>
      <c r="I40" s="50">
        <v>7</v>
      </c>
      <c r="J40" s="50">
        <v>0</v>
      </c>
      <c r="K40" s="50">
        <v>0</v>
      </c>
      <c r="L40" s="50">
        <v>1</v>
      </c>
      <c r="M40" s="50">
        <v>79</v>
      </c>
      <c r="N40" s="50">
        <v>0</v>
      </c>
      <c r="O40" s="15">
        <f t="shared" si="0"/>
        <v>163</v>
      </c>
      <c r="P40" s="15">
        <f t="shared" si="1"/>
        <v>242</v>
      </c>
      <c r="R40" s="5" t="s">
        <v>17</v>
      </c>
      <c r="S40" s="16">
        <f t="shared" ref="S40:AF40" si="32">SUM(S10:S21)</f>
        <v>4925</v>
      </c>
      <c r="T40" s="16">
        <f t="shared" si="32"/>
        <v>1719</v>
      </c>
      <c r="U40" s="16">
        <f t="shared" si="32"/>
        <v>1244</v>
      </c>
      <c r="V40" s="16">
        <f t="shared" si="32"/>
        <v>1853</v>
      </c>
      <c r="W40" s="16">
        <f t="shared" si="32"/>
        <v>9</v>
      </c>
      <c r="X40" s="16">
        <f t="shared" si="32"/>
        <v>10</v>
      </c>
      <c r="Y40" s="16">
        <f t="shared" si="32"/>
        <v>164</v>
      </c>
      <c r="Z40" s="16">
        <f t="shared" si="32"/>
        <v>63</v>
      </c>
      <c r="AA40" s="16">
        <f t="shared" si="32"/>
        <v>13</v>
      </c>
      <c r="AB40" s="16">
        <f t="shared" si="32"/>
        <v>11</v>
      </c>
      <c r="AC40" s="16">
        <f t="shared" si="32"/>
        <v>3347</v>
      </c>
      <c r="AD40" s="16">
        <f t="shared" si="32"/>
        <v>0</v>
      </c>
      <c r="AE40" s="32">
        <f t="shared" si="32"/>
        <v>10011</v>
      </c>
      <c r="AF40" s="32">
        <f t="shared" si="32"/>
        <v>13358</v>
      </c>
    </row>
    <row r="41" spans="2:32" ht="23.1" customHeight="1" x14ac:dyDescent="0.25">
      <c r="B41" s="45" t="s">
        <v>68</v>
      </c>
      <c r="C41" s="50">
        <v>113</v>
      </c>
      <c r="D41" s="50">
        <v>61</v>
      </c>
      <c r="E41" s="50">
        <v>38</v>
      </c>
      <c r="F41" s="50">
        <v>37</v>
      </c>
      <c r="G41" s="50">
        <v>0</v>
      </c>
      <c r="H41" s="50">
        <v>0</v>
      </c>
      <c r="I41" s="50">
        <v>12</v>
      </c>
      <c r="J41" s="50">
        <v>3</v>
      </c>
      <c r="K41" s="50">
        <v>1</v>
      </c>
      <c r="L41" s="50">
        <v>0</v>
      </c>
      <c r="M41" s="50">
        <v>69</v>
      </c>
      <c r="N41" s="50">
        <v>0</v>
      </c>
      <c r="O41" s="15">
        <f t="shared" si="0"/>
        <v>265</v>
      </c>
      <c r="P41" s="15">
        <f t="shared" si="1"/>
        <v>334</v>
      </c>
      <c r="R41" s="5" t="s">
        <v>159</v>
      </c>
      <c r="S41" s="16">
        <f>SUM(S10:S33)</f>
        <v>5992</v>
      </c>
      <c r="T41" s="16">
        <f t="shared" ref="T41:AF41" si="33">SUM(T10:T33)</f>
        <v>2092</v>
      </c>
      <c r="U41" s="16">
        <f t="shared" si="33"/>
        <v>1465</v>
      </c>
      <c r="V41" s="16">
        <f t="shared" si="33"/>
        <v>2275</v>
      </c>
      <c r="W41" s="16">
        <f t="shared" si="33"/>
        <v>16</v>
      </c>
      <c r="X41" s="16">
        <f t="shared" si="33"/>
        <v>11</v>
      </c>
      <c r="Y41" s="16">
        <f t="shared" si="33"/>
        <v>193</v>
      </c>
      <c r="Z41" s="16">
        <f t="shared" si="33"/>
        <v>75</v>
      </c>
      <c r="AA41" s="16">
        <f t="shared" si="33"/>
        <v>15</v>
      </c>
      <c r="AB41" s="16">
        <f t="shared" si="33"/>
        <v>20</v>
      </c>
      <c r="AC41" s="16">
        <f t="shared" si="33"/>
        <v>4425</v>
      </c>
      <c r="AD41" s="16">
        <f t="shared" si="33"/>
        <v>0</v>
      </c>
      <c r="AE41" s="32">
        <f t="shared" si="33"/>
        <v>12154</v>
      </c>
      <c r="AF41" s="32">
        <f t="shared" si="33"/>
        <v>16579</v>
      </c>
    </row>
    <row r="42" spans="2:32" ht="23.1" customHeight="1" x14ac:dyDescent="0.25">
      <c r="B42" s="46" t="s">
        <v>69</v>
      </c>
      <c r="C42" s="50">
        <v>73</v>
      </c>
      <c r="D42" s="50">
        <v>29</v>
      </c>
      <c r="E42" s="50">
        <v>26</v>
      </c>
      <c r="F42" s="50">
        <v>43</v>
      </c>
      <c r="G42" s="50">
        <v>0</v>
      </c>
      <c r="H42" s="50">
        <v>0</v>
      </c>
      <c r="I42" s="50">
        <v>1</v>
      </c>
      <c r="J42" s="50">
        <v>0</v>
      </c>
      <c r="K42" s="50">
        <v>1</v>
      </c>
      <c r="L42" s="50">
        <v>0</v>
      </c>
      <c r="M42" s="50">
        <v>52</v>
      </c>
      <c r="N42" s="50">
        <v>0</v>
      </c>
      <c r="O42" s="15">
        <f t="shared" si="0"/>
        <v>173</v>
      </c>
      <c r="P42" s="15">
        <f t="shared" si="1"/>
        <v>225</v>
      </c>
      <c r="R42" s="5" t="s">
        <v>160</v>
      </c>
      <c r="S42" s="48">
        <f>S41/S40</f>
        <v>1.2166497461928933</v>
      </c>
      <c r="T42" s="48">
        <f t="shared" ref="T42:AF42" si="34">T41/T40</f>
        <v>1.2169866201279813</v>
      </c>
      <c r="U42" s="48">
        <f t="shared" si="34"/>
        <v>1.177652733118971</v>
      </c>
      <c r="V42" s="48">
        <f t="shared" si="34"/>
        <v>1.2277388019427955</v>
      </c>
      <c r="W42" s="48">
        <f t="shared" si="34"/>
        <v>1.7777777777777777</v>
      </c>
      <c r="X42" s="48">
        <f t="shared" si="34"/>
        <v>1.1000000000000001</v>
      </c>
      <c r="Y42" s="48">
        <f t="shared" si="34"/>
        <v>1.1768292682926829</v>
      </c>
      <c r="Z42" s="48">
        <f t="shared" si="34"/>
        <v>1.1904761904761905</v>
      </c>
      <c r="AA42" s="48">
        <f t="shared" si="34"/>
        <v>1.1538461538461537</v>
      </c>
      <c r="AB42" s="48">
        <f t="shared" si="34"/>
        <v>1.8181818181818181</v>
      </c>
      <c r="AC42" s="48">
        <f t="shared" si="34"/>
        <v>1.3220794741559605</v>
      </c>
      <c r="AD42" s="48" t="e">
        <f t="shared" si="34"/>
        <v>#DIV/0!</v>
      </c>
      <c r="AE42" s="48">
        <f t="shared" si="34"/>
        <v>1.21406452901808</v>
      </c>
      <c r="AF42" s="48">
        <f t="shared" si="34"/>
        <v>1.2411289115136996</v>
      </c>
    </row>
    <row r="43" spans="2:32" ht="23.1" customHeight="1" x14ac:dyDescent="0.25">
      <c r="B43" s="45" t="s">
        <v>70</v>
      </c>
      <c r="C43" s="50">
        <v>77</v>
      </c>
      <c r="D43" s="50">
        <v>31</v>
      </c>
      <c r="E43" s="50">
        <v>27</v>
      </c>
      <c r="F43" s="50">
        <v>46</v>
      </c>
      <c r="G43" s="50">
        <v>0</v>
      </c>
      <c r="H43" s="50">
        <v>0</v>
      </c>
      <c r="I43" s="50">
        <v>6</v>
      </c>
      <c r="J43" s="50">
        <v>0</v>
      </c>
      <c r="K43" s="50">
        <v>1</v>
      </c>
      <c r="L43" s="50">
        <v>0</v>
      </c>
      <c r="M43" s="50">
        <v>52</v>
      </c>
      <c r="N43" s="50">
        <v>0</v>
      </c>
      <c r="O43" s="15">
        <f t="shared" si="0"/>
        <v>188</v>
      </c>
      <c r="P43" s="15">
        <f t="shared" si="1"/>
        <v>240</v>
      </c>
    </row>
    <row r="44" spans="2:32" ht="23.1" customHeight="1" x14ac:dyDescent="0.25">
      <c r="B44" s="47" t="s">
        <v>71</v>
      </c>
      <c r="C44" s="50">
        <v>67</v>
      </c>
      <c r="D44" s="50">
        <v>34</v>
      </c>
      <c r="E44" s="50">
        <v>29</v>
      </c>
      <c r="F44" s="50">
        <v>45</v>
      </c>
      <c r="G44" s="50">
        <v>0</v>
      </c>
      <c r="H44" s="50">
        <v>0</v>
      </c>
      <c r="I44" s="50">
        <v>4</v>
      </c>
      <c r="J44" s="50">
        <v>2</v>
      </c>
      <c r="K44" s="50">
        <v>0</v>
      </c>
      <c r="L44" s="50">
        <v>0</v>
      </c>
      <c r="M44" s="50">
        <v>84</v>
      </c>
      <c r="N44" s="50">
        <v>0</v>
      </c>
      <c r="O44" s="15">
        <f t="shared" si="0"/>
        <v>181</v>
      </c>
      <c r="P44" s="15">
        <f t="shared" si="1"/>
        <v>265</v>
      </c>
    </row>
    <row r="45" spans="2:32" ht="23.1" customHeight="1" x14ac:dyDescent="0.25">
      <c r="B45" s="45" t="s">
        <v>72</v>
      </c>
      <c r="C45" s="50">
        <v>65</v>
      </c>
      <c r="D45" s="50">
        <v>34</v>
      </c>
      <c r="E45" s="50">
        <v>21</v>
      </c>
      <c r="F45" s="50">
        <v>34</v>
      </c>
      <c r="G45" s="50">
        <v>0</v>
      </c>
      <c r="H45" s="50">
        <v>0</v>
      </c>
      <c r="I45" s="50">
        <v>3</v>
      </c>
      <c r="J45" s="50">
        <v>1</v>
      </c>
      <c r="K45" s="50">
        <v>0</v>
      </c>
      <c r="L45" s="50">
        <v>0</v>
      </c>
      <c r="M45" s="50">
        <v>77</v>
      </c>
      <c r="N45" s="50">
        <v>0</v>
      </c>
      <c r="O45" s="15">
        <f t="shared" si="0"/>
        <v>158</v>
      </c>
      <c r="P45" s="15">
        <f t="shared" si="1"/>
        <v>235</v>
      </c>
    </row>
    <row r="46" spans="2:32" ht="23.1" customHeight="1" x14ac:dyDescent="0.25">
      <c r="B46" s="46" t="s">
        <v>73</v>
      </c>
      <c r="C46" s="50">
        <v>78</v>
      </c>
      <c r="D46" s="50">
        <v>53</v>
      </c>
      <c r="E46" s="50">
        <v>40</v>
      </c>
      <c r="F46" s="50">
        <v>48</v>
      </c>
      <c r="G46" s="50">
        <v>0</v>
      </c>
      <c r="H46" s="50">
        <v>0</v>
      </c>
      <c r="I46" s="50">
        <v>2</v>
      </c>
      <c r="J46" s="50">
        <v>1</v>
      </c>
      <c r="K46" s="50">
        <v>3</v>
      </c>
      <c r="L46" s="50">
        <v>1</v>
      </c>
      <c r="M46" s="50">
        <v>75</v>
      </c>
      <c r="N46" s="50">
        <v>0</v>
      </c>
      <c r="O46" s="15">
        <f t="shared" si="0"/>
        <v>226</v>
      </c>
      <c r="P46" s="15">
        <f t="shared" si="1"/>
        <v>301</v>
      </c>
      <c r="R46" s="8"/>
      <c r="T46"/>
    </row>
    <row r="47" spans="2:32" ht="23.1" customHeight="1" x14ac:dyDescent="0.25">
      <c r="B47" s="46" t="s">
        <v>74</v>
      </c>
      <c r="C47" s="50">
        <v>73</v>
      </c>
      <c r="D47" s="50">
        <v>31</v>
      </c>
      <c r="E47" s="50">
        <v>18</v>
      </c>
      <c r="F47" s="50">
        <v>33</v>
      </c>
      <c r="G47" s="50">
        <v>0</v>
      </c>
      <c r="H47" s="50">
        <v>0</v>
      </c>
      <c r="I47" s="50">
        <v>1</v>
      </c>
      <c r="J47" s="50">
        <v>0</v>
      </c>
      <c r="K47" s="50">
        <v>1</v>
      </c>
      <c r="L47" s="50">
        <v>0</v>
      </c>
      <c r="M47" s="50">
        <v>81</v>
      </c>
      <c r="N47" s="50">
        <v>0</v>
      </c>
      <c r="O47" s="15">
        <f t="shared" si="0"/>
        <v>157</v>
      </c>
      <c r="P47" s="15">
        <f t="shared" si="1"/>
        <v>238</v>
      </c>
      <c r="R47" s="8"/>
      <c r="T47"/>
    </row>
    <row r="48" spans="2:32" ht="23.1" customHeight="1" x14ac:dyDescent="0.25">
      <c r="B48" s="46" t="s">
        <v>75</v>
      </c>
      <c r="C48" s="50">
        <v>58</v>
      </c>
      <c r="D48" s="50">
        <v>33</v>
      </c>
      <c r="E48" s="50">
        <v>13</v>
      </c>
      <c r="F48" s="50">
        <v>25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93</v>
      </c>
      <c r="N48" s="50">
        <v>0</v>
      </c>
      <c r="O48" s="15">
        <f t="shared" si="0"/>
        <v>131</v>
      </c>
      <c r="P48" s="15">
        <f t="shared" si="1"/>
        <v>224</v>
      </c>
      <c r="R48" s="8"/>
      <c r="T48"/>
    </row>
    <row r="49" spans="2:20" ht="23.1" customHeight="1" x14ac:dyDescent="0.25">
      <c r="B49" s="45" t="s">
        <v>76</v>
      </c>
      <c r="C49" s="50">
        <v>58</v>
      </c>
      <c r="D49" s="50">
        <v>33</v>
      </c>
      <c r="E49" s="50">
        <v>16</v>
      </c>
      <c r="F49" s="50">
        <v>18</v>
      </c>
      <c r="G49" s="50">
        <v>0</v>
      </c>
      <c r="H49" s="50">
        <v>0</v>
      </c>
      <c r="I49" s="50">
        <v>2</v>
      </c>
      <c r="J49" s="50">
        <v>3</v>
      </c>
      <c r="K49" s="50">
        <v>0</v>
      </c>
      <c r="L49" s="50">
        <v>0</v>
      </c>
      <c r="M49" s="50">
        <v>54</v>
      </c>
      <c r="N49" s="50">
        <v>0</v>
      </c>
      <c r="O49" s="15">
        <f t="shared" si="0"/>
        <v>130</v>
      </c>
      <c r="P49" s="15">
        <f t="shared" si="1"/>
        <v>184</v>
      </c>
      <c r="R49" s="8"/>
      <c r="T49"/>
    </row>
    <row r="50" spans="2:20" ht="23.1" customHeight="1" x14ac:dyDescent="0.25">
      <c r="B50" s="46" t="s">
        <v>77</v>
      </c>
      <c r="C50" s="50">
        <v>95</v>
      </c>
      <c r="D50" s="50">
        <v>23</v>
      </c>
      <c r="E50" s="50">
        <v>18</v>
      </c>
      <c r="F50" s="50">
        <v>26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58</v>
      </c>
      <c r="N50" s="50">
        <v>0</v>
      </c>
      <c r="O50" s="15">
        <f t="shared" si="0"/>
        <v>165</v>
      </c>
      <c r="P50" s="15">
        <f t="shared" si="1"/>
        <v>223</v>
      </c>
      <c r="R50" s="8"/>
      <c r="T50"/>
    </row>
    <row r="51" spans="2:20" ht="23.1" customHeight="1" x14ac:dyDescent="0.25">
      <c r="B51" s="46" t="s">
        <v>78</v>
      </c>
      <c r="C51" s="50">
        <v>79</v>
      </c>
      <c r="D51" s="50">
        <v>27</v>
      </c>
      <c r="E51" s="50">
        <v>17</v>
      </c>
      <c r="F51" s="50">
        <v>22</v>
      </c>
      <c r="G51" s="50">
        <v>0</v>
      </c>
      <c r="H51" s="50">
        <v>2</v>
      </c>
      <c r="I51" s="50">
        <v>6</v>
      </c>
      <c r="J51" s="50">
        <v>0</v>
      </c>
      <c r="K51" s="50">
        <v>0</v>
      </c>
      <c r="L51" s="50">
        <v>0</v>
      </c>
      <c r="M51" s="50">
        <v>63</v>
      </c>
      <c r="N51" s="50">
        <v>0</v>
      </c>
      <c r="O51" s="15">
        <f t="shared" si="0"/>
        <v>153</v>
      </c>
      <c r="P51" s="15">
        <f t="shared" si="1"/>
        <v>216</v>
      </c>
      <c r="R51" s="8"/>
      <c r="T51"/>
    </row>
    <row r="52" spans="2:20" ht="23.1" customHeight="1" x14ac:dyDescent="0.25">
      <c r="B52" s="46" t="s">
        <v>79</v>
      </c>
      <c r="C52" s="50">
        <v>160</v>
      </c>
      <c r="D52" s="50">
        <v>29</v>
      </c>
      <c r="E52" s="50">
        <v>15</v>
      </c>
      <c r="F52" s="50">
        <v>16</v>
      </c>
      <c r="G52" s="50">
        <v>1</v>
      </c>
      <c r="H52" s="50">
        <v>0</v>
      </c>
      <c r="I52" s="50">
        <v>9</v>
      </c>
      <c r="J52" s="50">
        <v>1</v>
      </c>
      <c r="K52" s="50">
        <v>0</v>
      </c>
      <c r="L52" s="50">
        <v>1</v>
      </c>
      <c r="M52" s="50">
        <v>56</v>
      </c>
      <c r="N52" s="50">
        <v>0</v>
      </c>
      <c r="O52" s="15">
        <f t="shared" si="0"/>
        <v>232</v>
      </c>
      <c r="P52" s="15">
        <f t="shared" si="1"/>
        <v>288</v>
      </c>
      <c r="R52" s="8"/>
      <c r="T52"/>
    </row>
    <row r="53" spans="2:20" ht="23.1" customHeight="1" x14ac:dyDescent="0.25">
      <c r="B53" s="45" t="s">
        <v>80</v>
      </c>
      <c r="C53" s="50">
        <v>149</v>
      </c>
      <c r="D53" s="50">
        <v>54</v>
      </c>
      <c r="E53" s="50">
        <v>19</v>
      </c>
      <c r="F53" s="50">
        <v>43</v>
      </c>
      <c r="G53" s="50">
        <v>0</v>
      </c>
      <c r="H53" s="50">
        <v>1</v>
      </c>
      <c r="I53" s="50">
        <v>3</v>
      </c>
      <c r="J53" s="50">
        <v>3</v>
      </c>
      <c r="K53" s="50">
        <v>0</v>
      </c>
      <c r="L53" s="50">
        <v>0</v>
      </c>
      <c r="M53" s="50">
        <v>66</v>
      </c>
      <c r="N53" s="50">
        <v>0</v>
      </c>
      <c r="O53" s="15">
        <f t="shared" si="0"/>
        <v>272</v>
      </c>
      <c r="P53" s="15">
        <f t="shared" si="1"/>
        <v>338</v>
      </c>
      <c r="R53" s="8"/>
      <c r="T53"/>
    </row>
    <row r="54" spans="2:20" ht="23.1" customHeight="1" x14ac:dyDescent="0.25">
      <c r="B54" s="45" t="s">
        <v>81</v>
      </c>
      <c r="C54" s="50">
        <v>120</v>
      </c>
      <c r="D54" s="50">
        <v>53</v>
      </c>
      <c r="E54" s="50">
        <v>15</v>
      </c>
      <c r="F54" s="50">
        <v>21</v>
      </c>
      <c r="G54" s="50">
        <v>0</v>
      </c>
      <c r="H54" s="50">
        <v>0</v>
      </c>
      <c r="I54" s="50">
        <v>7</v>
      </c>
      <c r="J54" s="50">
        <v>4</v>
      </c>
      <c r="K54" s="50">
        <v>0</v>
      </c>
      <c r="L54" s="50">
        <v>0</v>
      </c>
      <c r="M54" s="50">
        <v>65</v>
      </c>
      <c r="N54" s="50">
        <v>0</v>
      </c>
      <c r="O54" s="15">
        <f t="shared" si="0"/>
        <v>220</v>
      </c>
      <c r="P54" s="15">
        <f t="shared" si="1"/>
        <v>285</v>
      </c>
      <c r="R54" s="8"/>
      <c r="T54"/>
    </row>
    <row r="55" spans="2:20" ht="23.1" customHeight="1" x14ac:dyDescent="0.25">
      <c r="B55" s="45" t="s">
        <v>82</v>
      </c>
      <c r="C55" s="50">
        <v>135</v>
      </c>
      <c r="D55" s="50">
        <v>18</v>
      </c>
      <c r="E55" s="50">
        <v>10</v>
      </c>
      <c r="F55" s="50">
        <v>31</v>
      </c>
      <c r="G55" s="50">
        <v>1</v>
      </c>
      <c r="H55" s="50">
        <v>0</v>
      </c>
      <c r="I55" s="50">
        <v>10</v>
      </c>
      <c r="J55" s="50">
        <v>0</v>
      </c>
      <c r="K55" s="50">
        <v>0</v>
      </c>
      <c r="L55" s="50">
        <v>0</v>
      </c>
      <c r="M55" s="50">
        <v>53</v>
      </c>
      <c r="N55" s="50">
        <v>0</v>
      </c>
      <c r="O55" s="15">
        <f t="shared" si="0"/>
        <v>205</v>
      </c>
      <c r="P55" s="15">
        <f t="shared" si="1"/>
        <v>258</v>
      </c>
      <c r="R55" s="8"/>
      <c r="T55"/>
    </row>
    <row r="56" spans="2:20" ht="23.1" customHeight="1" x14ac:dyDescent="0.25">
      <c r="B56" s="45" t="s">
        <v>83</v>
      </c>
      <c r="C56" s="50">
        <v>105</v>
      </c>
      <c r="D56" s="50">
        <v>21</v>
      </c>
      <c r="E56" s="50">
        <v>16</v>
      </c>
      <c r="F56" s="50">
        <v>22</v>
      </c>
      <c r="G56" s="50">
        <v>0</v>
      </c>
      <c r="H56" s="50">
        <v>0</v>
      </c>
      <c r="I56" s="50">
        <v>2</v>
      </c>
      <c r="J56" s="50">
        <v>3</v>
      </c>
      <c r="K56" s="50">
        <v>1</v>
      </c>
      <c r="L56" s="50">
        <v>0</v>
      </c>
      <c r="M56" s="50">
        <v>54</v>
      </c>
      <c r="N56" s="50">
        <v>0</v>
      </c>
      <c r="O56" s="15">
        <f t="shared" si="0"/>
        <v>170</v>
      </c>
      <c r="P56" s="15">
        <f t="shared" si="1"/>
        <v>224</v>
      </c>
      <c r="R56" s="8"/>
      <c r="T56"/>
    </row>
    <row r="57" spans="2:20" ht="23.1" customHeight="1" x14ac:dyDescent="0.25">
      <c r="B57" s="45" t="s">
        <v>84</v>
      </c>
      <c r="C57" s="50">
        <v>118</v>
      </c>
      <c r="D57" s="50">
        <v>11</v>
      </c>
      <c r="E57" s="50">
        <v>20</v>
      </c>
      <c r="F57" s="50">
        <v>25</v>
      </c>
      <c r="G57" s="50">
        <v>1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43</v>
      </c>
      <c r="N57" s="50">
        <v>0</v>
      </c>
      <c r="O57" s="15">
        <f t="shared" si="0"/>
        <v>175</v>
      </c>
      <c r="P57" s="15">
        <f t="shared" si="1"/>
        <v>218</v>
      </c>
      <c r="R57" s="8"/>
      <c r="T57"/>
    </row>
    <row r="58" spans="2:20" ht="23.1" customHeight="1" x14ac:dyDescent="0.25">
      <c r="B58" s="45" t="s">
        <v>99</v>
      </c>
      <c r="C58" s="50">
        <v>48</v>
      </c>
      <c r="D58" s="50">
        <v>38</v>
      </c>
      <c r="E58" s="50">
        <v>12</v>
      </c>
      <c r="F58" s="50">
        <v>23</v>
      </c>
      <c r="G58" s="50">
        <v>1</v>
      </c>
      <c r="H58" s="50">
        <v>0</v>
      </c>
      <c r="I58" s="50">
        <v>0</v>
      </c>
      <c r="J58" s="50">
        <v>1</v>
      </c>
      <c r="K58" s="50">
        <v>0</v>
      </c>
      <c r="L58" s="50">
        <v>1</v>
      </c>
      <c r="M58" s="50">
        <v>59</v>
      </c>
      <c r="N58" s="50">
        <v>0</v>
      </c>
      <c r="O58" s="15">
        <f t="shared" ref="O58:O105" si="35">SUM(C58:L58,N58)</f>
        <v>124</v>
      </c>
      <c r="P58" s="15">
        <f t="shared" ref="P58:P105" si="36">SUM(C58:N58)</f>
        <v>183</v>
      </c>
      <c r="R58" s="8"/>
      <c r="T58"/>
    </row>
    <row r="59" spans="2:20" ht="23.1" customHeight="1" x14ac:dyDescent="0.25">
      <c r="B59" s="45" t="s">
        <v>100</v>
      </c>
      <c r="C59" s="50">
        <v>57</v>
      </c>
      <c r="D59" s="50">
        <v>18</v>
      </c>
      <c r="E59" s="50">
        <v>16</v>
      </c>
      <c r="F59" s="50">
        <v>31</v>
      </c>
      <c r="G59" s="50">
        <v>0</v>
      </c>
      <c r="H59" s="50">
        <v>0</v>
      </c>
      <c r="I59" s="50">
        <v>8</v>
      </c>
      <c r="J59" s="50">
        <v>2</v>
      </c>
      <c r="K59" s="50">
        <v>0</v>
      </c>
      <c r="L59" s="50">
        <v>0</v>
      </c>
      <c r="M59" s="50">
        <v>57</v>
      </c>
      <c r="N59" s="50">
        <v>0</v>
      </c>
      <c r="O59" s="15">
        <f t="shared" si="35"/>
        <v>132</v>
      </c>
      <c r="P59" s="15">
        <f t="shared" si="36"/>
        <v>189</v>
      </c>
      <c r="R59" s="8"/>
      <c r="T59"/>
    </row>
    <row r="60" spans="2:20" ht="23.1" customHeight="1" x14ac:dyDescent="0.25">
      <c r="B60" s="45" t="s">
        <v>101</v>
      </c>
      <c r="C60" s="50">
        <v>49</v>
      </c>
      <c r="D60" s="50">
        <v>38</v>
      </c>
      <c r="E60" s="50">
        <v>18</v>
      </c>
      <c r="F60" s="50">
        <v>26</v>
      </c>
      <c r="G60" s="50">
        <v>0</v>
      </c>
      <c r="H60" s="50">
        <v>0</v>
      </c>
      <c r="I60" s="50">
        <v>3</v>
      </c>
      <c r="J60" s="50">
        <v>4</v>
      </c>
      <c r="K60" s="50">
        <v>0</v>
      </c>
      <c r="L60" s="50">
        <v>0</v>
      </c>
      <c r="M60" s="50">
        <v>46</v>
      </c>
      <c r="N60" s="50">
        <v>0</v>
      </c>
      <c r="O60" s="15">
        <f t="shared" si="35"/>
        <v>138</v>
      </c>
      <c r="P60" s="15">
        <f t="shared" si="36"/>
        <v>184</v>
      </c>
      <c r="R60" s="8"/>
      <c r="T60"/>
    </row>
    <row r="61" spans="2:20" ht="23.1" customHeight="1" x14ac:dyDescent="0.25">
      <c r="B61" s="45" t="s">
        <v>102</v>
      </c>
      <c r="C61" s="50">
        <v>49</v>
      </c>
      <c r="D61" s="50">
        <v>15</v>
      </c>
      <c r="E61" s="50">
        <v>19</v>
      </c>
      <c r="F61" s="50">
        <v>15</v>
      </c>
      <c r="G61" s="50">
        <v>1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35</v>
      </c>
      <c r="N61" s="50">
        <v>0</v>
      </c>
      <c r="O61" s="15">
        <f t="shared" si="35"/>
        <v>100</v>
      </c>
      <c r="P61" s="15">
        <f t="shared" si="36"/>
        <v>135</v>
      </c>
      <c r="R61" s="8"/>
      <c r="T61"/>
    </row>
    <row r="62" spans="2:20" ht="23.1" customHeight="1" x14ac:dyDescent="0.25">
      <c r="B62" s="45" t="s">
        <v>107</v>
      </c>
      <c r="C62" s="50">
        <v>43</v>
      </c>
      <c r="D62" s="50">
        <v>17</v>
      </c>
      <c r="E62" s="50">
        <v>4</v>
      </c>
      <c r="F62" s="50">
        <v>8</v>
      </c>
      <c r="G62" s="50">
        <v>0</v>
      </c>
      <c r="H62" s="50">
        <v>0</v>
      </c>
      <c r="I62" s="50">
        <v>3</v>
      </c>
      <c r="J62" s="50">
        <v>1</v>
      </c>
      <c r="K62" s="50">
        <v>0</v>
      </c>
      <c r="L62" s="50">
        <v>0</v>
      </c>
      <c r="M62" s="50">
        <v>38</v>
      </c>
      <c r="N62" s="50">
        <v>0</v>
      </c>
      <c r="O62" s="15">
        <f t="shared" si="35"/>
        <v>76</v>
      </c>
      <c r="P62" s="15">
        <f t="shared" si="36"/>
        <v>114</v>
      </c>
      <c r="R62" s="8"/>
      <c r="T62"/>
    </row>
    <row r="63" spans="2:20" ht="23.1" customHeight="1" x14ac:dyDescent="0.25">
      <c r="B63" s="45" t="s">
        <v>108</v>
      </c>
      <c r="C63" s="50">
        <v>38</v>
      </c>
      <c r="D63" s="50">
        <v>13</v>
      </c>
      <c r="E63" s="50">
        <v>18</v>
      </c>
      <c r="F63" s="50">
        <v>26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37</v>
      </c>
      <c r="N63" s="50">
        <v>0</v>
      </c>
      <c r="O63" s="15">
        <f t="shared" si="35"/>
        <v>96</v>
      </c>
      <c r="P63" s="15">
        <f t="shared" si="36"/>
        <v>133</v>
      </c>
      <c r="R63" s="8"/>
      <c r="T63"/>
    </row>
    <row r="64" spans="2:20" ht="23.1" customHeight="1" x14ac:dyDescent="0.25">
      <c r="B64" s="45" t="s">
        <v>109</v>
      </c>
      <c r="C64" s="50">
        <v>42</v>
      </c>
      <c r="D64" s="50">
        <v>16</v>
      </c>
      <c r="E64" s="50">
        <v>15</v>
      </c>
      <c r="F64" s="50">
        <v>16</v>
      </c>
      <c r="G64" s="50">
        <v>0</v>
      </c>
      <c r="H64" s="50">
        <v>0</v>
      </c>
      <c r="I64" s="50">
        <v>3</v>
      </c>
      <c r="J64" s="50">
        <v>1</v>
      </c>
      <c r="K64" s="50">
        <v>0</v>
      </c>
      <c r="L64" s="50">
        <v>0</v>
      </c>
      <c r="M64" s="50">
        <v>53</v>
      </c>
      <c r="N64" s="50">
        <v>0</v>
      </c>
      <c r="O64" s="15">
        <f t="shared" si="35"/>
        <v>93</v>
      </c>
      <c r="P64" s="15">
        <f t="shared" si="36"/>
        <v>146</v>
      </c>
      <c r="R64" s="8"/>
      <c r="T64"/>
    </row>
    <row r="65" spans="2:20" ht="23.1" customHeight="1" x14ac:dyDescent="0.25">
      <c r="B65" s="45" t="s">
        <v>158</v>
      </c>
      <c r="C65" s="50">
        <v>48</v>
      </c>
      <c r="D65" s="50">
        <v>19</v>
      </c>
      <c r="E65" s="50">
        <v>18</v>
      </c>
      <c r="F65" s="50">
        <v>21</v>
      </c>
      <c r="G65" s="50">
        <v>1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46</v>
      </c>
      <c r="N65" s="50">
        <v>0</v>
      </c>
      <c r="O65" s="15">
        <f t="shared" si="35"/>
        <v>107</v>
      </c>
      <c r="P65" s="15">
        <f t="shared" si="36"/>
        <v>153</v>
      </c>
      <c r="R65" s="8"/>
      <c r="T65"/>
    </row>
    <row r="66" spans="2:20" ht="23.1" customHeight="1" x14ac:dyDescent="0.25">
      <c r="B66" s="45" t="s">
        <v>103</v>
      </c>
      <c r="C66" s="50">
        <v>36</v>
      </c>
      <c r="D66" s="50">
        <v>21</v>
      </c>
      <c r="E66" s="50">
        <v>9</v>
      </c>
      <c r="F66" s="50">
        <v>25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48</v>
      </c>
      <c r="N66" s="50">
        <v>0</v>
      </c>
      <c r="O66" s="15">
        <f t="shared" si="35"/>
        <v>92</v>
      </c>
      <c r="P66" s="15">
        <f t="shared" si="36"/>
        <v>140</v>
      </c>
      <c r="R66" s="8"/>
      <c r="T66"/>
    </row>
    <row r="67" spans="2:20" ht="23.1" customHeight="1" x14ac:dyDescent="0.25">
      <c r="B67" s="45" t="s">
        <v>104</v>
      </c>
      <c r="C67" s="50">
        <v>31</v>
      </c>
      <c r="D67" s="50">
        <v>16</v>
      </c>
      <c r="E67" s="50">
        <v>15</v>
      </c>
      <c r="F67" s="50">
        <v>12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30</v>
      </c>
      <c r="N67" s="50">
        <v>0</v>
      </c>
      <c r="O67" s="15">
        <f t="shared" si="35"/>
        <v>74</v>
      </c>
      <c r="P67" s="15">
        <f t="shared" si="36"/>
        <v>104</v>
      </c>
      <c r="R67" s="8"/>
      <c r="T67"/>
    </row>
    <row r="68" spans="2:20" ht="23.1" customHeight="1" x14ac:dyDescent="0.25">
      <c r="B68" s="45" t="s">
        <v>105</v>
      </c>
      <c r="C68" s="50">
        <v>33</v>
      </c>
      <c r="D68" s="50">
        <v>17</v>
      </c>
      <c r="E68" s="50">
        <v>11</v>
      </c>
      <c r="F68" s="50">
        <v>20</v>
      </c>
      <c r="G68" s="50">
        <v>0</v>
      </c>
      <c r="H68" s="50">
        <v>1</v>
      </c>
      <c r="I68" s="50">
        <v>0</v>
      </c>
      <c r="J68" s="50">
        <v>0</v>
      </c>
      <c r="K68" s="50">
        <v>0</v>
      </c>
      <c r="L68" s="50">
        <v>0</v>
      </c>
      <c r="M68" s="50">
        <v>26</v>
      </c>
      <c r="N68" s="50">
        <v>0</v>
      </c>
      <c r="O68" s="15">
        <f t="shared" si="35"/>
        <v>82</v>
      </c>
      <c r="P68" s="15">
        <f t="shared" si="36"/>
        <v>108</v>
      </c>
      <c r="R68" s="8"/>
      <c r="T68"/>
    </row>
    <row r="69" spans="2:20" ht="23.1" customHeight="1" x14ac:dyDescent="0.25">
      <c r="B69" s="45" t="s">
        <v>106</v>
      </c>
      <c r="C69" s="50">
        <v>32</v>
      </c>
      <c r="D69" s="50">
        <v>11</v>
      </c>
      <c r="E69" s="50">
        <v>8</v>
      </c>
      <c r="F69" s="50">
        <v>12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33</v>
      </c>
      <c r="N69" s="50">
        <v>0</v>
      </c>
      <c r="O69" s="15">
        <f t="shared" si="35"/>
        <v>63</v>
      </c>
      <c r="P69" s="15">
        <f t="shared" si="36"/>
        <v>96</v>
      </c>
      <c r="R69" s="8"/>
      <c r="T69"/>
    </row>
    <row r="70" spans="2:20" ht="23.1" customHeight="1" x14ac:dyDescent="0.25">
      <c r="B70" s="45" t="s">
        <v>110</v>
      </c>
      <c r="C70" s="50">
        <v>21</v>
      </c>
      <c r="D70" s="50">
        <v>10</v>
      </c>
      <c r="E70" s="50">
        <v>1</v>
      </c>
      <c r="F70" s="50">
        <v>8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13</v>
      </c>
      <c r="N70" s="50">
        <v>0</v>
      </c>
      <c r="O70" s="15">
        <f t="shared" si="35"/>
        <v>40</v>
      </c>
      <c r="P70" s="15">
        <f t="shared" si="36"/>
        <v>53</v>
      </c>
      <c r="R70" s="8"/>
      <c r="T70"/>
    </row>
    <row r="71" spans="2:20" ht="23.1" customHeight="1" x14ac:dyDescent="0.25">
      <c r="B71" s="45" t="s">
        <v>111</v>
      </c>
      <c r="C71" s="50">
        <v>22</v>
      </c>
      <c r="D71" s="50">
        <v>7</v>
      </c>
      <c r="E71" s="50">
        <v>3</v>
      </c>
      <c r="F71" s="50">
        <v>11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1</v>
      </c>
      <c r="M71" s="50">
        <v>22</v>
      </c>
      <c r="N71" s="50">
        <v>0</v>
      </c>
      <c r="O71" s="15">
        <f t="shared" si="35"/>
        <v>45</v>
      </c>
      <c r="P71" s="15">
        <f t="shared" si="36"/>
        <v>67</v>
      </c>
      <c r="R71" s="8"/>
      <c r="T71"/>
    </row>
    <row r="72" spans="2:20" ht="23.1" customHeight="1" x14ac:dyDescent="0.25">
      <c r="B72" s="45" t="s">
        <v>112</v>
      </c>
      <c r="C72" s="50">
        <v>32</v>
      </c>
      <c r="D72" s="50">
        <v>11</v>
      </c>
      <c r="E72" s="50">
        <v>3</v>
      </c>
      <c r="F72" s="50">
        <v>5</v>
      </c>
      <c r="G72" s="50">
        <v>0</v>
      </c>
      <c r="H72" s="50">
        <v>0</v>
      </c>
      <c r="I72" s="50">
        <v>0</v>
      </c>
      <c r="J72" s="50">
        <v>0</v>
      </c>
      <c r="K72" s="50">
        <v>1</v>
      </c>
      <c r="L72" s="50">
        <v>0</v>
      </c>
      <c r="M72" s="50">
        <v>17</v>
      </c>
      <c r="N72" s="50">
        <v>0</v>
      </c>
      <c r="O72" s="15">
        <f t="shared" si="35"/>
        <v>52</v>
      </c>
      <c r="P72" s="15">
        <f t="shared" si="36"/>
        <v>69</v>
      </c>
      <c r="R72" s="8"/>
      <c r="T72"/>
    </row>
    <row r="73" spans="2:20" ht="23.1" customHeight="1" x14ac:dyDescent="0.25">
      <c r="B73" s="45" t="s">
        <v>113</v>
      </c>
      <c r="C73" s="50">
        <v>28</v>
      </c>
      <c r="D73" s="50">
        <v>3</v>
      </c>
      <c r="E73" s="50">
        <v>1</v>
      </c>
      <c r="F73" s="50">
        <v>2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25</v>
      </c>
      <c r="N73" s="50">
        <v>0</v>
      </c>
      <c r="O73" s="15">
        <f t="shared" si="35"/>
        <v>34</v>
      </c>
      <c r="P73" s="15">
        <f t="shared" si="36"/>
        <v>59</v>
      </c>
      <c r="R73" s="8"/>
      <c r="T73"/>
    </row>
    <row r="74" spans="2:20" ht="23.1" customHeight="1" x14ac:dyDescent="0.25">
      <c r="B74" s="45" t="s">
        <v>114</v>
      </c>
      <c r="C74" s="50">
        <v>28</v>
      </c>
      <c r="D74" s="50">
        <v>2</v>
      </c>
      <c r="E74" s="50">
        <v>1</v>
      </c>
      <c r="F74" s="50">
        <v>4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23</v>
      </c>
      <c r="N74" s="50">
        <v>0</v>
      </c>
      <c r="O74" s="15">
        <f t="shared" si="35"/>
        <v>35</v>
      </c>
      <c r="P74" s="15">
        <f t="shared" si="36"/>
        <v>58</v>
      </c>
      <c r="R74" s="8"/>
      <c r="T74"/>
    </row>
    <row r="75" spans="2:20" ht="23.1" customHeight="1" x14ac:dyDescent="0.25">
      <c r="B75" s="45" t="s">
        <v>115</v>
      </c>
      <c r="C75" s="50">
        <v>23</v>
      </c>
      <c r="D75" s="50">
        <v>1</v>
      </c>
      <c r="E75" s="50">
        <v>1</v>
      </c>
      <c r="F75" s="50">
        <v>6</v>
      </c>
      <c r="G75" s="50">
        <v>0</v>
      </c>
      <c r="H75" s="50">
        <v>0</v>
      </c>
      <c r="I75" s="50">
        <v>0</v>
      </c>
      <c r="J75" s="50">
        <v>0</v>
      </c>
      <c r="K75" s="50">
        <v>1</v>
      </c>
      <c r="L75" s="50">
        <v>0</v>
      </c>
      <c r="M75" s="50">
        <v>11</v>
      </c>
      <c r="N75" s="50">
        <v>0</v>
      </c>
      <c r="O75" s="15">
        <f t="shared" si="35"/>
        <v>32</v>
      </c>
      <c r="P75" s="15">
        <f t="shared" si="36"/>
        <v>43</v>
      </c>
      <c r="R75" s="8"/>
      <c r="T75"/>
    </row>
    <row r="76" spans="2:20" ht="23.1" customHeight="1" x14ac:dyDescent="0.25">
      <c r="B76" s="45" t="s">
        <v>116</v>
      </c>
      <c r="C76" s="50">
        <v>28</v>
      </c>
      <c r="D76" s="50">
        <v>1</v>
      </c>
      <c r="E76" s="50">
        <v>3</v>
      </c>
      <c r="F76" s="50">
        <v>4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4</v>
      </c>
      <c r="N76" s="50">
        <v>0</v>
      </c>
      <c r="O76" s="15">
        <f t="shared" si="35"/>
        <v>36</v>
      </c>
      <c r="P76" s="15">
        <f t="shared" si="36"/>
        <v>40</v>
      </c>
      <c r="R76" s="8"/>
      <c r="T76"/>
    </row>
    <row r="77" spans="2:20" ht="23.1" customHeight="1" x14ac:dyDescent="0.25">
      <c r="B77" s="45" t="s">
        <v>117</v>
      </c>
      <c r="C77" s="50">
        <v>27</v>
      </c>
      <c r="D77" s="50">
        <v>2</v>
      </c>
      <c r="E77" s="50">
        <v>4</v>
      </c>
      <c r="F77" s="50">
        <v>1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11</v>
      </c>
      <c r="N77" s="50">
        <v>0</v>
      </c>
      <c r="O77" s="15">
        <f t="shared" si="35"/>
        <v>35</v>
      </c>
      <c r="P77" s="15">
        <f t="shared" si="36"/>
        <v>46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1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6</v>
      </c>
      <c r="N78" s="50">
        <v>0</v>
      </c>
      <c r="O78" s="15">
        <f t="shared" si="35"/>
        <v>5</v>
      </c>
      <c r="P78" s="15">
        <f t="shared" si="36"/>
        <v>11</v>
      </c>
      <c r="R78" s="8"/>
      <c r="T78"/>
    </row>
    <row r="79" spans="2:20" ht="23.1" customHeight="1" x14ac:dyDescent="0.25">
      <c r="B79" s="45" t="s">
        <v>119</v>
      </c>
      <c r="C79" s="50">
        <v>7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11</v>
      </c>
      <c r="N79" s="50">
        <v>0</v>
      </c>
      <c r="O79" s="15">
        <f t="shared" si="35"/>
        <v>10</v>
      </c>
      <c r="P79" s="15">
        <f t="shared" si="36"/>
        <v>21</v>
      </c>
      <c r="R79" s="8"/>
      <c r="T79"/>
    </row>
    <row r="80" spans="2:20" ht="23.1" customHeight="1" x14ac:dyDescent="0.25">
      <c r="B80" s="47" t="s">
        <v>120</v>
      </c>
      <c r="C80" s="50">
        <v>18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6</v>
      </c>
      <c r="N80" s="50">
        <v>0</v>
      </c>
      <c r="O80" s="15">
        <f t="shared" si="35"/>
        <v>18</v>
      </c>
      <c r="P80" s="15">
        <f t="shared" si="36"/>
        <v>24</v>
      </c>
      <c r="R80" s="8"/>
      <c r="T80"/>
    </row>
    <row r="81" spans="2:20" ht="23.1" customHeight="1" x14ac:dyDescent="0.25">
      <c r="B81" s="45" t="s">
        <v>121</v>
      </c>
      <c r="C81" s="50">
        <v>3</v>
      </c>
      <c r="D81" s="50">
        <v>0</v>
      </c>
      <c r="E81" s="50">
        <v>0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4</v>
      </c>
      <c r="N81" s="50">
        <v>0</v>
      </c>
      <c r="O81" s="15">
        <f t="shared" si="35"/>
        <v>4</v>
      </c>
      <c r="P81" s="15">
        <f t="shared" si="36"/>
        <v>8</v>
      </c>
      <c r="R81" s="8"/>
      <c r="T81"/>
    </row>
    <row r="82" spans="2:20" ht="23.1" customHeight="1" x14ac:dyDescent="0.25">
      <c r="B82" s="46" t="s">
        <v>122</v>
      </c>
      <c r="C82" s="50">
        <v>6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1</v>
      </c>
      <c r="M82" s="50">
        <v>3</v>
      </c>
      <c r="N82" s="50">
        <v>0</v>
      </c>
      <c r="O82" s="15">
        <f t="shared" si="35"/>
        <v>8</v>
      </c>
      <c r="P82" s="15">
        <f t="shared" si="36"/>
        <v>11</v>
      </c>
      <c r="R82" s="8"/>
      <c r="T82"/>
    </row>
    <row r="83" spans="2:20" ht="23.1" customHeight="1" x14ac:dyDescent="0.25">
      <c r="B83" s="45" t="s">
        <v>123</v>
      </c>
      <c r="C83" s="50">
        <v>7</v>
      </c>
      <c r="D83" s="50">
        <v>1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5">
        <f t="shared" si="35"/>
        <v>10</v>
      </c>
      <c r="P83" s="15">
        <f t="shared" si="36"/>
        <v>14</v>
      </c>
      <c r="R83" s="8"/>
      <c r="T83"/>
    </row>
    <row r="84" spans="2:20" ht="23.1" customHeight="1" x14ac:dyDescent="0.25">
      <c r="B84" s="47" t="s">
        <v>124</v>
      </c>
      <c r="C84" s="50">
        <v>10</v>
      </c>
      <c r="D84" s="50">
        <v>2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8</v>
      </c>
      <c r="N84" s="50">
        <v>0</v>
      </c>
      <c r="O84" s="15">
        <f t="shared" si="35"/>
        <v>13</v>
      </c>
      <c r="P84" s="15">
        <f t="shared" si="36"/>
        <v>21</v>
      </c>
      <c r="R84" s="8"/>
      <c r="T84"/>
    </row>
    <row r="85" spans="2:20" ht="23.1" customHeight="1" x14ac:dyDescent="0.25">
      <c r="B85" s="45" t="s">
        <v>125</v>
      </c>
      <c r="C85" s="50">
        <v>6</v>
      </c>
      <c r="D85" s="50">
        <v>2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4</v>
      </c>
      <c r="N85" s="50">
        <v>0</v>
      </c>
      <c r="O85" s="15">
        <f t="shared" si="35"/>
        <v>9</v>
      </c>
      <c r="P85" s="15">
        <f t="shared" si="36"/>
        <v>13</v>
      </c>
      <c r="R85" s="8"/>
      <c r="T85"/>
    </row>
    <row r="86" spans="2:20" ht="23.1" customHeight="1" x14ac:dyDescent="0.25">
      <c r="B86" s="46" t="s">
        <v>126</v>
      </c>
      <c r="C86" s="50">
        <v>8</v>
      </c>
      <c r="D86" s="50">
        <v>0</v>
      </c>
      <c r="E86" s="50">
        <v>3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6</v>
      </c>
      <c r="N86" s="50">
        <v>0</v>
      </c>
      <c r="O86" s="15">
        <f t="shared" si="35"/>
        <v>11</v>
      </c>
      <c r="P86" s="15">
        <f t="shared" si="36"/>
        <v>17</v>
      </c>
      <c r="R86" s="8"/>
      <c r="T86"/>
    </row>
    <row r="87" spans="2:20" ht="23.1" customHeight="1" x14ac:dyDescent="0.25">
      <c r="B87" s="45" t="s">
        <v>127</v>
      </c>
      <c r="C87" s="50">
        <v>4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3</v>
      </c>
      <c r="N87" s="50">
        <v>0</v>
      </c>
      <c r="O87" s="15">
        <f t="shared" si="35"/>
        <v>5</v>
      </c>
      <c r="P87" s="15">
        <f t="shared" si="36"/>
        <v>8</v>
      </c>
      <c r="R87" s="8"/>
      <c r="T87"/>
    </row>
    <row r="88" spans="2:20" ht="23.1" customHeight="1" x14ac:dyDescent="0.25">
      <c r="B88" s="47" t="s">
        <v>128</v>
      </c>
      <c r="C88" s="50">
        <v>6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8</v>
      </c>
      <c r="N88" s="50">
        <v>0</v>
      </c>
      <c r="O88" s="15">
        <f t="shared" si="35"/>
        <v>7</v>
      </c>
      <c r="P88" s="15">
        <f t="shared" si="36"/>
        <v>15</v>
      </c>
      <c r="R88" s="8"/>
      <c r="T88"/>
    </row>
    <row r="89" spans="2:20" ht="23.1" customHeight="1" x14ac:dyDescent="0.25">
      <c r="B89" s="45" t="s">
        <v>129</v>
      </c>
      <c r="C89" s="50">
        <v>6</v>
      </c>
      <c r="D89" s="50">
        <v>0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7</v>
      </c>
      <c r="P89" s="15">
        <f t="shared" si="36"/>
        <v>9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4</v>
      </c>
      <c r="N90" s="50">
        <v>0</v>
      </c>
      <c r="O90" s="15">
        <f t="shared" si="35"/>
        <v>6</v>
      </c>
      <c r="P90" s="15">
        <f t="shared" si="36"/>
        <v>10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6</v>
      </c>
      <c r="N91" s="50">
        <v>0</v>
      </c>
      <c r="O91" s="15">
        <f t="shared" si="35"/>
        <v>2</v>
      </c>
      <c r="P91" s="15">
        <f t="shared" si="36"/>
        <v>8</v>
      </c>
      <c r="R91" s="8"/>
      <c r="T91"/>
    </row>
    <row r="92" spans="2:20" ht="23.1" customHeight="1" x14ac:dyDescent="0.25">
      <c r="B92" s="47" t="s">
        <v>132</v>
      </c>
      <c r="C92" s="50">
        <v>8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3</v>
      </c>
      <c r="N92" s="50">
        <v>0</v>
      </c>
      <c r="O92" s="15">
        <f t="shared" si="35"/>
        <v>8</v>
      </c>
      <c r="P92" s="15">
        <f t="shared" si="36"/>
        <v>11</v>
      </c>
      <c r="R92" s="8"/>
      <c r="T92"/>
    </row>
    <row r="93" spans="2:20" ht="23.1" customHeight="1" x14ac:dyDescent="0.25">
      <c r="B93" s="45" t="s">
        <v>133</v>
      </c>
      <c r="C93" s="50">
        <v>3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1</v>
      </c>
      <c r="M93" s="50">
        <v>8</v>
      </c>
      <c r="N93" s="50">
        <v>0</v>
      </c>
      <c r="O93" s="15">
        <f t="shared" si="35"/>
        <v>4</v>
      </c>
      <c r="P93" s="15">
        <f t="shared" si="36"/>
        <v>12</v>
      </c>
      <c r="R93" s="8"/>
      <c r="T93"/>
    </row>
    <row r="94" spans="2:20" ht="23.1" customHeight="1" x14ac:dyDescent="0.25">
      <c r="B94" s="46" t="s">
        <v>134</v>
      </c>
      <c r="C94" s="50">
        <v>5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1</v>
      </c>
      <c r="M94" s="50">
        <v>11</v>
      </c>
      <c r="N94" s="50">
        <v>0</v>
      </c>
      <c r="O94" s="15">
        <f t="shared" si="35"/>
        <v>6</v>
      </c>
      <c r="P94" s="15">
        <f t="shared" si="36"/>
        <v>17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13</v>
      </c>
      <c r="N95" s="50">
        <v>0</v>
      </c>
      <c r="O95" s="15">
        <f t="shared" si="35"/>
        <v>4</v>
      </c>
      <c r="P95" s="15">
        <f t="shared" si="36"/>
        <v>17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0</v>
      </c>
      <c r="E96" s="50">
        <v>1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9</v>
      </c>
      <c r="N96" s="50">
        <v>0</v>
      </c>
      <c r="O96" s="15">
        <f t="shared" si="35"/>
        <v>8</v>
      </c>
      <c r="P96" s="15">
        <f t="shared" si="36"/>
        <v>17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6</v>
      </c>
      <c r="N97" s="50">
        <v>0</v>
      </c>
      <c r="O97" s="15">
        <f t="shared" si="35"/>
        <v>4</v>
      </c>
      <c r="P97" s="15">
        <f t="shared" si="36"/>
        <v>10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1</v>
      </c>
      <c r="E98" s="50">
        <v>0</v>
      </c>
      <c r="F98" s="50">
        <v>3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12</v>
      </c>
      <c r="N98" s="50">
        <v>0</v>
      </c>
      <c r="O98" s="15">
        <f t="shared" si="35"/>
        <v>6</v>
      </c>
      <c r="P98" s="15">
        <f t="shared" si="36"/>
        <v>18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0</v>
      </c>
      <c r="E99" s="50">
        <v>1</v>
      </c>
      <c r="F99" s="50">
        <v>3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19</v>
      </c>
      <c r="N99" s="50">
        <v>0</v>
      </c>
      <c r="O99" s="15">
        <f t="shared" si="35"/>
        <v>9</v>
      </c>
      <c r="P99" s="15">
        <f t="shared" si="36"/>
        <v>28</v>
      </c>
      <c r="R99" s="8"/>
      <c r="T99"/>
    </row>
    <row r="100" spans="2:20" ht="23.1" customHeight="1" x14ac:dyDescent="0.25">
      <c r="B100" s="47" t="s">
        <v>140</v>
      </c>
      <c r="C100" s="50">
        <v>12</v>
      </c>
      <c r="D100" s="50">
        <v>3</v>
      </c>
      <c r="E100" s="50">
        <v>1</v>
      </c>
      <c r="F100" s="50">
        <v>5</v>
      </c>
      <c r="G100" s="50">
        <v>3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28</v>
      </c>
      <c r="N100" s="50">
        <v>0</v>
      </c>
      <c r="O100" s="15">
        <f t="shared" si="35"/>
        <v>24</v>
      </c>
      <c r="P100" s="15">
        <f t="shared" si="36"/>
        <v>52</v>
      </c>
      <c r="R100" s="8"/>
      <c r="T100"/>
    </row>
    <row r="101" spans="2:20" ht="23.1" customHeight="1" x14ac:dyDescent="0.25">
      <c r="B101" s="45" t="s">
        <v>141</v>
      </c>
      <c r="C101" s="50">
        <v>15</v>
      </c>
      <c r="D101" s="50">
        <v>6</v>
      </c>
      <c r="E101" s="50">
        <v>2</v>
      </c>
      <c r="F101" s="50">
        <v>9</v>
      </c>
      <c r="G101" s="50">
        <v>1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30</v>
      </c>
      <c r="N101" s="50">
        <v>0</v>
      </c>
      <c r="O101" s="15">
        <f t="shared" si="35"/>
        <v>33</v>
      </c>
      <c r="P101" s="15">
        <f t="shared" si="36"/>
        <v>63</v>
      </c>
      <c r="R101" s="8"/>
      <c r="T101"/>
    </row>
    <row r="102" spans="2:20" ht="23.1" customHeight="1" x14ac:dyDescent="0.25">
      <c r="B102" s="46" t="s">
        <v>142</v>
      </c>
      <c r="C102" s="50">
        <v>19</v>
      </c>
      <c r="D102" s="50">
        <v>4</v>
      </c>
      <c r="E102" s="50">
        <v>4</v>
      </c>
      <c r="F102" s="50">
        <v>15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31</v>
      </c>
      <c r="N102" s="50">
        <v>0</v>
      </c>
      <c r="O102" s="15">
        <f t="shared" si="35"/>
        <v>42</v>
      </c>
      <c r="P102" s="15">
        <f t="shared" si="36"/>
        <v>73</v>
      </c>
      <c r="R102" s="8"/>
      <c r="T102"/>
    </row>
    <row r="103" spans="2:20" ht="23.1" customHeight="1" x14ac:dyDescent="0.25">
      <c r="B103" s="45" t="s">
        <v>143</v>
      </c>
      <c r="C103" s="50">
        <v>26</v>
      </c>
      <c r="D103" s="50">
        <v>16</v>
      </c>
      <c r="E103" s="50">
        <v>7</v>
      </c>
      <c r="F103" s="50">
        <v>27</v>
      </c>
      <c r="G103" s="50">
        <v>0</v>
      </c>
      <c r="H103" s="50">
        <v>0</v>
      </c>
      <c r="I103" s="50">
        <v>3</v>
      </c>
      <c r="J103" s="50">
        <v>0</v>
      </c>
      <c r="K103" s="50">
        <v>0</v>
      </c>
      <c r="L103" s="50">
        <v>2</v>
      </c>
      <c r="M103" s="50">
        <v>46</v>
      </c>
      <c r="N103" s="50">
        <v>0</v>
      </c>
      <c r="O103" s="15">
        <f t="shared" si="35"/>
        <v>81</v>
      </c>
      <c r="P103" s="15">
        <f t="shared" si="36"/>
        <v>127</v>
      </c>
      <c r="R103" s="8"/>
      <c r="T103"/>
    </row>
    <row r="104" spans="2:20" ht="23.1" customHeight="1" x14ac:dyDescent="0.25">
      <c r="B104" s="47" t="s">
        <v>144</v>
      </c>
      <c r="C104" s="50">
        <v>64</v>
      </c>
      <c r="D104" s="50">
        <v>24</v>
      </c>
      <c r="E104" s="50">
        <v>6</v>
      </c>
      <c r="F104" s="50">
        <v>39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73</v>
      </c>
      <c r="N104" s="50">
        <v>0</v>
      </c>
      <c r="O104" s="15">
        <f t="shared" si="35"/>
        <v>134</v>
      </c>
      <c r="P104" s="15">
        <f t="shared" si="36"/>
        <v>207</v>
      </c>
      <c r="R104" s="8"/>
      <c r="T104"/>
    </row>
    <row r="105" spans="2:20" ht="23.1" customHeight="1" x14ac:dyDescent="0.25">
      <c r="B105" s="45" t="s">
        <v>145</v>
      </c>
      <c r="C105" s="50">
        <v>94</v>
      </c>
      <c r="D105" s="50">
        <v>35</v>
      </c>
      <c r="E105" s="50">
        <v>10</v>
      </c>
      <c r="F105" s="50">
        <v>38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1</v>
      </c>
      <c r="M105" s="50">
        <v>80</v>
      </c>
      <c r="N105" s="50">
        <v>0</v>
      </c>
      <c r="O105" s="15">
        <f t="shared" si="35"/>
        <v>179</v>
      </c>
      <c r="P105" s="15">
        <f t="shared" si="36"/>
        <v>259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5992</v>
      </c>
      <c r="D106" s="16">
        <f t="shared" ref="D106:P106" si="37">SUM(D10:D105)</f>
        <v>2092</v>
      </c>
      <c r="E106" s="16">
        <f t="shared" si="37"/>
        <v>1465</v>
      </c>
      <c r="F106" s="16">
        <f t="shared" si="37"/>
        <v>2275</v>
      </c>
      <c r="G106" s="16">
        <f t="shared" si="37"/>
        <v>16</v>
      </c>
      <c r="H106" s="16">
        <f t="shared" si="37"/>
        <v>11</v>
      </c>
      <c r="I106" s="16">
        <f t="shared" si="37"/>
        <v>193</v>
      </c>
      <c r="J106" s="16">
        <f t="shared" si="37"/>
        <v>75</v>
      </c>
      <c r="K106" s="16">
        <f t="shared" si="37"/>
        <v>15</v>
      </c>
      <c r="L106" s="16">
        <f t="shared" si="37"/>
        <v>20</v>
      </c>
      <c r="M106" s="16">
        <f t="shared" si="37"/>
        <v>4425</v>
      </c>
      <c r="N106" s="16">
        <f t="shared" si="37"/>
        <v>0</v>
      </c>
      <c r="O106" s="16">
        <f t="shared" si="37"/>
        <v>12154</v>
      </c>
      <c r="P106" s="16">
        <f t="shared" si="37"/>
        <v>16579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0.36142107485373065</v>
      </c>
      <c r="D107" s="43">
        <f t="shared" si="38"/>
        <v>0.12618372640086856</v>
      </c>
      <c r="E107" s="43">
        <f t="shared" si="38"/>
        <v>8.836479884190844E-2</v>
      </c>
      <c r="F107" s="43">
        <f t="shared" si="38"/>
        <v>0.13722178659750287</v>
      </c>
      <c r="G107" s="43">
        <f t="shared" si="38"/>
        <v>9.6507630134507513E-4</v>
      </c>
      <c r="H107" s="43">
        <f t="shared" si="38"/>
        <v>6.6348995717473917E-4</v>
      </c>
      <c r="I107" s="43">
        <f t="shared" si="38"/>
        <v>1.1641232884974968E-2</v>
      </c>
      <c r="J107" s="43">
        <f t="shared" si="38"/>
        <v>4.5237951625550395E-3</v>
      </c>
      <c r="K107" s="43">
        <f t="shared" si="38"/>
        <v>9.0475903251100787E-4</v>
      </c>
      <c r="L107" s="43">
        <f t="shared" si="38"/>
        <v>1.2063453766813438E-3</v>
      </c>
      <c r="M107" s="43">
        <f t="shared" si="38"/>
        <v>0.2669039145907473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0.49300641764028302</v>
      </c>
      <c r="D108" s="44">
        <f t="shared" ref="D108:N108" si="39">D106/$O$106</f>
        <v>0.17212440348856345</v>
      </c>
      <c r="E108" s="44">
        <f t="shared" si="39"/>
        <v>0.12053644890571005</v>
      </c>
      <c r="F108" s="44">
        <f t="shared" si="39"/>
        <v>0.18718117492183645</v>
      </c>
      <c r="G108" s="44">
        <f t="shared" si="39"/>
        <v>1.3164390324173112E-3</v>
      </c>
      <c r="H108" s="44">
        <f t="shared" si="39"/>
        <v>9.0505183478690142E-4</v>
      </c>
      <c r="I108" s="44">
        <f t="shared" si="39"/>
        <v>1.5879545828533816E-2</v>
      </c>
      <c r="J108" s="44">
        <f t="shared" si="39"/>
        <v>6.1708079644561464E-3</v>
      </c>
      <c r="K108" s="44">
        <f t="shared" si="39"/>
        <v>1.2341615928912293E-3</v>
      </c>
      <c r="L108" s="44">
        <f t="shared" si="39"/>
        <v>1.645548790521639E-3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C106" sqref="C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Bugolobi-Nakawa'!C3:G3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Bugolobi-Nakawa-24h'!D5</f>
        <v>01.08.19</v>
      </c>
      <c r="E5" s="3"/>
      <c r="F5" s="41" t="s">
        <v>1</v>
      </c>
      <c r="G5" s="63" t="str">
        <f>'01.08 Bugolobi-Nakawa-24h'!G5:H5</f>
        <v>Business Park</v>
      </c>
      <c r="H5" s="64"/>
      <c r="I5" s="14"/>
      <c r="J5" s="2" t="s">
        <v>5</v>
      </c>
      <c r="K5" s="63" t="str">
        <f>'01.08 Bugolobi-Nakawa-24h'!K5:L5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Nakawa-Bugolobi'!D6:E6</f>
        <v>Nakawa</v>
      </c>
      <c r="E6" s="64"/>
      <c r="F6" s="2" t="s">
        <v>2</v>
      </c>
      <c r="G6" s="63" t="str">
        <f>'30.07 Nakawa-Bugolobi'!G6:H6</f>
        <v>Bugolobi</v>
      </c>
      <c r="H6" s="64"/>
      <c r="J6" s="2" t="s">
        <v>21</v>
      </c>
      <c r="K6" s="63" t="str">
        <f>'01.08 Bugolobi-Nakawa-24h'!K6:L6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73</v>
      </c>
      <c r="D10" s="50">
        <v>12</v>
      </c>
      <c r="E10" s="50">
        <v>4</v>
      </c>
      <c r="F10" s="50">
        <v>23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115</v>
      </c>
      <c r="N10" s="50">
        <v>0</v>
      </c>
      <c r="O10" s="15">
        <f t="shared" ref="O10:O73" si="0">SUM(C10:L10,N10)</f>
        <v>115</v>
      </c>
      <c r="P10" s="15">
        <f t="shared" ref="P10:P73" si="1">SUM(C10:N10)</f>
        <v>230</v>
      </c>
      <c r="R10" s="1" t="s">
        <v>6</v>
      </c>
      <c r="S10" s="17">
        <f t="shared" ref="S10:AF10" si="2">SUM(C10:C13)</f>
        <v>253</v>
      </c>
      <c r="T10" s="17">
        <f t="shared" si="2"/>
        <v>40</v>
      </c>
      <c r="U10" s="17">
        <f t="shared" si="2"/>
        <v>26</v>
      </c>
      <c r="V10" s="17">
        <f t="shared" si="2"/>
        <v>94</v>
      </c>
      <c r="W10" s="17">
        <f t="shared" si="2"/>
        <v>4</v>
      </c>
      <c r="X10" s="17">
        <f t="shared" si="2"/>
        <v>0</v>
      </c>
      <c r="Y10" s="17">
        <f t="shared" si="2"/>
        <v>4</v>
      </c>
      <c r="Z10" s="17">
        <f t="shared" si="2"/>
        <v>4</v>
      </c>
      <c r="AA10" s="17">
        <f t="shared" si="2"/>
        <v>1</v>
      </c>
      <c r="AB10" s="17">
        <f t="shared" si="2"/>
        <v>2</v>
      </c>
      <c r="AC10" s="17">
        <f t="shared" si="2"/>
        <v>438</v>
      </c>
      <c r="AD10" s="17">
        <f t="shared" si="2"/>
        <v>0</v>
      </c>
      <c r="AE10" s="31">
        <f t="shared" si="2"/>
        <v>428</v>
      </c>
      <c r="AF10" s="31">
        <f t="shared" si="2"/>
        <v>866</v>
      </c>
    </row>
    <row r="11" spans="2:32" s="6" customFormat="1" ht="23.1" customHeight="1" x14ac:dyDescent="0.25">
      <c r="B11" s="45" t="s">
        <v>38</v>
      </c>
      <c r="C11" s="50">
        <v>55</v>
      </c>
      <c r="D11" s="50">
        <v>8</v>
      </c>
      <c r="E11" s="50">
        <v>10</v>
      </c>
      <c r="F11" s="50">
        <v>18</v>
      </c>
      <c r="G11" s="50">
        <v>2</v>
      </c>
      <c r="H11" s="50">
        <v>0</v>
      </c>
      <c r="I11" s="50">
        <v>0</v>
      </c>
      <c r="J11" s="50">
        <v>0</v>
      </c>
      <c r="K11" s="50">
        <v>1</v>
      </c>
      <c r="L11" s="50">
        <v>0</v>
      </c>
      <c r="M11" s="50">
        <v>94</v>
      </c>
      <c r="N11" s="50">
        <v>0</v>
      </c>
      <c r="O11" s="15">
        <f t="shared" si="0"/>
        <v>94</v>
      </c>
      <c r="P11" s="15">
        <f t="shared" si="1"/>
        <v>188</v>
      </c>
      <c r="R11" s="1" t="s">
        <v>7</v>
      </c>
      <c r="S11" s="17">
        <f t="shared" ref="S11:AF11" si="3">SUM(C14:C17)</f>
        <v>361</v>
      </c>
      <c r="T11" s="17">
        <f t="shared" si="3"/>
        <v>56</v>
      </c>
      <c r="U11" s="17">
        <f t="shared" si="3"/>
        <v>59</v>
      </c>
      <c r="V11" s="17">
        <f t="shared" si="3"/>
        <v>96</v>
      </c>
      <c r="W11" s="17">
        <f t="shared" si="3"/>
        <v>5</v>
      </c>
      <c r="X11" s="17">
        <f t="shared" si="3"/>
        <v>0</v>
      </c>
      <c r="Y11" s="17">
        <f t="shared" si="3"/>
        <v>6</v>
      </c>
      <c r="Z11" s="17">
        <f t="shared" si="3"/>
        <v>1</v>
      </c>
      <c r="AA11" s="17">
        <f t="shared" si="3"/>
        <v>1</v>
      </c>
      <c r="AB11" s="17">
        <f t="shared" si="3"/>
        <v>2</v>
      </c>
      <c r="AC11" s="17">
        <f t="shared" si="3"/>
        <v>636</v>
      </c>
      <c r="AD11" s="17">
        <f t="shared" si="3"/>
        <v>0</v>
      </c>
      <c r="AE11" s="31">
        <f t="shared" si="3"/>
        <v>587</v>
      </c>
      <c r="AF11" s="31">
        <f t="shared" si="3"/>
        <v>1223</v>
      </c>
    </row>
    <row r="12" spans="2:32" ht="23.1" customHeight="1" x14ac:dyDescent="0.25">
      <c r="B12" s="45" t="s">
        <v>39</v>
      </c>
      <c r="C12" s="50">
        <v>65</v>
      </c>
      <c r="D12" s="50">
        <v>9</v>
      </c>
      <c r="E12" s="50">
        <v>7</v>
      </c>
      <c r="F12" s="50">
        <v>30</v>
      </c>
      <c r="G12" s="50">
        <v>1</v>
      </c>
      <c r="H12" s="50">
        <v>0</v>
      </c>
      <c r="I12" s="50">
        <v>1</v>
      </c>
      <c r="J12" s="50">
        <v>0</v>
      </c>
      <c r="K12" s="50">
        <v>0</v>
      </c>
      <c r="L12" s="50">
        <v>1</v>
      </c>
      <c r="M12" s="50">
        <v>96</v>
      </c>
      <c r="N12" s="50">
        <v>0</v>
      </c>
      <c r="O12" s="15">
        <f t="shared" si="0"/>
        <v>114</v>
      </c>
      <c r="P12" s="15">
        <f t="shared" si="1"/>
        <v>210</v>
      </c>
      <c r="R12" s="1" t="s">
        <v>8</v>
      </c>
      <c r="S12" s="17">
        <f t="shared" ref="S12:AF12" si="4">SUM(C18:C21)</f>
        <v>357</v>
      </c>
      <c r="T12" s="17">
        <f t="shared" si="4"/>
        <v>73</v>
      </c>
      <c r="U12" s="17">
        <f t="shared" si="4"/>
        <v>66</v>
      </c>
      <c r="V12" s="17">
        <f t="shared" si="4"/>
        <v>85</v>
      </c>
      <c r="W12" s="17">
        <f t="shared" si="4"/>
        <v>2</v>
      </c>
      <c r="X12" s="17">
        <f t="shared" si="4"/>
        <v>0</v>
      </c>
      <c r="Y12" s="17">
        <f t="shared" si="4"/>
        <v>10</v>
      </c>
      <c r="Z12" s="17">
        <f t="shared" si="4"/>
        <v>3</v>
      </c>
      <c r="AA12" s="17">
        <f t="shared" si="4"/>
        <v>9</v>
      </c>
      <c r="AB12" s="17">
        <f t="shared" si="4"/>
        <v>0</v>
      </c>
      <c r="AC12" s="17">
        <f t="shared" si="4"/>
        <v>565</v>
      </c>
      <c r="AD12" s="17">
        <f t="shared" si="4"/>
        <v>0</v>
      </c>
      <c r="AE12" s="31">
        <f t="shared" si="4"/>
        <v>605</v>
      </c>
      <c r="AF12" s="31">
        <f t="shared" si="4"/>
        <v>1170</v>
      </c>
    </row>
    <row r="13" spans="2:32" ht="23.1" customHeight="1" x14ac:dyDescent="0.25">
      <c r="B13" s="45" t="s">
        <v>40</v>
      </c>
      <c r="C13" s="50">
        <v>60</v>
      </c>
      <c r="D13" s="50">
        <v>11</v>
      </c>
      <c r="E13" s="50">
        <v>5</v>
      </c>
      <c r="F13" s="50">
        <v>23</v>
      </c>
      <c r="G13" s="50">
        <v>0</v>
      </c>
      <c r="H13" s="50">
        <v>0</v>
      </c>
      <c r="I13" s="50">
        <v>1</v>
      </c>
      <c r="J13" s="50">
        <v>4</v>
      </c>
      <c r="K13" s="50">
        <v>0</v>
      </c>
      <c r="L13" s="50">
        <v>1</v>
      </c>
      <c r="M13" s="50">
        <v>133</v>
      </c>
      <c r="N13" s="50">
        <v>0</v>
      </c>
      <c r="O13" s="15">
        <f t="shared" si="0"/>
        <v>105</v>
      </c>
      <c r="P13" s="15">
        <f t="shared" si="1"/>
        <v>238</v>
      </c>
      <c r="R13" s="1" t="s">
        <v>9</v>
      </c>
      <c r="S13" s="17">
        <f t="shared" ref="S13:AF13" si="5">SUM(C22:C25)</f>
        <v>321</v>
      </c>
      <c r="T13" s="17">
        <f t="shared" si="5"/>
        <v>63</v>
      </c>
      <c r="U13" s="17">
        <f t="shared" si="5"/>
        <v>58</v>
      </c>
      <c r="V13" s="17">
        <f t="shared" si="5"/>
        <v>75</v>
      </c>
      <c r="W13" s="17">
        <f t="shared" si="5"/>
        <v>4</v>
      </c>
      <c r="X13" s="17">
        <f t="shared" si="5"/>
        <v>0</v>
      </c>
      <c r="Y13" s="17">
        <f t="shared" si="5"/>
        <v>14</v>
      </c>
      <c r="Z13" s="17">
        <f t="shared" si="5"/>
        <v>6</v>
      </c>
      <c r="AA13" s="17">
        <f t="shared" si="5"/>
        <v>0</v>
      </c>
      <c r="AB13" s="17">
        <f t="shared" si="5"/>
        <v>0</v>
      </c>
      <c r="AC13" s="17">
        <f t="shared" si="5"/>
        <v>540</v>
      </c>
      <c r="AD13" s="17">
        <f t="shared" si="5"/>
        <v>0</v>
      </c>
      <c r="AE13" s="31">
        <f t="shared" si="5"/>
        <v>541</v>
      </c>
      <c r="AF13" s="31">
        <f t="shared" si="5"/>
        <v>1081</v>
      </c>
    </row>
    <row r="14" spans="2:32" ht="23.1" customHeight="1" x14ac:dyDescent="0.25">
      <c r="B14" s="45" t="s">
        <v>41</v>
      </c>
      <c r="C14" s="50">
        <v>128</v>
      </c>
      <c r="D14" s="50">
        <v>20</v>
      </c>
      <c r="E14" s="50">
        <v>19</v>
      </c>
      <c r="F14" s="50">
        <v>28</v>
      </c>
      <c r="G14" s="50">
        <v>2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149</v>
      </c>
      <c r="N14" s="50">
        <v>0</v>
      </c>
      <c r="O14" s="15">
        <f t="shared" si="0"/>
        <v>198</v>
      </c>
      <c r="P14" s="15">
        <f t="shared" si="1"/>
        <v>347</v>
      </c>
      <c r="R14" s="1" t="s">
        <v>10</v>
      </c>
      <c r="S14" s="17">
        <f t="shared" ref="S14:AF14" si="6">SUM(C26:C29)</f>
        <v>279</v>
      </c>
      <c r="T14" s="17">
        <f t="shared" si="6"/>
        <v>50</v>
      </c>
      <c r="U14" s="17">
        <f t="shared" si="6"/>
        <v>43</v>
      </c>
      <c r="V14" s="17">
        <f t="shared" si="6"/>
        <v>51</v>
      </c>
      <c r="W14" s="17">
        <f t="shared" si="6"/>
        <v>1</v>
      </c>
      <c r="X14" s="17">
        <f t="shared" si="6"/>
        <v>0</v>
      </c>
      <c r="Y14" s="17">
        <f t="shared" si="6"/>
        <v>19</v>
      </c>
      <c r="Z14" s="17">
        <f t="shared" si="6"/>
        <v>6</v>
      </c>
      <c r="AA14" s="17">
        <f t="shared" si="6"/>
        <v>0</v>
      </c>
      <c r="AB14" s="17">
        <f t="shared" si="6"/>
        <v>0</v>
      </c>
      <c r="AC14" s="17">
        <f t="shared" si="6"/>
        <v>446</v>
      </c>
      <c r="AD14" s="17">
        <f t="shared" si="6"/>
        <v>0</v>
      </c>
      <c r="AE14" s="31">
        <f t="shared" si="6"/>
        <v>449</v>
      </c>
      <c r="AF14" s="31">
        <f t="shared" si="6"/>
        <v>895</v>
      </c>
    </row>
    <row r="15" spans="2:32" ht="23.1" customHeight="1" x14ac:dyDescent="0.25">
      <c r="B15" s="45" t="s">
        <v>42</v>
      </c>
      <c r="C15" s="50">
        <v>73</v>
      </c>
      <c r="D15" s="50">
        <v>12</v>
      </c>
      <c r="E15" s="50">
        <v>12</v>
      </c>
      <c r="F15" s="50">
        <v>23</v>
      </c>
      <c r="G15" s="50">
        <v>2</v>
      </c>
      <c r="H15" s="50">
        <v>0</v>
      </c>
      <c r="I15" s="50">
        <v>2</v>
      </c>
      <c r="J15" s="50">
        <v>0</v>
      </c>
      <c r="K15" s="50">
        <v>1</v>
      </c>
      <c r="L15" s="50">
        <v>0</v>
      </c>
      <c r="M15" s="50">
        <v>129</v>
      </c>
      <c r="N15" s="50">
        <v>0</v>
      </c>
      <c r="O15" s="15">
        <f t="shared" si="0"/>
        <v>125</v>
      </c>
      <c r="P15" s="15">
        <f t="shared" si="1"/>
        <v>254</v>
      </c>
      <c r="R15" s="1" t="s">
        <v>11</v>
      </c>
      <c r="S15" s="17">
        <f t="shared" ref="S15:AF15" si="7">SUM(C30:C33)</f>
        <v>348</v>
      </c>
      <c r="T15" s="17">
        <f t="shared" si="7"/>
        <v>86</v>
      </c>
      <c r="U15" s="17">
        <f t="shared" si="7"/>
        <v>61</v>
      </c>
      <c r="V15" s="17">
        <f t="shared" si="7"/>
        <v>56</v>
      </c>
      <c r="W15" s="17">
        <f t="shared" si="7"/>
        <v>1</v>
      </c>
      <c r="X15" s="17">
        <f t="shared" si="7"/>
        <v>1</v>
      </c>
      <c r="Y15" s="17">
        <f t="shared" si="7"/>
        <v>12</v>
      </c>
      <c r="Z15" s="17">
        <f t="shared" si="7"/>
        <v>5</v>
      </c>
      <c r="AA15" s="17">
        <f t="shared" si="7"/>
        <v>1</v>
      </c>
      <c r="AB15" s="17">
        <f t="shared" si="7"/>
        <v>2</v>
      </c>
      <c r="AC15" s="17">
        <f t="shared" si="7"/>
        <v>509</v>
      </c>
      <c r="AD15" s="17">
        <f t="shared" si="7"/>
        <v>0</v>
      </c>
      <c r="AE15" s="31">
        <f t="shared" si="7"/>
        <v>573</v>
      </c>
      <c r="AF15" s="31">
        <f t="shared" si="7"/>
        <v>1082</v>
      </c>
    </row>
    <row r="16" spans="2:32" ht="23.1" customHeight="1" x14ac:dyDescent="0.25">
      <c r="B16" s="45" t="s">
        <v>43</v>
      </c>
      <c r="C16" s="50">
        <v>82</v>
      </c>
      <c r="D16" s="50">
        <v>9</v>
      </c>
      <c r="E16" s="50">
        <v>16</v>
      </c>
      <c r="F16" s="50">
        <v>29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2</v>
      </c>
      <c r="M16" s="50">
        <v>170</v>
      </c>
      <c r="N16" s="50">
        <v>0</v>
      </c>
      <c r="O16" s="15">
        <f t="shared" si="0"/>
        <v>141</v>
      </c>
      <c r="P16" s="15">
        <f t="shared" si="1"/>
        <v>311</v>
      </c>
      <c r="R16" s="1" t="s">
        <v>12</v>
      </c>
      <c r="S16" s="17">
        <f t="shared" ref="S16:AF16" si="8">SUM(C34:C37)</f>
        <v>305</v>
      </c>
      <c r="T16" s="17">
        <f t="shared" si="8"/>
        <v>65</v>
      </c>
      <c r="U16" s="17">
        <f t="shared" si="8"/>
        <v>69</v>
      </c>
      <c r="V16" s="17">
        <f t="shared" si="8"/>
        <v>110</v>
      </c>
      <c r="W16" s="17">
        <f t="shared" si="8"/>
        <v>1</v>
      </c>
      <c r="X16" s="17">
        <f t="shared" si="8"/>
        <v>0</v>
      </c>
      <c r="Y16" s="17">
        <f t="shared" si="8"/>
        <v>9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472</v>
      </c>
      <c r="AD16" s="17">
        <f t="shared" si="8"/>
        <v>0</v>
      </c>
      <c r="AE16" s="31">
        <f t="shared" si="8"/>
        <v>561</v>
      </c>
      <c r="AF16" s="31">
        <f t="shared" si="8"/>
        <v>1033</v>
      </c>
    </row>
    <row r="17" spans="2:32" ht="23.1" customHeight="1" x14ac:dyDescent="0.25">
      <c r="B17" s="45" t="s">
        <v>44</v>
      </c>
      <c r="C17" s="50">
        <v>78</v>
      </c>
      <c r="D17" s="50">
        <v>15</v>
      </c>
      <c r="E17" s="50">
        <v>12</v>
      </c>
      <c r="F17" s="50">
        <v>16</v>
      </c>
      <c r="G17" s="50">
        <v>1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188</v>
      </c>
      <c r="N17" s="50">
        <v>0</v>
      </c>
      <c r="O17" s="15">
        <f t="shared" si="0"/>
        <v>123</v>
      </c>
      <c r="P17" s="15">
        <f t="shared" si="1"/>
        <v>311</v>
      </c>
      <c r="R17" s="1" t="s">
        <v>13</v>
      </c>
      <c r="S17" s="17">
        <f t="shared" ref="S17:AF17" si="9">SUM(C38:C41)</f>
        <v>244</v>
      </c>
      <c r="T17" s="17">
        <f t="shared" si="9"/>
        <v>49</v>
      </c>
      <c r="U17" s="17">
        <f t="shared" si="9"/>
        <v>40</v>
      </c>
      <c r="V17" s="17">
        <f t="shared" si="9"/>
        <v>47</v>
      </c>
      <c r="W17" s="17">
        <f t="shared" si="9"/>
        <v>2</v>
      </c>
      <c r="X17" s="17">
        <f t="shared" si="9"/>
        <v>0</v>
      </c>
      <c r="Y17" s="17">
        <f t="shared" si="9"/>
        <v>14</v>
      </c>
      <c r="Z17" s="17">
        <f t="shared" si="9"/>
        <v>5</v>
      </c>
      <c r="AA17" s="17">
        <f t="shared" si="9"/>
        <v>2</v>
      </c>
      <c r="AB17" s="17">
        <f t="shared" si="9"/>
        <v>1</v>
      </c>
      <c r="AC17" s="17">
        <f t="shared" si="9"/>
        <v>345</v>
      </c>
      <c r="AD17" s="17">
        <f t="shared" si="9"/>
        <v>0</v>
      </c>
      <c r="AE17" s="31">
        <f t="shared" si="9"/>
        <v>404</v>
      </c>
      <c r="AF17" s="31">
        <f t="shared" si="9"/>
        <v>749</v>
      </c>
    </row>
    <row r="18" spans="2:32" ht="23.1" customHeight="1" x14ac:dyDescent="0.25">
      <c r="B18" s="45" t="s">
        <v>45</v>
      </c>
      <c r="C18" s="50">
        <v>63</v>
      </c>
      <c r="D18" s="50">
        <v>19</v>
      </c>
      <c r="E18" s="50">
        <v>13</v>
      </c>
      <c r="F18" s="50">
        <v>24</v>
      </c>
      <c r="G18" s="50">
        <v>1</v>
      </c>
      <c r="H18" s="50">
        <v>0</v>
      </c>
      <c r="I18" s="50">
        <v>1</v>
      </c>
      <c r="J18" s="50">
        <v>1</v>
      </c>
      <c r="K18" s="50">
        <v>4</v>
      </c>
      <c r="L18" s="50">
        <v>0</v>
      </c>
      <c r="M18" s="50">
        <v>118</v>
      </c>
      <c r="N18" s="50">
        <v>0</v>
      </c>
      <c r="O18" s="15">
        <f t="shared" si="0"/>
        <v>126</v>
      </c>
      <c r="P18" s="15">
        <f t="shared" si="1"/>
        <v>244</v>
      </c>
      <c r="R18" s="1" t="s">
        <v>14</v>
      </c>
      <c r="S18" s="17">
        <f t="shared" ref="S18:AF18" si="10">SUM(C42:C45)</f>
        <v>316</v>
      </c>
      <c r="T18" s="17">
        <f t="shared" si="10"/>
        <v>83</v>
      </c>
      <c r="U18" s="17">
        <f t="shared" si="10"/>
        <v>66</v>
      </c>
      <c r="V18" s="17">
        <f t="shared" si="10"/>
        <v>42</v>
      </c>
      <c r="W18" s="17">
        <f t="shared" si="10"/>
        <v>2</v>
      </c>
      <c r="X18" s="17">
        <f t="shared" si="10"/>
        <v>1</v>
      </c>
      <c r="Y18" s="17">
        <f t="shared" si="10"/>
        <v>11</v>
      </c>
      <c r="Z18" s="17">
        <f t="shared" si="10"/>
        <v>3</v>
      </c>
      <c r="AA18" s="17">
        <f t="shared" si="10"/>
        <v>1</v>
      </c>
      <c r="AB18" s="17">
        <f t="shared" si="10"/>
        <v>0</v>
      </c>
      <c r="AC18" s="17">
        <f t="shared" si="10"/>
        <v>386</v>
      </c>
      <c r="AD18" s="17">
        <f t="shared" si="10"/>
        <v>0</v>
      </c>
      <c r="AE18" s="31">
        <f t="shared" si="10"/>
        <v>525</v>
      </c>
      <c r="AF18" s="31">
        <f t="shared" si="10"/>
        <v>911</v>
      </c>
    </row>
    <row r="19" spans="2:32" ht="23.1" customHeight="1" x14ac:dyDescent="0.25">
      <c r="B19" s="45" t="s">
        <v>46</v>
      </c>
      <c r="C19" s="50">
        <v>100</v>
      </c>
      <c r="D19" s="50">
        <v>16</v>
      </c>
      <c r="E19" s="50">
        <v>20</v>
      </c>
      <c r="F19" s="50">
        <v>26</v>
      </c>
      <c r="G19" s="50">
        <v>1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133</v>
      </c>
      <c r="N19" s="50">
        <v>0</v>
      </c>
      <c r="O19" s="15">
        <f t="shared" si="0"/>
        <v>166</v>
      </c>
      <c r="P19" s="15">
        <f t="shared" si="1"/>
        <v>299</v>
      </c>
      <c r="R19" s="1" t="s">
        <v>15</v>
      </c>
      <c r="S19" s="17">
        <f t="shared" ref="S19:AF19" si="11">SUM(C46:C49)</f>
        <v>344</v>
      </c>
      <c r="T19" s="17">
        <f t="shared" si="11"/>
        <v>84</v>
      </c>
      <c r="U19" s="17">
        <f t="shared" si="11"/>
        <v>69</v>
      </c>
      <c r="V19" s="17">
        <f t="shared" si="11"/>
        <v>51</v>
      </c>
      <c r="W19" s="17">
        <f t="shared" si="11"/>
        <v>3</v>
      </c>
      <c r="X19" s="17">
        <f t="shared" si="11"/>
        <v>0</v>
      </c>
      <c r="Y19" s="17">
        <f t="shared" si="11"/>
        <v>24</v>
      </c>
      <c r="Z19" s="17">
        <f t="shared" si="11"/>
        <v>6</v>
      </c>
      <c r="AA19" s="17">
        <f t="shared" si="11"/>
        <v>0</v>
      </c>
      <c r="AB19" s="17">
        <f t="shared" si="11"/>
        <v>0</v>
      </c>
      <c r="AC19" s="17">
        <f t="shared" si="11"/>
        <v>513</v>
      </c>
      <c r="AD19" s="17">
        <f t="shared" si="11"/>
        <v>0</v>
      </c>
      <c r="AE19" s="31">
        <f t="shared" si="11"/>
        <v>581</v>
      </c>
      <c r="AF19" s="31">
        <f t="shared" si="11"/>
        <v>1094</v>
      </c>
    </row>
    <row r="20" spans="2:32" ht="23.1" customHeight="1" x14ac:dyDescent="0.25">
      <c r="B20" s="45" t="s">
        <v>47</v>
      </c>
      <c r="C20" s="50">
        <v>106</v>
      </c>
      <c r="D20" s="50">
        <v>14</v>
      </c>
      <c r="E20" s="50">
        <v>23</v>
      </c>
      <c r="F20" s="50">
        <v>18</v>
      </c>
      <c r="G20" s="50">
        <v>0</v>
      </c>
      <c r="H20" s="50">
        <v>0</v>
      </c>
      <c r="I20" s="50">
        <v>2</v>
      </c>
      <c r="J20" s="50">
        <v>1</v>
      </c>
      <c r="K20" s="50">
        <v>1</v>
      </c>
      <c r="L20" s="50">
        <v>0</v>
      </c>
      <c r="M20" s="50">
        <v>151</v>
      </c>
      <c r="N20" s="50">
        <v>0</v>
      </c>
      <c r="O20" s="15">
        <f t="shared" si="0"/>
        <v>165</v>
      </c>
      <c r="P20" s="15">
        <f t="shared" si="1"/>
        <v>316</v>
      </c>
      <c r="R20" s="1" t="s">
        <v>16</v>
      </c>
      <c r="S20" s="17">
        <f t="shared" ref="S20:AF20" si="12">SUM(C50:C53)</f>
        <v>509</v>
      </c>
      <c r="T20" s="17">
        <f t="shared" si="12"/>
        <v>102</v>
      </c>
      <c r="U20" s="17">
        <f t="shared" si="12"/>
        <v>60</v>
      </c>
      <c r="V20" s="17">
        <f t="shared" si="12"/>
        <v>67</v>
      </c>
      <c r="W20" s="17">
        <f t="shared" si="12"/>
        <v>6</v>
      </c>
      <c r="X20" s="17">
        <f t="shared" si="12"/>
        <v>1</v>
      </c>
      <c r="Y20" s="17">
        <f t="shared" si="12"/>
        <v>13</v>
      </c>
      <c r="Z20" s="17">
        <f t="shared" si="12"/>
        <v>3</v>
      </c>
      <c r="AA20" s="17">
        <f t="shared" si="12"/>
        <v>0</v>
      </c>
      <c r="AB20" s="17">
        <f t="shared" si="12"/>
        <v>1</v>
      </c>
      <c r="AC20" s="17">
        <f t="shared" si="12"/>
        <v>704</v>
      </c>
      <c r="AD20" s="17">
        <f t="shared" si="12"/>
        <v>0</v>
      </c>
      <c r="AE20" s="31">
        <f t="shared" si="12"/>
        <v>762</v>
      </c>
      <c r="AF20" s="31">
        <f t="shared" si="12"/>
        <v>1466</v>
      </c>
    </row>
    <row r="21" spans="2:32" ht="23.1" customHeight="1" x14ac:dyDescent="0.25">
      <c r="B21" s="45" t="s">
        <v>48</v>
      </c>
      <c r="C21" s="50">
        <v>88</v>
      </c>
      <c r="D21" s="50">
        <v>24</v>
      </c>
      <c r="E21" s="50">
        <v>10</v>
      </c>
      <c r="F21" s="50">
        <v>17</v>
      </c>
      <c r="G21" s="50">
        <v>0</v>
      </c>
      <c r="H21" s="50">
        <v>0</v>
      </c>
      <c r="I21" s="50">
        <v>5</v>
      </c>
      <c r="J21" s="50">
        <v>0</v>
      </c>
      <c r="K21" s="50">
        <v>4</v>
      </c>
      <c r="L21" s="50">
        <v>0</v>
      </c>
      <c r="M21" s="50">
        <v>163</v>
      </c>
      <c r="N21" s="50">
        <v>0</v>
      </c>
      <c r="O21" s="15">
        <f t="shared" si="0"/>
        <v>148</v>
      </c>
      <c r="P21" s="15">
        <f t="shared" si="1"/>
        <v>311</v>
      </c>
      <c r="R21" s="36" t="s">
        <v>20</v>
      </c>
      <c r="S21" s="34">
        <f t="shared" ref="S21:AF21" si="13">SUM(C54:C57)</f>
        <v>406</v>
      </c>
      <c r="T21" s="17">
        <f t="shared" si="13"/>
        <v>81</v>
      </c>
      <c r="U21" s="17">
        <f t="shared" si="13"/>
        <v>82</v>
      </c>
      <c r="V21" s="17">
        <f t="shared" si="13"/>
        <v>63</v>
      </c>
      <c r="W21" s="17">
        <f t="shared" si="13"/>
        <v>6</v>
      </c>
      <c r="X21" s="17">
        <f t="shared" si="13"/>
        <v>1</v>
      </c>
      <c r="Y21" s="17">
        <f t="shared" si="13"/>
        <v>13</v>
      </c>
      <c r="Z21" s="17">
        <f t="shared" si="13"/>
        <v>1</v>
      </c>
      <c r="AA21" s="17">
        <f t="shared" si="13"/>
        <v>0</v>
      </c>
      <c r="AB21" s="17">
        <f t="shared" si="13"/>
        <v>1</v>
      </c>
      <c r="AC21" s="17">
        <f t="shared" si="13"/>
        <v>581</v>
      </c>
      <c r="AD21" s="17">
        <f t="shared" si="13"/>
        <v>0</v>
      </c>
      <c r="AE21" s="31">
        <f t="shared" si="13"/>
        <v>654</v>
      </c>
      <c r="AF21" s="31">
        <f t="shared" si="13"/>
        <v>1235</v>
      </c>
    </row>
    <row r="22" spans="2:32" ht="23.1" customHeight="1" x14ac:dyDescent="0.25">
      <c r="B22" s="45" t="s">
        <v>49</v>
      </c>
      <c r="C22" s="50">
        <v>72</v>
      </c>
      <c r="D22" s="50">
        <v>18</v>
      </c>
      <c r="E22" s="50">
        <v>8</v>
      </c>
      <c r="F22" s="50">
        <v>22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153</v>
      </c>
      <c r="N22" s="50">
        <v>0</v>
      </c>
      <c r="O22" s="15">
        <f t="shared" si="0"/>
        <v>123</v>
      </c>
      <c r="P22" s="15">
        <f t="shared" si="1"/>
        <v>276</v>
      </c>
      <c r="R22" s="36" t="s">
        <v>146</v>
      </c>
      <c r="S22" s="34">
        <f>SUM(C58:C61)</f>
        <v>305</v>
      </c>
      <c r="T22" s="34">
        <f t="shared" ref="T22:AF22" si="14">SUM(D58:D61)</f>
        <v>57</v>
      </c>
      <c r="U22" s="34">
        <f t="shared" si="14"/>
        <v>73</v>
      </c>
      <c r="V22" s="34">
        <f t="shared" si="14"/>
        <v>66</v>
      </c>
      <c r="W22" s="34">
        <f t="shared" si="14"/>
        <v>4</v>
      </c>
      <c r="X22" s="34">
        <f t="shared" si="14"/>
        <v>0</v>
      </c>
      <c r="Y22" s="34">
        <f t="shared" si="14"/>
        <v>17</v>
      </c>
      <c r="Z22" s="34">
        <f t="shared" si="14"/>
        <v>4</v>
      </c>
      <c r="AA22" s="34">
        <f t="shared" si="14"/>
        <v>2</v>
      </c>
      <c r="AB22" s="34">
        <f t="shared" si="14"/>
        <v>0</v>
      </c>
      <c r="AC22" s="34">
        <f t="shared" si="14"/>
        <v>363</v>
      </c>
      <c r="AD22" s="34">
        <f t="shared" si="14"/>
        <v>0</v>
      </c>
      <c r="AE22" s="31">
        <f t="shared" si="14"/>
        <v>528</v>
      </c>
      <c r="AF22" s="31">
        <f t="shared" si="14"/>
        <v>891</v>
      </c>
    </row>
    <row r="23" spans="2:32" ht="23.1" customHeight="1" x14ac:dyDescent="0.25">
      <c r="B23" s="45" t="s">
        <v>50</v>
      </c>
      <c r="C23" s="50">
        <v>85</v>
      </c>
      <c r="D23" s="50">
        <v>22</v>
      </c>
      <c r="E23" s="50">
        <v>29</v>
      </c>
      <c r="F23" s="50">
        <v>16</v>
      </c>
      <c r="G23" s="50">
        <v>2</v>
      </c>
      <c r="H23" s="50">
        <v>0</v>
      </c>
      <c r="I23" s="50">
        <v>3</v>
      </c>
      <c r="J23" s="50">
        <v>3</v>
      </c>
      <c r="K23" s="50">
        <v>0</v>
      </c>
      <c r="L23" s="50">
        <v>0</v>
      </c>
      <c r="M23" s="50">
        <v>121</v>
      </c>
      <c r="N23" s="50">
        <v>0</v>
      </c>
      <c r="O23" s="15">
        <f t="shared" si="0"/>
        <v>160</v>
      </c>
      <c r="P23" s="15">
        <f t="shared" si="1"/>
        <v>281</v>
      </c>
      <c r="R23" s="36" t="s">
        <v>147</v>
      </c>
      <c r="S23" s="34">
        <f>SUM(C62:C65)</f>
        <v>206</v>
      </c>
      <c r="T23" s="34">
        <f t="shared" ref="T23:AF23" si="15">SUM(D62:D65)</f>
        <v>32</v>
      </c>
      <c r="U23" s="34">
        <f t="shared" si="15"/>
        <v>42</v>
      </c>
      <c r="V23" s="34">
        <f t="shared" si="15"/>
        <v>45</v>
      </c>
      <c r="W23" s="34">
        <f t="shared" si="15"/>
        <v>1</v>
      </c>
      <c r="X23" s="34">
        <f t="shared" si="15"/>
        <v>0</v>
      </c>
      <c r="Y23" s="34">
        <f t="shared" si="15"/>
        <v>8</v>
      </c>
      <c r="Z23" s="34">
        <f t="shared" si="15"/>
        <v>1</v>
      </c>
      <c r="AA23" s="34">
        <f t="shared" si="15"/>
        <v>1</v>
      </c>
      <c r="AB23" s="34">
        <f t="shared" si="15"/>
        <v>1</v>
      </c>
      <c r="AC23" s="34">
        <f t="shared" si="15"/>
        <v>285</v>
      </c>
      <c r="AD23" s="34">
        <f t="shared" si="15"/>
        <v>0</v>
      </c>
      <c r="AE23" s="31">
        <f t="shared" si="15"/>
        <v>337</v>
      </c>
      <c r="AF23" s="31">
        <f t="shared" si="15"/>
        <v>622</v>
      </c>
    </row>
    <row r="24" spans="2:32" ht="23.1" customHeight="1" x14ac:dyDescent="0.25">
      <c r="B24" s="45" t="s">
        <v>51</v>
      </c>
      <c r="C24" s="50">
        <v>103</v>
      </c>
      <c r="D24" s="50">
        <v>12</v>
      </c>
      <c r="E24" s="50">
        <v>15</v>
      </c>
      <c r="F24" s="50">
        <v>23</v>
      </c>
      <c r="G24" s="50">
        <v>2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111</v>
      </c>
      <c r="N24" s="50">
        <v>0</v>
      </c>
      <c r="O24" s="15">
        <f t="shared" si="0"/>
        <v>160</v>
      </c>
      <c r="P24" s="15">
        <f t="shared" si="1"/>
        <v>271</v>
      </c>
      <c r="R24" s="36" t="s">
        <v>148</v>
      </c>
      <c r="S24" s="34">
        <f>SUM(C66:C69)</f>
        <v>197</v>
      </c>
      <c r="T24" s="34">
        <f t="shared" ref="T24:AF24" si="16">SUM(D66:D69)</f>
        <v>45</v>
      </c>
      <c r="U24" s="34">
        <f t="shared" si="16"/>
        <v>33</v>
      </c>
      <c r="V24" s="34">
        <f t="shared" si="16"/>
        <v>50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211</v>
      </c>
      <c r="AD24" s="34">
        <f t="shared" si="16"/>
        <v>0</v>
      </c>
      <c r="AE24" s="31">
        <f t="shared" si="16"/>
        <v>329</v>
      </c>
      <c r="AF24" s="31">
        <f t="shared" si="16"/>
        <v>540</v>
      </c>
    </row>
    <row r="25" spans="2:32" ht="23.1" customHeight="1" x14ac:dyDescent="0.25">
      <c r="B25" s="45" t="s">
        <v>52</v>
      </c>
      <c r="C25" s="50">
        <v>61</v>
      </c>
      <c r="D25" s="50">
        <v>11</v>
      </c>
      <c r="E25" s="50">
        <v>6</v>
      </c>
      <c r="F25" s="50">
        <v>14</v>
      </c>
      <c r="G25" s="50">
        <v>0</v>
      </c>
      <c r="H25" s="50">
        <v>0</v>
      </c>
      <c r="I25" s="50">
        <v>4</v>
      </c>
      <c r="J25" s="50">
        <v>2</v>
      </c>
      <c r="K25" s="50">
        <v>0</v>
      </c>
      <c r="L25" s="50">
        <v>0</v>
      </c>
      <c r="M25" s="50">
        <v>155</v>
      </c>
      <c r="N25" s="50">
        <v>0</v>
      </c>
      <c r="O25" s="15">
        <f t="shared" si="0"/>
        <v>98</v>
      </c>
      <c r="P25" s="15">
        <f t="shared" si="1"/>
        <v>253</v>
      </c>
      <c r="R25" s="36" t="s">
        <v>149</v>
      </c>
      <c r="S25" s="34">
        <f>SUM(C70:C73)</f>
        <v>176</v>
      </c>
      <c r="T25" s="34">
        <f t="shared" ref="T25:AF25" si="17">SUM(D70:D73)</f>
        <v>22</v>
      </c>
      <c r="U25" s="34">
        <f t="shared" si="17"/>
        <v>15</v>
      </c>
      <c r="V25" s="34">
        <f t="shared" si="17"/>
        <v>31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135</v>
      </c>
      <c r="AD25" s="34">
        <f t="shared" si="17"/>
        <v>0</v>
      </c>
      <c r="AE25" s="31">
        <f t="shared" si="17"/>
        <v>246</v>
      </c>
      <c r="AF25" s="31">
        <f t="shared" si="17"/>
        <v>381</v>
      </c>
    </row>
    <row r="26" spans="2:32" ht="23.1" customHeight="1" x14ac:dyDescent="0.25">
      <c r="B26" s="45" t="s">
        <v>53</v>
      </c>
      <c r="C26" s="50">
        <v>83</v>
      </c>
      <c r="D26" s="50">
        <v>11</v>
      </c>
      <c r="E26" s="50">
        <v>13</v>
      </c>
      <c r="F26" s="50">
        <v>14</v>
      </c>
      <c r="G26" s="50">
        <v>1</v>
      </c>
      <c r="H26" s="50">
        <v>0</v>
      </c>
      <c r="I26" s="50">
        <v>4</v>
      </c>
      <c r="J26" s="50">
        <v>1</v>
      </c>
      <c r="K26" s="50">
        <v>0</v>
      </c>
      <c r="L26" s="50">
        <v>0</v>
      </c>
      <c r="M26" s="50">
        <v>122</v>
      </c>
      <c r="N26" s="50">
        <v>0</v>
      </c>
      <c r="O26" s="15">
        <f t="shared" si="0"/>
        <v>127</v>
      </c>
      <c r="P26" s="15">
        <f t="shared" si="1"/>
        <v>249</v>
      </c>
      <c r="R26" s="36" t="s">
        <v>150</v>
      </c>
      <c r="S26" s="34">
        <f>SUM(C74:C77)</f>
        <v>124</v>
      </c>
      <c r="T26" s="34">
        <f t="shared" ref="T26:AF26" si="18">SUM(D74:D77)</f>
        <v>25</v>
      </c>
      <c r="U26" s="34">
        <f t="shared" si="18"/>
        <v>5</v>
      </c>
      <c r="V26" s="34">
        <f t="shared" si="18"/>
        <v>9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147</v>
      </c>
      <c r="AD26" s="34">
        <f t="shared" si="18"/>
        <v>0</v>
      </c>
      <c r="AE26" s="31">
        <f t="shared" si="18"/>
        <v>166</v>
      </c>
      <c r="AF26" s="31">
        <f t="shared" si="18"/>
        <v>313</v>
      </c>
    </row>
    <row r="27" spans="2:32" ht="23.1" customHeight="1" x14ac:dyDescent="0.25">
      <c r="B27" s="45" t="s">
        <v>54</v>
      </c>
      <c r="C27" s="50">
        <v>81</v>
      </c>
      <c r="D27" s="50">
        <v>8</v>
      </c>
      <c r="E27" s="50">
        <v>14</v>
      </c>
      <c r="F27" s="50">
        <v>18</v>
      </c>
      <c r="G27" s="50">
        <v>0</v>
      </c>
      <c r="H27" s="50">
        <v>0</v>
      </c>
      <c r="I27" s="50">
        <v>5</v>
      </c>
      <c r="J27" s="50">
        <v>4</v>
      </c>
      <c r="K27" s="50">
        <v>0</v>
      </c>
      <c r="L27" s="50">
        <v>0</v>
      </c>
      <c r="M27" s="50">
        <v>131</v>
      </c>
      <c r="N27" s="50">
        <v>0</v>
      </c>
      <c r="O27" s="15">
        <f t="shared" si="0"/>
        <v>130</v>
      </c>
      <c r="P27" s="15">
        <f t="shared" si="1"/>
        <v>261</v>
      </c>
      <c r="R27" s="36" t="s">
        <v>151</v>
      </c>
      <c r="S27" s="34">
        <f>SUM(C78:C81)</f>
        <v>77</v>
      </c>
      <c r="T27" s="34">
        <f t="shared" ref="T27:AF27" si="19">SUM(D78:D81)</f>
        <v>6</v>
      </c>
      <c r="U27" s="34">
        <f t="shared" si="19"/>
        <v>1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74</v>
      </c>
      <c r="AD27" s="34">
        <f t="shared" si="19"/>
        <v>0</v>
      </c>
      <c r="AE27" s="31">
        <f t="shared" si="19"/>
        <v>86</v>
      </c>
      <c r="AF27" s="31">
        <f t="shared" si="19"/>
        <v>160</v>
      </c>
    </row>
    <row r="28" spans="2:32" ht="23.1" customHeight="1" x14ac:dyDescent="0.25">
      <c r="B28" s="45" t="s">
        <v>55</v>
      </c>
      <c r="C28" s="50">
        <v>43</v>
      </c>
      <c r="D28" s="50">
        <v>14</v>
      </c>
      <c r="E28" s="50">
        <v>8</v>
      </c>
      <c r="F28" s="50">
        <v>7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74</v>
      </c>
      <c r="N28" s="50">
        <v>0</v>
      </c>
      <c r="O28" s="15">
        <f t="shared" si="0"/>
        <v>75</v>
      </c>
      <c r="P28" s="15">
        <f t="shared" si="1"/>
        <v>149</v>
      </c>
      <c r="R28" s="36" t="s">
        <v>152</v>
      </c>
      <c r="S28" s="34">
        <f>SUM(C82:C85)</f>
        <v>34</v>
      </c>
      <c r="T28" s="34">
        <f t="shared" ref="T28:AF28" si="20">SUM(D82:D85)</f>
        <v>6</v>
      </c>
      <c r="U28" s="34">
        <f t="shared" si="20"/>
        <v>3</v>
      </c>
      <c r="V28" s="34">
        <f t="shared" si="20"/>
        <v>3</v>
      </c>
      <c r="W28" s="34">
        <f t="shared" si="20"/>
        <v>1</v>
      </c>
      <c r="X28" s="34">
        <f t="shared" si="20"/>
        <v>0</v>
      </c>
      <c r="Y28" s="34">
        <f t="shared" si="20"/>
        <v>1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47</v>
      </c>
      <c r="AD28" s="34">
        <f t="shared" si="20"/>
        <v>0</v>
      </c>
      <c r="AE28" s="31">
        <f t="shared" si="20"/>
        <v>49</v>
      </c>
      <c r="AF28" s="31">
        <f t="shared" si="20"/>
        <v>96</v>
      </c>
    </row>
    <row r="29" spans="2:32" ht="23.1" customHeight="1" x14ac:dyDescent="0.25">
      <c r="B29" s="45" t="s">
        <v>56</v>
      </c>
      <c r="C29" s="50">
        <v>72</v>
      </c>
      <c r="D29" s="50">
        <v>17</v>
      </c>
      <c r="E29" s="50">
        <v>8</v>
      </c>
      <c r="F29" s="50">
        <v>12</v>
      </c>
      <c r="G29" s="50">
        <v>0</v>
      </c>
      <c r="H29" s="50">
        <v>0</v>
      </c>
      <c r="I29" s="50">
        <v>7</v>
      </c>
      <c r="J29" s="50">
        <v>1</v>
      </c>
      <c r="K29" s="50">
        <v>0</v>
      </c>
      <c r="L29" s="50">
        <v>0</v>
      </c>
      <c r="M29" s="50">
        <v>119</v>
      </c>
      <c r="N29" s="50">
        <v>0</v>
      </c>
      <c r="O29" s="15">
        <f t="shared" si="0"/>
        <v>117</v>
      </c>
      <c r="P29" s="15">
        <f t="shared" si="1"/>
        <v>236</v>
      </c>
      <c r="R29" s="36" t="s">
        <v>153</v>
      </c>
      <c r="S29" s="34">
        <f>SUM(C86:C89)</f>
        <v>19</v>
      </c>
      <c r="T29" s="34">
        <f t="shared" ref="T29:AF29" si="21">SUM(D86:D89)</f>
        <v>2</v>
      </c>
      <c r="U29" s="34">
        <f t="shared" si="21"/>
        <v>0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39</v>
      </c>
      <c r="AD29" s="34">
        <f t="shared" si="21"/>
        <v>0</v>
      </c>
      <c r="AE29" s="31">
        <f t="shared" si="21"/>
        <v>24</v>
      </c>
      <c r="AF29" s="31">
        <f t="shared" si="21"/>
        <v>63</v>
      </c>
    </row>
    <row r="30" spans="2:32" ht="23.1" customHeight="1" x14ac:dyDescent="0.25">
      <c r="B30" s="45" t="s">
        <v>57</v>
      </c>
      <c r="C30" s="50">
        <v>86</v>
      </c>
      <c r="D30" s="50">
        <v>18</v>
      </c>
      <c r="E30" s="50">
        <v>14</v>
      </c>
      <c r="F30" s="50">
        <v>7</v>
      </c>
      <c r="G30" s="50">
        <v>0</v>
      </c>
      <c r="H30" s="50">
        <v>0</v>
      </c>
      <c r="I30" s="50">
        <v>5</v>
      </c>
      <c r="J30" s="50">
        <v>2</v>
      </c>
      <c r="K30" s="50">
        <v>1</v>
      </c>
      <c r="L30" s="50">
        <v>1</v>
      </c>
      <c r="M30" s="50">
        <v>131</v>
      </c>
      <c r="N30" s="50">
        <v>0</v>
      </c>
      <c r="O30" s="15">
        <f t="shared" si="0"/>
        <v>134</v>
      </c>
      <c r="P30" s="15">
        <f t="shared" si="1"/>
        <v>265</v>
      </c>
      <c r="R30" s="36" t="s">
        <v>154</v>
      </c>
      <c r="S30" s="34">
        <f>SUM(C90:C93)</f>
        <v>30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28</v>
      </c>
      <c r="AD30" s="34">
        <f t="shared" si="22"/>
        <v>0</v>
      </c>
      <c r="AE30" s="31">
        <f t="shared" si="22"/>
        <v>34</v>
      </c>
      <c r="AF30" s="31">
        <f t="shared" si="22"/>
        <v>62</v>
      </c>
    </row>
    <row r="31" spans="2:32" ht="23.1" customHeight="1" x14ac:dyDescent="0.25">
      <c r="B31" s="46" t="s">
        <v>58</v>
      </c>
      <c r="C31" s="50">
        <v>99</v>
      </c>
      <c r="D31" s="50">
        <v>18</v>
      </c>
      <c r="E31" s="50">
        <v>16</v>
      </c>
      <c r="F31" s="50">
        <v>11</v>
      </c>
      <c r="G31" s="50">
        <v>0</v>
      </c>
      <c r="H31" s="50">
        <v>0</v>
      </c>
      <c r="I31" s="50">
        <v>4</v>
      </c>
      <c r="J31" s="50">
        <v>1</v>
      </c>
      <c r="K31" s="50">
        <v>0</v>
      </c>
      <c r="L31" s="50">
        <v>0</v>
      </c>
      <c r="M31" s="50">
        <v>143</v>
      </c>
      <c r="N31" s="50">
        <v>0</v>
      </c>
      <c r="O31" s="15">
        <f t="shared" si="0"/>
        <v>149</v>
      </c>
      <c r="P31" s="15">
        <f t="shared" si="1"/>
        <v>292</v>
      </c>
      <c r="R31" s="36" t="s">
        <v>155</v>
      </c>
      <c r="S31" s="34">
        <f>SUM(C94:C97)</f>
        <v>20</v>
      </c>
      <c r="T31" s="34">
        <f t="shared" ref="T31:AF31" si="23">SUM(D94:D97)</f>
        <v>2</v>
      </c>
      <c r="U31" s="34">
        <f t="shared" si="23"/>
        <v>0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34</v>
      </c>
      <c r="AD31" s="34">
        <f t="shared" si="23"/>
        <v>0</v>
      </c>
      <c r="AE31" s="31">
        <f t="shared" si="23"/>
        <v>26</v>
      </c>
      <c r="AF31" s="31">
        <f t="shared" si="23"/>
        <v>60</v>
      </c>
    </row>
    <row r="32" spans="2:32" ht="23.1" customHeight="1" x14ac:dyDescent="0.25">
      <c r="B32" s="46" t="s">
        <v>59</v>
      </c>
      <c r="C32" s="50">
        <v>90</v>
      </c>
      <c r="D32" s="50">
        <v>30</v>
      </c>
      <c r="E32" s="50">
        <v>17</v>
      </c>
      <c r="F32" s="50">
        <v>22</v>
      </c>
      <c r="G32" s="50">
        <v>1</v>
      </c>
      <c r="H32" s="50">
        <v>1</v>
      </c>
      <c r="I32" s="50">
        <v>1</v>
      </c>
      <c r="J32" s="50">
        <v>2</v>
      </c>
      <c r="K32" s="50">
        <v>0</v>
      </c>
      <c r="L32" s="50">
        <v>1</v>
      </c>
      <c r="M32" s="50">
        <v>110</v>
      </c>
      <c r="N32" s="50">
        <v>0</v>
      </c>
      <c r="O32" s="15">
        <f t="shared" si="0"/>
        <v>165</v>
      </c>
      <c r="P32" s="15">
        <f t="shared" si="1"/>
        <v>275</v>
      </c>
      <c r="R32" s="33" t="s">
        <v>156</v>
      </c>
      <c r="S32" s="34">
        <f>SUM(C98:C101)</f>
        <v>18</v>
      </c>
      <c r="T32" s="34">
        <f t="shared" ref="T32:AF32" si="24">SUM(D98:D101)</f>
        <v>5</v>
      </c>
      <c r="U32" s="34">
        <f t="shared" si="24"/>
        <v>5</v>
      </c>
      <c r="V32" s="34">
        <f t="shared" si="24"/>
        <v>9</v>
      </c>
      <c r="W32" s="34">
        <f t="shared" si="24"/>
        <v>1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67</v>
      </c>
      <c r="AD32" s="34">
        <f t="shared" si="24"/>
        <v>0</v>
      </c>
      <c r="AE32" s="31">
        <f t="shared" si="24"/>
        <v>40</v>
      </c>
      <c r="AF32" s="31">
        <f t="shared" si="24"/>
        <v>107</v>
      </c>
    </row>
    <row r="33" spans="2:32" ht="23.1" customHeight="1" x14ac:dyDescent="0.25">
      <c r="B33" s="45" t="s">
        <v>60</v>
      </c>
      <c r="C33" s="50">
        <v>73</v>
      </c>
      <c r="D33" s="50">
        <v>20</v>
      </c>
      <c r="E33" s="50">
        <v>14</v>
      </c>
      <c r="F33" s="50">
        <v>16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125</v>
      </c>
      <c r="N33" s="50">
        <v>0</v>
      </c>
      <c r="O33" s="15">
        <f t="shared" si="0"/>
        <v>125</v>
      </c>
      <c r="P33" s="15">
        <f t="shared" si="1"/>
        <v>250</v>
      </c>
      <c r="R33" s="33" t="s">
        <v>157</v>
      </c>
      <c r="S33" s="34">
        <f>SUM(C102:C105)</f>
        <v>100</v>
      </c>
      <c r="T33" s="34">
        <f t="shared" ref="T33:AF33" si="25">SUM(D102:D105)</f>
        <v>21</v>
      </c>
      <c r="U33" s="34">
        <f t="shared" si="25"/>
        <v>10</v>
      </c>
      <c r="V33" s="34">
        <f t="shared" si="25"/>
        <v>62</v>
      </c>
      <c r="W33" s="34">
        <f t="shared" si="25"/>
        <v>0</v>
      </c>
      <c r="X33" s="34">
        <f t="shared" si="25"/>
        <v>0</v>
      </c>
      <c r="Y33" s="34">
        <f t="shared" si="25"/>
        <v>5</v>
      </c>
      <c r="Z33" s="34">
        <f t="shared" si="25"/>
        <v>2</v>
      </c>
      <c r="AA33" s="34">
        <f t="shared" si="25"/>
        <v>1</v>
      </c>
      <c r="AB33" s="34">
        <f t="shared" si="25"/>
        <v>0</v>
      </c>
      <c r="AC33" s="34">
        <f t="shared" si="25"/>
        <v>107</v>
      </c>
      <c r="AD33" s="34">
        <f t="shared" si="25"/>
        <v>0</v>
      </c>
      <c r="AE33" s="31">
        <f t="shared" si="25"/>
        <v>201</v>
      </c>
      <c r="AF33" s="31">
        <f t="shared" si="25"/>
        <v>308</v>
      </c>
    </row>
    <row r="34" spans="2:32" ht="23.1" customHeight="1" x14ac:dyDescent="0.25">
      <c r="B34" s="46" t="s">
        <v>61</v>
      </c>
      <c r="C34" s="50">
        <v>72</v>
      </c>
      <c r="D34" s="50">
        <v>14</v>
      </c>
      <c r="E34" s="50">
        <v>23</v>
      </c>
      <c r="F34" s="50">
        <v>16</v>
      </c>
      <c r="G34" s="50">
        <v>0</v>
      </c>
      <c r="H34" s="50">
        <v>0</v>
      </c>
      <c r="I34" s="50">
        <v>4</v>
      </c>
      <c r="J34" s="50">
        <v>1</v>
      </c>
      <c r="K34" s="50">
        <v>0</v>
      </c>
      <c r="L34" s="50">
        <v>0</v>
      </c>
      <c r="M34" s="50">
        <v>135</v>
      </c>
      <c r="N34" s="50">
        <v>0</v>
      </c>
      <c r="O34" s="15">
        <f t="shared" si="0"/>
        <v>130</v>
      </c>
      <c r="P34" s="15">
        <f t="shared" si="1"/>
        <v>265</v>
      </c>
      <c r="R34" s="38" t="s">
        <v>90</v>
      </c>
      <c r="S34" s="39">
        <f t="shared" ref="S34:AF34" si="26">MAX(S10:S12)</f>
        <v>361</v>
      </c>
      <c r="T34" s="39">
        <f t="shared" si="26"/>
        <v>73</v>
      </c>
      <c r="U34" s="39">
        <f t="shared" si="26"/>
        <v>66</v>
      </c>
      <c r="V34" s="39">
        <f t="shared" si="26"/>
        <v>96</v>
      </c>
      <c r="W34" s="39">
        <f t="shared" si="26"/>
        <v>5</v>
      </c>
      <c r="X34" s="39">
        <f t="shared" si="26"/>
        <v>0</v>
      </c>
      <c r="Y34" s="39">
        <f t="shared" si="26"/>
        <v>10</v>
      </c>
      <c r="Z34" s="39">
        <f t="shared" si="26"/>
        <v>4</v>
      </c>
      <c r="AA34" s="39">
        <f t="shared" si="26"/>
        <v>9</v>
      </c>
      <c r="AB34" s="39">
        <f t="shared" si="26"/>
        <v>2</v>
      </c>
      <c r="AC34" s="39">
        <f t="shared" si="26"/>
        <v>636</v>
      </c>
      <c r="AD34" s="39">
        <f t="shared" si="26"/>
        <v>0</v>
      </c>
      <c r="AE34" s="40">
        <f t="shared" si="26"/>
        <v>605</v>
      </c>
      <c r="AF34" s="40">
        <f t="shared" si="26"/>
        <v>1223</v>
      </c>
    </row>
    <row r="35" spans="2:32" ht="23.1" customHeight="1" x14ac:dyDescent="0.25">
      <c r="B35" s="46" t="s">
        <v>62</v>
      </c>
      <c r="C35" s="50">
        <v>85</v>
      </c>
      <c r="D35" s="50">
        <v>28</v>
      </c>
      <c r="E35" s="50">
        <v>14</v>
      </c>
      <c r="F35" s="50">
        <v>18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106</v>
      </c>
      <c r="N35" s="50">
        <v>0</v>
      </c>
      <c r="O35" s="15">
        <f t="shared" si="0"/>
        <v>147</v>
      </c>
      <c r="P35" s="15">
        <f t="shared" si="1"/>
        <v>253</v>
      </c>
      <c r="R35" s="38" t="s">
        <v>91</v>
      </c>
      <c r="S35" s="39">
        <f t="shared" ref="S35:AF35" si="27">MAX(S13:S18)</f>
        <v>348</v>
      </c>
      <c r="T35" s="39">
        <f t="shared" si="27"/>
        <v>86</v>
      </c>
      <c r="U35" s="39">
        <f t="shared" si="27"/>
        <v>69</v>
      </c>
      <c r="V35" s="39">
        <f t="shared" si="27"/>
        <v>110</v>
      </c>
      <c r="W35" s="39">
        <f t="shared" si="27"/>
        <v>4</v>
      </c>
      <c r="X35" s="39">
        <f t="shared" si="27"/>
        <v>1</v>
      </c>
      <c r="Y35" s="39">
        <f t="shared" si="27"/>
        <v>19</v>
      </c>
      <c r="Z35" s="39">
        <f t="shared" si="27"/>
        <v>6</v>
      </c>
      <c r="AA35" s="39">
        <f t="shared" si="27"/>
        <v>2</v>
      </c>
      <c r="AB35" s="39">
        <f t="shared" si="27"/>
        <v>2</v>
      </c>
      <c r="AC35" s="39">
        <f t="shared" si="27"/>
        <v>540</v>
      </c>
      <c r="AD35" s="39">
        <f t="shared" si="27"/>
        <v>0</v>
      </c>
      <c r="AE35" s="40">
        <f t="shared" si="27"/>
        <v>573</v>
      </c>
      <c r="AF35" s="40">
        <f t="shared" si="27"/>
        <v>1082</v>
      </c>
    </row>
    <row r="36" spans="2:32" ht="23.1" customHeight="1" x14ac:dyDescent="0.25">
      <c r="B36" s="46" t="s">
        <v>63</v>
      </c>
      <c r="C36" s="50">
        <v>62</v>
      </c>
      <c r="D36" s="50">
        <v>14</v>
      </c>
      <c r="E36" s="50">
        <v>17</v>
      </c>
      <c r="F36" s="50">
        <v>45</v>
      </c>
      <c r="G36" s="50">
        <v>1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120</v>
      </c>
      <c r="N36" s="50">
        <v>0</v>
      </c>
      <c r="O36" s="15">
        <f t="shared" si="0"/>
        <v>140</v>
      </c>
      <c r="P36" s="15">
        <f t="shared" si="1"/>
        <v>260</v>
      </c>
      <c r="R36" s="38" t="s">
        <v>92</v>
      </c>
      <c r="S36" s="39">
        <f t="shared" ref="S36:AF36" si="28">MAX(S19:S21)</f>
        <v>509</v>
      </c>
      <c r="T36" s="39">
        <f t="shared" si="28"/>
        <v>102</v>
      </c>
      <c r="U36" s="39">
        <f t="shared" si="28"/>
        <v>82</v>
      </c>
      <c r="V36" s="39">
        <f t="shared" si="28"/>
        <v>67</v>
      </c>
      <c r="W36" s="39">
        <f t="shared" si="28"/>
        <v>6</v>
      </c>
      <c r="X36" s="39">
        <f t="shared" si="28"/>
        <v>1</v>
      </c>
      <c r="Y36" s="39">
        <f t="shared" si="28"/>
        <v>24</v>
      </c>
      <c r="Z36" s="39">
        <f t="shared" si="28"/>
        <v>6</v>
      </c>
      <c r="AA36" s="39">
        <f t="shared" si="28"/>
        <v>0</v>
      </c>
      <c r="AB36" s="39">
        <f t="shared" si="28"/>
        <v>1</v>
      </c>
      <c r="AC36" s="39">
        <f t="shared" si="28"/>
        <v>704</v>
      </c>
      <c r="AD36" s="39">
        <f t="shared" si="28"/>
        <v>0</v>
      </c>
      <c r="AE36" s="40">
        <f t="shared" si="28"/>
        <v>762</v>
      </c>
      <c r="AF36" s="40">
        <f t="shared" si="28"/>
        <v>1466</v>
      </c>
    </row>
    <row r="37" spans="2:32" ht="23.1" customHeight="1" x14ac:dyDescent="0.25">
      <c r="B37" s="45" t="s">
        <v>64</v>
      </c>
      <c r="C37" s="50">
        <v>86</v>
      </c>
      <c r="D37" s="50">
        <v>9</v>
      </c>
      <c r="E37" s="50">
        <v>15</v>
      </c>
      <c r="F37" s="50">
        <v>31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111</v>
      </c>
      <c r="N37" s="50">
        <v>0</v>
      </c>
      <c r="O37" s="15">
        <f t="shared" si="0"/>
        <v>144</v>
      </c>
      <c r="P37" s="15">
        <f t="shared" si="1"/>
        <v>255</v>
      </c>
      <c r="R37" s="37" t="s">
        <v>85</v>
      </c>
      <c r="S37" s="35">
        <f t="shared" ref="S37:AF37" si="29">SUM(S10:S12)</f>
        <v>971</v>
      </c>
      <c r="T37" s="16">
        <f t="shared" si="29"/>
        <v>169</v>
      </c>
      <c r="U37" s="16">
        <f t="shared" si="29"/>
        <v>151</v>
      </c>
      <c r="V37" s="16">
        <f t="shared" si="29"/>
        <v>275</v>
      </c>
      <c r="W37" s="16">
        <f t="shared" si="29"/>
        <v>11</v>
      </c>
      <c r="X37" s="16">
        <f t="shared" si="29"/>
        <v>0</v>
      </c>
      <c r="Y37" s="16">
        <f t="shared" si="29"/>
        <v>20</v>
      </c>
      <c r="Z37" s="16">
        <f t="shared" si="29"/>
        <v>8</v>
      </c>
      <c r="AA37" s="16">
        <f t="shared" si="29"/>
        <v>11</v>
      </c>
      <c r="AB37" s="16">
        <f t="shared" si="29"/>
        <v>4</v>
      </c>
      <c r="AC37" s="16">
        <f t="shared" si="29"/>
        <v>1639</v>
      </c>
      <c r="AD37" s="16">
        <f t="shared" si="29"/>
        <v>0</v>
      </c>
      <c r="AE37" s="32">
        <f t="shared" si="29"/>
        <v>1620</v>
      </c>
      <c r="AF37" s="32">
        <f t="shared" si="29"/>
        <v>3259</v>
      </c>
    </row>
    <row r="38" spans="2:32" ht="23.1" customHeight="1" x14ac:dyDescent="0.25">
      <c r="B38" s="46" t="s">
        <v>65</v>
      </c>
      <c r="C38" s="50">
        <v>54</v>
      </c>
      <c r="D38" s="50">
        <v>6</v>
      </c>
      <c r="E38" s="50">
        <v>8</v>
      </c>
      <c r="F38" s="50">
        <v>12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0</v>
      </c>
      <c r="M38" s="50">
        <v>98</v>
      </c>
      <c r="N38" s="50">
        <v>0</v>
      </c>
      <c r="O38" s="15">
        <f t="shared" si="0"/>
        <v>83</v>
      </c>
      <c r="P38" s="15">
        <f t="shared" si="1"/>
        <v>181</v>
      </c>
      <c r="R38" s="28" t="s">
        <v>86</v>
      </c>
      <c r="S38" s="16">
        <f t="shared" ref="S38:AF38" si="30">SUM(S13:S18)</f>
        <v>1813</v>
      </c>
      <c r="T38" s="16">
        <f t="shared" si="30"/>
        <v>396</v>
      </c>
      <c r="U38" s="16">
        <f t="shared" si="30"/>
        <v>337</v>
      </c>
      <c r="V38" s="16">
        <f t="shared" si="30"/>
        <v>381</v>
      </c>
      <c r="W38" s="16">
        <f t="shared" si="30"/>
        <v>11</v>
      </c>
      <c r="X38" s="16">
        <f t="shared" si="30"/>
        <v>2</v>
      </c>
      <c r="Y38" s="16">
        <f t="shared" si="30"/>
        <v>79</v>
      </c>
      <c r="Z38" s="16">
        <f t="shared" si="30"/>
        <v>27</v>
      </c>
      <c r="AA38" s="16">
        <f t="shared" si="30"/>
        <v>4</v>
      </c>
      <c r="AB38" s="16">
        <f t="shared" si="30"/>
        <v>3</v>
      </c>
      <c r="AC38" s="16">
        <f t="shared" si="30"/>
        <v>2698</v>
      </c>
      <c r="AD38" s="16">
        <f t="shared" si="30"/>
        <v>0</v>
      </c>
      <c r="AE38" s="32">
        <f t="shared" si="30"/>
        <v>3053</v>
      </c>
      <c r="AF38" s="32">
        <f t="shared" si="30"/>
        <v>5751</v>
      </c>
    </row>
    <row r="39" spans="2:32" ht="23.1" customHeight="1" x14ac:dyDescent="0.25">
      <c r="B39" s="46" t="s">
        <v>66</v>
      </c>
      <c r="C39" s="50">
        <v>66</v>
      </c>
      <c r="D39" s="50">
        <v>11</v>
      </c>
      <c r="E39" s="50">
        <v>13</v>
      </c>
      <c r="F39" s="50">
        <v>16</v>
      </c>
      <c r="G39" s="50">
        <v>1</v>
      </c>
      <c r="H39" s="50">
        <v>0</v>
      </c>
      <c r="I39" s="50">
        <v>5</v>
      </c>
      <c r="J39" s="50">
        <v>0</v>
      </c>
      <c r="K39" s="50">
        <v>0</v>
      </c>
      <c r="L39" s="50">
        <v>0</v>
      </c>
      <c r="M39" s="50">
        <v>79</v>
      </c>
      <c r="N39" s="50">
        <v>0</v>
      </c>
      <c r="O39" s="15">
        <f t="shared" si="0"/>
        <v>112</v>
      </c>
      <c r="P39" s="15">
        <f t="shared" si="1"/>
        <v>191</v>
      </c>
      <c r="R39" s="29" t="s">
        <v>87</v>
      </c>
      <c r="S39" s="16">
        <f t="shared" ref="S39:AF39" si="31">SUM(S19:S21)</f>
        <v>1259</v>
      </c>
      <c r="T39" s="16">
        <f t="shared" si="31"/>
        <v>267</v>
      </c>
      <c r="U39" s="16">
        <f t="shared" si="31"/>
        <v>211</v>
      </c>
      <c r="V39" s="16">
        <f t="shared" si="31"/>
        <v>181</v>
      </c>
      <c r="W39" s="16">
        <f t="shared" si="31"/>
        <v>15</v>
      </c>
      <c r="X39" s="16">
        <f t="shared" si="31"/>
        <v>2</v>
      </c>
      <c r="Y39" s="16">
        <f t="shared" si="31"/>
        <v>50</v>
      </c>
      <c r="Z39" s="16">
        <f t="shared" si="31"/>
        <v>10</v>
      </c>
      <c r="AA39" s="16">
        <f t="shared" si="31"/>
        <v>0</v>
      </c>
      <c r="AB39" s="16">
        <f t="shared" si="31"/>
        <v>2</v>
      </c>
      <c r="AC39" s="16">
        <f t="shared" si="31"/>
        <v>1798</v>
      </c>
      <c r="AD39" s="16">
        <f t="shared" si="31"/>
        <v>0</v>
      </c>
      <c r="AE39" s="32">
        <f t="shared" si="31"/>
        <v>1997</v>
      </c>
      <c r="AF39" s="32">
        <f t="shared" si="31"/>
        <v>3795</v>
      </c>
    </row>
    <row r="40" spans="2:32" ht="23.1" customHeight="1" x14ac:dyDescent="0.25">
      <c r="B40" s="46" t="s">
        <v>67</v>
      </c>
      <c r="C40" s="50">
        <v>58</v>
      </c>
      <c r="D40" s="50">
        <v>18</v>
      </c>
      <c r="E40" s="50">
        <v>8</v>
      </c>
      <c r="F40" s="50">
        <v>13</v>
      </c>
      <c r="G40" s="50">
        <v>1</v>
      </c>
      <c r="H40" s="50">
        <v>0</v>
      </c>
      <c r="I40" s="50">
        <v>3</v>
      </c>
      <c r="J40" s="50">
        <v>2</v>
      </c>
      <c r="K40" s="50">
        <v>1</v>
      </c>
      <c r="L40" s="50">
        <v>0</v>
      </c>
      <c r="M40" s="50">
        <v>82</v>
      </c>
      <c r="N40" s="50">
        <v>0</v>
      </c>
      <c r="O40" s="15">
        <f t="shared" si="0"/>
        <v>104</v>
      </c>
      <c r="P40" s="15">
        <f t="shared" si="1"/>
        <v>186</v>
      </c>
      <c r="R40" s="5" t="s">
        <v>17</v>
      </c>
      <c r="S40" s="16">
        <f t="shared" ref="S40:AF40" si="32">SUM(S10:S21)</f>
        <v>4043</v>
      </c>
      <c r="T40" s="16">
        <f t="shared" si="32"/>
        <v>832</v>
      </c>
      <c r="U40" s="16">
        <f t="shared" si="32"/>
        <v>699</v>
      </c>
      <c r="V40" s="16">
        <f t="shared" si="32"/>
        <v>837</v>
      </c>
      <c r="W40" s="16">
        <f t="shared" si="32"/>
        <v>37</v>
      </c>
      <c r="X40" s="16">
        <f t="shared" si="32"/>
        <v>4</v>
      </c>
      <c r="Y40" s="16">
        <f t="shared" si="32"/>
        <v>149</v>
      </c>
      <c r="Z40" s="16">
        <f t="shared" si="32"/>
        <v>45</v>
      </c>
      <c r="AA40" s="16">
        <f t="shared" si="32"/>
        <v>15</v>
      </c>
      <c r="AB40" s="16">
        <f t="shared" si="32"/>
        <v>9</v>
      </c>
      <c r="AC40" s="16">
        <f t="shared" si="32"/>
        <v>6135</v>
      </c>
      <c r="AD40" s="16">
        <f t="shared" si="32"/>
        <v>0</v>
      </c>
      <c r="AE40" s="32">
        <f t="shared" si="32"/>
        <v>6670</v>
      </c>
      <c r="AF40" s="32">
        <f t="shared" si="32"/>
        <v>12805</v>
      </c>
    </row>
    <row r="41" spans="2:32" ht="23.1" customHeight="1" x14ac:dyDescent="0.25">
      <c r="B41" s="45" t="s">
        <v>68</v>
      </c>
      <c r="C41" s="50">
        <v>66</v>
      </c>
      <c r="D41" s="50">
        <v>14</v>
      </c>
      <c r="E41" s="50">
        <v>11</v>
      </c>
      <c r="F41" s="50">
        <v>6</v>
      </c>
      <c r="G41" s="50">
        <v>0</v>
      </c>
      <c r="H41" s="50">
        <v>0</v>
      </c>
      <c r="I41" s="50">
        <v>4</v>
      </c>
      <c r="J41" s="50">
        <v>3</v>
      </c>
      <c r="K41" s="50">
        <v>0</v>
      </c>
      <c r="L41" s="50">
        <v>1</v>
      </c>
      <c r="M41" s="50">
        <v>86</v>
      </c>
      <c r="N41" s="50">
        <v>0</v>
      </c>
      <c r="O41" s="15">
        <f t="shared" si="0"/>
        <v>105</v>
      </c>
      <c r="P41" s="15">
        <f t="shared" si="1"/>
        <v>191</v>
      </c>
      <c r="R41" s="5" t="s">
        <v>159</v>
      </c>
      <c r="S41" s="16">
        <f>SUM(S10:S33)</f>
        <v>5349</v>
      </c>
      <c r="T41" s="16">
        <f t="shared" ref="T41:AF41" si="33">SUM(T10:T33)</f>
        <v>1057</v>
      </c>
      <c r="U41" s="16">
        <f t="shared" si="33"/>
        <v>887</v>
      </c>
      <c r="V41" s="16">
        <f t="shared" si="33"/>
        <v>1118</v>
      </c>
      <c r="W41" s="16">
        <f t="shared" si="33"/>
        <v>44</v>
      </c>
      <c r="X41" s="16">
        <f t="shared" si="33"/>
        <v>4</v>
      </c>
      <c r="Y41" s="16">
        <f t="shared" si="33"/>
        <v>190</v>
      </c>
      <c r="Z41" s="16">
        <f t="shared" si="33"/>
        <v>58</v>
      </c>
      <c r="AA41" s="16">
        <f t="shared" si="33"/>
        <v>19</v>
      </c>
      <c r="AB41" s="16">
        <f t="shared" si="33"/>
        <v>10</v>
      </c>
      <c r="AC41" s="16">
        <f t="shared" si="33"/>
        <v>7672</v>
      </c>
      <c r="AD41" s="16">
        <f t="shared" si="33"/>
        <v>0</v>
      </c>
      <c r="AE41" s="32">
        <f t="shared" si="33"/>
        <v>8736</v>
      </c>
      <c r="AF41" s="32">
        <f t="shared" si="33"/>
        <v>16408</v>
      </c>
    </row>
    <row r="42" spans="2:32" ht="23.1" customHeight="1" x14ac:dyDescent="0.25">
      <c r="B42" s="46" t="s">
        <v>69</v>
      </c>
      <c r="C42" s="50">
        <v>73</v>
      </c>
      <c r="D42" s="50">
        <v>18</v>
      </c>
      <c r="E42" s="50">
        <v>13</v>
      </c>
      <c r="F42" s="50">
        <v>11</v>
      </c>
      <c r="G42" s="50">
        <v>0</v>
      </c>
      <c r="H42" s="50">
        <v>1</v>
      </c>
      <c r="I42" s="50">
        <v>2</v>
      </c>
      <c r="J42" s="50">
        <v>2</v>
      </c>
      <c r="K42" s="50">
        <v>0</v>
      </c>
      <c r="L42" s="50">
        <v>0</v>
      </c>
      <c r="M42" s="50">
        <v>85</v>
      </c>
      <c r="N42" s="50">
        <v>0</v>
      </c>
      <c r="O42" s="15">
        <f t="shared" si="0"/>
        <v>120</v>
      </c>
      <c r="P42" s="15">
        <f t="shared" si="1"/>
        <v>205</v>
      </c>
      <c r="R42" s="5" t="s">
        <v>160</v>
      </c>
      <c r="S42" s="48">
        <f>S41/S40</f>
        <v>1.3230274548602523</v>
      </c>
      <c r="T42" s="48">
        <f t="shared" ref="T42:AF42" si="34">T41/T40</f>
        <v>1.2704326923076923</v>
      </c>
      <c r="U42" s="48">
        <f t="shared" si="34"/>
        <v>1.2689556509298998</v>
      </c>
      <c r="V42" s="48">
        <f t="shared" si="34"/>
        <v>1.3357228195937874</v>
      </c>
      <c r="W42" s="48">
        <f t="shared" si="34"/>
        <v>1.1891891891891893</v>
      </c>
      <c r="X42" s="48">
        <f t="shared" si="34"/>
        <v>1</v>
      </c>
      <c r="Y42" s="48">
        <f t="shared" si="34"/>
        <v>1.2751677852348993</v>
      </c>
      <c r="Z42" s="48">
        <f t="shared" si="34"/>
        <v>1.288888888888889</v>
      </c>
      <c r="AA42" s="48">
        <f t="shared" si="34"/>
        <v>1.2666666666666666</v>
      </c>
      <c r="AB42" s="48">
        <f t="shared" si="34"/>
        <v>1.1111111111111112</v>
      </c>
      <c r="AC42" s="48">
        <f t="shared" si="34"/>
        <v>1.2505297473512633</v>
      </c>
      <c r="AD42" s="48" t="e">
        <f t="shared" si="34"/>
        <v>#DIV/0!</v>
      </c>
      <c r="AE42" s="48">
        <f t="shared" si="34"/>
        <v>1.3097451274362819</v>
      </c>
      <c r="AF42" s="48">
        <f t="shared" si="34"/>
        <v>1.2813744631003514</v>
      </c>
    </row>
    <row r="43" spans="2:32" ht="23.1" customHeight="1" x14ac:dyDescent="0.25">
      <c r="B43" s="45" t="s">
        <v>70</v>
      </c>
      <c r="C43" s="50">
        <v>91</v>
      </c>
      <c r="D43" s="50">
        <v>18</v>
      </c>
      <c r="E43" s="50">
        <v>16</v>
      </c>
      <c r="F43" s="50">
        <v>10</v>
      </c>
      <c r="G43" s="50">
        <v>1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100</v>
      </c>
      <c r="N43" s="50">
        <v>0</v>
      </c>
      <c r="O43" s="15">
        <f t="shared" si="0"/>
        <v>140</v>
      </c>
      <c r="P43" s="15">
        <f t="shared" si="1"/>
        <v>240</v>
      </c>
    </row>
    <row r="44" spans="2:32" ht="23.1" customHeight="1" x14ac:dyDescent="0.25">
      <c r="B44" s="47" t="s">
        <v>71</v>
      </c>
      <c r="C44" s="50">
        <v>77</v>
      </c>
      <c r="D44" s="50">
        <v>20</v>
      </c>
      <c r="E44" s="50">
        <v>16</v>
      </c>
      <c r="F44" s="50">
        <v>11</v>
      </c>
      <c r="G44" s="50">
        <v>1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96</v>
      </c>
      <c r="N44" s="50">
        <v>0</v>
      </c>
      <c r="O44" s="15">
        <f t="shared" si="0"/>
        <v>129</v>
      </c>
      <c r="P44" s="15">
        <f t="shared" si="1"/>
        <v>225</v>
      </c>
    </row>
    <row r="45" spans="2:32" ht="23.1" customHeight="1" x14ac:dyDescent="0.25">
      <c r="B45" s="45" t="s">
        <v>72</v>
      </c>
      <c r="C45" s="50">
        <v>75</v>
      </c>
      <c r="D45" s="50">
        <v>27</v>
      </c>
      <c r="E45" s="50">
        <v>21</v>
      </c>
      <c r="F45" s="50">
        <v>10</v>
      </c>
      <c r="G45" s="50">
        <v>0</v>
      </c>
      <c r="H45" s="50">
        <v>0</v>
      </c>
      <c r="I45" s="50">
        <v>2</v>
      </c>
      <c r="J45" s="50">
        <v>0</v>
      </c>
      <c r="K45" s="50">
        <v>1</v>
      </c>
      <c r="L45" s="50">
        <v>0</v>
      </c>
      <c r="M45" s="50">
        <v>105</v>
      </c>
      <c r="N45" s="50">
        <v>0</v>
      </c>
      <c r="O45" s="15">
        <f t="shared" si="0"/>
        <v>136</v>
      </c>
      <c r="P45" s="15">
        <f t="shared" si="1"/>
        <v>241</v>
      </c>
    </row>
    <row r="46" spans="2:32" ht="23.1" customHeight="1" x14ac:dyDescent="0.25">
      <c r="B46" s="46" t="s">
        <v>73</v>
      </c>
      <c r="C46" s="50">
        <v>74</v>
      </c>
      <c r="D46" s="50">
        <v>20</v>
      </c>
      <c r="E46" s="50">
        <v>12</v>
      </c>
      <c r="F46" s="50">
        <v>16</v>
      </c>
      <c r="G46" s="50">
        <v>1</v>
      </c>
      <c r="H46" s="50">
        <v>0</v>
      </c>
      <c r="I46" s="50">
        <v>4</v>
      </c>
      <c r="J46" s="50">
        <v>3</v>
      </c>
      <c r="K46" s="50">
        <v>0</v>
      </c>
      <c r="L46" s="50">
        <v>0</v>
      </c>
      <c r="M46" s="50">
        <v>85</v>
      </c>
      <c r="N46" s="50">
        <v>0</v>
      </c>
      <c r="O46" s="15">
        <f t="shared" si="0"/>
        <v>130</v>
      </c>
      <c r="P46" s="15">
        <f t="shared" si="1"/>
        <v>215</v>
      </c>
      <c r="R46" s="8"/>
      <c r="T46"/>
    </row>
    <row r="47" spans="2:32" ht="23.1" customHeight="1" x14ac:dyDescent="0.25">
      <c r="B47" s="46" t="s">
        <v>74</v>
      </c>
      <c r="C47" s="50">
        <v>76</v>
      </c>
      <c r="D47" s="50">
        <v>12</v>
      </c>
      <c r="E47" s="50">
        <v>10</v>
      </c>
      <c r="F47" s="50">
        <v>8</v>
      </c>
      <c r="G47" s="50">
        <v>1</v>
      </c>
      <c r="H47" s="50">
        <v>0</v>
      </c>
      <c r="I47" s="50">
        <v>3</v>
      </c>
      <c r="J47" s="50">
        <v>1</v>
      </c>
      <c r="K47" s="50">
        <v>0</v>
      </c>
      <c r="L47" s="50">
        <v>0</v>
      </c>
      <c r="M47" s="50">
        <v>116</v>
      </c>
      <c r="N47" s="50">
        <v>0</v>
      </c>
      <c r="O47" s="15">
        <f t="shared" si="0"/>
        <v>111</v>
      </c>
      <c r="P47" s="15">
        <f t="shared" si="1"/>
        <v>227</v>
      </c>
      <c r="R47" s="8"/>
      <c r="T47"/>
    </row>
    <row r="48" spans="2:32" ht="23.1" customHeight="1" x14ac:dyDescent="0.25">
      <c r="B48" s="46" t="s">
        <v>75</v>
      </c>
      <c r="C48" s="50">
        <v>76</v>
      </c>
      <c r="D48" s="50">
        <v>27</v>
      </c>
      <c r="E48" s="50">
        <v>23</v>
      </c>
      <c r="F48" s="50">
        <v>13</v>
      </c>
      <c r="G48" s="50">
        <v>1</v>
      </c>
      <c r="H48" s="50">
        <v>0</v>
      </c>
      <c r="I48" s="50">
        <v>5</v>
      </c>
      <c r="J48" s="50">
        <v>1</v>
      </c>
      <c r="K48" s="50">
        <v>0</v>
      </c>
      <c r="L48" s="50">
        <v>0</v>
      </c>
      <c r="M48" s="50">
        <v>140</v>
      </c>
      <c r="N48" s="50">
        <v>0</v>
      </c>
      <c r="O48" s="15">
        <f t="shared" si="0"/>
        <v>146</v>
      </c>
      <c r="P48" s="15">
        <f t="shared" si="1"/>
        <v>286</v>
      </c>
      <c r="R48" s="8"/>
      <c r="T48"/>
    </row>
    <row r="49" spans="2:20" ht="23.1" customHeight="1" x14ac:dyDescent="0.25">
      <c r="B49" s="45" t="s">
        <v>76</v>
      </c>
      <c r="C49" s="50">
        <v>118</v>
      </c>
      <c r="D49" s="50">
        <v>25</v>
      </c>
      <c r="E49" s="50">
        <v>24</v>
      </c>
      <c r="F49" s="50">
        <v>14</v>
      </c>
      <c r="G49" s="50">
        <v>0</v>
      </c>
      <c r="H49" s="50">
        <v>0</v>
      </c>
      <c r="I49" s="50">
        <v>12</v>
      </c>
      <c r="J49" s="50">
        <v>1</v>
      </c>
      <c r="K49" s="50">
        <v>0</v>
      </c>
      <c r="L49" s="50">
        <v>0</v>
      </c>
      <c r="M49" s="50">
        <v>172</v>
      </c>
      <c r="N49" s="50">
        <v>0</v>
      </c>
      <c r="O49" s="15">
        <f t="shared" si="0"/>
        <v>194</v>
      </c>
      <c r="P49" s="15">
        <f t="shared" si="1"/>
        <v>366</v>
      </c>
      <c r="R49" s="8"/>
      <c r="T49"/>
    </row>
    <row r="50" spans="2:20" ht="23.1" customHeight="1" x14ac:dyDescent="0.25">
      <c r="B50" s="46" t="s">
        <v>77</v>
      </c>
      <c r="C50" s="50">
        <v>131</v>
      </c>
      <c r="D50" s="50">
        <v>25</v>
      </c>
      <c r="E50" s="50">
        <v>21</v>
      </c>
      <c r="F50" s="50">
        <v>18</v>
      </c>
      <c r="G50" s="50">
        <v>1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180</v>
      </c>
      <c r="N50" s="50">
        <v>0</v>
      </c>
      <c r="O50" s="15">
        <f t="shared" si="0"/>
        <v>198</v>
      </c>
      <c r="P50" s="15">
        <f t="shared" si="1"/>
        <v>378</v>
      </c>
      <c r="R50" s="8"/>
      <c r="T50"/>
    </row>
    <row r="51" spans="2:20" ht="23.1" customHeight="1" x14ac:dyDescent="0.25">
      <c r="B51" s="46" t="s">
        <v>78</v>
      </c>
      <c r="C51" s="50">
        <v>123</v>
      </c>
      <c r="D51" s="50">
        <v>21</v>
      </c>
      <c r="E51" s="50">
        <v>11</v>
      </c>
      <c r="F51" s="50">
        <v>12</v>
      </c>
      <c r="G51" s="50">
        <v>1</v>
      </c>
      <c r="H51" s="50">
        <v>0</v>
      </c>
      <c r="I51" s="50">
        <v>2</v>
      </c>
      <c r="J51" s="50">
        <v>0</v>
      </c>
      <c r="K51" s="50">
        <v>0</v>
      </c>
      <c r="L51" s="50">
        <v>1</v>
      </c>
      <c r="M51" s="50">
        <v>169</v>
      </c>
      <c r="N51" s="50">
        <v>0</v>
      </c>
      <c r="O51" s="15">
        <f t="shared" si="0"/>
        <v>171</v>
      </c>
      <c r="P51" s="15">
        <f t="shared" si="1"/>
        <v>340</v>
      </c>
      <c r="R51" s="8"/>
      <c r="T51"/>
    </row>
    <row r="52" spans="2:20" ht="23.1" customHeight="1" x14ac:dyDescent="0.25">
      <c r="B52" s="46" t="s">
        <v>79</v>
      </c>
      <c r="C52" s="50">
        <v>130</v>
      </c>
      <c r="D52" s="50">
        <v>23</v>
      </c>
      <c r="E52" s="50">
        <v>13</v>
      </c>
      <c r="F52" s="50">
        <v>17</v>
      </c>
      <c r="G52" s="50">
        <v>1</v>
      </c>
      <c r="H52" s="50">
        <v>1</v>
      </c>
      <c r="I52" s="50">
        <v>5</v>
      </c>
      <c r="J52" s="50">
        <v>1</v>
      </c>
      <c r="K52" s="50">
        <v>0</v>
      </c>
      <c r="L52" s="50">
        <v>0</v>
      </c>
      <c r="M52" s="50">
        <v>195</v>
      </c>
      <c r="N52" s="50">
        <v>0</v>
      </c>
      <c r="O52" s="15">
        <f t="shared" si="0"/>
        <v>191</v>
      </c>
      <c r="P52" s="15">
        <f t="shared" si="1"/>
        <v>386</v>
      </c>
      <c r="R52" s="8"/>
      <c r="T52"/>
    </row>
    <row r="53" spans="2:20" ht="23.1" customHeight="1" x14ac:dyDescent="0.25">
      <c r="B53" s="45" t="s">
        <v>80</v>
      </c>
      <c r="C53" s="50">
        <v>125</v>
      </c>
      <c r="D53" s="50">
        <v>33</v>
      </c>
      <c r="E53" s="50">
        <v>15</v>
      </c>
      <c r="F53" s="50">
        <v>20</v>
      </c>
      <c r="G53" s="50">
        <v>3</v>
      </c>
      <c r="H53" s="50">
        <v>0</v>
      </c>
      <c r="I53" s="50">
        <v>4</v>
      </c>
      <c r="J53" s="50">
        <v>2</v>
      </c>
      <c r="K53" s="50">
        <v>0</v>
      </c>
      <c r="L53" s="50">
        <v>0</v>
      </c>
      <c r="M53" s="50">
        <v>160</v>
      </c>
      <c r="N53" s="50">
        <v>0</v>
      </c>
      <c r="O53" s="15">
        <f t="shared" si="0"/>
        <v>202</v>
      </c>
      <c r="P53" s="15">
        <f t="shared" si="1"/>
        <v>362</v>
      </c>
      <c r="R53" s="8"/>
      <c r="T53"/>
    </row>
    <row r="54" spans="2:20" ht="23.1" customHeight="1" x14ac:dyDescent="0.25">
      <c r="B54" s="45" t="s">
        <v>81</v>
      </c>
      <c r="C54" s="50">
        <v>110</v>
      </c>
      <c r="D54" s="50">
        <v>31</v>
      </c>
      <c r="E54" s="50">
        <v>21</v>
      </c>
      <c r="F54" s="50">
        <v>22</v>
      </c>
      <c r="G54" s="50">
        <v>3</v>
      </c>
      <c r="H54" s="50">
        <v>0</v>
      </c>
      <c r="I54" s="50">
        <v>6</v>
      </c>
      <c r="J54" s="50">
        <v>0</v>
      </c>
      <c r="K54" s="50">
        <v>0</v>
      </c>
      <c r="L54" s="50">
        <v>0</v>
      </c>
      <c r="M54" s="50">
        <v>106</v>
      </c>
      <c r="N54" s="50">
        <v>0</v>
      </c>
      <c r="O54" s="15">
        <f t="shared" si="0"/>
        <v>193</v>
      </c>
      <c r="P54" s="15">
        <f t="shared" si="1"/>
        <v>299</v>
      </c>
      <c r="R54" s="8"/>
      <c r="T54"/>
    </row>
    <row r="55" spans="2:20" ht="23.1" customHeight="1" x14ac:dyDescent="0.25">
      <c r="B55" s="45" t="s">
        <v>82</v>
      </c>
      <c r="C55" s="50">
        <v>74</v>
      </c>
      <c r="D55" s="50">
        <v>14</v>
      </c>
      <c r="E55" s="50">
        <v>16</v>
      </c>
      <c r="F55" s="50">
        <v>11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188</v>
      </c>
      <c r="N55" s="50">
        <v>0</v>
      </c>
      <c r="O55" s="15">
        <f t="shared" si="0"/>
        <v>118</v>
      </c>
      <c r="P55" s="15">
        <f t="shared" si="1"/>
        <v>306</v>
      </c>
      <c r="R55" s="8"/>
      <c r="T55"/>
    </row>
    <row r="56" spans="2:20" ht="23.1" customHeight="1" x14ac:dyDescent="0.25">
      <c r="B56" s="45" t="s">
        <v>83</v>
      </c>
      <c r="C56" s="50">
        <v>102</v>
      </c>
      <c r="D56" s="50">
        <v>17</v>
      </c>
      <c r="E56" s="50">
        <v>23</v>
      </c>
      <c r="F56" s="50">
        <v>17</v>
      </c>
      <c r="G56" s="50">
        <v>3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126</v>
      </c>
      <c r="N56" s="50">
        <v>0</v>
      </c>
      <c r="O56" s="15">
        <f t="shared" si="0"/>
        <v>163</v>
      </c>
      <c r="P56" s="15">
        <f t="shared" si="1"/>
        <v>289</v>
      </c>
      <c r="R56" s="8"/>
      <c r="T56"/>
    </row>
    <row r="57" spans="2:20" ht="23.1" customHeight="1" x14ac:dyDescent="0.25">
      <c r="B57" s="45" t="s">
        <v>84</v>
      </c>
      <c r="C57" s="50">
        <v>120</v>
      </c>
      <c r="D57" s="50">
        <v>19</v>
      </c>
      <c r="E57" s="50">
        <v>22</v>
      </c>
      <c r="F57" s="50">
        <v>13</v>
      </c>
      <c r="G57" s="50">
        <v>0</v>
      </c>
      <c r="H57" s="50">
        <v>1</v>
      </c>
      <c r="I57" s="50">
        <v>5</v>
      </c>
      <c r="J57" s="50">
        <v>0</v>
      </c>
      <c r="K57" s="50">
        <v>0</v>
      </c>
      <c r="L57" s="50">
        <v>0</v>
      </c>
      <c r="M57" s="50">
        <v>161</v>
      </c>
      <c r="N57" s="50">
        <v>0</v>
      </c>
      <c r="O57" s="15">
        <f t="shared" si="0"/>
        <v>180</v>
      </c>
      <c r="P57" s="15">
        <f t="shared" si="1"/>
        <v>341</v>
      </c>
      <c r="R57" s="8"/>
      <c r="T57"/>
    </row>
    <row r="58" spans="2:20" ht="23.1" customHeight="1" x14ac:dyDescent="0.25">
      <c r="B58" s="45" t="s">
        <v>99</v>
      </c>
      <c r="C58" s="50">
        <v>97</v>
      </c>
      <c r="D58" s="50">
        <v>17</v>
      </c>
      <c r="E58" s="50">
        <v>14</v>
      </c>
      <c r="F58" s="50">
        <v>29</v>
      </c>
      <c r="G58" s="50">
        <v>1</v>
      </c>
      <c r="H58" s="50">
        <v>0</v>
      </c>
      <c r="I58" s="50">
        <v>6</v>
      </c>
      <c r="J58" s="50">
        <v>2</v>
      </c>
      <c r="K58" s="50">
        <v>0</v>
      </c>
      <c r="L58" s="50">
        <v>0</v>
      </c>
      <c r="M58" s="50">
        <v>96</v>
      </c>
      <c r="N58" s="50">
        <v>0</v>
      </c>
      <c r="O58" s="15">
        <f t="shared" si="0"/>
        <v>166</v>
      </c>
      <c r="P58" s="15">
        <f t="shared" si="1"/>
        <v>262</v>
      </c>
      <c r="R58" s="8"/>
      <c r="T58"/>
    </row>
    <row r="59" spans="2:20" ht="23.1" customHeight="1" x14ac:dyDescent="0.25">
      <c r="B59" s="45" t="s">
        <v>100</v>
      </c>
      <c r="C59" s="50">
        <v>84</v>
      </c>
      <c r="D59" s="50">
        <v>20</v>
      </c>
      <c r="E59" s="50">
        <v>26</v>
      </c>
      <c r="F59" s="50">
        <v>9</v>
      </c>
      <c r="G59" s="50">
        <v>2</v>
      </c>
      <c r="H59" s="50">
        <v>0</v>
      </c>
      <c r="I59" s="50">
        <v>9</v>
      </c>
      <c r="J59" s="50">
        <v>1</v>
      </c>
      <c r="K59" s="50">
        <v>0</v>
      </c>
      <c r="L59" s="50">
        <v>0</v>
      </c>
      <c r="M59" s="50">
        <v>80</v>
      </c>
      <c r="N59" s="50">
        <v>0</v>
      </c>
      <c r="O59" s="15">
        <f t="shared" si="0"/>
        <v>151</v>
      </c>
      <c r="P59" s="15">
        <f t="shared" si="1"/>
        <v>231</v>
      </c>
      <c r="R59" s="8"/>
      <c r="T59"/>
    </row>
    <row r="60" spans="2:20" ht="23.1" customHeight="1" x14ac:dyDescent="0.25">
      <c r="B60" s="45" t="s">
        <v>101</v>
      </c>
      <c r="C60" s="50">
        <v>61</v>
      </c>
      <c r="D60" s="50">
        <v>7</v>
      </c>
      <c r="E60" s="50">
        <v>15</v>
      </c>
      <c r="F60" s="50">
        <v>12</v>
      </c>
      <c r="G60" s="50">
        <v>0</v>
      </c>
      <c r="H60" s="50">
        <v>0</v>
      </c>
      <c r="I60" s="50">
        <v>2</v>
      </c>
      <c r="J60" s="50">
        <v>0</v>
      </c>
      <c r="K60" s="50">
        <v>2</v>
      </c>
      <c r="L60" s="50">
        <v>0</v>
      </c>
      <c r="M60" s="50">
        <v>98</v>
      </c>
      <c r="N60" s="50">
        <v>0</v>
      </c>
      <c r="O60" s="15">
        <f t="shared" si="0"/>
        <v>99</v>
      </c>
      <c r="P60" s="15">
        <f t="shared" si="1"/>
        <v>197</v>
      </c>
      <c r="R60" s="8"/>
      <c r="T60"/>
    </row>
    <row r="61" spans="2:20" ht="23.1" customHeight="1" x14ac:dyDescent="0.25">
      <c r="B61" s="45" t="s">
        <v>102</v>
      </c>
      <c r="C61" s="50">
        <v>63</v>
      </c>
      <c r="D61" s="50">
        <v>13</v>
      </c>
      <c r="E61" s="50">
        <v>18</v>
      </c>
      <c r="F61" s="50">
        <v>16</v>
      </c>
      <c r="G61" s="50">
        <v>1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89</v>
      </c>
      <c r="N61" s="50">
        <v>0</v>
      </c>
      <c r="O61" s="15">
        <f t="shared" si="0"/>
        <v>112</v>
      </c>
      <c r="P61" s="15">
        <f t="shared" si="1"/>
        <v>201</v>
      </c>
      <c r="R61" s="8"/>
      <c r="T61"/>
    </row>
    <row r="62" spans="2:20" ht="23.1" customHeight="1" x14ac:dyDescent="0.25">
      <c r="B62" s="45" t="s">
        <v>107</v>
      </c>
      <c r="C62" s="50">
        <v>49</v>
      </c>
      <c r="D62" s="50">
        <v>8</v>
      </c>
      <c r="E62" s="50">
        <v>12</v>
      </c>
      <c r="F62" s="50">
        <v>14</v>
      </c>
      <c r="G62" s="50">
        <v>1</v>
      </c>
      <c r="H62" s="50">
        <v>0</v>
      </c>
      <c r="I62" s="50">
        <v>3</v>
      </c>
      <c r="J62" s="50">
        <v>1</v>
      </c>
      <c r="K62" s="50">
        <v>0</v>
      </c>
      <c r="L62" s="50">
        <v>0</v>
      </c>
      <c r="M62" s="50">
        <v>81</v>
      </c>
      <c r="N62" s="50">
        <v>0</v>
      </c>
      <c r="O62" s="15">
        <f t="shared" si="0"/>
        <v>88</v>
      </c>
      <c r="P62" s="15">
        <f t="shared" si="1"/>
        <v>169</v>
      </c>
      <c r="R62" s="8"/>
      <c r="T62"/>
    </row>
    <row r="63" spans="2:20" ht="23.1" customHeight="1" x14ac:dyDescent="0.25">
      <c r="B63" s="45" t="s">
        <v>108</v>
      </c>
      <c r="C63" s="50">
        <v>57</v>
      </c>
      <c r="D63" s="50">
        <v>12</v>
      </c>
      <c r="E63" s="50">
        <v>9</v>
      </c>
      <c r="F63" s="50">
        <v>17</v>
      </c>
      <c r="G63" s="50">
        <v>0</v>
      </c>
      <c r="H63" s="50">
        <v>0</v>
      </c>
      <c r="I63" s="50">
        <v>1</v>
      </c>
      <c r="J63" s="50">
        <v>0</v>
      </c>
      <c r="K63" s="50">
        <v>1</v>
      </c>
      <c r="L63" s="50">
        <v>1</v>
      </c>
      <c r="M63" s="50">
        <v>82</v>
      </c>
      <c r="N63" s="50">
        <v>0</v>
      </c>
      <c r="O63" s="15">
        <f t="shared" si="0"/>
        <v>98</v>
      </c>
      <c r="P63" s="15">
        <f t="shared" si="1"/>
        <v>180</v>
      </c>
      <c r="R63" s="8"/>
      <c r="T63"/>
    </row>
    <row r="64" spans="2:20" ht="23.1" customHeight="1" x14ac:dyDescent="0.25">
      <c r="B64" s="45" t="s">
        <v>109</v>
      </c>
      <c r="C64" s="50">
        <v>49</v>
      </c>
      <c r="D64" s="50">
        <v>5</v>
      </c>
      <c r="E64" s="50">
        <v>14</v>
      </c>
      <c r="F64" s="50">
        <v>9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63</v>
      </c>
      <c r="N64" s="50">
        <v>0</v>
      </c>
      <c r="O64" s="15">
        <f t="shared" si="0"/>
        <v>79</v>
      </c>
      <c r="P64" s="15">
        <f t="shared" si="1"/>
        <v>142</v>
      </c>
      <c r="R64" s="8"/>
      <c r="T64"/>
    </row>
    <row r="65" spans="2:20" ht="23.1" customHeight="1" x14ac:dyDescent="0.25">
      <c r="B65" s="45" t="s">
        <v>158</v>
      </c>
      <c r="C65" s="50">
        <v>51</v>
      </c>
      <c r="D65" s="50">
        <v>7</v>
      </c>
      <c r="E65" s="50">
        <v>7</v>
      </c>
      <c r="F65" s="50">
        <v>5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59</v>
      </c>
      <c r="N65" s="50">
        <v>0</v>
      </c>
      <c r="O65" s="15">
        <f t="shared" si="0"/>
        <v>72</v>
      </c>
      <c r="P65" s="15">
        <f t="shared" si="1"/>
        <v>131</v>
      </c>
      <c r="R65" s="8"/>
      <c r="T65"/>
    </row>
    <row r="66" spans="2:20" ht="23.1" customHeight="1" x14ac:dyDescent="0.25">
      <c r="B66" s="45" t="s">
        <v>103</v>
      </c>
      <c r="C66" s="50">
        <v>51</v>
      </c>
      <c r="D66" s="50">
        <v>8</v>
      </c>
      <c r="E66" s="50">
        <v>11</v>
      </c>
      <c r="F66" s="50">
        <v>13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60</v>
      </c>
      <c r="N66" s="50">
        <v>0</v>
      </c>
      <c r="O66" s="15">
        <f t="shared" si="0"/>
        <v>85</v>
      </c>
      <c r="P66" s="15">
        <f t="shared" si="1"/>
        <v>145</v>
      </c>
      <c r="R66" s="8"/>
      <c r="T66"/>
    </row>
    <row r="67" spans="2:20" ht="23.1" customHeight="1" x14ac:dyDescent="0.25">
      <c r="B67" s="45" t="s">
        <v>104</v>
      </c>
      <c r="C67" s="50">
        <v>45</v>
      </c>
      <c r="D67" s="50">
        <v>12</v>
      </c>
      <c r="E67" s="50">
        <v>16</v>
      </c>
      <c r="F67" s="50">
        <v>10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64</v>
      </c>
      <c r="N67" s="50">
        <v>0</v>
      </c>
      <c r="O67" s="15">
        <f t="shared" si="0"/>
        <v>83</v>
      </c>
      <c r="P67" s="15">
        <f t="shared" si="1"/>
        <v>147</v>
      </c>
      <c r="R67" s="8"/>
      <c r="T67"/>
    </row>
    <row r="68" spans="2:20" ht="23.1" customHeight="1" x14ac:dyDescent="0.25">
      <c r="B68" s="45" t="s">
        <v>105</v>
      </c>
      <c r="C68" s="50">
        <v>54</v>
      </c>
      <c r="D68" s="50">
        <v>16</v>
      </c>
      <c r="E68" s="50">
        <v>3</v>
      </c>
      <c r="F68" s="50">
        <v>11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56</v>
      </c>
      <c r="N68" s="50">
        <v>0</v>
      </c>
      <c r="O68" s="15">
        <f t="shared" si="0"/>
        <v>84</v>
      </c>
      <c r="P68" s="15">
        <f t="shared" si="1"/>
        <v>140</v>
      </c>
      <c r="R68" s="8"/>
      <c r="T68"/>
    </row>
    <row r="69" spans="2:20" ht="23.1" customHeight="1" x14ac:dyDescent="0.25">
      <c r="B69" s="45" t="s">
        <v>106</v>
      </c>
      <c r="C69" s="50">
        <v>47</v>
      </c>
      <c r="D69" s="50">
        <v>9</v>
      </c>
      <c r="E69" s="50">
        <v>3</v>
      </c>
      <c r="F69" s="50">
        <v>16</v>
      </c>
      <c r="G69" s="50">
        <v>0</v>
      </c>
      <c r="H69" s="50">
        <v>0</v>
      </c>
      <c r="I69" s="50">
        <v>2</v>
      </c>
      <c r="J69" s="50">
        <v>0</v>
      </c>
      <c r="K69" s="50">
        <v>0</v>
      </c>
      <c r="L69" s="50">
        <v>0</v>
      </c>
      <c r="M69" s="50">
        <v>31</v>
      </c>
      <c r="N69" s="50">
        <v>0</v>
      </c>
      <c r="O69" s="15">
        <f t="shared" si="0"/>
        <v>77</v>
      </c>
      <c r="P69" s="15">
        <f t="shared" si="1"/>
        <v>108</v>
      </c>
      <c r="R69" s="8"/>
      <c r="T69"/>
    </row>
    <row r="70" spans="2:20" ht="23.1" customHeight="1" x14ac:dyDescent="0.25">
      <c r="B70" s="45" t="s">
        <v>110</v>
      </c>
      <c r="C70" s="50">
        <v>61</v>
      </c>
      <c r="D70" s="50">
        <v>7</v>
      </c>
      <c r="E70" s="50">
        <v>2</v>
      </c>
      <c r="F70" s="50">
        <v>11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46</v>
      </c>
      <c r="N70" s="50">
        <v>0</v>
      </c>
      <c r="O70" s="15">
        <f t="shared" si="0"/>
        <v>81</v>
      </c>
      <c r="P70" s="15">
        <f t="shared" si="1"/>
        <v>127</v>
      </c>
      <c r="R70" s="8"/>
      <c r="T70"/>
    </row>
    <row r="71" spans="2:20" ht="23.1" customHeight="1" x14ac:dyDescent="0.25">
      <c r="B71" s="45" t="s">
        <v>111</v>
      </c>
      <c r="C71" s="50">
        <v>43</v>
      </c>
      <c r="D71" s="50">
        <v>2</v>
      </c>
      <c r="E71" s="50">
        <v>5</v>
      </c>
      <c r="F71" s="50">
        <v>6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35</v>
      </c>
      <c r="N71" s="50">
        <v>0</v>
      </c>
      <c r="O71" s="15">
        <f t="shared" si="0"/>
        <v>57</v>
      </c>
      <c r="P71" s="15">
        <f t="shared" si="1"/>
        <v>92</v>
      </c>
      <c r="R71" s="8"/>
      <c r="T71"/>
    </row>
    <row r="72" spans="2:20" ht="23.1" customHeight="1" x14ac:dyDescent="0.25">
      <c r="B72" s="45" t="s">
        <v>112</v>
      </c>
      <c r="C72" s="50">
        <v>34</v>
      </c>
      <c r="D72" s="50">
        <v>10</v>
      </c>
      <c r="E72" s="50">
        <v>2</v>
      </c>
      <c r="F72" s="50">
        <v>8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0</v>
      </c>
      <c r="M72" s="50">
        <v>32</v>
      </c>
      <c r="N72" s="50">
        <v>0</v>
      </c>
      <c r="O72" s="15">
        <f t="shared" si="0"/>
        <v>55</v>
      </c>
      <c r="P72" s="15">
        <f t="shared" si="1"/>
        <v>87</v>
      </c>
      <c r="R72" s="8"/>
      <c r="T72"/>
    </row>
    <row r="73" spans="2:20" ht="23.1" customHeight="1" x14ac:dyDescent="0.25">
      <c r="B73" s="45" t="s">
        <v>113</v>
      </c>
      <c r="C73" s="50">
        <v>38</v>
      </c>
      <c r="D73" s="50">
        <v>3</v>
      </c>
      <c r="E73" s="50">
        <v>6</v>
      </c>
      <c r="F73" s="50">
        <v>6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22</v>
      </c>
      <c r="N73" s="50">
        <v>0</v>
      </c>
      <c r="O73" s="15">
        <f t="shared" si="0"/>
        <v>53</v>
      </c>
      <c r="P73" s="15">
        <f t="shared" si="1"/>
        <v>75</v>
      </c>
      <c r="R73" s="8"/>
      <c r="T73"/>
    </row>
    <row r="74" spans="2:20" ht="23.1" customHeight="1" x14ac:dyDescent="0.25">
      <c r="B74" s="45" t="s">
        <v>114</v>
      </c>
      <c r="C74" s="50">
        <v>50</v>
      </c>
      <c r="D74" s="50">
        <v>16</v>
      </c>
      <c r="E74" s="50">
        <v>2</v>
      </c>
      <c r="F74" s="50">
        <v>5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56</v>
      </c>
      <c r="N74" s="50">
        <v>0</v>
      </c>
      <c r="O74" s="15">
        <f t="shared" ref="O74:O105" si="35">SUM(C74:L74,N74)</f>
        <v>74</v>
      </c>
      <c r="P74" s="15">
        <f t="shared" ref="P74:P105" si="36">SUM(C74:N74)</f>
        <v>130</v>
      </c>
      <c r="R74" s="8"/>
      <c r="T74"/>
    </row>
    <row r="75" spans="2:20" ht="23.1" customHeight="1" x14ac:dyDescent="0.25">
      <c r="B75" s="45" t="s">
        <v>115</v>
      </c>
      <c r="C75" s="50">
        <v>20</v>
      </c>
      <c r="D75" s="50">
        <v>4</v>
      </c>
      <c r="E75" s="50">
        <v>2</v>
      </c>
      <c r="F75" s="50">
        <v>2</v>
      </c>
      <c r="G75" s="50">
        <v>0</v>
      </c>
      <c r="H75" s="50">
        <v>0</v>
      </c>
      <c r="I75" s="50">
        <v>1</v>
      </c>
      <c r="J75" s="50">
        <v>1</v>
      </c>
      <c r="K75" s="50">
        <v>0</v>
      </c>
      <c r="L75" s="50">
        <v>0</v>
      </c>
      <c r="M75" s="50">
        <v>28</v>
      </c>
      <c r="N75" s="50">
        <v>0</v>
      </c>
      <c r="O75" s="15">
        <f t="shared" si="35"/>
        <v>30</v>
      </c>
      <c r="P75" s="15">
        <f t="shared" si="36"/>
        <v>58</v>
      </c>
      <c r="R75" s="8"/>
      <c r="T75"/>
    </row>
    <row r="76" spans="2:20" ht="23.1" customHeight="1" x14ac:dyDescent="0.25">
      <c r="B76" s="45" t="s">
        <v>116</v>
      </c>
      <c r="C76" s="50">
        <v>28</v>
      </c>
      <c r="D76" s="50">
        <v>4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31</v>
      </c>
      <c r="N76" s="50">
        <v>0</v>
      </c>
      <c r="O76" s="15">
        <f t="shared" si="35"/>
        <v>33</v>
      </c>
      <c r="P76" s="15">
        <f t="shared" si="36"/>
        <v>64</v>
      </c>
      <c r="R76" s="8"/>
      <c r="T76"/>
    </row>
    <row r="77" spans="2:20" ht="23.1" customHeight="1" x14ac:dyDescent="0.25">
      <c r="B77" s="45" t="s">
        <v>117</v>
      </c>
      <c r="C77" s="50">
        <v>26</v>
      </c>
      <c r="D77" s="50">
        <v>1</v>
      </c>
      <c r="E77" s="50">
        <v>1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32</v>
      </c>
      <c r="N77" s="50">
        <v>0</v>
      </c>
      <c r="O77" s="15">
        <f t="shared" si="35"/>
        <v>29</v>
      </c>
      <c r="P77" s="15">
        <f t="shared" si="36"/>
        <v>61</v>
      </c>
      <c r="R77" s="8"/>
      <c r="T77"/>
    </row>
    <row r="78" spans="2:20" ht="23.1" customHeight="1" x14ac:dyDescent="0.25">
      <c r="B78" s="46" t="s">
        <v>118</v>
      </c>
      <c r="C78" s="50">
        <v>25</v>
      </c>
      <c r="D78" s="50">
        <v>1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29</v>
      </c>
      <c r="N78" s="50">
        <v>0</v>
      </c>
      <c r="O78" s="15">
        <f t="shared" si="35"/>
        <v>27</v>
      </c>
      <c r="P78" s="15">
        <f t="shared" si="36"/>
        <v>56</v>
      </c>
      <c r="R78" s="8"/>
      <c r="T78"/>
    </row>
    <row r="79" spans="2:20" ht="23.1" customHeight="1" x14ac:dyDescent="0.25">
      <c r="B79" s="45" t="s">
        <v>119</v>
      </c>
      <c r="C79" s="50">
        <v>32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20</v>
      </c>
      <c r="N79" s="50">
        <v>0</v>
      </c>
      <c r="O79" s="15">
        <f t="shared" si="35"/>
        <v>33</v>
      </c>
      <c r="P79" s="15">
        <f t="shared" si="36"/>
        <v>53</v>
      </c>
      <c r="R79" s="8"/>
      <c r="T79"/>
    </row>
    <row r="80" spans="2:20" ht="23.1" customHeight="1" x14ac:dyDescent="0.25">
      <c r="B80" s="47" t="s">
        <v>120</v>
      </c>
      <c r="C80" s="50">
        <v>15</v>
      </c>
      <c r="D80" s="50">
        <v>2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6</v>
      </c>
      <c r="N80" s="50">
        <v>0</v>
      </c>
      <c r="O80" s="15">
        <f t="shared" si="35"/>
        <v>17</v>
      </c>
      <c r="P80" s="15">
        <f t="shared" si="36"/>
        <v>23</v>
      </c>
      <c r="R80" s="8"/>
      <c r="T80"/>
    </row>
    <row r="81" spans="2:20" ht="23.1" customHeight="1" x14ac:dyDescent="0.25">
      <c r="B81" s="45" t="s">
        <v>121</v>
      </c>
      <c r="C81" s="50">
        <v>5</v>
      </c>
      <c r="D81" s="50">
        <v>3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19</v>
      </c>
      <c r="N81" s="50">
        <v>0</v>
      </c>
      <c r="O81" s="15">
        <f t="shared" si="35"/>
        <v>9</v>
      </c>
      <c r="P81" s="15">
        <f t="shared" si="36"/>
        <v>28</v>
      </c>
      <c r="R81" s="8"/>
      <c r="T81"/>
    </row>
    <row r="82" spans="2:20" ht="23.1" customHeight="1" x14ac:dyDescent="0.25">
      <c r="B82" s="46" t="s">
        <v>122</v>
      </c>
      <c r="C82" s="50">
        <v>14</v>
      </c>
      <c r="D82" s="50">
        <v>2</v>
      </c>
      <c r="E82" s="50">
        <v>1</v>
      </c>
      <c r="F82" s="50">
        <v>1</v>
      </c>
      <c r="G82" s="50">
        <v>1</v>
      </c>
      <c r="H82" s="50">
        <v>0</v>
      </c>
      <c r="I82" s="50">
        <v>0</v>
      </c>
      <c r="J82" s="50">
        <v>1</v>
      </c>
      <c r="K82" s="50">
        <v>0</v>
      </c>
      <c r="L82" s="50">
        <v>0</v>
      </c>
      <c r="M82" s="50">
        <v>17</v>
      </c>
      <c r="N82" s="50">
        <v>0</v>
      </c>
      <c r="O82" s="15">
        <f t="shared" si="35"/>
        <v>20</v>
      </c>
      <c r="P82" s="15">
        <f t="shared" si="36"/>
        <v>37</v>
      </c>
      <c r="R82" s="8"/>
      <c r="T82"/>
    </row>
    <row r="83" spans="2:20" ht="23.1" customHeight="1" x14ac:dyDescent="0.25">
      <c r="B83" s="45" t="s">
        <v>123</v>
      </c>
      <c r="C83" s="50">
        <v>6</v>
      </c>
      <c r="D83" s="50">
        <v>1</v>
      </c>
      <c r="E83" s="50">
        <v>1</v>
      </c>
      <c r="F83" s="50">
        <v>2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10</v>
      </c>
      <c r="N83" s="50">
        <v>0</v>
      </c>
      <c r="O83" s="15">
        <f t="shared" si="35"/>
        <v>10</v>
      </c>
      <c r="P83" s="15">
        <f t="shared" si="36"/>
        <v>20</v>
      </c>
      <c r="R83" s="8"/>
      <c r="T83"/>
    </row>
    <row r="84" spans="2:20" ht="23.1" customHeight="1" x14ac:dyDescent="0.25">
      <c r="B84" s="47" t="s">
        <v>124</v>
      </c>
      <c r="C84" s="50">
        <v>6</v>
      </c>
      <c r="D84" s="50">
        <v>1</v>
      </c>
      <c r="E84" s="50">
        <v>1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11</v>
      </c>
      <c r="N84" s="50">
        <v>0</v>
      </c>
      <c r="O84" s="15">
        <f t="shared" si="35"/>
        <v>9</v>
      </c>
      <c r="P84" s="15">
        <f t="shared" si="36"/>
        <v>20</v>
      </c>
      <c r="R84" s="8"/>
      <c r="T84"/>
    </row>
    <row r="85" spans="2:20" ht="23.1" customHeight="1" x14ac:dyDescent="0.25">
      <c r="B85" s="45" t="s">
        <v>125</v>
      </c>
      <c r="C85" s="50">
        <v>8</v>
      </c>
      <c r="D85" s="50">
        <v>2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9</v>
      </c>
      <c r="N85" s="50">
        <v>0</v>
      </c>
      <c r="O85" s="15">
        <f t="shared" si="35"/>
        <v>10</v>
      </c>
      <c r="P85" s="15">
        <f t="shared" si="36"/>
        <v>19</v>
      </c>
      <c r="R85" s="8"/>
      <c r="T85"/>
    </row>
    <row r="86" spans="2:20" ht="23.1" customHeight="1" x14ac:dyDescent="0.25">
      <c r="B86" s="46" t="s">
        <v>126</v>
      </c>
      <c r="C86" s="50">
        <v>10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11</v>
      </c>
      <c r="N86" s="50">
        <v>0</v>
      </c>
      <c r="O86" s="15">
        <f t="shared" si="35"/>
        <v>11</v>
      </c>
      <c r="P86" s="15">
        <f t="shared" si="36"/>
        <v>22</v>
      </c>
      <c r="R86" s="8"/>
      <c r="T86"/>
    </row>
    <row r="87" spans="2:20" ht="23.1" customHeight="1" x14ac:dyDescent="0.25">
      <c r="B87" s="45" t="s">
        <v>127</v>
      </c>
      <c r="C87" s="50">
        <v>3</v>
      </c>
      <c r="D87" s="50">
        <v>1</v>
      </c>
      <c r="E87" s="50">
        <v>0</v>
      </c>
      <c r="F87" s="50">
        <v>1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8</v>
      </c>
      <c r="N87" s="50">
        <v>0</v>
      </c>
      <c r="O87" s="15">
        <f t="shared" si="35"/>
        <v>5</v>
      </c>
      <c r="P87" s="15">
        <f t="shared" si="36"/>
        <v>13</v>
      </c>
      <c r="R87" s="8"/>
      <c r="T87"/>
    </row>
    <row r="88" spans="2:20" ht="23.1" customHeight="1" x14ac:dyDescent="0.25">
      <c r="B88" s="47" t="s">
        <v>128</v>
      </c>
      <c r="C88" s="50">
        <v>4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10</v>
      </c>
      <c r="N88" s="50">
        <v>0</v>
      </c>
      <c r="O88" s="15">
        <f t="shared" si="35"/>
        <v>5</v>
      </c>
      <c r="P88" s="15">
        <f t="shared" si="36"/>
        <v>15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1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10</v>
      </c>
      <c r="N89" s="50">
        <v>0</v>
      </c>
      <c r="O89" s="15">
        <f t="shared" si="35"/>
        <v>3</v>
      </c>
      <c r="P89" s="15">
        <f t="shared" si="36"/>
        <v>13</v>
      </c>
      <c r="R89" s="8"/>
      <c r="T89"/>
    </row>
    <row r="90" spans="2:20" ht="23.1" customHeight="1" x14ac:dyDescent="0.25">
      <c r="B90" s="46" t="s">
        <v>130</v>
      </c>
      <c r="C90" s="50">
        <v>9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10</v>
      </c>
      <c r="P90" s="15">
        <f t="shared" si="36"/>
        <v>11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1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7</v>
      </c>
      <c r="P91" s="15">
        <f t="shared" si="36"/>
        <v>9</v>
      </c>
      <c r="R91" s="8"/>
      <c r="T91"/>
    </row>
    <row r="92" spans="2:20" ht="23.1" customHeight="1" x14ac:dyDescent="0.25">
      <c r="B92" s="47" t="s">
        <v>132</v>
      </c>
      <c r="C92" s="50">
        <v>5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13</v>
      </c>
      <c r="N92" s="50">
        <v>0</v>
      </c>
      <c r="O92" s="15">
        <f t="shared" si="35"/>
        <v>5</v>
      </c>
      <c r="P92" s="15">
        <f t="shared" si="36"/>
        <v>18</v>
      </c>
      <c r="R92" s="8"/>
      <c r="T92"/>
    </row>
    <row r="93" spans="2:20" ht="23.1" customHeight="1" x14ac:dyDescent="0.25">
      <c r="B93" s="45" t="s">
        <v>133</v>
      </c>
      <c r="C93" s="50">
        <v>11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12</v>
      </c>
      <c r="N93" s="50">
        <v>0</v>
      </c>
      <c r="O93" s="15">
        <f t="shared" si="35"/>
        <v>12</v>
      </c>
      <c r="P93" s="15">
        <f t="shared" si="36"/>
        <v>24</v>
      </c>
      <c r="R93" s="8"/>
      <c r="T93"/>
    </row>
    <row r="94" spans="2:20" ht="23.1" customHeight="1" x14ac:dyDescent="0.25">
      <c r="B94" s="46" t="s">
        <v>134</v>
      </c>
      <c r="C94" s="50">
        <v>4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5</v>
      </c>
      <c r="N94" s="50">
        <v>0</v>
      </c>
      <c r="O94" s="15">
        <f t="shared" si="35"/>
        <v>4</v>
      </c>
      <c r="P94" s="15">
        <f t="shared" si="36"/>
        <v>9</v>
      </c>
      <c r="R94" s="8"/>
      <c r="T94"/>
    </row>
    <row r="95" spans="2:20" ht="23.1" customHeight="1" x14ac:dyDescent="0.25">
      <c r="B95" s="45" t="s">
        <v>135</v>
      </c>
      <c r="C95" s="50">
        <v>7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9</v>
      </c>
      <c r="N95" s="50">
        <v>0</v>
      </c>
      <c r="O95" s="15">
        <f t="shared" si="35"/>
        <v>8</v>
      </c>
      <c r="P95" s="15">
        <f t="shared" si="36"/>
        <v>17</v>
      </c>
      <c r="R95" s="8"/>
      <c r="T95"/>
    </row>
    <row r="96" spans="2:20" ht="23.1" customHeight="1" x14ac:dyDescent="0.25">
      <c r="B96" s="47" t="s">
        <v>136</v>
      </c>
      <c r="C96" s="50">
        <v>3</v>
      </c>
      <c r="D96" s="50">
        <v>1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1</v>
      </c>
      <c r="K96" s="50">
        <v>0</v>
      </c>
      <c r="L96" s="50">
        <v>0</v>
      </c>
      <c r="M96" s="50">
        <v>11</v>
      </c>
      <c r="N96" s="50">
        <v>0</v>
      </c>
      <c r="O96" s="15">
        <f t="shared" si="35"/>
        <v>6</v>
      </c>
      <c r="P96" s="15">
        <f t="shared" si="36"/>
        <v>17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0</v>
      </c>
      <c r="E97" s="50">
        <v>0</v>
      </c>
      <c r="F97" s="50">
        <v>2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9</v>
      </c>
      <c r="N97" s="50">
        <v>0</v>
      </c>
      <c r="O97" s="15">
        <f t="shared" si="35"/>
        <v>8</v>
      </c>
      <c r="P97" s="15">
        <f t="shared" si="36"/>
        <v>17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0</v>
      </c>
      <c r="M98" s="50">
        <v>11</v>
      </c>
      <c r="N98" s="50">
        <v>0</v>
      </c>
      <c r="O98" s="15">
        <f t="shared" si="35"/>
        <v>3</v>
      </c>
      <c r="P98" s="15">
        <f t="shared" si="36"/>
        <v>14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2</v>
      </c>
      <c r="E99" s="50">
        <v>2</v>
      </c>
      <c r="F99" s="50">
        <v>2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14</v>
      </c>
      <c r="N99" s="50">
        <v>0</v>
      </c>
      <c r="O99" s="15">
        <f t="shared" si="35"/>
        <v>10</v>
      </c>
      <c r="P99" s="15">
        <f t="shared" si="36"/>
        <v>24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3</v>
      </c>
      <c r="E100" s="50">
        <v>2</v>
      </c>
      <c r="F100" s="50">
        <v>2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20</v>
      </c>
      <c r="N100" s="50">
        <v>0</v>
      </c>
      <c r="O100" s="15">
        <f t="shared" si="35"/>
        <v>11</v>
      </c>
      <c r="P100" s="15">
        <f t="shared" si="36"/>
        <v>31</v>
      </c>
      <c r="R100" s="8"/>
      <c r="T100"/>
    </row>
    <row r="101" spans="2:20" ht="23.1" customHeight="1" x14ac:dyDescent="0.25">
      <c r="B101" s="45" t="s">
        <v>141</v>
      </c>
      <c r="C101" s="50">
        <v>10</v>
      </c>
      <c r="D101" s="50">
        <v>0</v>
      </c>
      <c r="E101" s="50">
        <v>1</v>
      </c>
      <c r="F101" s="50">
        <v>4</v>
      </c>
      <c r="G101" s="50">
        <v>1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22</v>
      </c>
      <c r="N101" s="50">
        <v>0</v>
      </c>
      <c r="O101" s="15">
        <f t="shared" si="35"/>
        <v>16</v>
      </c>
      <c r="P101" s="15">
        <f t="shared" si="36"/>
        <v>38</v>
      </c>
      <c r="R101" s="8"/>
      <c r="T101"/>
    </row>
    <row r="102" spans="2:20" ht="23.1" customHeight="1" x14ac:dyDescent="0.25">
      <c r="B102" s="46" t="s">
        <v>142</v>
      </c>
      <c r="C102" s="50">
        <v>10</v>
      </c>
      <c r="D102" s="50">
        <v>3</v>
      </c>
      <c r="E102" s="50">
        <v>1</v>
      </c>
      <c r="F102" s="50">
        <v>9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21</v>
      </c>
      <c r="N102" s="50">
        <v>0</v>
      </c>
      <c r="O102" s="15">
        <f t="shared" si="35"/>
        <v>23</v>
      </c>
      <c r="P102" s="15">
        <f t="shared" si="36"/>
        <v>44</v>
      </c>
      <c r="R102" s="8"/>
      <c r="T102"/>
    </row>
    <row r="103" spans="2:20" ht="23.1" customHeight="1" x14ac:dyDescent="0.25">
      <c r="B103" s="45" t="s">
        <v>143</v>
      </c>
      <c r="C103" s="50">
        <v>35</v>
      </c>
      <c r="D103" s="50">
        <v>6</v>
      </c>
      <c r="E103" s="50">
        <v>3</v>
      </c>
      <c r="F103" s="50">
        <v>13</v>
      </c>
      <c r="G103" s="50">
        <v>0</v>
      </c>
      <c r="H103" s="50">
        <v>0</v>
      </c>
      <c r="I103" s="50">
        <v>2</v>
      </c>
      <c r="J103" s="50">
        <v>0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59</v>
      </c>
      <c r="P103" s="15">
        <f t="shared" si="36"/>
        <v>62</v>
      </c>
      <c r="R103" s="8"/>
      <c r="T103"/>
    </row>
    <row r="104" spans="2:20" ht="23.1" customHeight="1" x14ac:dyDescent="0.25">
      <c r="B104" s="47" t="s">
        <v>144</v>
      </c>
      <c r="C104" s="50">
        <v>24</v>
      </c>
      <c r="D104" s="50">
        <v>7</v>
      </c>
      <c r="E104" s="50">
        <v>2</v>
      </c>
      <c r="F104" s="50">
        <v>16</v>
      </c>
      <c r="G104" s="50">
        <v>0</v>
      </c>
      <c r="H104" s="50">
        <v>0</v>
      </c>
      <c r="I104" s="50">
        <v>1</v>
      </c>
      <c r="J104" s="50">
        <v>2</v>
      </c>
      <c r="K104" s="50">
        <v>1</v>
      </c>
      <c r="L104" s="50">
        <v>0</v>
      </c>
      <c r="M104" s="50">
        <v>35</v>
      </c>
      <c r="N104" s="50">
        <v>0</v>
      </c>
      <c r="O104" s="15">
        <f t="shared" si="35"/>
        <v>53</v>
      </c>
      <c r="P104" s="15">
        <f t="shared" si="36"/>
        <v>88</v>
      </c>
      <c r="R104" s="8"/>
      <c r="T104"/>
    </row>
    <row r="105" spans="2:20" ht="23.1" customHeight="1" x14ac:dyDescent="0.25">
      <c r="B105" s="45" t="s">
        <v>145</v>
      </c>
      <c r="C105" s="50">
        <v>31</v>
      </c>
      <c r="D105" s="50">
        <v>5</v>
      </c>
      <c r="E105" s="50">
        <v>4</v>
      </c>
      <c r="F105" s="50">
        <v>24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0</v>
      </c>
      <c r="M105" s="50">
        <v>48</v>
      </c>
      <c r="N105" s="50">
        <v>0</v>
      </c>
      <c r="O105" s="15">
        <f t="shared" si="35"/>
        <v>66</v>
      </c>
      <c r="P105" s="15">
        <f t="shared" si="36"/>
        <v>114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5349</v>
      </c>
      <c r="D106" s="16">
        <f t="shared" ref="D106:P106" si="37">SUM(D10:D105)</f>
        <v>1057</v>
      </c>
      <c r="E106" s="16">
        <f t="shared" si="37"/>
        <v>887</v>
      </c>
      <c r="F106" s="16">
        <f t="shared" si="37"/>
        <v>1118</v>
      </c>
      <c r="G106" s="16">
        <f t="shared" si="37"/>
        <v>44</v>
      </c>
      <c r="H106" s="16">
        <f t="shared" si="37"/>
        <v>4</v>
      </c>
      <c r="I106" s="16">
        <f t="shared" si="37"/>
        <v>190</v>
      </c>
      <c r="J106" s="16">
        <f t="shared" si="37"/>
        <v>58</v>
      </c>
      <c r="K106" s="16">
        <f t="shared" si="37"/>
        <v>19</v>
      </c>
      <c r="L106" s="16">
        <f t="shared" si="37"/>
        <v>10</v>
      </c>
      <c r="M106" s="16">
        <f t="shared" si="37"/>
        <v>7672</v>
      </c>
      <c r="N106" s="16">
        <f t="shared" si="37"/>
        <v>0</v>
      </c>
      <c r="O106" s="16">
        <f t="shared" si="37"/>
        <v>8736</v>
      </c>
      <c r="P106" s="16">
        <f t="shared" si="37"/>
        <v>16408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0.32599951243295955</v>
      </c>
      <c r="D107" s="43">
        <f t="shared" si="38"/>
        <v>6.4419795221843004E-2</v>
      </c>
      <c r="E107" s="43">
        <f t="shared" si="38"/>
        <v>5.4058995611896636E-2</v>
      </c>
      <c r="F107" s="43">
        <f t="shared" si="38"/>
        <v>6.8137493905411989E-2</v>
      </c>
      <c r="G107" s="43">
        <f t="shared" si="38"/>
        <v>2.6816187225743538E-3</v>
      </c>
      <c r="H107" s="43">
        <f t="shared" si="38"/>
        <v>2.4378352023403217E-4</v>
      </c>
      <c r="I107" s="43">
        <f t="shared" si="38"/>
        <v>1.1579717211116529E-2</v>
      </c>
      <c r="J107" s="43">
        <f t="shared" si="38"/>
        <v>3.5348610433934666E-3</v>
      </c>
      <c r="K107" s="43">
        <f t="shared" si="38"/>
        <v>1.1579717211116529E-3</v>
      </c>
      <c r="L107" s="43">
        <f t="shared" si="38"/>
        <v>6.0945880058508044E-4</v>
      </c>
      <c r="M107" s="43">
        <f t="shared" si="38"/>
        <v>0.46757679180887374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0.61229395604395609</v>
      </c>
      <c r="D108" s="44">
        <f t="shared" ref="D108:N108" si="39">D106/$O$106</f>
        <v>0.12099358974358974</v>
      </c>
      <c r="E108" s="44">
        <f t="shared" si="39"/>
        <v>0.10153388278388278</v>
      </c>
      <c r="F108" s="44">
        <f t="shared" si="39"/>
        <v>0.12797619047619047</v>
      </c>
      <c r="G108" s="44">
        <f t="shared" si="39"/>
        <v>5.036630036630037E-3</v>
      </c>
      <c r="H108" s="44">
        <f t="shared" si="39"/>
        <v>4.5787545787545788E-4</v>
      </c>
      <c r="I108" s="44">
        <f t="shared" si="39"/>
        <v>2.1749084249084248E-2</v>
      </c>
      <c r="J108" s="44">
        <f t="shared" si="39"/>
        <v>6.639194139194139E-3</v>
      </c>
      <c r="K108" s="44">
        <f t="shared" si="39"/>
        <v>2.174908424908425E-3</v>
      </c>
      <c r="L108" s="44">
        <f t="shared" si="39"/>
        <v>1.1446886446886447E-3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Bugolobi-Nakawa'!C3:G3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3" t="str">
        <f>'31.07 Nakawa-Bugolobi'!G5:H5</f>
        <v>Business Park</v>
      </c>
      <c r="H5" s="64"/>
      <c r="I5" s="14"/>
      <c r="J5" s="2" t="s">
        <v>5</v>
      </c>
      <c r="K5" s="63" t="str">
        <f>'31.07 Nakawa-Bugolobi'!K5:L5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Bugolobi-Nakawa'!D6:E6</f>
        <v>Bugolobi</v>
      </c>
      <c r="E6" s="64"/>
      <c r="F6" s="2" t="s">
        <v>2</v>
      </c>
      <c r="G6" s="63" t="str">
        <f>'29.07 Bugolobi-Nakawa'!G6:H6</f>
        <v>Nakawa</v>
      </c>
      <c r="H6" s="64"/>
      <c r="J6" s="2" t="s">
        <v>21</v>
      </c>
      <c r="K6" s="63" t="str">
        <f>'31.07 Nakawa-Bugolobi'!K6:L6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81</v>
      </c>
      <c r="D10" s="50">
        <v>16</v>
      </c>
      <c r="E10" s="50">
        <v>5</v>
      </c>
      <c r="F10" s="50">
        <v>37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48</v>
      </c>
      <c r="N10" s="50">
        <v>0</v>
      </c>
      <c r="O10" s="15">
        <f t="shared" ref="O10:O57" si="0">SUM(C10:L10,N10)</f>
        <v>141</v>
      </c>
      <c r="P10" s="15">
        <f t="shared" ref="P10:P57" si="1">SUM(C10:N10)</f>
        <v>189</v>
      </c>
      <c r="R10" s="1" t="s">
        <v>6</v>
      </c>
      <c r="S10" s="17">
        <f t="shared" ref="S10:AF10" si="2">SUM(C10:C13)</f>
        <v>316</v>
      </c>
      <c r="T10" s="17">
        <f t="shared" si="2"/>
        <v>104</v>
      </c>
      <c r="U10" s="17">
        <f t="shared" si="2"/>
        <v>40</v>
      </c>
      <c r="V10" s="17">
        <f t="shared" si="2"/>
        <v>168</v>
      </c>
      <c r="W10" s="17">
        <f t="shared" si="2"/>
        <v>1</v>
      </c>
      <c r="X10" s="17">
        <f t="shared" si="2"/>
        <v>1</v>
      </c>
      <c r="Y10" s="17">
        <f t="shared" si="2"/>
        <v>14</v>
      </c>
      <c r="Z10" s="17">
        <f t="shared" si="2"/>
        <v>1</v>
      </c>
      <c r="AA10" s="17">
        <f t="shared" si="2"/>
        <v>1</v>
      </c>
      <c r="AB10" s="17">
        <f t="shared" si="2"/>
        <v>2</v>
      </c>
      <c r="AC10" s="17">
        <f t="shared" si="2"/>
        <v>283</v>
      </c>
      <c r="AD10" s="17">
        <f t="shared" si="2"/>
        <v>0</v>
      </c>
      <c r="AE10" s="31">
        <f t="shared" si="2"/>
        <v>648</v>
      </c>
      <c r="AF10" s="31">
        <f t="shared" si="2"/>
        <v>931</v>
      </c>
    </row>
    <row r="11" spans="2:32" s="6" customFormat="1" ht="23.1" customHeight="1" x14ac:dyDescent="0.25">
      <c r="B11" s="23" t="s">
        <v>38</v>
      </c>
      <c r="C11" s="50">
        <v>75</v>
      </c>
      <c r="D11" s="50">
        <v>20</v>
      </c>
      <c r="E11" s="50">
        <v>12</v>
      </c>
      <c r="F11" s="50">
        <v>31</v>
      </c>
      <c r="G11" s="50">
        <v>0</v>
      </c>
      <c r="H11" s="50">
        <v>1</v>
      </c>
      <c r="I11" s="50">
        <v>6</v>
      </c>
      <c r="J11" s="50">
        <v>1</v>
      </c>
      <c r="K11" s="50">
        <v>1</v>
      </c>
      <c r="L11" s="50">
        <v>1</v>
      </c>
      <c r="M11" s="50">
        <v>80</v>
      </c>
      <c r="N11" s="50">
        <v>0</v>
      </c>
      <c r="O11" s="15">
        <f t="shared" si="0"/>
        <v>148</v>
      </c>
      <c r="P11" s="15">
        <f t="shared" si="1"/>
        <v>228</v>
      </c>
      <c r="R11" s="1" t="s">
        <v>7</v>
      </c>
      <c r="S11" s="17">
        <f t="shared" ref="S11:AF11" si="3">SUM(C14:C17)</f>
        <v>327</v>
      </c>
      <c r="T11" s="17">
        <f t="shared" si="3"/>
        <v>197</v>
      </c>
      <c r="U11" s="17">
        <f t="shared" si="3"/>
        <v>114</v>
      </c>
      <c r="V11" s="17">
        <f t="shared" si="3"/>
        <v>258</v>
      </c>
      <c r="W11" s="17">
        <f t="shared" si="3"/>
        <v>0</v>
      </c>
      <c r="X11" s="17">
        <f t="shared" si="3"/>
        <v>2</v>
      </c>
      <c r="Y11" s="17">
        <f t="shared" si="3"/>
        <v>12</v>
      </c>
      <c r="Z11" s="17">
        <f t="shared" si="3"/>
        <v>3</v>
      </c>
      <c r="AA11" s="17">
        <f t="shared" si="3"/>
        <v>1</v>
      </c>
      <c r="AB11" s="17">
        <f t="shared" si="3"/>
        <v>0</v>
      </c>
      <c r="AC11" s="17">
        <f t="shared" si="3"/>
        <v>492</v>
      </c>
      <c r="AD11" s="17">
        <f t="shared" si="3"/>
        <v>0</v>
      </c>
      <c r="AE11" s="31">
        <f t="shared" si="3"/>
        <v>914</v>
      </c>
      <c r="AF11" s="31">
        <f t="shared" si="3"/>
        <v>1406</v>
      </c>
    </row>
    <row r="12" spans="2:32" ht="23.1" customHeight="1" x14ac:dyDescent="0.25">
      <c r="B12" s="23" t="s">
        <v>39</v>
      </c>
      <c r="C12" s="50">
        <v>81</v>
      </c>
      <c r="D12" s="50">
        <v>37</v>
      </c>
      <c r="E12" s="50">
        <v>12</v>
      </c>
      <c r="F12" s="50">
        <v>51</v>
      </c>
      <c r="G12" s="50">
        <v>0</v>
      </c>
      <c r="H12" s="50">
        <v>0</v>
      </c>
      <c r="I12" s="50">
        <v>5</v>
      </c>
      <c r="J12" s="50">
        <v>0</v>
      </c>
      <c r="K12" s="50">
        <v>0</v>
      </c>
      <c r="L12" s="50">
        <v>0</v>
      </c>
      <c r="M12" s="50">
        <v>81</v>
      </c>
      <c r="N12" s="50">
        <v>0</v>
      </c>
      <c r="O12" s="15">
        <f t="shared" si="0"/>
        <v>186</v>
      </c>
      <c r="P12" s="15">
        <f t="shared" si="1"/>
        <v>267</v>
      </c>
      <c r="R12" s="1" t="s">
        <v>8</v>
      </c>
      <c r="S12" s="17">
        <f t="shared" ref="S12:AF12" si="4">SUM(C18:C21)</f>
        <v>411</v>
      </c>
      <c r="T12" s="17">
        <f t="shared" si="4"/>
        <v>130</v>
      </c>
      <c r="U12" s="17">
        <f t="shared" si="4"/>
        <v>123</v>
      </c>
      <c r="V12" s="17">
        <f t="shared" si="4"/>
        <v>201</v>
      </c>
      <c r="W12" s="17">
        <f t="shared" si="4"/>
        <v>1</v>
      </c>
      <c r="X12" s="17">
        <f t="shared" si="4"/>
        <v>1</v>
      </c>
      <c r="Y12" s="17">
        <f t="shared" si="4"/>
        <v>6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470</v>
      </c>
      <c r="AD12" s="17">
        <f t="shared" si="4"/>
        <v>0</v>
      </c>
      <c r="AE12" s="31">
        <f t="shared" si="4"/>
        <v>878</v>
      </c>
      <c r="AF12" s="31">
        <f t="shared" si="4"/>
        <v>1348</v>
      </c>
    </row>
    <row r="13" spans="2:32" ht="23.1" customHeight="1" x14ac:dyDescent="0.25">
      <c r="B13" s="23" t="s">
        <v>40</v>
      </c>
      <c r="C13" s="50">
        <v>79</v>
      </c>
      <c r="D13" s="50">
        <v>31</v>
      </c>
      <c r="E13" s="50">
        <v>11</v>
      </c>
      <c r="F13" s="50">
        <v>49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74</v>
      </c>
      <c r="N13" s="50">
        <v>0</v>
      </c>
      <c r="O13" s="15">
        <f t="shared" si="0"/>
        <v>173</v>
      </c>
      <c r="P13" s="15">
        <f t="shared" si="1"/>
        <v>247</v>
      </c>
      <c r="R13" s="1" t="s">
        <v>9</v>
      </c>
      <c r="S13" s="17">
        <f t="shared" ref="S13:AF13" si="5">SUM(C22:C25)</f>
        <v>269</v>
      </c>
      <c r="T13" s="17">
        <f t="shared" si="5"/>
        <v>99</v>
      </c>
      <c r="U13" s="17">
        <f t="shared" si="5"/>
        <v>45</v>
      </c>
      <c r="V13" s="17">
        <f t="shared" si="5"/>
        <v>119</v>
      </c>
      <c r="W13" s="17">
        <f t="shared" si="5"/>
        <v>1</v>
      </c>
      <c r="X13" s="17">
        <f t="shared" si="5"/>
        <v>0</v>
      </c>
      <c r="Y13" s="17">
        <f t="shared" si="5"/>
        <v>6</v>
      </c>
      <c r="Z13" s="17">
        <f t="shared" si="5"/>
        <v>8</v>
      </c>
      <c r="AA13" s="17">
        <f t="shared" si="5"/>
        <v>0</v>
      </c>
      <c r="AB13" s="17">
        <f t="shared" si="5"/>
        <v>0</v>
      </c>
      <c r="AC13" s="17">
        <f t="shared" si="5"/>
        <v>273</v>
      </c>
      <c r="AD13" s="17">
        <f t="shared" si="5"/>
        <v>0</v>
      </c>
      <c r="AE13" s="31">
        <f t="shared" si="5"/>
        <v>547</v>
      </c>
      <c r="AF13" s="31">
        <f t="shared" si="5"/>
        <v>820</v>
      </c>
    </row>
    <row r="14" spans="2:32" ht="23.1" customHeight="1" x14ac:dyDescent="0.25">
      <c r="B14" s="23" t="s">
        <v>41</v>
      </c>
      <c r="C14" s="50">
        <v>120</v>
      </c>
      <c r="D14" s="50">
        <v>51</v>
      </c>
      <c r="E14" s="50">
        <v>37</v>
      </c>
      <c r="F14" s="50">
        <v>88</v>
      </c>
      <c r="G14" s="50">
        <v>0</v>
      </c>
      <c r="H14" s="50">
        <v>0</v>
      </c>
      <c r="I14" s="50">
        <v>4</v>
      </c>
      <c r="J14" s="50">
        <v>1</v>
      </c>
      <c r="K14" s="50">
        <v>0</v>
      </c>
      <c r="L14" s="50">
        <v>0</v>
      </c>
      <c r="M14" s="50">
        <v>136</v>
      </c>
      <c r="N14" s="50">
        <v>0</v>
      </c>
      <c r="O14" s="15">
        <f t="shared" si="0"/>
        <v>301</v>
      </c>
      <c r="P14" s="15">
        <f t="shared" si="1"/>
        <v>437</v>
      </c>
      <c r="R14" s="1" t="s">
        <v>10</v>
      </c>
      <c r="S14" s="17">
        <f t="shared" ref="S14:AF14" si="6">SUM(C26:C29)</f>
        <v>248</v>
      </c>
      <c r="T14" s="17">
        <f t="shared" si="6"/>
        <v>49</v>
      </c>
      <c r="U14" s="17">
        <f t="shared" si="6"/>
        <v>35</v>
      </c>
      <c r="V14" s="17">
        <f t="shared" si="6"/>
        <v>139</v>
      </c>
      <c r="W14" s="17">
        <f t="shared" si="6"/>
        <v>1</v>
      </c>
      <c r="X14" s="17">
        <f t="shared" si="6"/>
        <v>0</v>
      </c>
      <c r="Y14" s="17">
        <f t="shared" si="6"/>
        <v>6</v>
      </c>
      <c r="Z14" s="17">
        <f t="shared" si="6"/>
        <v>6</v>
      </c>
      <c r="AA14" s="17">
        <f t="shared" si="6"/>
        <v>1</v>
      </c>
      <c r="AB14" s="17">
        <f t="shared" si="6"/>
        <v>0</v>
      </c>
      <c r="AC14" s="17">
        <f t="shared" si="6"/>
        <v>288</v>
      </c>
      <c r="AD14" s="17">
        <f t="shared" si="6"/>
        <v>1</v>
      </c>
      <c r="AE14" s="31">
        <f t="shared" si="6"/>
        <v>486</v>
      </c>
      <c r="AF14" s="31">
        <f t="shared" si="6"/>
        <v>774</v>
      </c>
    </row>
    <row r="15" spans="2:32" ht="23.1" customHeight="1" x14ac:dyDescent="0.25">
      <c r="B15" s="23" t="s">
        <v>42</v>
      </c>
      <c r="C15" s="50">
        <v>86</v>
      </c>
      <c r="D15" s="50">
        <v>50</v>
      </c>
      <c r="E15" s="50">
        <v>30</v>
      </c>
      <c r="F15" s="50">
        <v>55</v>
      </c>
      <c r="G15" s="50">
        <v>0</v>
      </c>
      <c r="H15" s="50">
        <v>1</v>
      </c>
      <c r="I15" s="50">
        <v>5</v>
      </c>
      <c r="J15" s="50">
        <v>0</v>
      </c>
      <c r="K15" s="50">
        <v>1</v>
      </c>
      <c r="L15" s="50">
        <v>0</v>
      </c>
      <c r="M15" s="50">
        <v>122</v>
      </c>
      <c r="N15" s="50">
        <v>0</v>
      </c>
      <c r="O15" s="15">
        <f t="shared" si="0"/>
        <v>228</v>
      </c>
      <c r="P15" s="15">
        <f t="shared" si="1"/>
        <v>350</v>
      </c>
      <c r="R15" s="1" t="s">
        <v>11</v>
      </c>
      <c r="S15" s="17">
        <f t="shared" ref="S15:AF15" si="7">SUM(C30:C33)</f>
        <v>307</v>
      </c>
      <c r="T15" s="17">
        <f t="shared" si="7"/>
        <v>84</v>
      </c>
      <c r="U15" s="17">
        <f t="shared" si="7"/>
        <v>71</v>
      </c>
      <c r="V15" s="17">
        <f t="shared" si="7"/>
        <v>134</v>
      </c>
      <c r="W15" s="17">
        <f t="shared" si="7"/>
        <v>6</v>
      </c>
      <c r="X15" s="17">
        <f t="shared" si="7"/>
        <v>3</v>
      </c>
      <c r="Y15" s="17">
        <f t="shared" si="7"/>
        <v>3</v>
      </c>
      <c r="Z15" s="17">
        <f t="shared" si="7"/>
        <v>3</v>
      </c>
      <c r="AA15" s="17">
        <f t="shared" si="7"/>
        <v>1</v>
      </c>
      <c r="AB15" s="17">
        <f t="shared" si="7"/>
        <v>0</v>
      </c>
      <c r="AC15" s="17">
        <f t="shared" si="7"/>
        <v>293</v>
      </c>
      <c r="AD15" s="17">
        <f t="shared" si="7"/>
        <v>0</v>
      </c>
      <c r="AE15" s="31">
        <f t="shared" si="7"/>
        <v>612</v>
      </c>
      <c r="AF15" s="31">
        <f t="shared" si="7"/>
        <v>905</v>
      </c>
    </row>
    <row r="16" spans="2:32" ht="23.1" customHeight="1" x14ac:dyDescent="0.25">
      <c r="B16" s="23" t="s">
        <v>43</v>
      </c>
      <c r="C16" s="50">
        <v>65</v>
      </c>
      <c r="D16" s="50">
        <v>50</v>
      </c>
      <c r="E16" s="50">
        <v>25</v>
      </c>
      <c r="F16" s="50">
        <v>61</v>
      </c>
      <c r="G16" s="50">
        <v>0</v>
      </c>
      <c r="H16" s="50">
        <v>1</v>
      </c>
      <c r="I16" s="50">
        <v>2</v>
      </c>
      <c r="J16" s="50">
        <v>1</v>
      </c>
      <c r="K16" s="50">
        <v>0</v>
      </c>
      <c r="L16" s="50">
        <v>0</v>
      </c>
      <c r="M16" s="50">
        <v>121</v>
      </c>
      <c r="N16" s="50">
        <v>0</v>
      </c>
      <c r="O16" s="15">
        <f t="shared" si="0"/>
        <v>205</v>
      </c>
      <c r="P16" s="15">
        <f t="shared" si="1"/>
        <v>326</v>
      </c>
      <c r="R16" s="1" t="s">
        <v>12</v>
      </c>
      <c r="S16" s="17">
        <f t="shared" ref="S16:AF16" si="8">SUM(C34:C37)</f>
        <v>279</v>
      </c>
      <c r="T16" s="17">
        <f t="shared" si="8"/>
        <v>81</v>
      </c>
      <c r="U16" s="17">
        <f t="shared" si="8"/>
        <v>76</v>
      </c>
      <c r="V16" s="17">
        <f t="shared" si="8"/>
        <v>119</v>
      </c>
      <c r="W16" s="17">
        <f t="shared" si="8"/>
        <v>1</v>
      </c>
      <c r="X16" s="17">
        <f t="shared" si="8"/>
        <v>0</v>
      </c>
      <c r="Y16" s="17">
        <f t="shared" si="8"/>
        <v>5</v>
      </c>
      <c r="Z16" s="17">
        <f t="shared" si="8"/>
        <v>5</v>
      </c>
      <c r="AA16" s="17">
        <f t="shared" si="8"/>
        <v>0</v>
      </c>
      <c r="AB16" s="17">
        <f t="shared" si="8"/>
        <v>0</v>
      </c>
      <c r="AC16" s="17">
        <f t="shared" si="8"/>
        <v>239</v>
      </c>
      <c r="AD16" s="17">
        <f t="shared" si="8"/>
        <v>0</v>
      </c>
      <c r="AE16" s="31">
        <f t="shared" si="8"/>
        <v>566</v>
      </c>
      <c r="AF16" s="31">
        <f t="shared" si="8"/>
        <v>805</v>
      </c>
    </row>
    <row r="17" spans="2:32" ht="23.1" customHeight="1" x14ac:dyDescent="0.25">
      <c r="B17" s="23" t="s">
        <v>44</v>
      </c>
      <c r="C17" s="50">
        <v>56</v>
      </c>
      <c r="D17" s="50">
        <v>46</v>
      </c>
      <c r="E17" s="50">
        <v>22</v>
      </c>
      <c r="F17" s="50">
        <v>54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113</v>
      </c>
      <c r="N17" s="50">
        <v>0</v>
      </c>
      <c r="O17" s="15">
        <f t="shared" si="0"/>
        <v>180</v>
      </c>
      <c r="P17" s="15">
        <f t="shared" si="1"/>
        <v>293</v>
      </c>
      <c r="R17" s="1" t="s">
        <v>13</v>
      </c>
      <c r="S17" s="17">
        <f t="shared" ref="S17:AF17" si="9">SUM(C38:C41)</f>
        <v>275</v>
      </c>
      <c r="T17" s="17">
        <f t="shared" si="9"/>
        <v>83</v>
      </c>
      <c r="U17" s="17">
        <f t="shared" si="9"/>
        <v>67</v>
      </c>
      <c r="V17" s="17">
        <f t="shared" si="9"/>
        <v>124</v>
      </c>
      <c r="W17" s="17">
        <f t="shared" si="9"/>
        <v>2</v>
      </c>
      <c r="X17" s="17">
        <f t="shared" si="9"/>
        <v>1</v>
      </c>
      <c r="Y17" s="17">
        <f t="shared" si="9"/>
        <v>4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321</v>
      </c>
      <c r="AD17" s="17">
        <f t="shared" si="9"/>
        <v>0</v>
      </c>
      <c r="AE17" s="31">
        <f t="shared" si="9"/>
        <v>557</v>
      </c>
      <c r="AF17" s="31">
        <f t="shared" si="9"/>
        <v>878</v>
      </c>
    </row>
    <row r="18" spans="2:32" ht="23.1" customHeight="1" x14ac:dyDescent="0.25">
      <c r="B18" s="23" t="s">
        <v>45</v>
      </c>
      <c r="C18" s="50">
        <v>105</v>
      </c>
      <c r="D18" s="50">
        <v>41</v>
      </c>
      <c r="E18" s="50">
        <v>36</v>
      </c>
      <c r="F18" s="50">
        <v>53</v>
      </c>
      <c r="G18" s="50">
        <v>1</v>
      </c>
      <c r="H18" s="50">
        <v>1</v>
      </c>
      <c r="I18" s="50">
        <v>2</v>
      </c>
      <c r="J18" s="50">
        <v>0</v>
      </c>
      <c r="K18" s="50">
        <v>0</v>
      </c>
      <c r="L18" s="50">
        <v>0</v>
      </c>
      <c r="M18" s="50">
        <v>121</v>
      </c>
      <c r="N18" s="50">
        <v>0</v>
      </c>
      <c r="O18" s="15">
        <f t="shared" si="0"/>
        <v>239</v>
      </c>
      <c r="P18" s="15">
        <f t="shared" si="1"/>
        <v>360</v>
      </c>
      <c r="R18" s="1" t="s">
        <v>14</v>
      </c>
      <c r="S18" s="17">
        <f t="shared" ref="S18:AF18" si="10">SUM(C42:C45)</f>
        <v>377</v>
      </c>
      <c r="T18" s="17">
        <f t="shared" si="10"/>
        <v>143</v>
      </c>
      <c r="U18" s="17">
        <f t="shared" si="10"/>
        <v>105</v>
      </c>
      <c r="V18" s="17">
        <f t="shared" si="10"/>
        <v>150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4</v>
      </c>
      <c r="AA18" s="17">
        <f t="shared" si="10"/>
        <v>0</v>
      </c>
      <c r="AB18" s="17">
        <f t="shared" si="10"/>
        <v>1</v>
      </c>
      <c r="AC18" s="17">
        <f t="shared" si="10"/>
        <v>370</v>
      </c>
      <c r="AD18" s="17">
        <f t="shared" si="10"/>
        <v>0</v>
      </c>
      <c r="AE18" s="31">
        <f t="shared" si="10"/>
        <v>782</v>
      </c>
      <c r="AF18" s="31">
        <f t="shared" si="10"/>
        <v>1152</v>
      </c>
    </row>
    <row r="19" spans="2:32" ht="23.1" customHeight="1" x14ac:dyDescent="0.25">
      <c r="B19" s="23" t="s">
        <v>46</v>
      </c>
      <c r="C19" s="50">
        <v>101</v>
      </c>
      <c r="D19" s="50">
        <v>34</v>
      </c>
      <c r="E19" s="50">
        <v>32</v>
      </c>
      <c r="F19" s="50">
        <v>49</v>
      </c>
      <c r="G19" s="50">
        <v>0</v>
      </c>
      <c r="H19" s="50">
        <v>0</v>
      </c>
      <c r="I19" s="50">
        <v>2</v>
      </c>
      <c r="J19" s="50">
        <v>2</v>
      </c>
      <c r="K19" s="50">
        <v>0</v>
      </c>
      <c r="L19" s="50">
        <v>0</v>
      </c>
      <c r="M19" s="50">
        <v>122</v>
      </c>
      <c r="N19" s="50">
        <v>0</v>
      </c>
      <c r="O19" s="15">
        <f t="shared" si="0"/>
        <v>220</v>
      </c>
      <c r="P19" s="15">
        <f t="shared" si="1"/>
        <v>342</v>
      </c>
      <c r="R19" s="1" t="s">
        <v>15</v>
      </c>
      <c r="S19" s="17">
        <f t="shared" ref="S19:AF19" si="11">SUM(C46:C49)</f>
        <v>458</v>
      </c>
      <c r="T19" s="17">
        <f t="shared" si="11"/>
        <v>139</v>
      </c>
      <c r="U19" s="17">
        <f t="shared" si="11"/>
        <v>99</v>
      </c>
      <c r="V19" s="17">
        <f t="shared" si="11"/>
        <v>142</v>
      </c>
      <c r="W19" s="17">
        <f t="shared" si="11"/>
        <v>2</v>
      </c>
      <c r="X19" s="17">
        <f t="shared" si="11"/>
        <v>0</v>
      </c>
      <c r="Y19" s="17">
        <f t="shared" si="11"/>
        <v>8</v>
      </c>
      <c r="Z19" s="17">
        <f t="shared" si="11"/>
        <v>6</v>
      </c>
      <c r="AA19" s="17">
        <f t="shared" si="11"/>
        <v>1</v>
      </c>
      <c r="AB19" s="17">
        <f t="shared" si="11"/>
        <v>2</v>
      </c>
      <c r="AC19" s="17">
        <f t="shared" si="11"/>
        <v>432</v>
      </c>
      <c r="AD19" s="17">
        <f t="shared" si="11"/>
        <v>1</v>
      </c>
      <c r="AE19" s="31">
        <f t="shared" si="11"/>
        <v>858</v>
      </c>
      <c r="AF19" s="31">
        <f t="shared" si="11"/>
        <v>1290</v>
      </c>
    </row>
    <row r="20" spans="2:32" ht="23.1" customHeight="1" x14ac:dyDescent="0.25">
      <c r="B20" s="23" t="s">
        <v>47</v>
      </c>
      <c r="C20" s="50">
        <v>103</v>
      </c>
      <c r="D20" s="50">
        <v>31</v>
      </c>
      <c r="E20" s="50">
        <v>31</v>
      </c>
      <c r="F20" s="50">
        <v>51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112</v>
      </c>
      <c r="N20" s="50">
        <v>0</v>
      </c>
      <c r="O20" s="15">
        <f t="shared" si="0"/>
        <v>218</v>
      </c>
      <c r="P20" s="15">
        <f t="shared" si="1"/>
        <v>330</v>
      </c>
      <c r="R20" s="1" t="s">
        <v>16</v>
      </c>
      <c r="S20" s="17">
        <f t="shared" ref="S20:AF20" si="12">SUM(C50:C53)</f>
        <v>374</v>
      </c>
      <c r="T20" s="17">
        <f t="shared" si="12"/>
        <v>137</v>
      </c>
      <c r="U20" s="17">
        <f t="shared" si="12"/>
        <v>104</v>
      </c>
      <c r="V20" s="17">
        <f t="shared" si="12"/>
        <v>135</v>
      </c>
      <c r="W20" s="17">
        <f t="shared" si="12"/>
        <v>3</v>
      </c>
      <c r="X20" s="17">
        <f t="shared" si="12"/>
        <v>0</v>
      </c>
      <c r="Y20" s="17">
        <f t="shared" si="12"/>
        <v>12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365</v>
      </c>
      <c r="AD20" s="17">
        <f t="shared" si="12"/>
        <v>0</v>
      </c>
      <c r="AE20" s="31">
        <f t="shared" si="12"/>
        <v>768</v>
      </c>
      <c r="AF20" s="31">
        <f t="shared" si="12"/>
        <v>1133</v>
      </c>
    </row>
    <row r="21" spans="2:32" ht="23.1" customHeight="1" x14ac:dyDescent="0.25">
      <c r="B21" s="23" t="s">
        <v>48</v>
      </c>
      <c r="C21" s="50">
        <v>102</v>
      </c>
      <c r="D21" s="50">
        <v>24</v>
      </c>
      <c r="E21" s="50">
        <v>24</v>
      </c>
      <c r="F21" s="50">
        <v>48</v>
      </c>
      <c r="G21" s="50">
        <v>0</v>
      </c>
      <c r="H21" s="50">
        <v>0</v>
      </c>
      <c r="I21" s="50">
        <v>1</v>
      </c>
      <c r="J21" s="50">
        <v>1</v>
      </c>
      <c r="K21" s="50">
        <v>1</v>
      </c>
      <c r="L21" s="50">
        <v>0</v>
      </c>
      <c r="M21" s="50">
        <v>115</v>
      </c>
      <c r="N21" s="50">
        <v>0</v>
      </c>
      <c r="O21" s="15">
        <f t="shared" si="0"/>
        <v>201</v>
      </c>
      <c r="P21" s="15">
        <f t="shared" si="1"/>
        <v>316</v>
      </c>
      <c r="R21" s="36" t="s">
        <v>20</v>
      </c>
      <c r="S21" s="34">
        <f t="shared" ref="S21:AF21" si="13">SUM(C54:C57)</f>
        <v>264</v>
      </c>
      <c r="T21" s="17">
        <f t="shared" si="13"/>
        <v>90</v>
      </c>
      <c r="U21" s="17">
        <f t="shared" si="13"/>
        <v>67</v>
      </c>
      <c r="V21" s="17">
        <f t="shared" si="13"/>
        <v>83</v>
      </c>
      <c r="W21" s="17">
        <f t="shared" si="13"/>
        <v>2</v>
      </c>
      <c r="X21" s="17">
        <f t="shared" si="13"/>
        <v>1</v>
      </c>
      <c r="Y21" s="17">
        <f t="shared" si="13"/>
        <v>8</v>
      </c>
      <c r="Z21" s="17">
        <f t="shared" si="13"/>
        <v>3</v>
      </c>
      <c r="AA21" s="17">
        <f t="shared" si="13"/>
        <v>1</v>
      </c>
      <c r="AB21" s="17">
        <f t="shared" si="13"/>
        <v>0</v>
      </c>
      <c r="AC21" s="17">
        <f t="shared" si="13"/>
        <v>255</v>
      </c>
      <c r="AD21" s="17">
        <f t="shared" si="13"/>
        <v>0</v>
      </c>
      <c r="AE21" s="31">
        <f t="shared" si="13"/>
        <v>519</v>
      </c>
      <c r="AF21" s="31">
        <f t="shared" si="13"/>
        <v>774</v>
      </c>
    </row>
    <row r="22" spans="2:32" ht="23.1" customHeight="1" x14ac:dyDescent="0.25">
      <c r="B22" s="23" t="s">
        <v>49</v>
      </c>
      <c r="C22" s="50">
        <v>93</v>
      </c>
      <c r="D22" s="50">
        <v>33</v>
      </c>
      <c r="E22" s="50">
        <v>8</v>
      </c>
      <c r="F22" s="50">
        <v>31</v>
      </c>
      <c r="G22" s="50">
        <v>0</v>
      </c>
      <c r="H22" s="50">
        <v>0</v>
      </c>
      <c r="I22" s="50">
        <v>2</v>
      </c>
      <c r="J22" s="50">
        <v>3</v>
      </c>
      <c r="K22" s="50">
        <v>0</v>
      </c>
      <c r="L22" s="50">
        <v>0</v>
      </c>
      <c r="M22" s="50">
        <v>72</v>
      </c>
      <c r="N22" s="50">
        <v>0</v>
      </c>
      <c r="O22" s="15">
        <f t="shared" si="0"/>
        <v>170</v>
      </c>
      <c r="P22" s="15">
        <f t="shared" si="1"/>
        <v>242</v>
      </c>
      <c r="R22" s="38" t="s">
        <v>90</v>
      </c>
      <c r="S22" s="39">
        <f>MAX(S10:S12)</f>
        <v>411</v>
      </c>
      <c r="T22" s="39">
        <f t="shared" ref="T22:AF22" si="14">MAX(T10:T12)</f>
        <v>197</v>
      </c>
      <c r="U22" s="39">
        <f t="shared" si="14"/>
        <v>123</v>
      </c>
      <c r="V22" s="39">
        <f t="shared" si="14"/>
        <v>258</v>
      </c>
      <c r="W22" s="39">
        <f t="shared" si="14"/>
        <v>1</v>
      </c>
      <c r="X22" s="39">
        <f t="shared" si="14"/>
        <v>2</v>
      </c>
      <c r="Y22" s="39">
        <f t="shared" si="14"/>
        <v>14</v>
      </c>
      <c r="Z22" s="39">
        <f t="shared" si="14"/>
        <v>4</v>
      </c>
      <c r="AA22" s="39">
        <f t="shared" si="14"/>
        <v>1</v>
      </c>
      <c r="AB22" s="39">
        <f t="shared" si="14"/>
        <v>2</v>
      </c>
      <c r="AC22" s="39">
        <f t="shared" si="14"/>
        <v>492</v>
      </c>
      <c r="AD22" s="39">
        <f t="shared" si="14"/>
        <v>0</v>
      </c>
      <c r="AE22" s="40">
        <f t="shared" si="14"/>
        <v>914</v>
      </c>
      <c r="AF22" s="40">
        <f t="shared" si="14"/>
        <v>1406</v>
      </c>
    </row>
    <row r="23" spans="2:32" ht="23.1" customHeight="1" x14ac:dyDescent="0.25">
      <c r="B23" s="23" t="s">
        <v>50</v>
      </c>
      <c r="C23" s="50">
        <v>66</v>
      </c>
      <c r="D23" s="50">
        <v>27</v>
      </c>
      <c r="E23" s="50">
        <v>11</v>
      </c>
      <c r="F23" s="50">
        <v>32</v>
      </c>
      <c r="G23" s="50">
        <v>1</v>
      </c>
      <c r="H23" s="50">
        <v>0</v>
      </c>
      <c r="I23" s="50">
        <v>3</v>
      </c>
      <c r="J23" s="50">
        <v>3</v>
      </c>
      <c r="K23" s="50">
        <v>0</v>
      </c>
      <c r="L23" s="50">
        <v>0</v>
      </c>
      <c r="M23" s="50">
        <v>71</v>
      </c>
      <c r="N23" s="50">
        <v>0</v>
      </c>
      <c r="O23" s="15">
        <f t="shared" si="0"/>
        <v>143</v>
      </c>
      <c r="P23" s="15">
        <f t="shared" si="1"/>
        <v>214</v>
      </c>
      <c r="R23" s="38" t="s">
        <v>91</v>
      </c>
      <c r="S23" s="39">
        <f>MAX(S13:S18)</f>
        <v>377</v>
      </c>
      <c r="T23" s="39">
        <f t="shared" ref="T23:AF23" si="15">MAX(T13:T18)</f>
        <v>143</v>
      </c>
      <c r="U23" s="39">
        <f t="shared" si="15"/>
        <v>105</v>
      </c>
      <c r="V23" s="39">
        <f t="shared" si="15"/>
        <v>150</v>
      </c>
      <c r="W23" s="39">
        <f t="shared" si="15"/>
        <v>6</v>
      </c>
      <c r="X23" s="39">
        <f t="shared" si="15"/>
        <v>3</v>
      </c>
      <c r="Y23" s="39">
        <f t="shared" si="15"/>
        <v>6</v>
      </c>
      <c r="Z23" s="39">
        <f t="shared" si="15"/>
        <v>8</v>
      </c>
      <c r="AA23" s="39">
        <f t="shared" si="15"/>
        <v>1</v>
      </c>
      <c r="AB23" s="39">
        <f t="shared" si="15"/>
        <v>1</v>
      </c>
      <c r="AC23" s="39">
        <f t="shared" si="15"/>
        <v>370</v>
      </c>
      <c r="AD23" s="39">
        <f t="shared" si="15"/>
        <v>1</v>
      </c>
      <c r="AE23" s="40">
        <f t="shared" si="15"/>
        <v>782</v>
      </c>
      <c r="AF23" s="40">
        <f t="shared" si="15"/>
        <v>1152</v>
      </c>
    </row>
    <row r="24" spans="2:32" ht="23.1" customHeight="1" x14ac:dyDescent="0.25">
      <c r="B24" s="23" t="s">
        <v>51</v>
      </c>
      <c r="C24" s="50">
        <v>58</v>
      </c>
      <c r="D24" s="50">
        <v>17</v>
      </c>
      <c r="E24" s="50">
        <v>12</v>
      </c>
      <c r="F24" s="50">
        <v>30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66</v>
      </c>
      <c r="N24" s="50">
        <v>0</v>
      </c>
      <c r="O24" s="15">
        <f t="shared" si="0"/>
        <v>119</v>
      </c>
      <c r="P24" s="15">
        <f t="shared" si="1"/>
        <v>185</v>
      </c>
      <c r="R24" s="38" t="s">
        <v>92</v>
      </c>
      <c r="S24" s="39">
        <f>MAX(S19:S21)</f>
        <v>458</v>
      </c>
      <c r="T24" s="39">
        <f t="shared" ref="T24:AF24" si="16">MAX(T19:T21)</f>
        <v>139</v>
      </c>
      <c r="U24" s="39">
        <f t="shared" si="16"/>
        <v>104</v>
      </c>
      <c r="V24" s="39">
        <f t="shared" si="16"/>
        <v>142</v>
      </c>
      <c r="W24" s="39">
        <f t="shared" si="16"/>
        <v>3</v>
      </c>
      <c r="X24" s="39">
        <f t="shared" si="16"/>
        <v>1</v>
      </c>
      <c r="Y24" s="39">
        <f t="shared" si="16"/>
        <v>12</v>
      </c>
      <c r="Z24" s="39">
        <f t="shared" si="16"/>
        <v>6</v>
      </c>
      <c r="AA24" s="39">
        <f t="shared" si="16"/>
        <v>1</v>
      </c>
      <c r="AB24" s="39">
        <f t="shared" si="16"/>
        <v>2</v>
      </c>
      <c r="AC24" s="39">
        <f t="shared" si="16"/>
        <v>432</v>
      </c>
      <c r="AD24" s="39">
        <f t="shared" si="16"/>
        <v>1</v>
      </c>
      <c r="AE24" s="40">
        <f t="shared" si="16"/>
        <v>858</v>
      </c>
      <c r="AF24" s="40">
        <f t="shared" si="16"/>
        <v>1290</v>
      </c>
    </row>
    <row r="25" spans="2:32" ht="23.1" customHeight="1" x14ac:dyDescent="0.25">
      <c r="B25" s="23" t="s">
        <v>52</v>
      </c>
      <c r="C25" s="50">
        <v>52</v>
      </c>
      <c r="D25" s="50">
        <v>22</v>
      </c>
      <c r="E25" s="50">
        <v>14</v>
      </c>
      <c r="F25" s="50">
        <v>26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64</v>
      </c>
      <c r="N25" s="50">
        <v>0</v>
      </c>
      <c r="O25" s="15">
        <f t="shared" si="0"/>
        <v>115</v>
      </c>
      <c r="P25" s="15">
        <f t="shared" si="1"/>
        <v>179</v>
      </c>
      <c r="R25" s="37" t="s">
        <v>85</v>
      </c>
      <c r="S25" s="35">
        <f t="shared" ref="S25:AF25" si="17">SUM(S10:S12)</f>
        <v>1054</v>
      </c>
      <c r="T25" s="16">
        <f t="shared" si="17"/>
        <v>431</v>
      </c>
      <c r="U25" s="16">
        <f t="shared" si="17"/>
        <v>277</v>
      </c>
      <c r="V25" s="16">
        <f t="shared" si="17"/>
        <v>627</v>
      </c>
      <c r="W25" s="16">
        <f t="shared" si="17"/>
        <v>2</v>
      </c>
      <c r="X25" s="16">
        <f t="shared" si="17"/>
        <v>4</v>
      </c>
      <c r="Y25" s="16">
        <f t="shared" si="17"/>
        <v>32</v>
      </c>
      <c r="Z25" s="16">
        <f t="shared" si="17"/>
        <v>8</v>
      </c>
      <c r="AA25" s="16">
        <f t="shared" si="17"/>
        <v>3</v>
      </c>
      <c r="AB25" s="16">
        <f t="shared" si="17"/>
        <v>2</v>
      </c>
      <c r="AC25" s="16">
        <f t="shared" si="17"/>
        <v>1245</v>
      </c>
      <c r="AD25" s="16">
        <f t="shared" si="17"/>
        <v>0</v>
      </c>
      <c r="AE25" s="32">
        <f t="shared" si="17"/>
        <v>2440</v>
      </c>
      <c r="AF25" s="32">
        <f t="shared" si="17"/>
        <v>3685</v>
      </c>
    </row>
    <row r="26" spans="2:32" ht="23.1" customHeight="1" x14ac:dyDescent="0.25">
      <c r="B26" s="23" t="s">
        <v>53</v>
      </c>
      <c r="C26" s="50">
        <v>66</v>
      </c>
      <c r="D26" s="50">
        <v>13</v>
      </c>
      <c r="E26" s="50">
        <v>11</v>
      </c>
      <c r="F26" s="50">
        <v>28</v>
      </c>
      <c r="G26" s="50">
        <v>1</v>
      </c>
      <c r="H26" s="50">
        <v>0</v>
      </c>
      <c r="I26" s="50">
        <v>4</v>
      </c>
      <c r="J26" s="50">
        <v>5</v>
      </c>
      <c r="K26" s="50">
        <v>1</v>
      </c>
      <c r="L26" s="50">
        <v>0</v>
      </c>
      <c r="M26" s="50">
        <v>81</v>
      </c>
      <c r="N26" s="50">
        <v>0</v>
      </c>
      <c r="O26" s="15">
        <f t="shared" si="0"/>
        <v>129</v>
      </c>
      <c r="P26" s="15">
        <f t="shared" si="1"/>
        <v>210</v>
      </c>
      <c r="R26" s="28" t="s">
        <v>86</v>
      </c>
      <c r="S26" s="16">
        <f t="shared" ref="S26:AF26" si="18">SUM(S13:S18)</f>
        <v>1755</v>
      </c>
      <c r="T26" s="16">
        <f t="shared" si="18"/>
        <v>539</v>
      </c>
      <c r="U26" s="16">
        <f t="shared" si="18"/>
        <v>399</v>
      </c>
      <c r="V26" s="16">
        <f t="shared" si="18"/>
        <v>785</v>
      </c>
      <c r="W26" s="16">
        <f t="shared" si="18"/>
        <v>11</v>
      </c>
      <c r="X26" s="16">
        <f t="shared" si="18"/>
        <v>4</v>
      </c>
      <c r="Y26" s="16">
        <f t="shared" si="18"/>
        <v>26</v>
      </c>
      <c r="Z26" s="16">
        <f t="shared" si="18"/>
        <v>26</v>
      </c>
      <c r="AA26" s="16">
        <f t="shared" si="18"/>
        <v>3</v>
      </c>
      <c r="AB26" s="16">
        <f t="shared" si="18"/>
        <v>1</v>
      </c>
      <c r="AC26" s="16">
        <f t="shared" si="18"/>
        <v>1784</v>
      </c>
      <c r="AD26" s="16">
        <f t="shared" si="18"/>
        <v>1</v>
      </c>
      <c r="AE26" s="32">
        <f t="shared" si="18"/>
        <v>3550</v>
      </c>
      <c r="AF26" s="32">
        <f t="shared" si="18"/>
        <v>5334</v>
      </c>
    </row>
    <row r="27" spans="2:32" ht="23.1" customHeight="1" x14ac:dyDescent="0.25">
      <c r="B27" s="23" t="s">
        <v>54</v>
      </c>
      <c r="C27" s="50">
        <v>61</v>
      </c>
      <c r="D27" s="50">
        <v>6</v>
      </c>
      <c r="E27" s="50">
        <v>7</v>
      </c>
      <c r="F27" s="50">
        <v>41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72</v>
      </c>
      <c r="N27" s="50">
        <v>1</v>
      </c>
      <c r="O27" s="15">
        <f t="shared" si="0"/>
        <v>116</v>
      </c>
      <c r="P27" s="15">
        <f t="shared" si="1"/>
        <v>188</v>
      </c>
      <c r="R27" s="29" t="s">
        <v>87</v>
      </c>
      <c r="S27" s="16">
        <f t="shared" ref="S27:AF27" si="19">SUM(S19:S21)</f>
        <v>1096</v>
      </c>
      <c r="T27" s="16">
        <f t="shared" si="19"/>
        <v>366</v>
      </c>
      <c r="U27" s="16">
        <f t="shared" si="19"/>
        <v>270</v>
      </c>
      <c r="V27" s="16">
        <f t="shared" si="19"/>
        <v>360</v>
      </c>
      <c r="W27" s="16">
        <f t="shared" si="19"/>
        <v>7</v>
      </c>
      <c r="X27" s="16">
        <f t="shared" si="19"/>
        <v>1</v>
      </c>
      <c r="Y27" s="16">
        <f t="shared" si="19"/>
        <v>28</v>
      </c>
      <c r="Z27" s="16">
        <f t="shared" si="19"/>
        <v>12</v>
      </c>
      <c r="AA27" s="16">
        <f t="shared" si="19"/>
        <v>2</v>
      </c>
      <c r="AB27" s="16">
        <f t="shared" si="19"/>
        <v>2</v>
      </c>
      <c r="AC27" s="16">
        <f t="shared" si="19"/>
        <v>1052</v>
      </c>
      <c r="AD27" s="16">
        <f t="shared" si="19"/>
        <v>1</v>
      </c>
      <c r="AE27" s="32">
        <f t="shared" si="19"/>
        <v>2145</v>
      </c>
      <c r="AF27" s="32">
        <f t="shared" si="19"/>
        <v>3197</v>
      </c>
    </row>
    <row r="28" spans="2:32" ht="23.1" customHeight="1" x14ac:dyDescent="0.25">
      <c r="B28" s="23" t="s">
        <v>55</v>
      </c>
      <c r="C28" s="50">
        <v>65</v>
      </c>
      <c r="D28" s="50">
        <v>12</v>
      </c>
      <c r="E28" s="50">
        <v>11</v>
      </c>
      <c r="F28" s="50">
        <v>37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67</v>
      </c>
      <c r="N28" s="50">
        <v>0</v>
      </c>
      <c r="O28" s="15">
        <f t="shared" si="0"/>
        <v>126</v>
      </c>
      <c r="P28" s="15">
        <f t="shared" si="1"/>
        <v>193</v>
      </c>
      <c r="R28" s="5" t="s">
        <v>17</v>
      </c>
      <c r="S28" s="16">
        <f t="shared" ref="S28:AF28" si="20">SUM(S10:S21)</f>
        <v>3905</v>
      </c>
      <c r="T28" s="16">
        <f t="shared" si="20"/>
        <v>1336</v>
      </c>
      <c r="U28" s="16">
        <f t="shared" si="20"/>
        <v>946</v>
      </c>
      <c r="V28" s="16">
        <f t="shared" si="20"/>
        <v>1772</v>
      </c>
      <c r="W28" s="16">
        <f t="shared" si="20"/>
        <v>20</v>
      </c>
      <c r="X28" s="16">
        <f t="shared" si="20"/>
        <v>9</v>
      </c>
      <c r="Y28" s="16">
        <f t="shared" si="20"/>
        <v>86</v>
      </c>
      <c r="Z28" s="16">
        <f t="shared" si="20"/>
        <v>46</v>
      </c>
      <c r="AA28" s="16">
        <f t="shared" si="20"/>
        <v>8</v>
      </c>
      <c r="AB28" s="16">
        <f t="shared" si="20"/>
        <v>5</v>
      </c>
      <c r="AC28" s="16">
        <f t="shared" si="20"/>
        <v>4081</v>
      </c>
      <c r="AD28" s="16">
        <f t="shared" si="20"/>
        <v>2</v>
      </c>
      <c r="AE28" s="32">
        <f t="shared" si="20"/>
        <v>8135</v>
      </c>
      <c r="AF28" s="32">
        <f t="shared" si="20"/>
        <v>12216</v>
      </c>
    </row>
    <row r="29" spans="2:32" ht="23.1" customHeight="1" x14ac:dyDescent="0.25">
      <c r="B29" s="23" t="s">
        <v>56</v>
      </c>
      <c r="C29" s="50">
        <v>56</v>
      </c>
      <c r="D29" s="50">
        <v>18</v>
      </c>
      <c r="E29" s="50">
        <v>6</v>
      </c>
      <c r="F29" s="50">
        <v>33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68</v>
      </c>
      <c r="N29" s="50">
        <v>0</v>
      </c>
      <c r="O29" s="15">
        <f t="shared" si="0"/>
        <v>115</v>
      </c>
      <c r="P29" s="15">
        <f t="shared" si="1"/>
        <v>183</v>
      </c>
      <c r="R29"/>
      <c r="S29" s="20"/>
      <c r="T29" s="19"/>
    </row>
    <row r="30" spans="2:32" ht="23.1" customHeight="1" x14ac:dyDescent="0.25">
      <c r="B30" s="23" t="s">
        <v>57</v>
      </c>
      <c r="C30" s="50">
        <v>76</v>
      </c>
      <c r="D30" s="50">
        <v>18</v>
      </c>
      <c r="E30" s="50">
        <v>12</v>
      </c>
      <c r="F30" s="50">
        <v>41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77</v>
      </c>
      <c r="N30" s="50">
        <v>0</v>
      </c>
      <c r="O30" s="15">
        <f t="shared" si="0"/>
        <v>150</v>
      </c>
      <c r="P30" s="15">
        <f t="shared" si="1"/>
        <v>227</v>
      </c>
    </row>
    <row r="31" spans="2:32" ht="23.1" customHeight="1" x14ac:dyDescent="0.25">
      <c r="B31" s="24" t="s">
        <v>58</v>
      </c>
      <c r="C31" s="50">
        <v>71</v>
      </c>
      <c r="D31" s="50">
        <v>23</v>
      </c>
      <c r="E31" s="50">
        <v>17</v>
      </c>
      <c r="F31" s="50">
        <v>32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68</v>
      </c>
      <c r="N31" s="50">
        <v>0</v>
      </c>
      <c r="O31" s="15">
        <f t="shared" si="0"/>
        <v>143</v>
      </c>
      <c r="P31" s="15">
        <f t="shared" si="1"/>
        <v>211</v>
      </c>
    </row>
    <row r="32" spans="2:32" ht="23.1" customHeight="1" x14ac:dyDescent="0.25">
      <c r="B32" s="24" t="s">
        <v>59</v>
      </c>
      <c r="C32" s="50">
        <v>82</v>
      </c>
      <c r="D32" s="50">
        <v>17</v>
      </c>
      <c r="E32" s="50">
        <v>16</v>
      </c>
      <c r="F32" s="50">
        <v>29</v>
      </c>
      <c r="G32" s="50">
        <v>3</v>
      </c>
      <c r="H32" s="50">
        <v>3</v>
      </c>
      <c r="I32" s="50">
        <v>0</v>
      </c>
      <c r="J32" s="50">
        <v>1</v>
      </c>
      <c r="K32" s="50">
        <v>1</v>
      </c>
      <c r="L32" s="50">
        <v>0</v>
      </c>
      <c r="M32" s="50">
        <v>72</v>
      </c>
      <c r="N32" s="50">
        <v>0</v>
      </c>
      <c r="O32" s="15">
        <f t="shared" si="0"/>
        <v>152</v>
      </c>
      <c r="P32" s="15">
        <f t="shared" si="1"/>
        <v>224</v>
      </c>
    </row>
    <row r="33" spans="2:20" ht="23.1" customHeight="1" x14ac:dyDescent="0.25">
      <c r="B33" s="23" t="s">
        <v>60</v>
      </c>
      <c r="C33" s="50">
        <v>78</v>
      </c>
      <c r="D33" s="50">
        <v>26</v>
      </c>
      <c r="E33" s="50">
        <v>26</v>
      </c>
      <c r="F33" s="50">
        <v>32</v>
      </c>
      <c r="G33" s="50">
        <v>3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76</v>
      </c>
      <c r="N33" s="50">
        <v>0</v>
      </c>
      <c r="O33" s="15">
        <f t="shared" si="0"/>
        <v>167</v>
      </c>
      <c r="P33" s="15">
        <f t="shared" si="1"/>
        <v>243</v>
      </c>
    </row>
    <row r="34" spans="2:20" ht="23.1" customHeight="1" x14ac:dyDescent="0.25">
      <c r="B34" s="24" t="s">
        <v>61</v>
      </c>
      <c r="C34" s="50">
        <v>97</v>
      </c>
      <c r="D34" s="50">
        <v>26</v>
      </c>
      <c r="E34" s="50">
        <v>21</v>
      </c>
      <c r="F34" s="50">
        <v>47</v>
      </c>
      <c r="G34" s="50">
        <v>1</v>
      </c>
      <c r="H34" s="50">
        <v>0</v>
      </c>
      <c r="I34" s="50">
        <v>3</v>
      </c>
      <c r="J34" s="50">
        <v>2</v>
      </c>
      <c r="K34" s="50">
        <v>0</v>
      </c>
      <c r="L34" s="50">
        <v>0</v>
      </c>
      <c r="M34" s="50">
        <v>78</v>
      </c>
      <c r="N34" s="50">
        <v>0</v>
      </c>
      <c r="O34" s="15">
        <f t="shared" si="0"/>
        <v>197</v>
      </c>
      <c r="P34" s="15">
        <f t="shared" si="1"/>
        <v>275</v>
      </c>
    </row>
    <row r="35" spans="2:20" ht="23.1" customHeight="1" x14ac:dyDescent="0.25">
      <c r="B35" s="24" t="s">
        <v>62</v>
      </c>
      <c r="C35" s="50">
        <v>83</v>
      </c>
      <c r="D35" s="50">
        <v>21</v>
      </c>
      <c r="E35" s="50">
        <v>16</v>
      </c>
      <c r="F35" s="50">
        <v>32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61</v>
      </c>
      <c r="N35" s="50">
        <v>0</v>
      </c>
      <c r="O35" s="15">
        <f t="shared" si="0"/>
        <v>153</v>
      </c>
      <c r="P35" s="15">
        <f t="shared" si="1"/>
        <v>214</v>
      </c>
    </row>
    <row r="36" spans="2:20" ht="23.1" customHeight="1" x14ac:dyDescent="0.25">
      <c r="B36" s="24" t="s">
        <v>63</v>
      </c>
      <c r="C36" s="50">
        <v>51</v>
      </c>
      <c r="D36" s="50">
        <v>16</v>
      </c>
      <c r="E36" s="50">
        <v>22</v>
      </c>
      <c r="F36" s="50">
        <v>23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56</v>
      </c>
      <c r="N36" s="50">
        <v>0</v>
      </c>
      <c r="O36" s="15">
        <f t="shared" si="0"/>
        <v>113</v>
      </c>
      <c r="P36" s="15">
        <f t="shared" si="1"/>
        <v>169</v>
      </c>
    </row>
    <row r="37" spans="2:20" ht="23.1" customHeight="1" x14ac:dyDescent="0.25">
      <c r="B37" s="23" t="s">
        <v>64</v>
      </c>
      <c r="C37" s="50">
        <v>48</v>
      </c>
      <c r="D37" s="50">
        <v>18</v>
      </c>
      <c r="E37" s="50">
        <v>17</v>
      </c>
      <c r="F37" s="50">
        <v>17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0</v>
      </c>
      <c r="M37" s="50">
        <v>44</v>
      </c>
      <c r="N37" s="50">
        <v>0</v>
      </c>
      <c r="O37" s="15">
        <f t="shared" si="0"/>
        <v>103</v>
      </c>
      <c r="P37" s="15">
        <f t="shared" si="1"/>
        <v>147</v>
      </c>
    </row>
    <row r="38" spans="2:20" ht="23.1" customHeight="1" x14ac:dyDescent="0.25">
      <c r="B38" s="24" t="s">
        <v>65</v>
      </c>
      <c r="C38" s="50">
        <v>63</v>
      </c>
      <c r="D38" s="50">
        <v>21</v>
      </c>
      <c r="E38" s="50">
        <v>13</v>
      </c>
      <c r="F38" s="50">
        <v>31</v>
      </c>
      <c r="G38" s="50">
        <v>1</v>
      </c>
      <c r="H38" s="50">
        <v>1</v>
      </c>
      <c r="I38" s="50">
        <v>1</v>
      </c>
      <c r="J38" s="50">
        <v>0</v>
      </c>
      <c r="K38" s="50">
        <v>0</v>
      </c>
      <c r="L38" s="50">
        <v>0</v>
      </c>
      <c r="M38" s="50">
        <v>73</v>
      </c>
      <c r="N38" s="50">
        <v>0</v>
      </c>
      <c r="O38" s="15">
        <f t="shared" si="0"/>
        <v>131</v>
      </c>
      <c r="P38" s="15">
        <f t="shared" si="1"/>
        <v>204</v>
      </c>
    </row>
    <row r="39" spans="2:20" ht="23.1" customHeight="1" x14ac:dyDescent="0.25">
      <c r="B39" s="24" t="s">
        <v>66</v>
      </c>
      <c r="C39" s="50">
        <v>67</v>
      </c>
      <c r="D39" s="50">
        <v>23</v>
      </c>
      <c r="E39" s="50">
        <v>17</v>
      </c>
      <c r="F39" s="50">
        <v>36</v>
      </c>
      <c r="G39" s="50">
        <v>1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76</v>
      </c>
      <c r="N39" s="50">
        <v>0</v>
      </c>
      <c r="O39" s="15">
        <f t="shared" si="0"/>
        <v>146</v>
      </c>
      <c r="P39" s="15">
        <f t="shared" si="1"/>
        <v>222</v>
      </c>
    </row>
    <row r="40" spans="2:20" ht="23.1" customHeight="1" x14ac:dyDescent="0.25">
      <c r="B40" s="24" t="s">
        <v>67</v>
      </c>
      <c r="C40" s="50">
        <v>63</v>
      </c>
      <c r="D40" s="50">
        <v>26</v>
      </c>
      <c r="E40" s="50">
        <v>21</v>
      </c>
      <c r="F40" s="50">
        <v>31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91</v>
      </c>
      <c r="N40" s="50">
        <v>0</v>
      </c>
      <c r="O40" s="15">
        <f t="shared" si="0"/>
        <v>142</v>
      </c>
      <c r="P40" s="15">
        <f t="shared" si="1"/>
        <v>233</v>
      </c>
    </row>
    <row r="41" spans="2:20" ht="23.1" customHeight="1" x14ac:dyDescent="0.25">
      <c r="B41" s="23" t="s">
        <v>68</v>
      </c>
      <c r="C41" s="50">
        <v>82</v>
      </c>
      <c r="D41" s="50">
        <v>13</v>
      </c>
      <c r="E41" s="50">
        <v>16</v>
      </c>
      <c r="F41" s="50">
        <v>26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81</v>
      </c>
      <c r="N41" s="50">
        <v>0</v>
      </c>
      <c r="O41" s="15">
        <f t="shared" si="0"/>
        <v>138</v>
      </c>
      <c r="P41" s="15">
        <f t="shared" si="1"/>
        <v>219</v>
      </c>
    </row>
    <row r="42" spans="2:20" ht="23.1" customHeight="1" x14ac:dyDescent="0.25">
      <c r="B42" s="24" t="s">
        <v>69</v>
      </c>
      <c r="C42" s="50">
        <v>103</v>
      </c>
      <c r="D42" s="50">
        <v>36</v>
      </c>
      <c r="E42" s="50">
        <v>27</v>
      </c>
      <c r="F42" s="50">
        <v>47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1</v>
      </c>
      <c r="M42" s="50">
        <v>97</v>
      </c>
      <c r="N42" s="50">
        <v>0</v>
      </c>
      <c r="O42" s="15">
        <f t="shared" si="0"/>
        <v>216</v>
      </c>
      <c r="P42" s="15">
        <f t="shared" si="1"/>
        <v>313</v>
      </c>
    </row>
    <row r="43" spans="2:20" ht="23.1" customHeight="1" x14ac:dyDescent="0.25">
      <c r="B43" s="23" t="s">
        <v>70</v>
      </c>
      <c r="C43" s="50">
        <v>97</v>
      </c>
      <c r="D43" s="50">
        <v>29</v>
      </c>
      <c r="E43" s="50">
        <v>26</v>
      </c>
      <c r="F43" s="50">
        <v>33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88</v>
      </c>
      <c r="N43" s="50">
        <v>0</v>
      </c>
      <c r="O43" s="15">
        <f t="shared" si="0"/>
        <v>185</v>
      </c>
      <c r="P43" s="15">
        <f t="shared" si="1"/>
        <v>273</v>
      </c>
    </row>
    <row r="44" spans="2:20" ht="23.1" customHeight="1" x14ac:dyDescent="0.25">
      <c r="B44" s="25" t="s">
        <v>71</v>
      </c>
      <c r="C44" s="50">
        <v>91</v>
      </c>
      <c r="D44" s="50">
        <v>32</v>
      </c>
      <c r="E44" s="50">
        <v>21</v>
      </c>
      <c r="F44" s="50">
        <v>32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101</v>
      </c>
      <c r="N44" s="50">
        <v>0</v>
      </c>
      <c r="O44" s="15">
        <f t="shared" si="0"/>
        <v>176</v>
      </c>
      <c r="P44" s="15">
        <f t="shared" si="1"/>
        <v>277</v>
      </c>
    </row>
    <row r="45" spans="2:20" ht="23.1" customHeight="1" x14ac:dyDescent="0.25">
      <c r="B45" s="23" t="s">
        <v>72</v>
      </c>
      <c r="C45" s="50">
        <v>86</v>
      </c>
      <c r="D45" s="50">
        <v>46</v>
      </c>
      <c r="E45" s="50">
        <v>31</v>
      </c>
      <c r="F45" s="50">
        <v>38</v>
      </c>
      <c r="G45" s="50">
        <v>0</v>
      </c>
      <c r="H45" s="50">
        <v>0</v>
      </c>
      <c r="I45" s="50">
        <v>1</v>
      </c>
      <c r="J45" s="50">
        <v>3</v>
      </c>
      <c r="K45" s="50">
        <v>0</v>
      </c>
      <c r="L45" s="50">
        <v>0</v>
      </c>
      <c r="M45" s="50">
        <v>84</v>
      </c>
      <c r="N45" s="50">
        <v>0</v>
      </c>
      <c r="O45" s="15">
        <f t="shared" si="0"/>
        <v>205</v>
      </c>
      <c r="P45" s="15">
        <f t="shared" si="1"/>
        <v>289</v>
      </c>
    </row>
    <row r="46" spans="2:20" ht="23.1" customHeight="1" x14ac:dyDescent="0.25">
      <c r="B46" s="24" t="s">
        <v>73</v>
      </c>
      <c r="C46" s="50">
        <v>83</v>
      </c>
      <c r="D46" s="50">
        <v>18</v>
      </c>
      <c r="E46" s="50">
        <v>21</v>
      </c>
      <c r="F46" s="50">
        <v>36</v>
      </c>
      <c r="G46" s="50">
        <v>1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96</v>
      </c>
      <c r="N46" s="50">
        <v>0</v>
      </c>
      <c r="O46" s="15">
        <f t="shared" si="0"/>
        <v>160</v>
      </c>
      <c r="P46" s="15">
        <f t="shared" si="1"/>
        <v>256</v>
      </c>
      <c r="R46" s="8"/>
      <c r="T46"/>
    </row>
    <row r="47" spans="2:20" ht="23.1" customHeight="1" x14ac:dyDescent="0.25">
      <c r="B47" s="24" t="s">
        <v>74</v>
      </c>
      <c r="C47" s="50">
        <v>97</v>
      </c>
      <c r="D47" s="50">
        <v>24</v>
      </c>
      <c r="E47" s="50">
        <v>28</v>
      </c>
      <c r="F47" s="50">
        <v>41</v>
      </c>
      <c r="G47" s="50">
        <v>1</v>
      </c>
      <c r="H47" s="50">
        <v>0</v>
      </c>
      <c r="I47" s="50">
        <v>4</v>
      </c>
      <c r="J47" s="50">
        <v>1</v>
      </c>
      <c r="K47" s="50">
        <v>1</v>
      </c>
      <c r="L47" s="50">
        <v>1</v>
      </c>
      <c r="M47" s="50">
        <v>96</v>
      </c>
      <c r="N47" s="50">
        <v>0</v>
      </c>
      <c r="O47" s="15">
        <f t="shared" si="0"/>
        <v>198</v>
      </c>
      <c r="P47" s="15">
        <f t="shared" si="1"/>
        <v>294</v>
      </c>
      <c r="R47" s="8"/>
      <c r="T47"/>
    </row>
    <row r="48" spans="2:20" ht="23.1" customHeight="1" x14ac:dyDescent="0.25">
      <c r="B48" s="24" t="s">
        <v>75</v>
      </c>
      <c r="C48" s="50">
        <v>142</v>
      </c>
      <c r="D48" s="50">
        <v>46</v>
      </c>
      <c r="E48" s="50">
        <v>29</v>
      </c>
      <c r="F48" s="50">
        <v>48</v>
      </c>
      <c r="G48" s="50">
        <v>0</v>
      </c>
      <c r="H48" s="50">
        <v>0</v>
      </c>
      <c r="I48" s="50">
        <v>4</v>
      </c>
      <c r="J48" s="50">
        <v>3</v>
      </c>
      <c r="K48" s="50">
        <v>0</v>
      </c>
      <c r="L48" s="50">
        <v>0</v>
      </c>
      <c r="M48" s="50">
        <v>128</v>
      </c>
      <c r="N48" s="50">
        <v>1</v>
      </c>
      <c r="O48" s="15">
        <f t="shared" si="0"/>
        <v>273</v>
      </c>
      <c r="P48" s="15">
        <f t="shared" si="1"/>
        <v>401</v>
      </c>
      <c r="R48" s="8"/>
      <c r="T48"/>
    </row>
    <row r="49" spans="2:20" ht="23.1" customHeight="1" x14ac:dyDescent="0.25">
      <c r="B49" s="23" t="s">
        <v>76</v>
      </c>
      <c r="C49" s="50">
        <v>136</v>
      </c>
      <c r="D49" s="50">
        <v>51</v>
      </c>
      <c r="E49" s="50">
        <v>21</v>
      </c>
      <c r="F49" s="50">
        <v>17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1</v>
      </c>
      <c r="M49" s="50">
        <v>112</v>
      </c>
      <c r="N49" s="50">
        <v>0</v>
      </c>
      <c r="O49" s="15">
        <f t="shared" si="0"/>
        <v>227</v>
      </c>
      <c r="P49" s="15">
        <f t="shared" si="1"/>
        <v>339</v>
      </c>
      <c r="R49" s="8"/>
      <c r="T49"/>
    </row>
    <row r="50" spans="2:20" ht="23.1" customHeight="1" x14ac:dyDescent="0.25">
      <c r="B50" s="24" t="s">
        <v>77</v>
      </c>
      <c r="C50" s="50">
        <v>106</v>
      </c>
      <c r="D50" s="50">
        <v>38</v>
      </c>
      <c r="E50" s="50">
        <v>26</v>
      </c>
      <c r="F50" s="50">
        <v>42</v>
      </c>
      <c r="G50" s="50">
        <v>0</v>
      </c>
      <c r="H50" s="50">
        <v>0</v>
      </c>
      <c r="I50" s="50">
        <v>3</v>
      </c>
      <c r="J50" s="50">
        <v>1</v>
      </c>
      <c r="K50" s="50">
        <v>0</v>
      </c>
      <c r="L50" s="50">
        <v>0</v>
      </c>
      <c r="M50" s="50">
        <v>97</v>
      </c>
      <c r="N50" s="50">
        <v>0</v>
      </c>
      <c r="O50" s="15">
        <f t="shared" si="0"/>
        <v>216</v>
      </c>
      <c r="P50" s="15">
        <f t="shared" si="1"/>
        <v>313</v>
      </c>
      <c r="R50" s="8"/>
      <c r="T50"/>
    </row>
    <row r="51" spans="2:20" ht="23.1" customHeight="1" x14ac:dyDescent="0.25">
      <c r="B51" s="24" t="s">
        <v>78</v>
      </c>
      <c r="C51" s="50">
        <v>87</v>
      </c>
      <c r="D51" s="50">
        <v>31</v>
      </c>
      <c r="E51" s="50">
        <v>31</v>
      </c>
      <c r="F51" s="50">
        <v>28</v>
      </c>
      <c r="G51" s="50">
        <v>0</v>
      </c>
      <c r="H51" s="50">
        <v>0</v>
      </c>
      <c r="I51" s="50">
        <v>1</v>
      </c>
      <c r="J51" s="50">
        <v>2</v>
      </c>
      <c r="K51" s="50">
        <v>0</v>
      </c>
      <c r="L51" s="50">
        <v>0</v>
      </c>
      <c r="M51" s="50">
        <v>81</v>
      </c>
      <c r="N51" s="50">
        <v>0</v>
      </c>
      <c r="O51" s="15">
        <f t="shared" si="0"/>
        <v>180</v>
      </c>
      <c r="P51" s="15">
        <f t="shared" si="1"/>
        <v>261</v>
      </c>
      <c r="R51" s="8"/>
      <c r="T51"/>
    </row>
    <row r="52" spans="2:20" ht="23.1" customHeight="1" x14ac:dyDescent="0.25">
      <c r="B52" s="24" t="s">
        <v>79</v>
      </c>
      <c r="C52" s="50">
        <v>92</v>
      </c>
      <c r="D52" s="50">
        <v>36</v>
      </c>
      <c r="E52" s="50">
        <v>21</v>
      </c>
      <c r="F52" s="50">
        <v>25</v>
      </c>
      <c r="G52" s="50">
        <v>2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91</v>
      </c>
      <c r="N52" s="50">
        <v>0</v>
      </c>
      <c r="O52" s="15">
        <f t="shared" si="0"/>
        <v>180</v>
      </c>
      <c r="P52" s="15">
        <f t="shared" si="1"/>
        <v>271</v>
      </c>
      <c r="R52" s="8"/>
      <c r="T52"/>
    </row>
    <row r="53" spans="2:20" ht="23.1" customHeight="1" x14ac:dyDescent="0.25">
      <c r="B53" s="23" t="s">
        <v>80</v>
      </c>
      <c r="C53" s="50">
        <v>89</v>
      </c>
      <c r="D53" s="50">
        <v>32</v>
      </c>
      <c r="E53" s="50">
        <v>26</v>
      </c>
      <c r="F53" s="50">
        <v>40</v>
      </c>
      <c r="G53" s="50">
        <v>1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96</v>
      </c>
      <c r="N53" s="50">
        <v>0</v>
      </c>
      <c r="O53" s="15">
        <f t="shared" si="0"/>
        <v>192</v>
      </c>
      <c r="P53" s="15">
        <f t="shared" si="1"/>
        <v>288</v>
      </c>
      <c r="R53" s="8"/>
      <c r="T53"/>
    </row>
    <row r="54" spans="2:20" ht="23.1" customHeight="1" x14ac:dyDescent="0.25">
      <c r="B54" s="23" t="s">
        <v>81</v>
      </c>
      <c r="C54" s="50">
        <v>83</v>
      </c>
      <c r="D54" s="50">
        <v>27</v>
      </c>
      <c r="E54" s="50">
        <v>16</v>
      </c>
      <c r="F54" s="50">
        <v>21</v>
      </c>
      <c r="G54" s="50">
        <v>1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60</v>
      </c>
      <c r="N54" s="50">
        <v>0</v>
      </c>
      <c r="O54" s="15">
        <f t="shared" si="0"/>
        <v>152</v>
      </c>
      <c r="P54" s="15">
        <f t="shared" si="1"/>
        <v>212</v>
      </c>
      <c r="R54" s="8"/>
      <c r="T54"/>
    </row>
    <row r="55" spans="2:20" ht="23.1" customHeight="1" x14ac:dyDescent="0.25">
      <c r="B55" s="23" t="s">
        <v>82</v>
      </c>
      <c r="C55" s="50">
        <v>67</v>
      </c>
      <c r="D55" s="50">
        <v>26</v>
      </c>
      <c r="E55" s="50">
        <v>19</v>
      </c>
      <c r="F55" s="50">
        <v>16</v>
      </c>
      <c r="G55" s="50">
        <v>0</v>
      </c>
      <c r="H55" s="50">
        <v>0</v>
      </c>
      <c r="I55" s="50">
        <v>2</v>
      </c>
      <c r="J55" s="50">
        <v>2</v>
      </c>
      <c r="K55" s="50">
        <v>0</v>
      </c>
      <c r="L55" s="50">
        <v>0</v>
      </c>
      <c r="M55" s="50">
        <v>63</v>
      </c>
      <c r="N55" s="50">
        <v>0</v>
      </c>
      <c r="O55" s="15">
        <f t="shared" si="0"/>
        <v>132</v>
      </c>
      <c r="P55" s="15">
        <f t="shared" si="1"/>
        <v>195</v>
      </c>
      <c r="R55" s="8"/>
      <c r="T55"/>
    </row>
    <row r="56" spans="2:20" ht="23.1" customHeight="1" x14ac:dyDescent="0.25">
      <c r="B56" s="23" t="s">
        <v>83</v>
      </c>
      <c r="C56" s="50">
        <v>62</v>
      </c>
      <c r="D56" s="50">
        <v>22</v>
      </c>
      <c r="E56" s="50">
        <v>20</v>
      </c>
      <c r="F56" s="50">
        <v>26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71</v>
      </c>
      <c r="N56" s="50">
        <v>0</v>
      </c>
      <c r="O56" s="15">
        <f t="shared" si="0"/>
        <v>131</v>
      </c>
      <c r="P56" s="15">
        <f t="shared" si="1"/>
        <v>202</v>
      </c>
      <c r="R56" s="8"/>
      <c r="T56"/>
    </row>
    <row r="57" spans="2:20" ht="23.1" customHeight="1" x14ac:dyDescent="0.25">
      <c r="B57" s="23" t="s">
        <v>84</v>
      </c>
      <c r="C57" s="50">
        <v>52</v>
      </c>
      <c r="D57" s="50">
        <v>15</v>
      </c>
      <c r="E57" s="50">
        <v>12</v>
      </c>
      <c r="F57" s="50">
        <v>20</v>
      </c>
      <c r="G57" s="50">
        <v>1</v>
      </c>
      <c r="H57" s="50">
        <v>1</v>
      </c>
      <c r="I57" s="50">
        <v>2</v>
      </c>
      <c r="J57" s="50">
        <v>0</v>
      </c>
      <c r="K57" s="50">
        <v>1</v>
      </c>
      <c r="L57" s="50">
        <v>0</v>
      </c>
      <c r="M57" s="50">
        <v>61</v>
      </c>
      <c r="N57" s="50">
        <v>0</v>
      </c>
      <c r="O57" s="15">
        <f t="shared" si="0"/>
        <v>104</v>
      </c>
      <c r="P57" s="15">
        <f t="shared" si="1"/>
        <v>165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3905</v>
      </c>
      <c r="D58" s="16">
        <f t="shared" si="21"/>
        <v>1336</v>
      </c>
      <c r="E58" s="16">
        <f t="shared" si="21"/>
        <v>946</v>
      </c>
      <c r="F58" s="16">
        <f t="shared" si="21"/>
        <v>1772</v>
      </c>
      <c r="G58" s="16">
        <f t="shared" si="21"/>
        <v>20</v>
      </c>
      <c r="H58" s="16">
        <f t="shared" si="21"/>
        <v>9</v>
      </c>
      <c r="I58" s="16">
        <f t="shared" si="21"/>
        <v>86</v>
      </c>
      <c r="J58" s="16">
        <f t="shared" si="21"/>
        <v>46</v>
      </c>
      <c r="K58" s="16">
        <f t="shared" si="21"/>
        <v>8</v>
      </c>
      <c r="L58" s="16">
        <f t="shared" si="21"/>
        <v>5</v>
      </c>
      <c r="M58" s="16">
        <f t="shared" si="21"/>
        <v>4081</v>
      </c>
      <c r="N58" s="16">
        <f t="shared" si="21"/>
        <v>2</v>
      </c>
      <c r="O58" s="16">
        <f t="shared" si="21"/>
        <v>8135</v>
      </c>
      <c r="P58" s="16">
        <f t="shared" si="21"/>
        <v>12216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0.3196627373935822</v>
      </c>
      <c r="D59" s="43">
        <f t="shared" si="22"/>
        <v>0.10936476751800916</v>
      </c>
      <c r="E59" s="43">
        <f t="shared" si="22"/>
        <v>7.7439423706614274E-2</v>
      </c>
      <c r="F59" s="43">
        <f t="shared" si="22"/>
        <v>0.14505566470203013</v>
      </c>
      <c r="G59" s="43">
        <f t="shared" si="22"/>
        <v>1.6371971185330713E-3</v>
      </c>
      <c r="H59" s="43">
        <f t="shared" si="22"/>
        <v>7.3673870333988212E-4</v>
      </c>
      <c r="I59" s="43">
        <f t="shared" si="22"/>
        <v>7.0399476096922068E-3</v>
      </c>
      <c r="J59" s="43">
        <f t="shared" si="22"/>
        <v>3.7655533726260642E-3</v>
      </c>
      <c r="K59" s="43">
        <f t="shared" si="22"/>
        <v>6.5487884741322858E-4</v>
      </c>
      <c r="L59" s="43">
        <f t="shared" si="22"/>
        <v>4.0929927963326783E-4</v>
      </c>
      <c r="M59" s="43">
        <f t="shared" si="22"/>
        <v>0.33407007203667322</v>
      </c>
      <c r="N59" s="43">
        <f t="shared" si="22"/>
        <v>1.6371971185330714E-4</v>
      </c>
      <c r="R59" s="8"/>
      <c r="T59"/>
    </row>
    <row r="60" spans="2:20" ht="23.1" customHeight="1" x14ac:dyDescent="0.25">
      <c r="B60" s="42" t="s">
        <v>94</v>
      </c>
      <c r="C60" s="44">
        <f>C58/$O$58</f>
        <v>0.48002458512599877</v>
      </c>
      <c r="D60" s="44">
        <f t="shared" ref="D60:N60" si="23">D58/$O$58</f>
        <v>0.16422864167178858</v>
      </c>
      <c r="E60" s="44">
        <f t="shared" si="23"/>
        <v>0.11628764597418562</v>
      </c>
      <c r="F60" s="44">
        <f t="shared" si="23"/>
        <v>0.21782421634910878</v>
      </c>
      <c r="G60" s="44">
        <f t="shared" si="23"/>
        <v>2.4585125998770742E-3</v>
      </c>
      <c r="H60" s="44">
        <f t="shared" si="23"/>
        <v>1.1063306699446835E-3</v>
      </c>
      <c r="I60" s="44">
        <f t="shared" si="23"/>
        <v>1.057160417947142E-2</v>
      </c>
      <c r="J60" s="44">
        <f t="shared" si="23"/>
        <v>5.6545789797172712E-3</v>
      </c>
      <c r="K60" s="44">
        <f t="shared" si="23"/>
        <v>9.8340503995082967E-4</v>
      </c>
      <c r="L60" s="44">
        <f t="shared" si="23"/>
        <v>6.1462814996926854E-4</v>
      </c>
      <c r="M60" s="44"/>
      <c r="N60" s="44">
        <f t="shared" si="23"/>
        <v>2.4585125998770742E-4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Nakawa-Bugolobi'!C3:G3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Bugolobi-Nakawa'!D5</f>
        <v>02.08.19</v>
      </c>
      <c r="E5" s="3"/>
      <c r="F5" s="41" t="s">
        <v>1</v>
      </c>
      <c r="G5" s="63" t="str">
        <f>'02.08 Bugolobi-Nakawa'!G5:H5</f>
        <v>Business Park</v>
      </c>
      <c r="H5" s="64"/>
      <c r="I5" s="14"/>
      <c r="J5" s="2" t="s">
        <v>5</v>
      </c>
      <c r="K5" s="63" t="str">
        <f>'02.08 Bugolobi-Nakawa'!K5:L5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Nakawa-Bugolobi'!D6:E6</f>
        <v>Nakawa</v>
      </c>
      <c r="E6" s="64"/>
      <c r="F6" s="2" t="s">
        <v>2</v>
      </c>
      <c r="G6" s="63" t="str">
        <f>'29.07 Nakawa-Bugolobi'!G6:H6</f>
        <v>Bugolobi</v>
      </c>
      <c r="H6" s="64"/>
      <c r="J6" s="2" t="s">
        <v>21</v>
      </c>
      <c r="K6" s="63" t="str">
        <f>'02.08 Bugolobi-Nakawa'!K6:L6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15</v>
      </c>
      <c r="E10" s="50">
        <v>7</v>
      </c>
      <c r="F10" s="50">
        <v>17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65</v>
      </c>
      <c r="N10" s="50">
        <v>0</v>
      </c>
      <c r="O10" s="15">
        <f t="shared" ref="O10:O57" si="0">SUM(C10:L10,N10)</f>
        <v>69</v>
      </c>
      <c r="P10" s="15">
        <f t="shared" ref="P10:P57" si="1">SUM(C10:N10)</f>
        <v>134</v>
      </c>
      <c r="R10" s="1" t="s">
        <v>6</v>
      </c>
      <c r="S10" s="17">
        <f t="shared" ref="S10:AF10" si="2">SUM(C10:C13)</f>
        <v>219</v>
      </c>
      <c r="T10" s="17">
        <f t="shared" si="2"/>
        <v>113</v>
      </c>
      <c r="U10" s="17">
        <f t="shared" si="2"/>
        <v>47</v>
      </c>
      <c r="V10" s="17">
        <f t="shared" si="2"/>
        <v>176</v>
      </c>
      <c r="W10" s="17">
        <f t="shared" si="2"/>
        <v>3</v>
      </c>
      <c r="X10" s="17">
        <f t="shared" si="2"/>
        <v>1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338</v>
      </c>
      <c r="AD10" s="17">
        <f t="shared" si="2"/>
        <v>0</v>
      </c>
      <c r="AE10" s="31">
        <f t="shared" si="2"/>
        <v>560</v>
      </c>
      <c r="AF10" s="31">
        <f t="shared" si="2"/>
        <v>898</v>
      </c>
    </row>
    <row r="11" spans="2:32" s="6" customFormat="1" ht="23.1" customHeight="1" x14ac:dyDescent="0.25">
      <c r="B11" s="23" t="s">
        <v>38</v>
      </c>
      <c r="C11" s="50">
        <v>62</v>
      </c>
      <c r="D11" s="50">
        <v>13</v>
      </c>
      <c r="E11" s="50">
        <v>7</v>
      </c>
      <c r="F11" s="50">
        <v>36</v>
      </c>
      <c r="G11" s="50">
        <v>2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80</v>
      </c>
      <c r="N11" s="50">
        <v>0</v>
      </c>
      <c r="O11" s="15">
        <f t="shared" si="0"/>
        <v>120</v>
      </c>
      <c r="P11" s="15">
        <f t="shared" si="1"/>
        <v>200</v>
      </c>
      <c r="R11" s="1" t="s">
        <v>7</v>
      </c>
      <c r="S11" s="17">
        <f t="shared" ref="S11:AF11" si="3">SUM(C14:C17)</f>
        <v>344</v>
      </c>
      <c r="T11" s="17">
        <f t="shared" si="3"/>
        <v>106</v>
      </c>
      <c r="U11" s="17">
        <f t="shared" si="3"/>
        <v>98</v>
      </c>
      <c r="V11" s="17">
        <f t="shared" si="3"/>
        <v>109</v>
      </c>
      <c r="W11" s="17">
        <f t="shared" si="3"/>
        <v>2</v>
      </c>
      <c r="X11" s="17">
        <f t="shared" si="3"/>
        <v>0</v>
      </c>
      <c r="Y11" s="17">
        <f t="shared" si="3"/>
        <v>19</v>
      </c>
      <c r="Z11" s="17">
        <f t="shared" si="3"/>
        <v>1</v>
      </c>
      <c r="AA11" s="17">
        <f t="shared" si="3"/>
        <v>3</v>
      </c>
      <c r="AB11" s="17">
        <f t="shared" si="3"/>
        <v>0</v>
      </c>
      <c r="AC11" s="17">
        <f t="shared" si="3"/>
        <v>581</v>
      </c>
      <c r="AD11" s="17">
        <f t="shared" si="3"/>
        <v>0</v>
      </c>
      <c r="AE11" s="31">
        <f t="shared" si="3"/>
        <v>682</v>
      </c>
      <c r="AF11" s="31">
        <f t="shared" si="3"/>
        <v>1263</v>
      </c>
    </row>
    <row r="12" spans="2:32" ht="23.1" customHeight="1" x14ac:dyDescent="0.25">
      <c r="B12" s="23" t="s">
        <v>39</v>
      </c>
      <c r="C12" s="50">
        <v>60</v>
      </c>
      <c r="D12" s="50">
        <v>40</v>
      </c>
      <c r="E12" s="50">
        <v>10</v>
      </c>
      <c r="F12" s="50">
        <v>62</v>
      </c>
      <c r="G12" s="50">
        <v>1</v>
      </c>
      <c r="H12" s="50">
        <v>1</v>
      </c>
      <c r="I12" s="50">
        <v>0</v>
      </c>
      <c r="J12" s="50">
        <v>0</v>
      </c>
      <c r="K12" s="50">
        <v>0</v>
      </c>
      <c r="L12" s="50">
        <v>0</v>
      </c>
      <c r="M12" s="50">
        <v>80</v>
      </c>
      <c r="N12" s="50">
        <v>0</v>
      </c>
      <c r="O12" s="15">
        <f t="shared" si="0"/>
        <v>174</v>
      </c>
      <c r="P12" s="15">
        <f t="shared" si="1"/>
        <v>254</v>
      </c>
      <c r="R12" s="1" t="s">
        <v>8</v>
      </c>
      <c r="S12" s="17">
        <f t="shared" ref="S12:AF12" si="4">SUM(C18:C21)</f>
        <v>416</v>
      </c>
      <c r="T12" s="17">
        <f t="shared" si="4"/>
        <v>79</v>
      </c>
      <c r="U12" s="17">
        <f t="shared" si="4"/>
        <v>56</v>
      </c>
      <c r="V12" s="17">
        <f t="shared" si="4"/>
        <v>77</v>
      </c>
      <c r="W12" s="17">
        <f t="shared" si="4"/>
        <v>4</v>
      </c>
      <c r="X12" s="17">
        <f t="shared" si="4"/>
        <v>1</v>
      </c>
      <c r="Y12" s="17">
        <f t="shared" si="4"/>
        <v>17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731</v>
      </c>
      <c r="AD12" s="17">
        <f t="shared" si="4"/>
        <v>0</v>
      </c>
      <c r="AE12" s="31">
        <f t="shared" si="4"/>
        <v>652</v>
      </c>
      <c r="AF12" s="31">
        <f t="shared" si="4"/>
        <v>1383</v>
      </c>
    </row>
    <row r="13" spans="2:32" ht="23.1" customHeight="1" x14ac:dyDescent="0.25">
      <c r="B13" s="23" t="s">
        <v>40</v>
      </c>
      <c r="C13" s="50">
        <v>67</v>
      </c>
      <c r="D13" s="50">
        <v>45</v>
      </c>
      <c r="E13" s="50">
        <v>23</v>
      </c>
      <c r="F13" s="50">
        <v>61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113</v>
      </c>
      <c r="N13" s="50">
        <v>0</v>
      </c>
      <c r="O13" s="15">
        <f t="shared" si="0"/>
        <v>197</v>
      </c>
      <c r="P13" s="15">
        <f t="shared" si="1"/>
        <v>310</v>
      </c>
      <c r="R13" s="1" t="s">
        <v>9</v>
      </c>
      <c r="S13" s="17">
        <f t="shared" ref="S13:AF13" si="5">SUM(C22:C25)</f>
        <v>263</v>
      </c>
      <c r="T13" s="17">
        <f t="shared" si="5"/>
        <v>54</v>
      </c>
      <c r="U13" s="17">
        <f t="shared" si="5"/>
        <v>49</v>
      </c>
      <c r="V13" s="17">
        <f t="shared" si="5"/>
        <v>62</v>
      </c>
      <c r="W13" s="17">
        <f t="shared" si="5"/>
        <v>1</v>
      </c>
      <c r="X13" s="17">
        <f t="shared" si="5"/>
        <v>0</v>
      </c>
      <c r="Y13" s="17">
        <f t="shared" si="5"/>
        <v>10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515</v>
      </c>
      <c r="AD13" s="17">
        <f t="shared" si="5"/>
        <v>0</v>
      </c>
      <c r="AE13" s="31">
        <f t="shared" si="5"/>
        <v>441</v>
      </c>
      <c r="AF13" s="31">
        <f t="shared" si="5"/>
        <v>956</v>
      </c>
    </row>
    <row r="14" spans="2:32" ht="23.1" customHeight="1" x14ac:dyDescent="0.25">
      <c r="B14" s="23" t="s">
        <v>41</v>
      </c>
      <c r="C14" s="50">
        <v>73</v>
      </c>
      <c r="D14" s="50">
        <v>34</v>
      </c>
      <c r="E14" s="50">
        <v>22</v>
      </c>
      <c r="F14" s="50">
        <v>32</v>
      </c>
      <c r="G14" s="50">
        <v>0</v>
      </c>
      <c r="H14" s="50">
        <v>0</v>
      </c>
      <c r="I14" s="50">
        <v>13</v>
      </c>
      <c r="J14" s="50">
        <v>0</v>
      </c>
      <c r="K14" s="50">
        <v>0</v>
      </c>
      <c r="L14" s="50">
        <v>0</v>
      </c>
      <c r="M14" s="50">
        <v>114</v>
      </c>
      <c r="N14" s="50">
        <v>0</v>
      </c>
      <c r="O14" s="15">
        <f t="shared" si="0"/>
        <v>174</v>
      </c>
      <c r="P14" s="15">
        <f t="shared" si="1"/>
        <v>288</v>
      </c>
      <c r="R14" s="1" t="s">
        <v>10</v>
      </c>
      <c r="S14" s="17">
        <f t="shared" ref="S14:AF14" si="6">SUM(C26:C29)</f>
        <v>249</v>
      </c>
      <c r="T14" s="17">
        <f t="shared" si="6"/>
        <v>41</v>
      </c>
      <c r="U14" s="17">
        <f t="shared" si="6"/>
        <v>66</v>
      </c>
      <c r="V14" s="17">
        <f t="shared" si="6"/>
        <v>53</v>
      </c>
      <c r="W14" s="17">
        <f t="shared" si="6"/>
        <v>3</v>
      </c>
      <c r="X14" s="17">
        <f t="shared" si="6"/>
        <v>0</v>
      </c>
      <c r="Y14" s="17">
        <f t="shared" si="6"/>
        <v>8</v>
      </c>
      <c r="Z14" s="17">
        <f t="shared" si="6"/>
        <v>4</v>
      </c>
      <c r="AA14" s="17">
        <f t="shared" si="6"/>
        <v>0</v>
      </c>
      <c r="AB14" s="17">
        <f t="shared" si="6"/>
        <v>1</v>
      </c>
      <c r="AC14" s="17">
        <f t="shared" si="6"/>
        <v>421</v>
      </c>
      <c r="AD14" s="17">
        <f t="shared" si="6"/>
        <v>0</v>
      </c>
      <c r="AE14" s="31">
        <f t="shared" si="6"/>
        <v>425</v>
      </c>
      <c r="AF14" s="31">
        <f t="shared" si="6"/>
        <v>846</v>
      </c>
    </row>
    <row r="15" spans="2:32" ht="23.1" customHeight="1" x14ac:dyDescent="0.25">
      <c r="B15" s="23" t="s">
        <v>42</v>
      </c>
      <c r="C15" s="50">
        <v>110</v>
      </c>
      <c r="D15" s="50">
        <v>43</v>
      </c>
      <c r="E15" s="50">
        <v>27</v>
      </c>
      <c r="F15" s="50">
        <v>20</v>
      </c>
      <c r="G15" s="50">
        <v>2</v>
      </c>
      <c r="H15" s="50">
        <v>0</v>
      </c>
      <c r="I15" s="50">
        <v>1</v>
      </c>
      <c r="J15" s="50">
        <v>0</v>
      </c>
      <c r="K15" s="50">
        <v>1</v>
      </c>
      <c r="L15" s="50">
        <v>0</v>
      </c>
      <c r="M15" s="50">
        <v>125</v>
      </c>
      <c r="N15" s="50">
        <v>0</v>
      </c>
      <c r="O15" s="15">
        <f t="shared" si="0"/>
        <v>204</v>
      </c>
      <c r="P15" s="15">
        <f t="shared" si="1"/>
        <v>329</v>
      </c>
      <c r="R15" s="1" t="s">
        <v>11</v>
      </c>
      <c r="S15" s="17">
        <f t="shared" ref="S15:AF15" si="7">SUM(C30:C33)</f>
        <v>236</v>
      </c>
      <c r="T15" s="17">
        <f t="shared" si="7"/>
        <v>52</v>
      </c>
      <c r="U15" s="17">
        <f t="shared" si="7"/>
        <v>41</v>
      </c>
      <c r="V15" s="17">
        <f t="shared" si="7"/>
        <v>42</v>
      </c>
      <c r="W15" s="17">
        <f t="shared" si="7"/>
        <v>1</v>
      </c>
      <c r="X15" s="17">
        <f t="shared" si="7"/>
        <v>0</v>
      </c>
      <c r="Y15" s="17">
        <f t="shared" si="7"/>
        <v>4</v>
      </c>
      <c r="Z15" s="17">
        <f t="shared" si="7"/>
        <v>9</v>
      </c>
      <c r="AA15" s="17">
        <f t="shared" si="7"/>
        <v>0</v>
      </c>
      <c r="AB15" s="17">
        <f t="shared" si="7"/>
        <v>1</v>
      </c>
      <c r="AC15" s="17">
        <f t="shared" si="7"/>
        <v>397</v>
      </c>
      <c r="AD15" s="17">
        <f t="shared" si="7"/>
        <v>0</v>
      </c>
      <c r="AE15" s="31">
        <f t="shared" si="7"/>
        <v>386</v>
      </c>
      <c r="AF15" s="31">
        <f t="shared" si="7"/>
        <v>783</v>
      </c>
    </row>
    <row r="16" spans="2:32" ht="23.1" customHeight="1" x14ac:dyDescent="0.25">
      <c r="B16" s="23" t="s">
        <v>43</v>
      </c>
      <c r="C16" s="50">
        <v>102</v>
      </c>
      <c r="D16" s="50">
        <v>17</v>
      </c>
      <c r="E16" s="50">
        <v>28</v>
      </c>
      <c r="F16" s="50">
        <v>40</v>
      </c>
      <c r="G16" s="50">
        <v>0</v>
      </c>
      <c r="H16" s="50">
        <v>0</v>
      </c>
      <c r="I16" s="50">
        <v>0</v>
      </c>
      <c r="J16" s="50">
        <v>0</v>
      </c>
      <c r="K16" s="50">
        <v>2</v>
      </c>
      <c r="L16" s="50">
        <v>0</v>
      </c>
      <c r="M16" s="50">
        <v>155</v>
      </c>
      <c r="N16" s="50">
        <v>0</v>
      </c>
      <c r="O16" s="15">
        <f t="shared" si="0"/>
        <v>189</v>
      </c>
      <c r="P16" s="15">
        <f t="shared" si="1"/>
        <v>344</v>
      </c>
      <c r="R16" s="1" t="s">
        <v>12</v>
      </c>
      <c r="S16" s="17">
        <f t="shared" ref="S16:AF16" si="8">SUM(C34:C37)</f>
        <v>205</v>
      </c>
      <c r="T16" s="17">
        <f t="shared" si="8"/>
        <v>40</v>
      </c>
      <c r="U16" s="17">
        <f t="shared" si="8"/>
        <v>46</v>
      </c>
      <c r="V16" s="17">
        <f t="shared" si="8"/>
        <v>55</v>
      </c>
      <c r="W16" s="17">
        <f t="shared" si="8"/>
        <v>0</v>
      </c>
      <c r="X16" s="17">
        <f t="shared" si="8"/>
        <v>1</v>
      </c>
      <c r="Y16" s="17">
        <f t="shared" si="8"/>
        <v>9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321</v>
      </c>
      <c r="AD16" s="17">
        <f t="shared" si="8"/>
        <v>0</v>
      </c>
      <c r="AE16" s="31">
        <f t="shared" si="8"/>
        <v>357</v>
      </c>
      <c r="AF16" s="31">
        <f t="shared" si="8"/>
        <v>678</v>
      </c>
    </row>
    <row r="17" spans="2:32" ht="23.1" customHeight="1" x14ac:dyDescent="0.25">
      <c r="B17" s="23" t="s">
        <v>44</v>
      </c>
      <c r="C17" s="50">
        <v>59</v>
      </c>
      <c r="D17" s="50">
        <v>12</v>
      </c>
      <c r="E17" s="50">
        <v>21</v>
      </c>
      <c r="F17" s="50">
        <v>17</v>
      </c>
      <c r="G17" s="50">
        <v>0</v>
      </c>
      <c r="H17" s="50">
        <v>0</v>
      </c>
      <c r="I17" s="50">
        <v>5</v>
      </c>
      <c r="J17" s="50">
        <v>1</v>
      </c>
      <c r="K17" s="50">
        <v>0</v>
      </c>
      <c r="L17" s="50">
        <v>0</v>
      </c>
      <c r="M17" s="50">
        <v>187</v>
      </c>
      <c r="N17" s="50">
        <v>0</v>
      </c>
      <c r="O17" s="15">
        <f t="shared" si="0"/>
        <v>115</v>
      </c>
      <c r="P17" s="15">
        <f t="shared" si="1"/>
        <v>302</v>
      </c>
      <c r="R17" s="1" t="s">
        <v>13</v>
      </c>
      <c r="S17" s="17">
        <f t="shared" ref="S17:AF17" si="9">SUM(C38:C41)</f>
        <v>222</v>
      </c>
      <c r="T17" s="17">
        <f t="shared" si="9"/>
        <v>43</v>
      </c>
      <c r="U17" s="17">
        <f t="shared" si="9"/>
        <v>37</v>
      </c>
      <c r="V17" s="17">
        <f t="shared" si="9"/>
        <v>81</v>
      </c>
      <c r="W17" s="17">
        <f t="shared" si="9"/>
        <v>3</v>
      </c>
      <c r="X17" s="17">
        <f t="shared" si="9"/>
        <v>0</v>
      </c>
      <c r="Y17" s="17">
        <f t="shared" si="9"/>
        <v>2</v>
      </c>
      <c r="Z17" s="17">
        <f t="shared" si="9"/>
        <v>6</v>
      </c>
      <c r="AA17" s="17">
        <f t="shared" si="9"/>
        <v>2</v>
      </c>
      <c r="AB17" s="17">
        <f t="shared" si="9"/>
        <v>0</v>
      </c>
      <c r="AC17" s="17">
        <f t="shared" si="9"/>
        <v>442</v>
      </c>
      <c r="AD17" s="17">
        <f t="shared" si="9"/>
        <v>0</v>
      </c>
      <c r="AE17" s="31">
        <f t="shared" si="9"/>
        <v>396</v>
      </c>
      <c r="AF17" s="31">
        <f t="shared" si="9"/>
        <v>838</v>
      </c>
    </row>
    <row r="18" spans="2:32" ht="23.1" customHeight="1" x14ac:dyDescent="0.25">
      <c r="B18" s="23" t="s">
        <v>45</v>
      </c>
      <c r="C18" s="50">
        <v>124</v>
      </c>
      <c r="D18" s="50">
        <v>24</v>
      </c>
      <c r="E18" s="50">
        <v>9</v>
      </c>
      <c r="F18" s="50">
        <v>23</v>
      </c>
      <c r="G18" s="50">
        <v>1</v>
      </c>
      <c r="H18" s="50">
        <v>1</v>
      </c>
      <c r="I18" s="50">
        <v>4</v>
      </c>
      <c r="J18" s="50">
        <v>0</v>
      </c>
      <c r="K18" s="50">
        <v>0</v>
      </c>
      <c r="L18" s="50">
        <v>0</v>
      </c>
      <c r="M18" s="50">
        <v>225</v>
      </c>
      <c r="N18" s="50">
        <v>0</v>
      </c>
      <c r="O18" s="15">
        <f t="shared" si="0"/>
        <v>186</v>
      </c>
      <c r="P18" s="15">
        <f t="shared" si="1"/>
        <v>411</v>
      </c>
      <c r="R18" s="1" t="s">
        <v>14</v>
      </c>
      <c r="S18" s="17">
        <f t="shared" ref="S18:AF18" si="10">SUM(C42:C45)</f>
        <v>200</v>
      </c>
      <c r="T18" s="17">
        <f t="shared" si="10"/>
        <v>52</v>
      </c>
      <c r="U18" s="17">
        <f t="shared" si="10"/>
        <v>82</v>
      </c>
      <c r="V18" s="17">
        <f t="shared" si="10"/>
        <v>90</v>
      </c>
      <c r="W18" s="17">
        <f t="shared" si="10"/>
        <v>3</v>
      </c>
      <c r="X18" s="17">
        <f t="shared" si="10"/>
        <v>1</v>
      </c>
      <c r="Y18" s="17">
        <f t="shared" si="10"/>
        <v>10</v>
      </c>
      <c r="Z18" s="17">
        <f t="shared" si="10"/>
        <v>1</v>
      </c>
      <c r="AA18" s="17">
        <f t="shared" si="10"/>
        <v>1</v>
      </c>
      <c r="AB18" s="17">
        <f t="shared" si="10"/>
        <v>0</v>
      </c>
      <c r="AC18" s="17">
        <f t="shared" si="10"/>
        <v>409</v>
      </c>
      <c r="AD18" s="17">
        <f t="shared" si="10"/>
        <v>0</v>
      </c>
      <c r="AE18" s="31">
        <f t="shared" si="10"/>
        <v>440</v>
      </c>
      <c r="AF18" s="31">
        <f t="shared" si="10"/>
        <v>849</v>
      </c>
    </row>
    <row r="19" spans="2:32" ht="23.1" customHeight="1" x14ac:dyDescent="0.25">
      <c r="B19" s="23" t="s">
        <v>46</v>
      </c>
      <c r="C19" s="50">
        <v>108</v>
      </c>
      <c r="D19" s="50">
        <v>16</v>
      </c>
      <c r="E19" s="50">
        <v>23</v>
      </c>
      <c r="F19" s="50">
        <v>14</v>
      </c>
      <c r="G19" s="50">
        <v>0</v>
      </c>
      <c r="H19" s="50">
        <v>0</v>
      </c>
      <c r="I19" s="50">
        <v>8</v>
      </c>
      <c r="J19" s="50">
        <v>0</v>
      </c>
      <c r="K19" s="50">
        <v>0</v>
      </c>
      <c r="L19" s="50">
        <v>0</v>
      </c>
      <c r="M19" s="50">
        <v>188</v>
      </c>
      <c r="N19" s="50">
        <v>0</v>
      </c>
      <c r="O19" s="15">
        <f t="shared" si="0"/>
        <v>169</v>
      </c>
      <c r="P19" s="15">
        <f t="shared" si="1"/>
        <v>357</v>
      </c>
      <c r="R19" s="1" t="s">
        <v>15</v>
      </c>
      <c r="S19" s="17">
        <f t="shared" ref="S19:AF19" si="11">SUM(C46:C49)</f>
        <v>341</v>
      </c>
      <c r="T19" s="17">
        <f t="shared" si="11"/>
        <v>87</v>
      </c>
      <c r="U19" s="17">
        <f t="shared" si="11"/>
        <v>81</v>
      </c>
      <c r="V19" s="17">
        <f t="shared" si="11"/>
        <v>62</v>
      </c>
      <c r="W19" s="17">
        <f t="shared" si="11"/>
        <v>3</v>
      </c>
      <c r="X19" s="17">
        <f t="shared" si="11"/>
        <v>0</v>
      </c>
      <c r="Y19" s="17">
        <f t="shared" si="11"/>
        <v>15</v>
      </c>
      <c r="Z19" s="17">
        <f t="shared" si="11"/>
        <v>4</v>
      </c>
      <c r="AA19" s="17">
        <f t="shared" si="11"/>
        <v>1</v>
      </c>
      <c r="AB19" s="17">
        <f t="shared" si="11"/>
        <v>0</v>
      </c>
      <c r="AC19" s="17">
        <f t="shared" si="11"/>
        <v>467</v>
      </c>
      <c r="AD19" s="17">
        <f t="shared" si="11"/>
        <v>0</v>
      </c>
      <c r="AE19" s="31">
        <f t="shared" si="11"/>
        <v>594</v>
      </c>
      <c r="AF19" s="31">
        <f t="shared" si="11"/>
        <v>1061</v>
      </c>
    </row>
    <row r="20" spans="2:32" ht="23.1" customHeight="1" x14ac:dyDescent="0.25">
      <c r="B20" s="23" t="s">
        <v>47</v>
      </c>
      <c r="C20" s="50">
        <v>90</v>
      </c>
      <c r="D20" s="50">
        <v>18</v>
      </c>
      <c r="E20" s="50">
        <v>15</v>
      </c>
      <c r="F20" s="50">
        <v>18</v>
      </c>
      <c r="G20" s="50">
        <v>3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140</v>
      </c>
      <c r="N20" s="50">
        <v>0</v>
      </c>
      <c r="O20" s="15">
        <f t="shared" si="0"/>
        <v>147</v>
      </c>
      <c r="P20" s="15">
        <f t="shared" si="1"/>
        <v>287</v>
      </c>
      <c r="R20" s="1" t="s">
        <v>16</v>
      </c>
      <c r="S20" s="17">
        <f t="shared" ref="S20:AF20" si="12">SUM(C50:C53)</f>
        <v>338</v>
      </c>
      <c r="T20" s="17">
        <f t="shared" si="12"/>
        <v>74</v>
      </c>
      <c r="U20" s="17">
        <f t="shared" si="12"/>
        <v>63</v>
      </c>
      <c r="V20" s="17">
        <f t="shared" si="12"/>
        <v>53</v>
      </c>
      <c r="W20" s="17">
        <f t="shared" si="12"/>
        <v>3</v>
      </c>
      <c r="X20" s="17">
        <f t="shared" si="12"/>
        <v>1</v>
      </c>
      <c r="Y20" s="17">
        <f t="shared" si="12"/>
        <v>7</v>
      </c>
      <c r="Z20" s="17">
        <f t="shared" si="12"/>
        <v>3</v>
      </c>
      <c r="AA20" s="17">
        <f t="shared" si="12"/>
        <v>0</v>
      </c>
      <c r="AB20" s="17">
        <f t="shared" si="12"/>
        <v>2</v>
      </c>
      <c r="AC20" s="17">
        <f t="shared" si="12"/>
        <v>486</v>
      </c>
      <c r="AD20" s="17">
        <f t="shared" si="12"/>
        <v>0</v>
      </c>
      <c r="AE20" s="31">
        <f t="shared" si="12"/>
        <v>544</v>
      </c>
      <c r="AF20" s="31">
        <f t="shared" si="12"/>
        <v>1030</v>
      </c>
    </row>
    <row r="21" spans="2:32" ht="23.1" customHeight="1" x14ac:dyDescent="0.25">
      <c r="B21" s="23" t="s">
        <v>48</v>
      </c>
      <c r="C21" s="50">
        <v>94</v>
      </c>
      <c r="D21" s="50">
        <v>21</v>
      </c>
      <c r="E21" s="50">
        <v>9</v>
      </c>
      <c r="F21" s="50">
        <v>22</v>
      </c>
      <c r="G21" s="50">
        <v>0</v>
      </c>
      <c r="H21" s="50">
        <v>0</v>
      </c>
      <c r="I21" s="50">
        <v>2</v>
      </c>
      <c r="J21" s="50">
        <v>1</v>
      </c>
      <c r="K21" s="50">
        <v>1</v>
      </c>
      <c r="L21" s="50">
        <v>0</v>
      </c>
      <c r="M21" s="50">
        <v>178</v>
      </c>
      <c r="N21" s="50">
        <v>0</v>
      </c>
      <c r="O21" s="15">
        <f t="shared" si="0"/>
        <v>150</v>
      </c>
      <c r="P21" s="15">
        <f t="shared" si="1"/>
        <v>328</v>
      </c>
      <c r="R21" s="36" t="s">
        <v>20</v>
      </c>
      <c r="S21" s="34">
        <f t="shared" ref="S21:AF21" si="13">SUM(C54:C57)</f>
        <v>231</v>
      </c>
      <c r="T21" s="17">
        <f t="shared" si="13"/>
        <v>69</v>
      </c>
      <c r="U21" s="17">
        <f t="shared" si="13"/>
        <v>50</v>
      </c>
      <c r="V21" s="17">
        <f t="shared" si="13"/>
        <v>53</v>
      </c>
      <c r="W21" s="17">
        <f t="shared" si="13"/>
        <v>3</v>
      </c>
      <c r="X21" s="17">
        <f t="shared" si="13"/>
        <v>1</v>
      </c>
      <c r="Y21" s="17">
        <f t="shared" si="13"/>
        <v>16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409</v>
      </c>
      <c r="AD21" s="17">
        <f t="shared" si="13"/>
        <v>0</v>
      </c>
      <c r="AE21" s="31">
        <f t="shared" si="13"/>
        <v>424</v>
      </c>
      <c r="AF21" s="31">
        <f t="shared" si="13"/>
        <v>833</v>
      </c>
    </row>
    <row r="22" spans="2:32" ht="23.1" customHeight="1" x14ac:dyDescent="0.25">
      <c r="B22" s="23" t="s">
        <v>49</v>
      </c>
      <c r="C22" s="50">
        <v>68</v>
      </c>
      <c r="D22" s="50">
        <v>18</v>
      </c>
      <c r="E22" s="50">
        <v>14</v>
      </c>
      <c r="F22" s="50">
        <v>17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129</v>
      </c>
      <c r="N22" s="50">
        <v>0</v>
      </c>
      <c r="O22" s="15">
        <f t="shared" si="0"/>
        <v>118</v>
      </c>
      <c r="P22" s="15">
        <f t="shared" si="1"/>
        <v>247</v>
      </c>
      <c r="R22" s="38" t="s">
        <v>90</v>
      </c>
      <c r="S22" s="39">
        <f>MAX(S10:S12)</f>
        <v>416</v>
      </c>
      <c r="T22" s="39">
        <f t="shared" ref="T22:AF22" si="14">MAX(T10:T12)</f>
        <v>113</v>
      </c>
      <c r="U22" s="39">
        <f t="shared" si="14"/>
        <v>98</v>
      </c>
      <c r="V22" s="39">
        <f t="shared" si="14"/>
        <v>176</v>
      </c>
      <c r="W22" s="39">
        <f t="shared" si="14"/>
        <v>4</v>
      </c>
      <c r="X22" s="39">
        <f t="shared" si="14"/>
        <v>1</v>
      </c>
      <c r="Y22" s="39">
        <f t="shared" si="14"/>
        <v>19</v>
      </c>
      <c r="Z22" s="39">
        <f t="shared" si="14"/>
        <v>1</v>
      </c>
      <c r="AA22" s="39">
        <f t="shared" si="14"/>
        <v>3</v>
      </c>
      <c r="AB22" s="39">
        <f t="shared" si="14"/>
        <v>0</v>
      </c>
      <c r="AC22" s="39">
        <f t="shared" si="14"/>
        <v>731</v>
      </c>
      <c r="AD22" s="39">
        <f t="shared" si="14"/>
        <v>0</v>
      </c>
      <c r="AE22" s="40">
        <f t="shared" si="14"/>
        <v>682</v>
      </c>
      <c r="AF22" s="40">
        <f t="shared" si="14"/>
        <v>1383</v>
      </c>
    </row>
    <row r="23" spans="2:32" ht="23.1" customHeight="1" x14ac:dyDescent="0.25">
      <c r="B23" s="23" t="s">
        <v>50</v>
      </c>
      <c r="C23" s="50">
        <v>64</v>
      </c>
      <c r="D23" s="50">
        <v>9</v>
      </c>
      <c r="E23" s="50">
        <v>11</v>
      </c>
      <c r="F23" s="50">
        <v>12</v>
      </c>
      <c r="G23" s="50">
        <v>1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104</v>
      </c>
      <c r="N23" s="50">
        <v>0</v>
      </c>
      <c r="O23" s="15">
        <f t="shared" si="0"/>
        <v>98</v>
      </c>
      <c r="P23" s="15">
        <f t="shared" si="1"/>
        <v>202</v>
      </c>
      <c r="R23" s="38" t="s">
        <v>91</v>
      </c>
      <c r="S23" s="39">
        <f>MAX(S13:S18)</f>
        <v>263</v>
      </c>
      <c r="T23" s="39">
        <f t="shared" ref="T23:AF23" si="15">MAX(T13:T18)</f>
        <v>54</v>
      </c>
      <c r="U23" s="39">
        <f t="shared" si="15"/>
        <v>82</v>
      </c>
      <c r="V23" s="39">
        <f t="shared" si="15"/>
        <v>90</v>
      </c>
      <c r="W23" s="39">
        <f t="shared" si="15"/>
        <v>3</v>
      </c>
      <c r="X23" s="39">
        <f t="shared" si="15"/>
        <v>1</v>
      </c>
      <c r="Y23" s="39">
        <f t="shared" si="15"/>
        <v>10</v>
      </c>
      <c r="Z23" s="39">
        <f t="shared" si="15"/>
        <v>9</v>
      </c>
      <c r="AA23" s="39">
        <f t="shared" si="15"/>
        <v>2</v>
      </c>
      <c r="AB23" s="39">
        <f t="shared" si="15"/>
        <v>1</v>
      </c>
      <c r="AC23" s="39">
        <f t="shared" si="15"/>
        <v>515</v>
      </c>
      <c r="AD23" s="39">
        <f t="shared" si="15"/>
        <v>0</v>
      </c>
      <c r="AE23" s="40">
        <f t="shared" si="15"/>
        <v>441</v>
      </c>
      <c r="AF23" s="40">
        <f t="shared" si="15"/>
        <v>956</v>
      </c>
    </row>
    <row r="24" spans="2:32" ht="23.1" customHeight="1" x14ac:dyDescent="0.25">
      <c r="B24" s="23" t="s">
        <v>51</v>
      </c>
      <c r="C24" s="50">
        <v>66</v>
      </c>
      <c r="D24" s="50">
        <v>18</v>
      </c>
      <c r="E24" s="50">
        <v>7</v>
      </c>
      <c r="F24" s="50">
        <v>18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0</v>
      </c>
      <c r="M24" s="50">
        <v>138</v>
      </c>
      <c r="N24" s="50">
        <v>0</v>
      </c>
      <c r="O24" s="15">
        <f t="shared" si="0"/>
        <v>113</v>
      </c>
      <c r="P24" s="15">
        <f t="shared" si="1"/>
        <v>251</v>
      </c>
      <c r="R24" s="38" t="s">
        <v>92</v>
      </c>
      <c r="S24" s="39">
        <f>MAX(S19:S21)</f>
        <v>341</v>
      </c>
      <c r="T24" s="39">
        <f t="shared" ref="T24:AF24" si="16">MAX(T19:T21)</f>
        <v>87</v>
      </c>
      <c r="U24" s="39">
        <f t="shared" si="16"/>
        <v>81</v>
      </c>
      <c r="V24" s="39">
        <f t="shared" si="16"/>
        <v>62</v>
      </c>
      <c r="W24" s="39">
        <f t="shared" si="16"/>
        <v>3</v>
      </c>
      <c r="X24" s="39">
        <f t="shared" si="16"/>
        <v>1</v>
      </c>
      <c r="Y24" s="39">
        <f t="shared" si="16"/>
        <v>16</v>
      </c>
      <c r="Z24" s="39">
        <f t="shared" si="16"/>
        <v>4</v>
      </c>
      <c r="AA24" s="39">
        <f t="shared" si="16"/>
        <v>1</v>
      </c>
      <c r="AB24" s="39">
        <f t="shared" si="16"/>
        <v>2</v>
      </c>
      <c r="AC24" s="39">
        <f t="shared" si="16"/>
        <v>486</v>
      </c>
      <c r="AD24" s="39">
        <f t="shared" si="16"/>
        <v>0</v>
      </c>
      <c r="AE24" s="40">
        <f t="shared" si="16"/>
        <v>594</v>
      </c>
      <c r="AF24" s="40">
        <f t="shared" si="16"/>
        <v>1061</v>
      </c>
    </row>
    <row r="25" spans="2:32" ht="23.1" customHeight="1" x14ac:dyDescent="0.25">
      <c r="B25" s="23" t="s">
        <v>52</v>
      </c>
      <c r="C25" s="50">
        <v>65</v>
      </c>
      <c r="D25" s="50">
        <v>9</v>
      </c>
      <c r="E25" s="50">
        <v>17</v>
      </c>
      <c r="F25" s="50">
        <v>15</v>
      </c>
      <c r="G25" s="50">
        <v>0</v>
      </c>
      <c r="H25" s="50">
        <v>0</v>
      </c>
      <c r="I25" s="50">
        <v>6</v>
      </c>
      <c r="J25" s="50">
        <v>0</v>
      </c>
      <c r="K25" s="50">
        <v>0</v>
      </c>
      <c r="L25" s="50">
        <v>0</v>
      </c>
      <c r="M25" s="50">
        <v>144</v>
      </c>
      <c r="N25" s="50">
        <v>0</v>
      </c>
      <c r="O25" s="15">
        <f t="shared" si="0"/>
        <v>112</v>
      </c>
      <c r="P25" s="15">
        <f t="shared" si="1"/>
        <v>256</v>
      </c>
      <c r="R25" s="37" t="s">
        <v>85</v>
      </c>
      <c r="S25" s="35">
        <f t="shared" ref="S25:AF25" si="17">SUM(S10:S12)</f>
        <v>979</v>
      </c>
      <c r="T25" s="16">
        <f t="shared" si="17"/>
        <v>298</v>
      </c>
      <c r="U25" s="16">
        <f t="shared" si="17"/>
        <v>201</v>
      </c>
      <c r="V25" s="16">
        <f t="shared" si="17"/>
        <v>362</v>
      </c>
      <c r="W25" s="16">
        <f t="shared" si="17"/>
        <v>9</v>
      </c>
      <c r="X25" s="16">
        <f t="shared" si="17"/>
        <v>2</v>
      </c>
      <c r="Y25" s="16">
        <f t="shared" si="17"/>
        <v>36</v>
      </c>
      <c r="Z25" s="16">
        <f t="shared" si="17"/>
        <v>3</v>
      </c>
      <c r="AA25" s="16">
        <f t="shared" si="17"/>
        <v>4</v>
      </c>
      <c r="AB25" s="16">
        <f t="shared" si="17"/>
        <v>0</v>
      </c>
      <c r="AC25" s="16">
        <f t="shared" si="17"/>
        <v>1650</v>
      </c>
      <c r="AD25" s="16">
        <f t="shared" si="17"/>
        <v>0</v>
      </c>
      <c r="AE25" s="32">
        <f t="shared" si="17"/>
        <v>1894</v>
      </c>
      <c r="AF25" s="32">
        <f t="shared" si="17"/>
        <v>3544</v>
      </c>
    </row>
    <row r="26" spans="2:32" ht="23.1" customHeight="1" x14ac:dyDescent="0.25">
      <c r="B26" s="23" t="s">
        <v>53</v>
      </c>
      <c r="C26" s="50">
        <v>62</v>
      </c>
      <c r="D26" s="50">
        <v>8</v>
      </c>
      <c r="E26" s="50">
        <v>15</v>
      </c>
      <c r="F26" s="50">
        <v>12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100</v>
      </c>
      <c r="N26" s="50">
        <v>0</v>
      </c>
      <c r="O26" s="15">
        <f t="shared" si="0"/>
        <v>98</v>
      </c>
      <c r="P26" s="15">
        <f t="shared" si="1"/>
        <v>198</v>
      </c>
      <c r="R26" s="28" t="s">
        <v>86</v>
      </c>
      <c r="S26" s="16">
        <f t="shared" ref="S26:AF26" si="18">SUM(S13:S18)</f>
        <v>1375</v>
      </c>
      <c r="T26" s="16">
        <f t="shared" si="18"/>
        <v>282</v>
      </c>
      <c r="U26" s="16">
        <f t="shared" si="18"/>
        <v>321</v>
      </c>
      <c r="V26" s="16">
        <f t="shared" si="18"/>
        <v>383</v>
      </c>
      <c r="W26" s="16">
        <f t="shared" si="18"/>
        <v>11</v>
      </c>
      <c r="X26" s="16">
        <f t="shared" si="18"/>
        <v>2</v>
      </c>
      <c r="Y26" s="16">
        <f t="shared" si="18"/>
        <v>43</v>
      </c>
      <c r="Z26" s="16">
        <f t="shared" si="18"/>
        <v>23</v>
      </c>
      <c r="AA26" s="16">
        <f t="shared" si="18"/>
        <v>3</v>
      </c>
      <c r="AB26" s="16">
        <f t="shared" si="18"/>
        <v>2</v>
      </c>
      <c r="AC26" s="16">
        <f t="shared" si="18"/>
        <v>2505</v>
      </c>
      <c r="AD26" s="16">
        <f t="shared" si="18"/>
        <v>0</v>
      </c>
      <c r="AE26" s="32">
        <f t="shared" si="18"/>
        <v>2445</v>
      </c>
      <c r="AF26" s="32">
        <f t="shared" si="18"/>
        <v>4950</v>
      </c>
    </row>
    <row r="27" spans="2:32" ht="23.1" customHeight="1" x14ac:dyDescent="0.25">
      <c r="B27" s="23" t="s">
        <v>54</v>
      </c>
      <c r="C27" s="50">
        <v>59</v>
      </c>
      <c r="D27" s="50">
        <v>7</v>
      </c>
      <c r="E27" s="50">
        <v>14</v>
      </c>
      <c r="F27" s="50">
        <v>17</v>
      </c>
      <c r="G27" s="50">
        <v>1</v>
      </c>
      <c r="H27" s="50">
        <v>0</v>
      </c>
      <c r="I27" s="50">
        <v>3</v>
      </c>
      <c r="J27" s="50">
        <v>0</v>
      </c>
      <c r="K27" s="50">
        <v>0</v>
      </c>
      <c r="L27" s="50">
        <v>1</v>
      </c>
      <c r="M27" s="50">
        <v>91</v>
      </c>
      <c r="N27" s="50">
        <v>0</v>
      </c>
      <c r="O27" s="15">
        <f t="shared" si="0"/>
        <v>102</v>
      </c>
      <c r="P27" s="15">
        <f t="shared" si="1"/>
        <v>193</v>
      </c>
      <c r="R27" s="29" t="s">
        <v>87</v>
      </c>
      <c r="S27" s="16">
        <f t="shared" ref="S27:AF27" si="19">SUM(S19:S21)</f>
        <v>910</v>
      </c>
      <c r="T27" s="16">
        <f t="shared" si="19"/>
        <v>230</v>
      </c>
      <c r="U27" s="16">
        <f t="shared" si="19"/>
        <v>194</v>
      </c>
      <c r="V27" s="16">
        <f t="shared" si="19"/>
        <v>168</v>
      </c>
      <c r="W27" s="16">
        <f t="shared" si="19"/>
        <v>9</v>
      </c>
      <c r="X27" s="16">
        <f t="shared" si="19"/>
        <v>2</v>
      </c>
      <c r="Y27" s="16">
        <f t="shared" si="19"/>
        <v>38</v>
      </c>
      <c r="Z27" s="16">
        <f t="shared" si="19"/>
        <v>8</v>
      </c>
      <c r="AA27" s="16">
        <f t="shared" si="19"/>
        <v>1</v>
      </c>
      <c r="AB27" s="16">
        <f t="shared" si="19"/>
        <v>2</v>
      </c>
      <c r="AC27" s="16">
        <f t="shared" si="19"/>
        <v>1362</v>
      </c>
      <c r="AD27" s="16">
        <f t="shared" si="19"/>
        <v>0</v>
      </c>
      <c r="AE27" s="32">
        <f t="shared" si="19"/>
        <v>1562</v>
      </c>
      <c r="AF27" s="32">
        <f t="shared" si="19"/>
        <v>2924</v>
      </c>
    </row>
    <row r="28" spans="2:32" ht="23.1" customHeight="1" x14ac:dyDescent="0.25">
      <c r="B28" s="23" t="s">
        <v>55</v>
      </c>
      <c r="C28" s="50">
        <v>70</v>
      </c>
      <c r="D28" s="50">
        <v>20</v>
      </c>
      <c r="E28" s="50">
        <v>26</v>
      </c>
      <c r="F28" s="50">
        <v>15</v>
      </c>
      <c r="G28" s="50">
        <v>2</v>
      </c>
      <c r="H28" s="50">
        <v>0</v>
      </c>
      <c r="I28" s="50">
        <v>4</v>
      </c>
      <c r="J28" s="50">
        <v>3</v>
      </c>
      <c r="K28" s="50">
        <v>0</v>
      </c>
      <c r="L28" s="50">
        <v>0</v>
      </c>
      <c r="M28" s="50">
        <v>106</v>
      </c>
      <c r="N28" s="50">
        <v>0</v>
      </c>
      <c r="O28" s="15">
        <f t="shared" si="0"/>
        <v>140</v>
      </c>
      <c r="P28" s="15">
        <f t="shared" si="1"/>
        <v>246</v>
      </c>
      <c r="R28" s="5" t="s">
        <v>17</v>
      </c>
      <c r="S28" s="16">
        <f t="shared" ref="S28:AF28" si="20">SUM(S10:S21)</f>
        <v>3264</v>
      </c>
      <c r="T28" s="16">
        <f t="shared" si="20"/>
        <v>810</v>
      </c>
      <c r="U28" s="16">
        <f t="shared" si="20"/>
        <v>716</v>
      </c>
      <c r="V28" s="16">
        <f t="shared" si="20"/>
        <v>913</v>
      </c>
      <c r="W28" s="16">
        <f t="shared" si="20"/>
        <v>29</v>
      </c>
      <c r="X28" s="16">
        <f t="shared" si="20"/>
        <v>6</v>
      </c>
      <c r="Y28" s="16">
        <f t="shared" si="20"/>
        <v>117</v>
      </c>
      <c r="Z28" s="16">
        <f t="shared" si="20"/>
        <v>34</v>
      </c>
      <c r="AA28" s="16">
        <f t="shared" si="20"/>
        <v>8</v>
      </c>
      <c r="AB28" s="16">
        <f t="shared" si="20"/>
        <v>4</v>
      </c>
      <c r="AC28" s="16">
        <f t="shared" si="20"/>
        <v>5517</v>
      </c>
      <c r="AD28" s="16">
        <f t="shared" si="20"/>
        <v>0</v>
      </c>
      <c r="AE28" s="32">
        <f t="shared" si="20"/>
        <v>5901</v>
      </c>
      <c r="AF28" s="32">
        <f t="shared" si="20"/>
        <v>11418</v>
      </c>
    </row>
    <row r="29" spans="2:32" ht="23.1" customHeight="1" x14ac:dyDescent="0.25">
      <c r="B29" s="23" t="s">
        <v>56</v>
      </c>
      <c r="C29" s="50">
        <v>58</v>
      </c>
      <c r="D29" s="50">
        <v>6</v>
      </c>
      <c r="E29" s="50">
        <v>11</v>
      </c>
      <c r="F29" s="50">
        <v>9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124</v>
      </c>
      <c r="N29" s="50">
        <v>0</v>
      </c>
      <c r="O29" s="15">
        <f t="shared" si="0"/>
        <v>85</v>
      </c>
      <c r="P29" s="15">
        <f t="shared" si="1"/>
        <v>209</v>
      </c>
      <c r="R29"/>
      <c r="S29" s="20"/>
      <c r="T29" s="19"/>
    </row>
    <row r="30" spans="2:32" ht="23.1" customHeight="1" x14ac:dyDescent="0.25">
      <c r="B30" s="23" t="s">
        <v>57</v>
      </c>
      <c r="C30" s="50">
        <v>63</v>
      </c>
      <c r="D30" s="50">
        <v>12</v>
      </c>
      <c r="E30" s="50">
        <v>7</v>
      </c>
      <c r="F30" s="50">
        <v>12</v>
      </c>
      <c r="G30" s="50">
        <v>0</v>
      </c>
      <c r="H30" s="50">
        <v>0</v>
      </c>
      <c r="I30" s="50">
        <v>1</v>
      </c>
      <c r="J30" s="50">
        <v>3</v>
      </c>
      <c r="K30" s="50">
        <v>0</v>
      </c>
      <c r="L30" s="50">
        <v>0</v>
      </c>
      <c r="M30" s="50">
        <v>108</v>
      </c>
      <c r="N30" s="50">
        <v>0</v>
      </c>
      <c r="O30" s="15">
        <f t="shared" si="0"/>
        <v>98</v>
      </c>
      <c r="P30" s="15">
        <f t="shared" si="1"/>
        <v>206</v>
      </c>
    </row>
    <row r="31" spans="2:32" ht="23.1" customHeight="1" x14ac:dyDescent="0.25">
      <c r="B31" s="24" t="s">
        <v>58</v>
      </c>
      <c r="C31" s="50">
        <v>71</v>
      </c>
      <c r="D31" s="50">
        <v>16</v>
      </c>
      <c r="E31" s="50">
        <v>12</v>
      </c>
      <c r="F31" s="50">
        <v>9</v>
      </c>
      <c r="G31" s="50">
        <v>0</v>
      </c>
      <c r="H31" s="50">
        <v>0</v>
      </c>
      <c r="I31" s="50">
        <v>2</v>
      </c>
      <c r="J31" s="50">
        <v>2</v>
      </c>
      <c r="K31" s="50">
        <v>0</v>
      </c>
      <c r="L31" s="50">
        <v>0</v>
      </c>
      <c r="M31" s="50">
        <v>94</v>
      </c>
      <c r="N31" s="50">
        <v>0</v>
      </c>
      <c r="O31" s="15">
        <f t="shared" si="0"/>
        <v>112</v>
      </c>
      <c r="P31" s="15">
        <f t="shared" si="1"/>
        <v>206</v>
      </c>
    </row>
    <row r="32" spans="2:32" ht="23.1" customHeight="1" x14ac:dyDescent="0.25">
      <c r="B32" s="24" t="s">
        <v>59</v>
      </c>
      <c r="C32" s="50">
        <v>52</v>
      </c>
      <c r="D32" s="50">
        <v>14</v>
      </c>
      <c r="E32" s="50">
        <v>9</v>
      </c>
      <c r="F32" s="50">
        <v>13</v>
      </c>
      <c r="G32" s="50">
        <v>1</v>
      </c>
      <c r="H32" s="50">
        <v>0</v>
      </c>
      <c r="I32" s="50">
        <v>0</v>
      </c>
      <c r="J32" s="50">
        <v>3</v>
      </c>
      <c r="K32" s="50">
        <v>0</v>
      </c>
      <c r="L32" s="50">
        <v>0</v>
      </c>
      <c r="M32" s="50">
        <v>107</v>
      </c>
      <c r="N32" s="50">
        <v>0</v>
      </c>
      <c r="O32" s="15">
        <f t="shared" si="0"/>
        <v>92</v>
      </c>
      <c r="P32" s="15">
        <f t="shared" si="1"/>
        <v>199</v>
      </c>
    </row>
    <row r="33" spans="2:20" ht="23.1" customHeight="1" x14ac:dyDescent="0.25">
      <c r="B33" s="23" t="s">
        <v>60</v>
      </c>
      <c r="C33" s="50">
        <v>50</v>
      </c>
      <c r="D33" s="50">
        <v>10</v>
      </c>
      <c r="E33" s="50">
        <v>13</v>
      </c>
      <c r="F33" s="50">
        <v>8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1</v>
      </c>
      <c r="M33" s="50">
        <v>88</v>
      </c>
      <c r="N33" s="50">
        <v>0</v>
      </c>
      <c r="O33" s="15">
        <f t="shared" si="0"/>
        <v>84</v>
      </c>
      <c r="P33" s="15">
        <f t="shared" si="1"/>
        <v>172</v>
      </c>
    </row>
    <row r="34" spans="2:20" ht="23.1" customHeight="1" x14ac:dyDescent="0.25">
      <c r="B34" s="24" t="s">
        <v>61</v>
      </c>
      <c r="C34" s="50">
        <v>42</v>
      </c>
      <c r="D34" s="50">
        <v>15</v>
      </c>
      <c r="E34" s="50">
        <v>9</v>
      </c>
      <c r="F34" s="50">
        <v>13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76</v>
      </c>
      <c r="N34" s="50">
        <v>0</v>
      </c>
      <c r="O34" s="15">
        <f t="shared" si="0"/>
        <v>79</v>
      </c>
      <c r="P34" s="15">
        <f t="shared" si="1"/>
        <v>155</v>
      </c>
    </row>
    <row r="35" spans="2:20" ht="23.1" customHeight="1" x14ac:dyDescent="0.25">
      <c r="B35" s="24" t="s">
        <v>62</v>
      </c>
      <c r="C35" s="50">
        <v>61</v>
      </c>
      <c r="D35" s="50">
        <v>6</v>
      </c>
      <c r="E35" s="50">
        <v>12</v>
      </c>
      <c r="F35" s="50">
        <v>19</v>
      </c>
      <c r="G35" s="50">
        <v>0</v>
      </c>
      <c r="H35" s="50">
        <v>1</v>
      </c>
      <c r="I35" s="50">
        <v>7</v>
      </c>
      <c r="J35" s="50">
        <v>0</v>
      </c>
      <c r="K35" s="50">
        <v>0</v>
      </c>
      <c r="L35" s="50">
        <v>0</v>
      </c>
      <c r="M35" s="50">
        <v>83</v>
      </c>
      <c r="N35" s="50">
        <v>0</v>
      </c>
      <c r="O35" s="15">
        <f t="shared" si="0"/>
        <v>106</v>
      </c>
      <c r="P35" s="15">
        <f t="shared" si="1"/>
        <v>189</v>
      </c>
    </row>
    <row r="36" spans="2:20" ht="23.1" customHeight="1" x14ac:dyDescent="0.25">
      <c r="B36" s="24" t="s">
        <v>63</v>
      </c>
      <c r="C36" s="50">
        <v>55</v>
      </c>
      <c r="D36" s="50">
        <v>8</v>
      </c>
      <c r="E36" s="50">
        <v>17</v>
      </c>
      <c r="F36" s="50">
        <v>9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78</v>
      </c>
      <c r="N36" s="50">
        <v>0</v>
      </c>
      <c r="O36" s="15">
        <f t="shared" si="0"/>
        <v>92</v>
      </c>
      <c r="P36" s="15">
        <f t="shared" si="1"/>
        <v>170</v>
      </c>
    </row>
    <row r="37" spans="2:20" ht="23.1" customHeight="1" x14ac:dyDescent="0.25">
      <c r="B37" s="23" t="s">
        <v>64</v>
      </c>
      <c r="C37" s="50">
        <v>47</v>
      </c>
      <c r="D37" s="50">
        <v>11</v>
      </c>
      <c r="E37" s="50">
        <v>8</v>
      </c>
      <c r="F37" s="50">
        <v>14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84</v>
      </c>
      <c r="N37" s="50">
        <v>0</v>
      </c>
      <c r="O37" s="15">
        <f t="shared" si="0"/>
        <v>80</v>
      </c>
      <c r="P37" s="15">
        <f t="shared" si="1"/>
        <v>164</v>
      </c>
    </row>
    <row r="38" spans="2:20" ht="23.1" customHeight="1" x14ac:dyDescent="0.25">
      <c r="B38" s="24" t="s">
        <v>65</v>
      </c>
      <c r="C38" s="50">
        <v>57</v>
      </c>
      <c r="D38" s="50">
        <v>14</v>
      </c>
      <c r="E38" s="50">
        <v>9</v>
      </c>
      <c r="F38" s="50">
        <v>17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119</v>
      </c>
      <c r="N38" s="50">
        <v>0</v>
      </c>
      <c r="O38" s="15">
        <f t="shared" si="0"/>
        <v>98</v>
      </c>
      <c r="P38" s="15">
        <f t="shared" si="1"/>
        <v>217</v>
      </c>
    </row>
    <row r="39" spans="2:20" ht="23.1" customHeight="1" x14ac:dyDescent="0.25">
      <c r="B39" s="24" t="s">
        <v>66</v>
      </c>
      <c r="C39" s="50">
        <v>64</v>
      </c>
      <c r="D39" s="50">
        <v>8</v>
      </c>
      <c r="E39" s="50">
        <v>12</v>
      </c>
      <c r="F39" s="50">
        <v>26</v>
      </c>
      <c r="G39" s="50">
        <v>3</v>
      </c>
      <c r="H39" s="50">
        <v>0</v>
      </c>
      <c r="I39" s="50">
        <v>0</v>
      </c>
      <c r="J39" s="50">
        <v>4</v>
      </c>
      <c r="K39" s="50">
        <v>1</v>
      </c>
      <c r="L39" s="50">
        <v>0</v>
      </c>
      <c r="M39" s="50">
        <v>124</v>
      </c>
      <c r="N39" s="50">
        <v>0</v>
      </c>
      <c r="O39" s="15">
        <f t="shared" si="0"/>
        <v>118</v>
      </c>
      <c r="P39" s="15">
        <f t="shared" si="1"/>
        <v>242</v>
      </c>
    </row>
    <row r="40" spans="2:20" ht="23.1" customHeight="1" x14ac:dyDescent="0.25">
      <c r="B40" s="24" t="s">
        <v>67</v>
      </c>
      <c r="C40" s="50">
        <v>47</v>
      </c>
      <c r="D40" s="50">
        <v>13</v>
      </c>
      <c r="E40" s="50">
        <v>10</v>
      </c>
      <c r="F40" s="50">
        <v>24</v>
      </c>
      <c r="G40" s="50">
        <v>0</v>
      </c>
      <c r="H40" s="50">
        <v>0</v>
      </c>
      <c r="I40" s="50">
        <v>0</v>
      </c>
      <c r="J40" s="50">
        <v>1</v>
      </c>
      <c r="K40" s="50">
        <v>1</v>
      </c>
      <c r="L40" s="50">
        <v>0</v>
      </c>
      <c r="M40" s="50">
        <v>105</v>
      </c>
      <c r="N40" s="50">
        <v>0</v>
      </c>
      <c r="O40" s="15">
        <f t="shared" si="0"/>
        <v>96</v>
      </c>
      <c r="P40" s="15">
        <f t="shared" si="1"/>
        <v>201</v>
      </c>
    </row>
    <row r="41" spans="2:20" ht="23.1" customHeight="1" x14ac:dyDescent="0.25">
      <c r="B41" s="23" t="s">
        <v>68</v>
      </c>
      <c r="C41" s="50">
        <v>54</v>
      </c>
      <c r="D41" s="50">
        <v>8</v>
      </c>
      <c r="E41" s="50">
        <v>6</v>
      </c>
      <c r="F41" s="50">
        <v>14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94</v>
      </c>
      <c r="N41" s="50">
        <v>0</v>
      </c>
      <c r="O41" s="15">
        <f t="shared" si="0"/>
        <v>84</v>
      </c>
      <c r="P41" s="15">
        <f t="shared" si="1"/>
        <v>178</v>
      </c>
    </row>
    <row r="42" spans="2:20" ht="23.1" customHeight="1" x14ac:dyDescent="0.25">
      <c r="B42" s="24" t="s">
        <v>69</v>
      </c>
      <c r="C42" s="50">
        <v>30</v>
      </c>
      <c r="D42" s="50">
        <v>16</v>
      </c>
      <c r="E42" s="50">
        <v>13</v>
      </c>
      <c r="F42" s="50">
        <v>22</v>
      </c>
      <c r="G42" s="50">
        <v>0</v>
      </c>
      <c r="H42" s="50">
        <v>1</v>
      </c>
      <c r="I42" s="50">
        <v>9</v>
      </c>
      <c r="J42" s="50">
        <v>1</v>
      </c>
      <c r="K42" s="50">
        <v>0</v>
      </c>
      <c r="L42" s="50">
        <v>0</v>
      </c>
      <c r="M42" s="50">
        <v>100</v>
      </c>
      <c r="N42" s="50">
        <v>0</v>
      </c>
      <c r="O42" s="15">
        <f t="shared" si="0"/>
        <v>92</v>
      </c>
      <c r="P42" s="15">
        <f t="shared" si="1"/>
        <v>192</v>
      </c>
    </row>
    <row r="43" spans="2:20" ht="23.1" customHeight="1" x14ac:dyDescent="0.25">
      <c r="B43" s="23" t="s">
        <v>70</v>
      </c>
      <c r="C43" s="50">
        <v>39</v>
      </c>
      <c r="D43" s="50">
        <v>11</v>
      </c>
      <c r="E43" s="50">
        <v>23</v>
      </c>
      <c r="F43" s="50">
        <v>23</v>
      </c>
      <c r="G43" s="50">
        <v>2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90</v>
      </c>
      <c r="N43" s="50">
        <v>0</v>
      </c>
      <c r="O43" s="15">
        <f t="shared" si="0"/>
        <v>99</v>
      </c>
      <c r="P43" s="15">
        <f t="shared" si="1"/>
        <v>189</v>
      </c>
    </row>
    <row r="44" spans="2:20" ht="23.1" customHeight="1" x14ac:dyDescent="0.25">
      <c r="B44" s="25" t="s">
        <v>71</v>
      </c>
      <c r="C44" s="50">
        <v>62</v>
      </c>
      <c r="D44" s="50">
        <v>15</v>
      </c>
      <c r="E44" s="50">
        <v>29</v>
      </c>
      <c r="F44" s="50">
        <v>25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104</v>
      </c>
      <c r="N44" s="50">
        <v>0</v>
      </c>
      <c r="O44" s="15">
        <f t="shared" si="0"/>
        <v>131</v>
      </c>
      <c r="P44" s="15">
        <f t="shared" si="1"/>
        <v>235</v>
      </c>
    </row>
    <row r="45" spans="2:20" ht="23.1" customHeight="1" x14ac:dyDescent="0.25">
      <c r="B45" s="23" t="s">
        <v>72</v>
      </c>
      <c r="C45" s="50">
        <v>69</v>
      </c>
      <c r="D45" s="50">
        <v>10</v>
      </c>
      <c r="E45" s="50">
        <v>17</v>
      </c>
      <c r="F45" s="50">
        <v>20</v>
      </c>
      <c r="G45" s="50">
        <v>1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115</v>
      </c>
      <c r="N45" s="50">
        <v>0</v>
      </c>
      <c r="O45" s="15">
        <f t="shared" si="0"/>
        <v>118</v>
      </c>
      <c r="P45" s="15">
        <f t="shared" si="1"/>
        <v>233</v>
      </c>
    </row>
    <row r="46" spans="2:20" ht="23.1" customHeight="1" x14ac:dyDescent="0.25">
      <c r="B46" s="24" t="s">
        <v>73</v>
      </c>
      <c r="C46" s="50">
        <v>81</v>
      </c>
      <c r="D46" s="50">
        <v>23</v>
      </c>
      <c r="E46" s="50">
        <v>22</v>
      </c>
      <c r="F46" s="50">
        <v>12</v>
      </c>
      <c r="G46" s="50">
        <v>0</v>
      </c>
      <c r="H46" s="50">
        <v>0</v>
      </c>
      <c r="I46" s="50">
        <v>7</v>
      </c>
      <c r="J46" s="50">
        <v>1</v>
      </c>
      <c r="K46" s="50">
        <v>0</v>
      </c>
      <c r="L46" s="50">
        <v>0</v>
      </c>
      <c r="M46" s="50">
        <v>105</v>
      </c>
      <c r="N46" s="50">
        <v>0</v>
      </c>
      <c r="O46" s="15">
        <f t="shared" si="0"/>
        <v>146</v>
      </c>
      <c r="P46" s="15">
        <f t="shared" si="1"/>
        <v>251</v>
      </c>
      <c r="R46" s="8"/>
      <c r="T46"/>
    </row>
    <row r="47" spans="2:20" ht="23.1" customHeight="1" x14ac:dyDescent="0.25">
      <c r="B47" s="24" t="s">
        <v>74</v>
      </c>
      <c r="C47" s="50">
        <v>83</v>
      </c>
      <c r="D47" s="50">
        <v>21</v>
      </c>
      <c r="E47" s="50">
        <v>18</v>
      </c>
      <c r="F47" s="50">
        <v>13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109</v>
      </c>
      <c r="N47" s="50">
        <v>0</v>
      </c>
      <c r="O47" s="15">
        <f t="shared" si="0"/>
        <v>138</v>
      </c>
      <c r="P47" s="15">
        <f t="shared" si="1"/>
        <v>247</v>
      </c>
      <c r="R47" s="8"/>
      <c r="T47"/>
    </row>
    <row r="48" spans="2:20" ht="23.1" customHeight="1" x14ac:dyDescent="0.25">
      <c r="B48" s="24" t="s">
        <v>75</v>
      </c>
      <c r="C48" s="50">
        <v>74</v>
      </c>
      <c r="D48" s="50">
        <v>23</v>
      </c>
      <c r="E48" s="50">
        <v>24</v>
      </c>
      <c r="F48" s="50">
        <v>19</v>
      </c>
      <c r="G48" s="50">
        <v>2</v>
      </c>
      <c r="H48" s="50">
        <v>0</v>
      </c>
      <c r="I48" s="50">
        <v>5</v>
      </c>
      <c r="J48" s="50">
        <v>0</v>
      </c>
      <c r="K48" s="50">
        <v>0</v>
      </c>
      <c r="L48" s="50">
        <v>0</v>
      </c>
      <c r="M48" s="50">
        <v>110</v>
      </c>
      <c r="N48" s="50">
        <v>0</v>
      </c>
      <c r="O48" s="15">
        <f t="shared" si="0"/>
        <v>147</v>
      </c>
      <c r="P48" s="15">
        <f t="shared" si="1"/>
        <v>257</v>
      </c>
      <c r="R48" s="8"/>
      <c r="T48"/>
    </row>
    <row r="49" spans="2:20" ht="23.1" customHeight="1" x14ac:dyDescent="0.25">
      <c r="B49" s="23" t="s">
        <v>76</v>
      </c>
      <c r="C49" s="50">
        <v>103</v>
      </c>
      <c r="D49" s="50">
        <v>20</v>
      </c>
      <c r="E49" s="50">
        <v>17</v>
      </c>
      <c r="F49" s="50">
        <v>18</v>
      </c>
      <c r="G49" s="50">
        <v>1</v>
      </c>
      <c r="H49" s="50">
        <v>0</v>
      </c>
      <c r="I49" s="50">
        <v>0</v>
      </c>
      <c r="J49" s="50">
        <v>3</v>
      </c>
      <c r="K49" s="50">
        <v>1</v>
      </c>
      <c r="L49" s="50">
        <v>0</v>
      </c>
      <c r="M49" s="50">
        <v>143</v>
      </c>
      <c r="N49" s="50">
        <v>0</v>
      </c>
      <c r="O49" s="15">
        <f t="shared" si="0"/>
        <v>163</v>
      </c>
      <c r="P49" s="15">
        <f t="shared" si="1"/>
        <v>306</v>
      </c>
      <c r="R49" s="8"/>
      <c r="T49"/>
    </row>
    <row r="50" spans="2:20" ht="23.1" customHeight="1" x14ac:dyDescent="0.25">
      <c r="B50" s="24" t="s">
        <v>77</v>
      </c>
      <c r="C50" s="50">
        <v>85</v>
      </c>
      <c r="D50" s="50">
        <v>22</v>
      </c>
      <c r="E50" s="50">
        <v>28</v>
      </c>
      <c r="F50" s="50">
        <v>12</v>
      </c>
      <c r="G50" s="50">
        <v>2</v>
      </c>
      <c r="H50" s="50">
        <v>0</v>
      </c>
      <c r="I50" s="50">
        <v>3</v>
      </c>
      <c r="J50" s="50">
        <v>1</v>
      </c>
      <c r="K50" s="50">
        <v>0</v>
      </c>
      <c r="L50" s="50">
        <v>0</v>
      </c>
      <c r="M50" s="50">
        <v>130</v>
      </c>
      <c r="N50" s="50">
        <v>0</v>
      </c>
      <c r="O50" s="15">
        <f t="shared" si="0"/>
        <v>153</v>
      </c>
      <c r="P50" s="15">
        <f t="shared" si="1"/>
        <v>283</v>
      </c>
      <c r="R50" s="8"/>
      <c r="T50"/>
    </row>
    <row r="51" spans="2:20" ht="23.1" customHeight="1" x14ac:dyDescent="0.25">
      <c r="B51" s="24" t="s">
        <v>78</v>
      </c>
      <c r="C51" s="50">
        <v>56</v>
      </c>
      <c r="D51" s="50">
        <v>7</v>
      </c>
      <c r="E51" s="50">
        <v>9</v>
      </c>
      <c r="F51" s="50">
        <v>6</v>
      </c>
      <c r="G51" s="50">
        <v>0</v>
      </c>
      <c r="H51" s="50">
        <v>1</v>
      </c>
      <c r="I51" s="50">
        <v>0</v>
      </c>
      <c r="J51" s="50">
        <v>1</v>
      </c>
      <c r="K51" s="50">
        <v>0</v>
      </c>
      <c r="L51" s="50">
        <v>1</v>
      </c>
      <c r="M51" s="50">
        <v>124</v>
      </c>
      <c r="N51" s="50">
        <v>0</v>
      </c>
      <c r="O51" s="15">
        <f t="shared" si="0"/>
        <v>81</v>
      </c>
      <c r="P51" s="15">
        <f t="shared" si="1"/>
        <v>205</v>
      </c>
      <c r="R51" s="8"/>
      <c r="T51"/>
    </row>
    <row r="52" spans="2:20" ht="23.1" customHeight="1" x14ac:dyDescent="0.25">
      <c r="B52" s="24" t="s">
        <v>79</v>
      </c>
      <c r="C52" s="50">
        <v>75</v>
      </c>
      <c r="D52" s="50">
        <v>24</v>
      </c>
      <c r="E52" s="50">
        <v>9</v>
      </c>
      <c r="F52" s="50">
        <v>16</v>
      </c>
      <c r="G52" s="50">
        <v>1</v>
      </c>
      <c r="H52" s="50">
        <v>0</v>
      </c>
      <c r="I52" s="50">
        <v>2</v>
      </c>
      <c r="J52" s="50">
        <v>0</v>
      </c>
      <c r="K52" s="50">
        <v>0</v>
      </c>
      <c r="L52" s="50">
        <v>1</v>
      </c>
      <c r="M52" s="50">
        <v>103</v>
      </c>
      <c r="N52" s="50">
        <v>0</v>
      </c>
      <c r="O52" s="15">
        <f t="shared" si="0"/>
        <v>128</v>
      </c>
      <c r="P52" s="15">
        <f t="shared" si="1"/>
        <v>231</v>
      </c>
      <c r="R52" s="8"/>
      <c r="T52"/>
    </row>
    <row r="53" spans="2:20" ht="23.1" customHeight="1" x14ac:dyDescent="0.25">
      <c r="B53" s="23" t="s">
        <v>80</v>
      </c>
      <c r="C53" s="50">
        <v>122</v>
      </c>
      <c r="D53" s="50">
        <v>21</v>
      </c>
      <c r="E53" s="50">
        <v>17</v>
      </c>
      <c r="F53" s="50">
        <v>19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129</v>
      </c>
      <c r="N53" s="50">
        <v>0</v>
      </c>
      <c r="O53" s="15">
        <f t="shared" si="0"/>
        <v>182</v>
      </c>
      <c r="P53" s="15">
        <f t="shared" si="1"/>
        <v>311</v>
      </c>
      <c r="R53" s="8"/>
      <c r="T53"/>
    </row>
    <row r="54" spans="2:20" ht="23.1" customHeight="1" x14ac:dyDescent="0.25">
      <c r="B54" s="23" t="s">
        <v>81</v>
      </c>
      <c r="C54" s="50">
        <v>61</v>
      </c>
      <c r="D54" s="50">
        <v>26</v>
      </c>
      <c r="E54" s="50">
        <v>18</v>
      </c>
      <c r="F54" s="50">
        <v>21</v>
      </c>
      <c r="G54" s="50">
        <v>0</v>
      </c>
      <c r="H54" s="50">
        <v>1</v>
      </c>
      <c r="I54" s="50">
        <v>2</v>
      </c>
      <c r="J54" s="50">
        <v>1</v>
      </c>
      <c r="K54" s="50">
        <v>0</v>
      </c>
      <c r="L54" s="50">
        <v>0</v>
      </c>
      <c r="M54" s="50">
        <v>93</v>
      </c>
      <c r="N54" s="50">
        <v>0</v>
      </c>
      <c r="O54" s="15">
        <f t="shared" si="0"/>
        <v>130</v>
      </c>
      <c r="P54" s="15">
        <f t="shared" si="1"/>
        <v>223</v>
      </c>
      <c r="R54" s="8"/>
      <c r="T54"/>
    </row>
    <row r="55" spans="2:20" ht="23.1" customHeight="1" x14ac:dyDescent="0.25">
      <c r="B55" s="23" t="s">
        <v>82</v>
      </c>
      <c r="C55" s="50">
        <v>57</v>
      </c>
      <c r="D55" s="50">
        <v>9</v>
      </c>
      <c r="E55" s="50">
        <v>6</v>
      </c>
      <c r="F55" s="50">
        <v>12</v>
      </c>
      <c r="G55" s="50">
        <v>1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95</v>
      </c>
      <c r="N55" s="50">
        <v>0</v>
      </c>
      <c r="O55" s="15">
        <f t="shared" si="0"/>
        <v>86</v>
      </c>
      <c r="P55" s="15">
        <f t="shared" si="1"/>
        <v>181</v>
      </c>
      <c r="R55" s="8"/>
      <c r="T55"/>
    </row>
    <row r="56" spans="2:20" ht="23.1" customHeight="1" x14ac:dyDescent="0.25">
      <c r="B56" s="23" t="s">
        <v>83</v>
      </c>
      <c r="C56" s="50">
        <v>53</v>
      </c>
      <c r="D56" s="50">
        <v>11</v>
      </c>
      <c r="E56" s="50">
        <v>17</v>
      </c>
      <c r="F56" s="50">
        <v>8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103</v>
      </c>
      <c r="N56" s="50">
        <v>0</v>
      </c>
      <c r="O56" s="15">
        <f t="shared" si="0"/>
        <v>94</v>
      </c>
      <c r="P56" s="15">
        <f t="shared" si="1"/>
        <v>197</v>
      </c>
      <c r="R56" s="8"/>
      <c r="T56"/>
    </row>
    <row r="57" spans="2:20" ht="23.1" customHeight="1" x14ac:dyDescent="0.25">
      <c r="B57" s="23" t="s">
        <v>84</v>
      </c>
      <c r="C57" s="50">
        <v>60</v>
      </c>
      <c r="D57" s="50">
        <v>23</v>
      </c>
      <c r="E57" s="50">
        <v>9</v>
      </c>
      <c r="F57" s="50">
        <v>12</v>
      </c>
      <c r="G57" s="50">
        <v>2</v>
      </c>
      <c r="H57" s="50">
        <v>0</v>
      </c>
      <c r="I57" s="50">
        <v>8</v>
      </c>
      <c r="J57" s="50">
        <v>0</v>
      </c>
      <c r="K57" s="50">
        <v>0</v>
      </c>
      <c r="L57" s="50">
        <v>0</v>
      </c>
      <c r="M57" s="50">
        <v>118</v>
      </c>
      <c r="N57" s="50">
        <v>0</v>
      </c>
      <c r="O57" s="15">
        <f t="shared" si="0"/>
        <v>114</v>
      </c>
      <c r="P57" s="15">
        <f t="shared" si="1"/>
        <v>232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3264</v>
      </c>
      <c r="D58" s="16">
        <f t="shared" si="21"/>
        <v>810</v>
      </c>
      <c r="E58" s="16">
        <f t="shared" si="21"/>
        <v>716</v>
      </c>
      <c r="F58" s="16">
        <f t="shared" si="21"/>
        <v>913</v>
      </c>
      <c r="G58" s="16">
        <f t="shared" si="21"/>
        <v>29</v>
      </c>
      <c r="H58" s="16">
        <f t="shared" si="21"/>
        <v>6</v>
      </c>
      <c r="I58" s="16">
        <f t="shared" si="21"/>
        <v>117</v>
      </c>
      <c r="J58" s="16">
        <f t="shared" si="21"/>
        <v>34</v>
      </c>
      <c r="K58" s="16">
        <f t="shared" si="21"/>
        <v>8</v>
      </c>
      <c r="L58" s="16">
        <f t="shared" si="21"/>
        <v>4</v>
      </c>
      <c r="M58" s="16">
        <f t="shared" si="21"/>
        <v>5517</v>
      </c>
      <c r="N58" s="16">
        <f t="shared" si="21"/>
        <v>0</v>
      </c>
      <c r="O58" s="16">
        <f t="shared" si="21"/>
        <v>5901</v>
      </c>
      <c r="P58" s="16">
        <f t="shared" si="21"/>
        <v>11418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0.2858644245927483</v>
      </c>
      <c r="D59" s="43">
        <f t="shared" si="22"/>
        <v>7.094062007356805E-2</v>
      </c>
      <c r="E59" s="43">
        <f t="shared" si="22"/>
        <v>6.2708004904536693E-2</v>
      </c>
      <c r="F59" s="43">
        <f t="shared" si="22"/>
        <v>7.9961464354527945E-2</v>
      </c>
      <c r="G59" s="43">
        <f t="shared" si="22"/>
        <v>2.5398493606586092E-3</v>
      </c>
      <c r="H59" s="43">
        <f t="shared" si="22"/>
        <v>5.2548607461902258E-4</v>
      </c>
      <c r="I59" s="43">
        <f t="shared" si="22"/>
        <v>1.0246978455070941E-2</v>
      </c>
      <c r="J59" s="43">
        <f t="shared" si="22"/>
        <v>2.977754422841128E-3</v>
      </c>
      <c r="K59" s="43">
        <f t="shared" si="22"/>
        <v>7.0064809949203018E-4</v>
      </c>
      <c r="L59" s="43">
        <f t="shared" si="22"/>
        <v>3.5032404974601509E-4</v>
      </c>
      <c r="M59" s="43">
        <f t="shared" si="22"/>
        <v>0.48318444561219126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0.55312658871377729</v>
      </c>
      <c r="D60" s="44">
        <f t="shared" ref="D60:N60" si="23">D58/$O$58</f>
        <v>0.13726487036095578</v>
      </c>
      <c r="E60" s="44">
        <f t="shared" si="23"/>
        <v>0.1213353668869683</v>
      </c>
      <c r="F60" s="44">
        <f t="shared" si="23"/>
        <v>0.15471953906117608</v>
      </c>
      <c r="G60" s="44">
        <f t="shared" si="23"/>
        <v>4.9144212845280465E-3</v>
      </c>
      <c r="H60" s="44">
        <f t="shared" si="23"/>
        <v>1.0167768174885613E-3</v>
      </c>
      <c r="I60" s="44">
        <f t="shared" si="23"/>
        <v>1.9827147941026944E-2</v>
      </c>
      <c r="J60" s="44">
        <f t="shared" si="23"/>
        <v>5.7617352991018471E-3</v>
      </c>
      <c r="K60" s="44">
        <f t="shared" si="23"/>
        <v>1.3557024233180816E-3</v>
      </c>
      <c r="L60" s="44">
        <f t="shared" si="23"/>
        <v>6.7785121165904081E-4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Bugolobi-Nakawa'!C3:G3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3" t="str">
        <f>'01.08 Nakawa-Bugolobi-24h'!G5:H5</f>
        <v>Business Park</v>
      </c>
      <c r="H5" s="64"/>
      <c r="I5" s="14"/>
      <c r="J5" s="2" t="s">
        <v>5</v>
      </c>
      <c r="K5" s="63" t="str">
        <f>'01.08 Nakawa-Bugolobi-24h'!K5:L5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Bugolobi-Nakawa'!D6:E6</f>
        <v>Bugolobi</v>
      </c>
      <c r="E6" s="64"/>
      <c r="F6" s="2" t="s">
        <v>2</v>
      </c>
      <c r="G6" s="63" t="str">
        <f>'29.07 Bugolobi-Nakawa'!G6:H6</f>
        <v>Nakawa</v>
      </c>
      <c r="H6" s="64"/>
      <c r="J6" s="2" t="s">
        <v>21</v>
      </c>
      <c r="K6" s="63" t="str">
        <f>'01.08 Nakawa-Bugolobi-24h'!K6:L6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28</v>
      </c>
      <c r="D10" s="50">
        <v>13</v>
      </c>
      <c r="E10" s="50">
        <v>3</v>
      </c>
      <c r="F10" s="50">
        <v>26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42</v>
      </c>
      <c r="N10" s="50">
        <v>0</v>
      </c>
      <c r="O10" s="15">
        <f t="shared" ref="O10:O73" si="0">SUM(C10:L10,N10)</f>
        <v>70</v>
      </c>
      <c r="P10" s="15">
        <f t="shared" ref="P10:P73" si="1">SUM(C10:N10)</f>
        <v>112</v>
      </c>
      <c r="R10" s="1" t="s">
        <v>6</v>
      </c>
      <c r="S10" s="17">
        <f t="shared" ref="S10:AF10" si="2">SUM(C10:C13)</f>
        <v>96</v>
      </c>
      <c r="T10" s="17">
        <f t="shared" si="2"/>
        <v>35</v>
      </c>
      <c r="U10" s="17">
        <f t="shared" si="2"/>
        <v>19</v>
      </c>
      <c r="V10" s="17">
        <f t="shared" si="2"/>
        <v>61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109</v>
      </c>
      <c r="AD10" s="17">
        <f t="shared" si="2"/>
        <v>0</v>
      </c>
      <c r="AE10" s="31">
        <f t="shared" si="2"/>
        <v>218</v>
      </c>
      <c r="AF10" s="31">
        <f t="shared" si="2"/>
        <v>327</v>
      </c>
    </row>
    <row r="11" spans="2:32" s="6" customFormat="1" ht="23.1" customHeight="1" x14ac:dyDescent="0.25">
      <c r="B11" s="45" t="s">
        <v>38</v>
      </c>
      <c r="C11" s="50">
        <v>21</v>
      </c>
      <c r="D11" s="50">
        <v>10</v>
      </c>
      <c r="E11" s="50">
        <v>4</v>
      </c>
      <c r="F11" s="50">
        <v>11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17</v>
      </c>
      <c r="N11" s="50">
        <v>0</v>
      </c>
      <c r="O11" s="15">
        <f t="shared" si="0"/>
        <v>48</v>
      </c>
      <c r="P11" s="15">
        <f t="shared" si="1"/>
        <v>65</v>
      </c>
      <c r="R11" s="1" t="s">
        <v>7</v>
      </c>
      <c r="S11" s="17">
        <f t="shared" ref="S11:AF11" si="3">SUM(C14:C17)</f>
        <v>125</v>
      </c>
      <c r="T11" s="17">
        <f t="shared" si="3"/>
        <v>50</v>
      </c>
      <c r="U11" s="17">
        <f t="shared" si="3"/>
        <v>29</v>
      </c>
      <c r="V11" s="17">
        <f t="shared" si="3"/>
        <v>89</v>
      </c>
      <c r="W11" s="17">
        <f t="shared" si="3"/>
        <v>3</v>
      </c>
      <c r="X11" s="17">
        <f t="shared" si="3"/>
        <v>0</v>
      </c>
      <c r="Y11" s="17">
        <f t="shared" si="3"/>
        <v>10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172</v>
      </c>
      <c r="AD11" s="17">
        <f t="shared" si="3"/>
        <v>0</v>
      </c>
      <c r="AE11" s="31">
        <f t="shared" si="3"/>
        <v>308</v>
      </c>
      <c r="AF11" s="31">
        <f t="shared" si="3"/>
        <v>480</v>
      </c>
    </row>
    <row r="12" spans="2:32" ht="23.1" customHeight="1" x14ac:dyDescent="0.25">
      <c r="B12" s="45" t="s">
        <v>39</v>
      </c>
      <c r="C12" s="50">
        <v>16</v>
      </c>
      <c r="D12" s="50">
        <v>4</v>
      </c>
      <c r="E12" s="50">
        <v>5</v>
      </c>
      <c r="F12" s="50">
        <v>15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22</v>
      </c>
      <c r="N12" s="50">
        <v>0</v>
      </c>
      <c r="O12" s="15">
        <f t="shared" si="0"/>
        <v>41</v>
      </c>
      <c r="P12" s="15">
        <f t="shared" si="1"/>
        <v>63</v>
      </c>
      <c r="R12" s="1" t="s">
        <v>8</v>
      </c>
      <c r="S12" s="17">
        <f t="shared" ref="S12:AF12" si="4">SUM(C18:C21)</f>
        <v>193</v>
      </c>
      <c r="T12" s="17">
        <f t="shared" si="4"/>
        <v>130</v>
      </c>
      <c r="U12" s="17">
        <f t="shared" si="4"/>
        <v>52</v>
      </c>
      <c r="V12" s="17">
        <f t="shared" si="4"/>
        <v>126</v>
      </c>
      <c r="W12" s="17">
        <f t="shared" si="4"/>
        <v>1</v>
      </c>
      <c r="X12" s="17">
        <f t="shared" si="4"/>
        <v>0</v>
      </c>
      <c r="Y12" s="17">
        <f t="shared" si="4"/>
        <v>10</v>
      </c>
      <c r="Z12" s="17">
        <f t="shared" si="4"/>
        <v>3</v>
      </c>
      <c r="AA12" s="17">
        <f t="shared" si="4"/>
        <v>0</v>
      </c>
      <c r="AB12" s="17">
        <f t="shared" si="4"/>
        <v>1</v>
      </c>
      <c r="AC12" s="17">
        <f t="shared" si="4"/>
        <v>203</v>
      </c>
      <c r="AD12" s="17">
        <f t="shared" si="4"/>
        <v>0</v>
      </c>
      <c r="AE12" s="31">
        <f t="shared" si="4"/>
        <v>516</v>
      </c>
      <c r="AF12" s="31">
        <f t="shared" si="4"/>
        <v>719</v>
      </c>
    </row>
    <row r="13" spans="2:32" ht="23.1" customHeight="1" x14ac:dyDescent="0.25">
      <c r="B13" s="45" t="s">
        <v>40</v>
      </c>
      <c r="C13" s="50">
        <v>31</v>
      </c>
      <c r="D13" s="50">
        <v>8</v>
      </c>
      <c r="E13" s="50">
        <v>7</v>
      </c>
      <c r="F13" s="50">
        <v>9</v>
      </c>
      <c r="G13" s="50">
        <v>0</v>
      </c>
      <c r="H13" s="50">
        <v>0</v>
      </c>
      <c r="I13" s="50">
        <v>3</v>
      </c>
      <c r="J13" s="50">
        <v>0</v>
      </c>
      <c r="K13" s="50">
        <v>1</v>
      </c>
      <c r="L13" s="50">
        <v>0</v>
      </c>
      <c r="M13" s="50">
        <v>28</v>
      </c>
      <c r="N13" s="50">
        <v>0</v>
      </c>
      <c r="O13" s="15">
        <f t="shared" si="0"/>
        <v>59</v>
      </c>
      <c r="P13" s="15">
        <f t="shared" si="1"/>
        <v>87</v>
      </c>
      <c r="R13" s="1" t="s">
        <v>9</v>
      </c>
      <c r="S13" s="17">
        <f t="shared" ref="S13:AF13" si="5">SUM(C22:C25)</f>
        <v>310</v>
      </c>
      <c r="T13" s="17">
        <f t="shared" si="5"/>
        <v>167</v>
      </c>
      <c r="U13" s="17">
        <f t="shared" si="5"/>
        <v>73</v>
      </c>
      <c r="V13" s="17">
        <f t="shared" si="5"/>
        <v>140</v>
      </c>
      <c r="W13" s="17">
        <f t="shared" si="5"/>
        <v>1</v>
      </c>
      <c r="X13" s="17">
        <f t="shared" si="5"/>
        <v>0</v>
      </c>
      <c r="Y13" s="17">
        <f t="shared" si="5"/>
        <v>6</v>
      </c>
      <c r="Z13" s="17">
        <f t="shared" si="5"/>
        <v>5</v>
      </c>
      <c r="AA13" s="17">
        <f t="shared" si="5"/>
        <v>0</v>
      </c>
      <c r="AB13" s="17">
        <f t="shared" si="5"/>
        <v>1</v>
      </c>
      <c r="AC13" s="17">
        <f t="shared" si="5"/>
        <v>238</v>
      </c>
      <c r="AD13" s="17">
        <f t="shared" si="5"/>
        <v>0</v>
      </c>
      <c r="AE13" s="31">
        <f t="shared" si="5"/>
        <v>703</v>
      </c>
      <c r="AF13" s="31">
        <f t="shared" si="5"/>
        <v>941</v>
      </c>
    </row>
    <row r="14" spans="2:32" ht="23.1" customHeight="1" x14ac:dyDescent="0.25">
      <c r="B14" s="45" t="s">
        <v>41</v>
      </c>
      <c r="C14" s="50">
        <v>23</v>
      </c>
      <c r="D14" s="50">
        <v>16</v>
      </c>
      <c r="E14" s="50">
        <v>6</v>
      </c>
      <c r="F14" s="50">
        <v>17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33</v>
      </c>
      <c r="N14" s="50">
        <v>0</v>
      </c>
      <c r="O14" s="15">
        <f t="shared" si="0"/>
        <v>65</v>
      </c>
      <c r="P14" s="15">
        <f t="shared" si="1"/>
        <v>98</v>
      </c>
      <c r="R14" s="1" t="s">
        <v>10</v>
      </c>
      <c r="S14" s="17">
        <f t="shared" ref="S14:AF14" si="6">SUM(C26:C29)</f>
        <v>304</v>
      </c>
      <c r="T14" s="17">
        <f t="shared" si="6"/>
        <v>154</v>
      </c>
      <c r="U14" s="17">
        <f t="shared" si="6"/>
        <v>72</v>
      </c>
      <c r="V14" s="17">
        <f t="shared" si="6"/>
        <v>163</v>
      </c>
      <c r="W14" s="17">
        <f t="shared" si="6"/>
        <v>0</v>
      </c>
      <c r="X14" s="17">
        <f t="shared" si="6"/>
        <v>1</v>
      </c>
      <c r="Y14" s="17">
        <f t="shared" si="6"/>
        <v>6</v>
      </c>
      <c r="Z14" s="17">
        <f t="shared" si="6"/>
        <v>6</v>
      </c>
      <c r="AA14" s="17">
        <f t="shared" si="6"/>
        <v>4</v>
      </c>
      <c r="AB14" s="17">
        <f t="shared" si="6"/>
        <v>0</v>
      </c>
      <c r="AC14" s="17">
        <f t="shared" si="6"/>
        <v>205</v>
      </c>
      <c r="AD14" s="17">
        <f t="shared" si="6"/>
        <v>0</v>
      </c>
      <c r="AE14" s="31">
        <f t="shared" si="6"/>
        <v>710</v>
      </c>
      <c r="AF14" s="31">
        <f t="shared" si="6"/>
        <v>915</v>
      </c>
    </row>
    <row r="15" spans="2:32" ht="23.1" customHeight="1" x14ac:dyDescent="0.25">
      <c r="B15" s="45" t="s">
        <v>42</v>
      </c>
      <c r="C15" s="50">
        <v>37</v>
      </c>
      <c r="D15" s="50">
        <v>15</v>
      </c>
      <c r="E15" s="50">
        <v>10</v>
      </c>
      <c r="F15" s="50">
        <v>42</v>
      </c>
      <c r="G15" s="50">
        <v>1</v>
      </c>
      <c r="H15" s="50">
        <v>0</v>
      </c>
      <c r="I15" s="50">
        <v>4</v>
      </c>
      <c r="J15" s="50">
        <v>2</v>
      </c>
      <c r="K15" s="50">
        <v>0</v>
      </c>
      <c r="L15" s="50">
        <v>0</v>
      </c>
      <c r="M15" s="50">
        <v>40</v>
      </c>
      <c r="N15" s="50">
        <v>0</v>
      </c>
      <c r="O15" s="15">
        <f t="shared" si="0"/>
        <v>111</v>
      </c>
      <c r="P15" s="15">
        <f t="shared" si="1"/>
        <v>151</v>
      </c>
      <c r="R15" s="1" t="s">
        <v>11</v>
      </c>
      <c r="S15" s="17">
        <f t="shared" ref="S15:AF15" si="7">SUM(C30:C33)</f>
        <v>272</v>
      </c>
      <c r="T15" s="17">
        <f t="shared" si="7"/>
        <v>96</v>
      </c>
      <c r="U15" s="17">
        <f t="shared" si="7"/>
        <v>53</v>
      </c>
      <c r="V15" s="17">
        <f t="shared" si="7"/>
        <v>107</v>
      </c>
      <c r="W15" s="17">
        <f t="shared" si="7"/>
        <v>0</v>
      </c>
      <c r="X15" s="17">
        <f t="shared" si="7"/>
        <v>1</v>
      </c>
      <c r="Y15" s="17">
        <f t="shared" si="7"/>
        <v>16</v>
      </c>
      <c r="Z15" s="17">
        <f t="shared" si="7"/>
        <v>6</v>
      </c>
      <c r="AA15" s="17">
        <f t="shared" si="7"/>
        <v>0</v>
      </c>
      <c r="AB15" s="17">
        <f t="shared" si="7"/>
        <v>5</v>
      </c>
      <c r="AC15" s="17">
        <f t="shared" si="7"/>
        <v>245</v>
      </c>
      <c r="AD15" s="17">
        <f t="shared" si="7"/>
        <v>0</v>
      </c>
      <c r="AE15" s="31">
        <f t="shared" si="7"/>
        <v>556</v>
      </c>
      <c r="AF15" s="31">
        <f t="shared" si="7"/>
        <v>801</v>
      </c>
    </row>
    <row r="16" spans="2:32" ht="23.1" customHeight="1" x14ac:dyDescent="0.25">
      <c r="B16" s="45" t="s">
        <v>43</v>
      </c>
      <c r="C16" s="50">
        <v>28</v>
      </c>
      <c r="D16" s="50">
        <v>9</v>
      </c>
      <c r="E16" s="50">
        <v>7</v>
      </c>
      <c r="F16" s="50">
        <v>23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43</v>
      </c>
      <c r="N16" s="50">
        <v>0</v>
      </c>
      <c r="O16" s="15">
        <f t="shared" si="0"/>
        <v>68</v>
      </c>
      <c r="P16" s="15">
        <f t="shared" si="1"/>
        <v>111</v>
      </c>
      <c r="R16" s="1" t="s">
        <v>12</v>
      </c>
      <c r="S16" s="17">
        <f t="shared" ref="S16:AF16" si="8">SUM(C34:C37)</f>
        <v>273</v>
      </c>
      <c r="T16" s="17">
        <f t="shared" si="8"/>
        <v>119</v>
      </c>
      <c r="U16" s="17">
        <f t="shared" si="8"/>
        <v>72</v>
      </c>
      <c r="V16" s="17">
        <f t="shared" si="8"/>
        <v>137</v>
      </c>
      <c r="W16" s="17">
        <f t="shared" si="8"/>
        <v>0</v>
      </c>
      <c r="X16" s="17">
        <f t="shared" si="8"/>
        <v>0</v>
      </c>
      <c r="Y16" s="17">
        <f t="shared" si="8"/>
        <v>18</v>
      </c>
      <c r="Z16" s="17">
        <f t="shared" si="8"/>
        <v>7</v>
      </c>
      <c r="AA16" s="17">
        <f t="shared" si="8"/>
        <v>0</v>
      </c>
      <c r="AB16" s="17">
        <f t="shared" si="8"/>
        <v>2</v>
      </c>
      <c r="AC16" s="17">
        <f t="shared" si="8"/>
        <v>195</v>
      </c>
      <c r="AD16" s="17">
        <f t="shared" si="8"/>
        <v>0</v>
      </c>
      <c r="AE16" s="31">
        <f t="shared" si="8"/>
        <v>628</v>
      </c>
      <c r="AF16" s="31">
        <f t="shared" si="8"/>
        <v>823</v>
      </c>
    </row>
    <row r="17" spans="2:32" ht="23.1" customHeight="1" x14ac:dyDescent="0.25">
      <c r="B17" s="45" t="s">
        <v>44</v>
      </c>
      <c r="C17" s="50">
        <v>37</v>
      </c>
      <c r="D17" s="50">
        <v>10</v>
      </c>
      <c r="E17" s="50">
        <v>6</v>
      </c>
      <c r="F17" s="50">
        <v>7</v>
      </c>
      <c r="G17" s="50">
        <v>2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56</v>
      </c>
      <c r="N17" s="50">
        <v>0</v>
      </c>
      <c r="O17" s="15">
        <f t="shared" si="0"/>
        <v>64</v>
      </c>
      <c r="P17" s="15">
        <f t="shared" si="1"/>
        <v>120</v>
      </c>
      <c r="R17" s="1" t="s">
        <v>13</v>
      </c>
      <c r="S17" s="17">
        <f t="shared" ref="S17:AF17" si="9">SUM(C38:C41)</f>
        <v>508</v>
      </c>
      <c r="T17" s="17">
        <f t="shared" si="9"/>
        <v>154</v>
      </c>
      <c r="U17" s="17">
        <f t="shared" si="9"/>
        <v>58</v>
      </c>
      <c r="V17" s="17">
        <f t="shared" si="9"/>
        <v>113</v>
      </c>
      <c r="W17" s="17">
        <f t="shared" si="9"/>
        <v>2</v>
      </c>
      <c r="X17" s="17">
        <f t="shared" si="9"/>
        <v>0</v>
      </c>
      <c r="Y17" s="17">
        <f t="shared" si="9"/>
        <v>6</v>
      </c>
      <c r="Z17" s="17">
        <f t="shared" si="9"/>
        <v>2</v>
      </c>
      <c r="AA17" s="17">
        <f t="shared" si="9"/>
        <v>2</v>
      </c>
      <c r="AB17" s="17">
        <f t="shared" si="9"/>
        <v>2</v>
      </c>
      <c r="AC17" s="17">
        <f t="shared" si="9"/>
        <v>407</v>
      </c>
      <c r="AD17" s="17">
        <f t="shared" si="9"/>
        <v>0</v>
      </c>
      <c r="AE17" s="31">
        <f t="shared" si="9"/>
        <v>847</v>
      </c>
      <c r="AF17" s="31">
        <f t="shared" si="9"/>
        <v>1254</v>
      </c>
    </row>
    <row r="18" spans="2:32" ht="23.1" customHeight="1" x14ac:dyDescent="0.25">
      <c r="B18" s="45" t="s">
        <v>45</v>
      </c>
      <c r="C18" s="50">
        <v>35</v>
      </c>
      <c r="D18" s="50">
        <v>28</v>
      </c>
      <c r="E18" s="50">
        <v>11</v>
      </c>
      <c r="F18" s="50">
        <v>21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48</v>
      </c>
      <c r="N18" s="50">
        <v>0</v>
      </c>
      <c r="O18" s="15">
        <f t="shared" si="0"/>
        <v>98</v>
      </c>
      <c r="P18" s="15">
        <f t="shared" si="1"/>
        <v>146</v>
      </c>
      <c r="R18" s="1" t="s">
        <v>14</v>
      </c>
      <c r="S18" s="17">
        <f t="shared" ref="S18:AF18" si="10">SUM(C42:C45)</f>
        <v>402</v>
      </c>
      <c r="T18" s="17">
        <f t="shared" si="10"/>
        <v>107</v>
      </c>
      <c r="U18" s="17">
        <f t="shared" si="10"/>
        <v>40</v>
      </c>
      <c r="V18" s="17">
        <f t="shared" si="10"/>
        <v>127</v>
      </c>
      <c r="W18" s="17">
        <f t="shared" si="10"/>
        <v>0</v>
      </c>
      <c r="X18" s="17">
        <f t="shared" si="10"/>
        <v>0</v>
      </c>
      <c r="Y18" s="17">
        <f t="shared" si="10"/>
        <v>13</v>
      </c>
      <c r="Z18" s="17">
        <f t="shared" si="10"/>
        <v>8</v>
      </c>
      <c r="AA18" s="17">
        <f t="shared" si="10"/>
        <v>2</v>
      </c>
      <c r="AB18" s="17">
        <f t="shared" si="10"/>
        <v>3</v>
      </c>
      <c r="AC18" s="17">
        <f t="shared" si="10"/>
        <v>341</v>
      </c>
      <c r="AD18" s="17">
        <f t="shared" si="10"/>
        <v>0</v>
      </c>
      <c r="AE18" s="31">
        <f t="shared" si="10"/>
        <v>702</v>
      </c>
      <c r="AF18" s="31">
        <f t="shared" si="10"/>
        <v>1043</v>
      </c>
    </row>
    <row r="19" spans="2:32" ht="23.1" customHeight="1" x14ac:dyDescent="0.25">
      <c r="B19" s="45" t="s">
        <v>46</v>
      </c>
      <c r="C19" s="50">
        <v>43</v>
      </c>
      <c r="D19" s="50">
        <v>42</v>
      </c>
      <c r="E19" s="50">
        <v>13</v>
      </c>
      <c r="F19" s="50">
        <v>31</v>
      </c>
      <c r="G19" s="50">
        <v>1</v>
      </c>
      <c r="H19" s="50">
        <v>0</v>
      </c>
      <c r="I19" s="50">
        <v>2</v>
      </c>
      <c r="J19" s="50">
        <v>0</v>
      </c>
      <c r="K19" s="50">
        <v>0</v>
      </c>
      <c r="L19" s="50">
        <v>1</v>
      </c>
      <c r="M19" s="50">
        <v>35</v>
      </c>
      <c r="N19" s="50">
        <v>0</v>
      </c>
      <c r="O19" s="15">
        <f t="shared" si="0"/>
        <v>133</v>
      </c>
      <c r="P19" s="15">
        <f t="shared" si="1"/>
        <v>168</v>
      </c>
      <c r="R19" s="1" t="s">
        <v>15</v>
      </c>
      <c r="S19" s="17">
        <f t="shared" ref="S19:AF19" si="11">SUM(C46:C49)</f>
        <v>329</v>
      </c>
      <c r="T19" s="17">
        <f t="shared" si="11"/>
        <v>128</v>
      </c>
      <c r="U19" s="17">
        <f t="shared" si="11"/>
        <v>48</v>
      </c>
      <c r="V19" s="17">
        <f t="shared" si="11"/>
        <v>156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9</v>
      </c>
      <c r="AA19" s="17">
        <f t="shared" si="11"/>
        <v>1</v>
      </c>
      <c r="AB19" s="17">
        <f t="shared" si="11"/>
        <v>1</v>
      </c>
      <c r="AC19" s="17">
        <f t="shared" si="11"/>
        <v>353</v>
      </c>
      <c r="AD19" s="17">
        <f t="shared" si="11"/>
        <v>0</v>
      </c>
      <c r="AE19" s="31">
        <f t="shared" si="11"/>
        <v>679</v>
      </c>
      <c r="AF19" s="31">
        <f t="shared" si="11"/>
        <v>1032</v>
      </c>
    </row>
    <row r="20" spans="2:32" ht="23.1" customHeight="1" x14ac:dyDescent="0.25">
      <c r="B20" s="45" t="s">
        <v>47</v>
      </c>
      <c r="C20" s="50">
        <v>68</v>
      </c>
      <c r="D20" s="50">
        <v>48</v>
      </c>
      <c r="E20" s="50">
        <v>16</v>
      </c>
      <c r="F20" s="50">
        <v>27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66</v>
      </c>
      <c r="N20" s="50">
        <v>0</v>
      </c>
      <c r="O20" s="15">
        <f t="shared" si="0"/>
        <v>162</v>
      </c>
      <c r="P20" s="15">
        <f t="shared" si="1"/>
        <v>228</v>
      </c>
      <c r="R20" s="1" t="s">
        <v>16</v>
      </c>
      <c r="S20" s="17">
        <f t="shared" ref="S20:AF20" si="12">SUM(C50:C53)</f>
        <v>385</v>
      </c>
      <c r="T20" s="17">
        <f t="shared" si="12"/>
        <v>143</v>
      </c>
      <c r="U20" s="17">
        <f t="shared" si="12"/>
        <v>59</v>
      </c>
      <c r="V20" s="17">
        <f t="shared" si="12"/>
        <v>150</v>
      </c>
      <c r="W20" s="17">
        <f t="shared" si="12"/>
        <v>0</v>
      </c>
      <c r="X20" s="17">
        <f t="shared" si="12"/>
        <v>0</v>
      </c>
      <c r="Y20" s="17">
        <f t="shared" si="12"/>
        <v>8</v>
      </c>
      <c r="Z20" s="17">
        <f t="shared" si="12"/>
        <v>2</v>
      </c>
      <c r="AA20" s="17">
        <f t="shared" si="12"/>
        <v>2</v>
      </c>
      <c r="AB20" s="17">
        <f t="shared" si="12"/>
        <v>0</v>
      </c>
      <c r="AC20" s="17">
        <f t="shared" si="12"/>
        <v>399</v>
      </c>
      <c r="AD20" s="17">
        <f t="shared" si="12"/>
        <v>0</v>
      </c>
      <c r="AE20" s="31">
        <f t="shared" si="12"/>
        <v>749</v>
      </c>
      <c r="AF20" s="31">
        <f t="shared" si="12"/>
        <v>1148</v>
      </c>
    </row>
    <row r="21" spans="2:32" ht="23.1" customHeight="1" x14ac:dyDescent="0.25">
      <c r="B21" s="45" t="s">
        <v>48</v>
      </c>
      <c r="C21" s="50">
        <v>47</v>
      </c>
      <c r="D21" s="50">
        <v>12</v>
      </c>
      <c r="E21" s="50">
        <v>12</v>
      </c>
      <c r="F21" s="50">
        <v>47</v>
      </c>
      <c r="G21" s="50">
        <v>0</v>
      </c>
      <c r="H21" s="50">
        <v>0</v>
      </c>
      <c r="I21" s="50">
        <v>3</v>
      </c>
      <c r="J21" s="50">
        <v>2</v>
      </c>
      <c r="K21" s="50">
        <v>0</v>
      </c>
      <c r="L21" s="50">
        <v>0</v>
      </c>
      <c r="M21" s="50">
        <v>54</v>
      </c>
      <c r="N21" s="50">
        <v>0</v>
      </c>
      <c r="O21" s="15">
        <f t="shared" si="0"/>
        <v>123</v>
      </c>
      <c r="P21" s="15">
        <f t="shared" si="1"/>
        <v>177</v>
      </c>
      <c r="R21" s="36" t="s">
        <v>20</v>
      </c>
      <c r="S21" s="34">
        <f t="shared" ref="S21:AF21" si="13">SUM(C54:C57)</f>
        <v>298</v>
      </c>
      <c r="T21" s="17">
        <f t="shared" si="13"/>
        <v>115</v>
      </c>
      <c r="U21" s="17">
        <f t="shared" si="13"/>
        <v>61</v>
      </c>
      <c r="V21" s="17">
        <f t="shared" si="13"/>
        <v>117</v>
      </c>
      <c r="W21" s="17">
        <f t="shared" si="13"/>
        <v>1</v>
      </c>
      <c r="X21" s="17">
        <f t="shared" si="13"/>
        <v>0</v>
      </c>
      <c r="Y21" s="17">
        <f t="shared" si="13"/>
        <v>12</v>
      </c>
      <c r="Z21" s="17">
        <f t="shared" si="13"/>
        <v>2</v>
      </c>
      <c r="AA21" s="17">
        <f t="shared" si="13"/>
        <v>1</v>
      </c>
      <c r="AB21" s="17">
        <f t="shared" si="13"/>
        <v>0</v>
      </c>
      <c r="AC21" s="17">
        <f t="shared" si="13"/>
        <v>348</v>
      </c>
      <c r="AD21" s="17">
        <f t="shared" si="13"/>
        <v>0</v>
      </c>
      <c r="AE21" s="31">
        <f t="shared" si="13"/>
        <v>607</v>
      </c>
      <c r="AF21" s="31">
        <f t="shared" si="13"/>
        <v>955</v>
      </c>
    </row>
    <row r="22" spans="2:32" ht="23.1" customHeight="1" x14ac:dyDescent="0.25">
      <c r="B22" s="45" t="s">
        <v>49</v>
      </c>
      <c r="C22" s="50">
        <v>75</v>
      </c>
      <c r="D22" s="50">
        <v>33</v>
      </c>
      <c r="E22" s="50">
        <v>11</v>
      </c>
      <c r="F22" s="50">
        <v>27</v>
      </c>
      <c r="G22" s="50">
        <v>0</v>
      </c>
      <c r="H22" s="50">
        <v>0</v>
      </c>
      <c r="I22" s="50">
        <v>3</v>
      </c>
      <c r="J22" s="50">
        <v>1</v>
      </c>
      <c r="K22" s="50">
        <v>0</v>
      </c>
      <c r="L22" s="50">
        <v>1</v>
      </c>
      <c r="M22" s="50">
        <v>53</v>
      </c>
      <c r="N22" s="50">
        <v>0</v>
      </c>
      <c r="O22" s="15">
        <f t="shared" si="0"/>
        <v>151</v>
      </c>
      <c r="P22" s="15">
        <f t="shared" si="1"/>
        <v>204</v>
      </c>
      <c r="R22" s="36" t="s">
        <v>146</v>
      </c>
      <c r="S22" s="34">
        <f>SUM(C58:C61)</f>
        <v>178</v>
      </c>
      <c r="T22" s="34">
        <f t="shared" ref="T22:AF22" si="14">SUM(D58:D61)</f>
        <v>120</v>
      </c>
      <c r="U22" s="34">
        <f t="shared" si="14"/>
        <v>46</v>
      </c>
      <c r="V22" s="34">
        <f t="shared" si="14"/>
        <v>103</v>
      </c>
      <c r="W22" s="34">
        <f t="shared" si="14"/>
        <v>0</v>
      </c>
      <c r="X22" s="34">
        <f t="shared" si="14"/>
        <v>0</v>
      </c>
      <c r="Y22" s="34">
        <f t="shared" si="14"/>
        <v>21</v>
      </c>
      <c r="Z22" s="34">
        <f t="shared" si="14"/>
        <v>5</v>
      </c>
      <c r="AA22" s="34">
        <f t="shared" si="14"/>
        <v>2</v>
      </c>
      <c r="AB22" s="34">
        <f t="shared" si="14"/>
        <v>0</v>
      </c>
      <c r="AC22" s="34">
        <f t="shared" si="14"/>
        <v>305</v>
      </c>
      <c r="AD22" s="34">
        <f t="shared" si="14"/>
        <v>0</v>
      </c>
      <c r="AE22" s="31">
        <f t="shared" si="14"/>
        <v>475</v>
      </c>
      <c r="AF22" s="31">
        <f t="shared" si="14"/>
        <v>780</v>
      </c>
    </row>
    <row r="23" spans="2:32" ht="23.1" customHeight="1" x14ac:dyDescent="0.25">
      <c r="B23" s="45" t="s">
        <v>50</v>
      </c>
      <c r="C23" s="50">
        <v>73</v>
      </c>
      <c r="D23" s="50">
        <v>58</v>
      </c>
      <c r="E23" s="50">
        <v>29</v>
      </c>
      <c r="F23" s="50">
        <v>37</v>
      </c>
      <c r="G23" s="50">
        <v>0</v>
      </c>
      <c r="H23" s="50">
        <v>0</v>
      </c>
      <c r="I23" s="50">
        <v>2</v>
      </c>
      <c r="J23" s="50">
        <v>1</v>
      </c>
      <c r="K23" s="50">
        <v>0</v>
      </c>
      <c r="L23" s="50">
        <v>0</v>
      </c>
      <c r="M23" s="50">
        <v>68</v>
      </c>
      <c r="N23" s="50">
        <v>0</v>
      </c>
      <c r="O23" s="15">
        <f t="shared" si="0"/>
        <v>200</v>
      </c>
      <c r="P23" s="15">
        <f t="shared" si="1"/>
        <v>268</v>
      </c>
      <c r="R23" s="36" t="s">
        <v>147</v>
      </c>
      <c r="S23" s="34">
        <f>SUM(C62:C65)</f>
        <v>212</v>
      </c>
      <c r="T23" s="34">
        <f t="shared" ref="T23:AF23" si="15">SUM(D62:D65)</f>
        <v>76</v>
      </c>
      <c r="U23" s="34">
        <f t="shared" si="15"/>
        <v>28</v>
      </c>
      <c r="V23" s="34">
        <f t="shared" si="15"/>
        <v>79</v>
      </c>
      <c r="W23" s="34">
        <f t="shared" si="15"/>
        <v>3</v>
      </c>
      <c r="X23" s="34">
        <f t="shared" si="15"/>
        <v>0</v>
      </c>
      <c r="Y23" s="34">
        <f t="shared" si="15"/>
        <v>9</v>
      </c>
      <c r="Z23" s="34">
        <f t="shared" si="15"/>
        <v>1</v>
      </c>
      <c r="AA23" s="34">
        <f t="shared" si="15"/>
        <v>0</v>
      </c>
      <c r="AB23" s="34">
        <f t="shared" si="15"/>
        <v>2</v>
      </c>
      <c r="AC23" s="34">
        <f t="shared" si="15"/>
        <v>251</v>
      </c>
      <c r="AD23" s="34">
        <f t="shared" si="15"/>
        <v>0</v>
      </c>
      <c r="AE23" s="31">
        <f t="shared" si="15"/>
        <v>410</v>
      </c>
      <c r="AF23" s="31">
        <f t="shared" si="15"/>
        <v>661</v>
      </c>
    </row>
    <row r="24" spans="2:32" ht="23.1" customHeight="1" x14ac:dyDescent="0.25">
      <c r="B24" s="45" t="s">
        <v>51</v>
      </c>
      <c r="C24" s="50">
        <v>84</v>
      </c>
      <c r="D24" s="50">
        <v>43</v>
      </c>
      <c r="E24" s="50">
        <v>8</v>
      </c>
      <c r="F24" s="50">
        <v>33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63</v>
      </c>
      <c r="N24" s="50">
        <v>0</v>
      </c>
      <c r="O24" s="15">
        <f t="shared" si="0"/>
        <v>169</v>
      </c>
      <c r="P24" s="15">
        <f t="shared" si="1"/>
        <v>232</v>
      </c>
      <c r="R24" s="36" t="s">
        <v>148</v>
      </c>
      <c r="S24" s="34">
        <f>SUM(C66:C69)</f>
        <v>188</v>
      </c>
      <c r="T24" s="34">
        <f t="shared" ref="T24:AF24" si="16">SUM(D66:D69)</f>
        <v>67</v>
      </c>
      <c r="U24" s="34">
        <f t="shared" si="16"/>
        <v>27</v>
      </c>
      <c r="V24" s="34">
        <f t="shared" si="16"/>
        <v>102</v>
      </c>
      <c r="W24" s="34">
        <f t="shared" si="16"/>
        <v>0</v>
      </c>
      <c r="X24" s="34">
        <f t="shared" si="16"/>
        <v>1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194</v>
      </c>
      <c r="AD24" s="34">
        <f t="shared" si="16"/>
        <v>0</v>
      </c>
      <c r="AE24" s="31">
        <f t="shared" si="16"/>
        <v>389</v>
      </c>
      <c r="AF24" s="31">
        <f t="shared" si="16"/>
        <v>583</v>
      </c>
    </row>
    <row r="25" spans="2:32" ht="23.1" customHeight="1" x14ac:dyDescent="0.25">
      <c r="B25" s="45" t="s">
        <v>52</v>
      </c>
      <c r="C25" s="50">
        <v>78</v>
      </c>
      <c r="D25" s="50">
        <v>33</v>
      </c>
      <c r="E25" s="50">
        <v>25</v>
      </c>
      <c r="F25" s="50">
        <v>43</v>
      </c>
      <c r="G25" s="50">
        <v>1</v>
      </c>
      <c r="H25" s="50">
        <v>0</v>
      </c>
      <c r="I25" s="50">
        <v>1</v>
      </c>
      <c r="J25" s="50">
        <v>2</v>
      </c>
      <c r="K25" s="50">
        <v>0</v>
      </c>
      <c r="L25" s="50">
        <v>0</v>
      </c>
      <c r="M25" s="50">
        <v>54</v>
      </c>
      <c r="N25" s="50">
        <v>0</v>
      </c>
      <c r="O25" s="15">
        <f t="shared" si="0"/>
        <v>183</v>
      </c>
      <c r="P25" s="15">
        <f t="shared" si="1"/>
        <v>237</v>
      </c>
      <c r="R25" s="36" t="s">
        <v>149</v>
      </c>
      <c r="S25" s="34">
        <f>SUM(C70:C73)</f>
        <v>130</v>
      </c>
      <c r="T25" s="34">
        <f t="shared" ref="T25:AF25" si="17">SUM(D70:D73)</f>
        <v>71</v>
      </c>
      <c r="U25" s="34">
        <f t="shared" si="17"/>
        <v>29</v>
      </c>
      <c r="V25" s="34">
        <f t="shared" si="17"/>
        <v>99</v>
      </c>
      <c r="W25" s="34">
        <f t="shared" si="17"/>
        <v>0</v>
      </c>
      <c r="X25" s="34">
        <f t="shared" si="17"/>
        <v>1</v>
      </c>
      <c r="Y25" s="34">
        <f t="shared" si="17"/>
        <v>4</v>
      </c>
      <c r="Z25" s="34">
        <f t="shared" si="17"/>
        <v>1</v>
      </c>
      <c r="AA25" s="34">
        <f t="shared" si="17"/>
        <v>1</v>
      </c>
      <c r="AB25" s="34">
        <f t="shared" si="17"/>
        <v>1</v>
      </c>
      <c r="AC25" s="34">
        <f t="shared" si="17"/>
        <v>182</v>
      </c>
      <c r="AD25" s="34">
        <f t="shared" si="17"/>
        <v>0</v>
      </c>
      <c r="AE25" s="31">
        <f t="shared" si="17"/>
        <v>337</v>
      </c>
      <c r="AF25" s="31">
        <f t="shared" si="17"/>
        <v>519</v>
      </c>
    </row>
    <row r="26" spans="2:32" ht="23.1" customHeight="1" x14ac:dyDescent="0.25">
      <c r="B26" s="45" t="s">
        <v>53</v>
      </c>
      <c r="C26" s="50">
        <v>83</v>
      </c>
      <c r="D26" s="50">
        <v>42</v>
      </c>
      <c r="E26" s="50">
        <v>15</v>
      </c>
      <c r="F26" s="50">
        <v>48</v>
      </c>
      <c r="G26" s="50">
        <v>0</v>
      </c>
      <c r="H26" s="50">
        <v>0</v>
      </c>
      <c r="I26" s="50">
        <v>1</v>
      </c>
      <c r="J26" s="50">
        <v>3</v>
      </c>
      <c r="K26" s="50">
        <v>1</v>
      </c>
      <c r="L26" s="50">
        <v>0</v>
      </c>
      <c r="M26" s="50">
        <v>49</v>
      </c>
      <c r="N26" s="50">
        <v>0</v>
      </c>
      <c r="O26" s="15">
        <f t="shared" si="0"/>
        <v>193</v>
      </c>
      <c r="P26" s="15">
        <f t="shared" si="1"/>
        <v>242</v>
      </c>
      <c r="R26" s="36" t="s">
        <v>150</v>
      </c>
      <c r="S26" s="34">
        <f>SUM(C74:C77)</f>
        <v>156</v>
      </c>
      <c r="T26" s="34">
        <f t="shared" ref="T26:AF26" si="18">SUM(D74:D77)</f>
        <v>37</v>
      </c>
      <c r="U26" s="34">
        <f t="shared" si="18"/>
        <v>37</v>
      </c>
      <c r="V26" s="34">
        <f t="shared" si="18"/>
        <v>70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3</v>
      </c>
      <c r="AA26" s="34">
        <f t="shared" si="18"/>
        <v>1</v>
      </c>
      <c r="AB26" s="34">
        <f t="shared" si="18"/>
        <v>1</v>
      </c>
      <c r="AC26" s="34">
        <f t="shared" si="18"/>
        <v>234</v>
      </c>
      <c r="AD26" s="34">
        <f t="shared" si="18"/>
        <v>0</v>
      </c>
      <c r="AE26" s="31">
        <f t="shared" si="18"/>
        <v>310</v>
      </c>
      <c r="AF26" s="31">
        <f t="shared" si="18"/>
        <v>544</v>
      </c>
    </row>
    <row r="27" spans="2:32" ht="23.1" customHeight="1" x14ac:dyDescent="0.25">
      <c r="B27" s="45" t="s">
        <v>54</v>
      </c>
      <c r="C27" s="50">
        <v>85</v>
      </c>
      <c r="D27" s="50">
        <v>42</v>
      </c>
      <c r="E27" s="50">
        <v>22</v>
      </c>
      <c r="F27" s="50">
        <v>32</v>
      </c>
      <c r="G27" s="50">
        <v>0</v>
      </c>
      <c r="H27" s="50">
        <v>1</v>
      </c>
      <c r="I27" s="50">
        <v>0</v>
      </c>
      <c r="J27" s="50">
        <v>2</v>
      </c>
      <c r="K27" s="50">
        <v>2</v>
      </c>
      <c r="L27" s="50">
        <v>0</v>
      </c>
      <c r="M27" s="50">
        <v>45</v>
      </c>
      <c r="N27" s="50">
        <v>0</v>
      </c>
      <c r="O27" s="15">
        <f t="shared" si="0"/>
        <v>186</v>
      </c>
      <c r="P27" s="15">
        <f t="shared" si="1"/>
        <v>231</v>
      </c>
      <c r="R27" s="36" t="s">
        <v>151</v>
      </c>
      <c r="S27" s="34">
        <f>SUM(C78:C81)</f>
        <v>105</v>
      </c>
      <c r="T27" s="34">
        <f t="shared" ref="T27:AF27" si="19">SUM(D78:D81)</f>
        <v>42</v>
      </c>
      <c r="U27" s="34">
        <f t="shared" si="19"/>
        <v>29</v>
      </c>
      <c r="V27" s="34">
        <f t="shared" si="19"/>
        <v>37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1</v>
      </c>
      <c r="AA27" s="34">
        <f t="shared" si="19"/>
        <v>1</v>
      </c>
      <c r="AB27" s="34">
        <f t="shared" si="19"/>
        <v>1</v>
      </c>
      <c r="AC27" s="34">
        <f t="shared" si="19"/>
        <v>146</v>
      </c>
      <c r="AD27" s="34">
        <f t="shared" si="19"/>
        <v>0</v>
      </c>
      <c r="AE27" s="31">
        <f t="shared" si="19"/>
        <v>217</v>
      </c>
      <c r="AF27" s="31">
        <f t="shared" si="19"/>
        <v>363</v>
      </c>
    </row>
    <row r="28" spans="2:32" ht="23.1" customHeight="1" x14ac:dyDescent="0.25">
      <c r="B28" s="45" t="s">
        <v>55</v>
      </c>
      <c r="C28" s="50">
        <v>64</v>
      </c>
      <c r="D28" s="50">
        <v>47</v>
      </c>
      <c r="E28" s="50">
        <v>14</v>
      </c>
      <c r="F28" s="50">
        <v>37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58</v>
      </c>
      <c r="N28" s="50">
        <v>0</v>
      </c>
      <c r="O28" s="15">
        <f t="shared" si="0"/>
        <v>166</v>
      </c>
      <c r="P28" s="15">
        <f t="shared" si="1"/>
        <v>224</v>
      </c>
      <c r="R28" s="36" t="s">
        <v>152</v>
      </c>
      <c r="S28" s="34">
        <f>SUM(C82:C85)</f>
        <v>75</v>
      </c>
      <c r="T28" s="34">
        <f t="shared" ref="T28:AF28" si="20">SUM(D82:D85)</f>
        <v>16</v>
      </c>
      <c r="U28" s="34">
        <f t="shared" si="20"/>
        <v>4</v>
      </c>
      <c r="V28" s="34">
        <f t="shared" si="20"/>
        <v>4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72</v>
      </c>
      <c r="AD28" s="34">
        <f t="shared" si="20"/>
        <v>0</v>
      </c>
      <c r="AE28" s="31">
        <f t="shared" si="20"/>
        <v>101</v>
      </c>
      <c r="AF28" s="31">
        <f t="shared" si="20"/>
        <v>173</v>
      </c>
    </row>
    <row r="29" spans="2:32" ht="23.1" customHeight="1" x14ac:dyDescent="0.25">
      <c r="B29" s="45" t="s">
        <v>56</v>
      </c>
      <c r="C29" s="50">
        <v>72</v>
      </c>
      <c r="D29" s="50">
        <v>23</v>
      </c>
      <c r="E29" s="50">
        <v>21</v>
      </c>
      <c r="F29" s="50">
        <v>46</v>
      </c>
      <c r="G29" s="50">
        <v>0</v>
      </c>
      <c r="H29" s="50">
        <v>0</v>
      </c>
      <c r="I29" s="50">
        <v>2</v>
      </c>
      <c r="J29" s="50">
        <v>0</v>
      </c>
      <c r="K29" s="50">
        <v>1</v>
      </c>
      <c r="L29" s="50">
        <v>0</v>
      </c>
      <c r="M29" s="50">
        <v>53</v>
      </c>
      <c r="N29" s="50">
        <v>0</v>
      </c>
      <c r="O29" s="15">
        <f t="shared" si="0"/>
        <v>165</v>
      </c>
      <c r="P29" s="15">
        <f t="shared" si="1"/>
        <v>218</v>
      </c>
      <c r="R29" s="36" t="s">
        <v>153</v>
      </c>
      <c r="S29" s="34">
        <f>SUM(C86:C89)</f>
        <v>63</v>
      </c>
      <c r="T29" s="34">
        <f t="shared" ref="T29:AF29" si="21">SUM(D86:D89)</f>
        <v>5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1</v>
      </c>
      <c r="AC29" s="34">
        <f t="shared" si="21"/>
        <v>68</v>
      </c>
      <c r="AD29" s="34">
        <f t="shared" si="21"/>
        <v>0</v>
      </c>
      <c r="AE29" s="31">
        <f t="shared" si="21"/>
        <v>70</v>
      </c>
      <c r="AF29" s="31">
        <f t="shared" si="21"/>
        <v>138</v>
      </c>
    </row>
    <row r="30" spans="2:32" ht="23.1" customHeight="1" x14ac:dyDescent="0.25">
      <c r="B30" s="45" t="s">
        <v>57</v>
      </c>
      <c r="C30" s="50">
        <v>88</v>
      </c>
      <c r="D30" s="50">
        <v>29</v>
      </c>
      <c r="E30" s="50">
        <v>16</v>
      </c>
      <c r="F30" s="50">
        <v>23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68</v>
      </c>
      <c r="N30" s="50">
        <v>0</v>
      </c>
      <c r="O30" s="15">
        <f t="shared" si="0"/>
        <v>160</v>
      </c>
      <c r="P30" s="15">
        <f t="shared" si="1"/>
        <v>228</v>
      </c>
      <c r="R30" s="36" t="s">
        <v>154</v>
      </c>
      <c r="S30" s="34">
        <f>SUM(C90:C93)</f>
        <v>83</v>
      </c>
      <c r="T30" s="34">
        <f t="shared" ref="T30:AF30" si="22">SUM(D90:D93)</f>
        <v>10</v>
      </c>
      <c r="U30" s="34">
        <f t="shared" si="22"/>
        <v>11</v>
      </c>
      <c r="V30" s="34">
        <f t="shared" si="22"/>
        <v>10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1</v>
      </c>
      <c r="AB30" s="34">
        <f t="shared" si="22"/>
        <v>2</v>
      </c>
      <c r="AC30" s="34">
        <f t="shared" si="22"/>
        <v>72</v>
      </c>
      <c r="AD30" s="34">
        <f t="shared" si="22"/>
        <v>0</v>
      </c>
      <c r="AE30" s="31">
        <f t="shared" si="22"/>
        <v>118</v>
      </c>
      <c r="AF30" s="31">
        <f t="shared" si="22"/>
        <v>190</v>
      </c>
    </row>
    <row r="31" spans="2:32" ht="23.1" customHeight="1" x14ac:dyDescent="0.25">
      <c r="B31" s="46" t="s">
        <v>58</v>
      </c>
      <c r="C31" s="50">
        <v>63</v>
      </c>
      <c r="D31" s="50">
        <v>20</v>
      </c>
      <c r="E31" s="50">
        <v>12</v>
      </c>
      <c r="F31" s="50">
        <v>21</v>
      </c>
      <c r="G31" s="50">
        <v>0</v>
      </c>
      <c r="H31" s="50">
        <v>0</v>
      </c>
      <c r="I31" s="50">
        <v>7</v>
      </c>
      <c r="J31" s="50">
        <v>3</v>
      </c>
      <c r="K31" s="50">
        <v>0</v>
      </c>
      <c r="L31" s="50">
        <v>1</v>
      </c>
      <c r="M31" s="50">
        <v>58</v>
      </c>
      <c r="N31" s="50">
        <v>0</v>
      </c>
      <c r="O31" s="15">
        <f t="shared" si="0"/>
        <v>127</v>
      </c>
      <c r="P31" s="15">
        <f t="shared" si="1"/>
        <v>185</v>
      </c>
      <c r="R31" s="36" t="s">
        <v>155</v>
      </c>
      <c r="S31" s="34">
        <f>SUM(C94:C97)</f>
        <v>7</v>
      </c>
      <c r="T31" s="34">
        <f t="shared" ref="T31:AF31" si="23">SUM(D94:D97)</f>
        <v>8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1</v>
      </c>
      <c r="AB31" s="34">
        <f t="shared" si="23"/>
        <v>1</v>
      </c>
      <c r="AC31" s="34">
        <f t="shared" si="23"/>
        <v>8</v>
      </c>
      <c r="AD31" s="34">
        <f t="shared" si="23"/>
        <v>0</v>
      </c>
      <c r="AE31" s="31">
        <f t="shared" si="23"/>
        <v>19</v>
      </c>
      <c r="AF31" s="31">
        <f t="shared" si="23"/>
        <v>27</v>
      </c>
    </row>
    <row r="32" spans="2:32" ht="23.1" customHeight="1" x14ac:dyDescent="0.25">
      <c r="B32" s="46" t="s">
        <v>59</v>
      </c>
      <c r="C32" s="50">
        <v>48</v>
      </c>
      <c r="D32" s="50">
        <v>31</v>
      </c>
      <c r="E32" s="50">
        <v>22</v>
      </c>
      <c r="F32" s="50">
        <v>36</v>
      </c>
      <c r="G32" s="50">
        <v>0</v>
      </c>
      <c r="H32" s="50">
        <v>1</v>
      </c>
      <c r="I32" s="50">
        <v>4</v>
      </c>
      <c r="J32" s="50">
        <v>2</v>
      </c>
      <c r="K32" s="50">
        <v>0</v>
      </c>
      <c r="L32" s="50">
        <v>3</v>
      </c>
      <c r="M32" s="50">
        <v>58</v>
      </c>
      <c r="N32" s="50">
        <v>0</v>
      </c>
      <c r="O32" s="15">
        <f t="shared" si="0"/>
        <v>147</v>
      </c>
      <c r="P32" s="15">
        <f t="shared" si="1"/>
        <v>205</v>
      </c>
      <c r="R32" s="33" t="s">
        <v>156</v>
      </c>
      <c r="S32" s="34">
        <f>SUM(C98:C101)</f>
        <v>33</v>
      </c>
      <c r="T32" s="34">
        <f t="shared" ref="T32:AF32" si="24">SUM(D98:D101)</f>
        <v>3</v>
      </c>
      <c r="U32" s="34">
        <f t="shared" si="24"/>
        <v>3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58</v>
      </c>
      <c r="AD32" s="34">
        <f t="shared" si="24"/>
        <v>0</v>
      </c>
      <c r="AE32" s="31">
        <f t="shared" si="24"/>
        <v>42</v>
      </c>
      <c r="AF32" s="31">
        <f t="shared" si="24"/>
        <v>100</v>
      </c>
    </row>
    <row r="33" spans="2:32" ht="23.1" customHeight="1" x14ac:dyDescent="0.25">
      <c r="B33" s="45" t="s">
        <v>60</v>
      </c>
      <c r="C33" s="50">
        <v>73</v>
      </c>
      <c r="D33" s="50">
        <v>16</v>
      </c>
      <c r="E33" s="50">
        <v>3</v>
      </c>
      <c r="F33" s="50">
        <v>27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1</v>
      </c>
      <c r="M33" s="50">
        <v>61</v>
      </c>
      <c r="N33" s="50">
        <v>0</v>
      </c>
      <c r="O33" s="15">
        <f t="shared" si="0"/>
        <v>122</v>
      </c>
      <c r="P33" s="15">
        <f t="shared" si="1"/>
        <v>183</v>
      </c>
      <c r="R33" s="33" t="s">
        <v>157</v>
      </c>
      <c r="S33" s="34">
        <f>SUM(C102:C105)</f>
        <v>103</v>
      </c>
      <c r="T33" s="34">
        <f t="shared" ref="T33:AF33" si="25">SUM(D102:D105)</f>
        <v>5</v>
      </c>
      <c r="U33" s="34">
        <f t="shared" si="25"/>
        <v>2</v>
      </c>
      <c r="V33" s="34">
        <f t="shared" si="25"/>
        <v>4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109</v>
      </c>
      <c r="AD33" s="34">
        <f t="shared" si="25"/>
        <v>0</v>
      </c>
      <c r="AE33" s="31">
        <f t="shared" si="25"/>
        <v>116</v>
      </c>
      <c r="AF33" s="31">
        <f t="shared" si="25"/>
        <v>225</v>
      </c>
    </row>
    <row r="34" spans="2:32" ht="23.1" customHeight="1" x14ac:dyDescent="0.25">
      <c r="B34" s="46" t="s">
        <v>61</v>
      </c>
      <c r="C34" s="50">
        <v>62</v>
      </c>
      <c r="D34" s="50">
        <v>37</v>
      </c>
      <c r="E34" s="50">
        <v>14</v>
      </c>
      <c r="F34" s="50">
        <v>31</v>
      </c>
      <c r="G34" s="50">
        <v>0</v>
      </c>
      <c r="H34" s="50">
        <v>0</v>
      </c>
      <c r="I34" s="50">
        <v>6</v>
      </c>
      <c r="J34" s="50">
        <v>2</v>
      </c>
      <c r="K34" s="50">
        <v>0</v>
      </c>
      <c r="L34" s="50">
        <v>1</v>
      </c>
      <c r="M34" s="50">
        <v>57</v>
      </c>
      <c r="N34" s="50">
        <v>0</v>
      </c>
      <c r="O34" s="15">
        <f t="shared" si="0"/>
        <v>153</v>
      </c>
      <c r="P34" s="15">
        <f t="shared" si="1"/>
        <v>210</v>
      </c>
      <c r="R34" s="38" t="s">
        <v>90</v>
      </c>
      <c r="S34" s="39">
        <f t="shared" ref="S34:AF34" si="26">MAX(S10:S12)</f>
        <v>193</v>
      </c>
      <c r="T34" s="39">
        <f t="shared" si="26"/>
        <v>130</v>
      </c>
      <c r="U34" s="39">
        <f t="shared" si="26"/>
        <v>52</v>
      </c>
      <c r="V34" s="39">
        <f t="shared" si="26"/>
        <v>126</v>
      </c>
      <c r="W34" s="39">
        <f t="shared" si="26"/>
        <v>3</v>
      </c>
      <c r="X34" s="39">
        <f t="shared" si="26"/>
        <v>0</v>
      </c>
      <c r="Y34" s="39">
        <f t="shared" si="26"/>
        <v>10</v>
      </c>
      <c r="Z34" s="39">
        <f t="shared" si="26"/>
        <v>3</v>
      </c>
      <c r="AA34" s="39">
        <f t="shared" si="26"/>
        <v>1</v>
      </c>
      <c r="AB34" s="39">
        <f t="shared" si="26"/>
        <v>1</v>
      </c>
      <c r="AC34" s="39">
        <f t="shared" si="26"/>
        <v>203</v>
      </c>
      <c r="AD34" s="39">
        <f t="shared" si="26"/>
        <v>0</v>
      </c>
      <c r="AE34" s="40">
        <f t="shared" si="26"/>
        <v>516</v>
      </c>
      <c r="AF34" s="40">
        <f t="shared" si="26"/>
        <v>719</v>
      </c>
    </row>
    <row r="35" spans="2:32" ht="23.1" customHeight="1" x14ac:dyDescent="0.25">
      <c r="B35" s="46" t="s">
        <v>62</v>
      </c>
      <c r="C35" s="50">
        <v>78</v>
      </c>
      <c r="D35" s="50">
        <v>17</v>
      </c>
      <c r="E35" s="50">
        <v>23</v>
      </c>
      <c r="F35" s="50">
        <v>41</v>
      </c>
      <c r="G35" s="50">
        <v>0</v>
      </c>
      <c r="H35" s="50">
        <v>0</v>
      </c>
      <c r="I35" s="50">
        <v>4</v>
      </c>
      <c r="J35" s="50">
        <v>2</v>
      </c>
      <c r="K35" s="50">
        <v>0</v>
      </c>
      <c r="L35" s="50">
        <v>0</v>
      </c>
      <c r="M35" s="50">
        <v>53</v>
      </c>
      <c r="N35" s="50">
        <v>0</v>
      </c>
      <c r="O35" s="15">
        <f t="shared" si="0"/>
        <v>165</v>
      </c>
      <c r="P35" s="15">
        <f t="shared" si="1"/>
        <v>218</v>
      </c>
      <c r="R35" s="38" t="s">
        <v>91</v>
      </c>
      <c r="S35" s="39">
        <f t="shared" ref="S35:AF35" si="27">MAX(S13:S18)</f>
        <v>508</v>
      </c>
      <c r="T35" s="39">
        <f t="shared" si="27"/>
        <v>167</v>
      </c>
      <c r="U35" s="39">
        <f t="shared" si="27"/>
        <v>73</v>
      </c>
      <c r="V35" s="39">
        <f t="shared" si="27"/>
        <v>163</v>
      </c>
      <c r="W35" s="39">
        <f t="shared" si="27"/>
        <v>2</v>
      </c>
      <c r="X35" s="39">
        <f t="shared" si="27"/>
        <v>1</v>
      </c>
      <c r="Y35" s="39">
        <f t="shared" si="27"/>
        <v>18</v>
      </c>
      <c r="Z35" s="39">
        <f t="shared" si="27"/>
        <v>8</v>
      </c>
      <c r="AA35" s="39">
        <f t="shared" si="27"/>
        <v>4</v>
      </c>
      <c r="AB35" s="39">
        <f t="shared" si="27"/>
        <v>5</v>
      </c>
      <c r="AC35" s="39">
        <f t="shared" si="27"/>
        <v>407</v>
      </c>
      <c r="AD35" s="39">
        <f t="shared" si="27"/>
        <v>0</v>
      </c>
      <c r="AE35" s="40">
        <f t="shared" si="27"/>
        <v>847</v>
      </c>
      <c r="AF35" s="40">
        <f t="shared" si="27"/>
        <v>1254</v>
      </c>
    </row>
    <row r="36" spans="2:32" ht="23.1" customHeight="1" x14ac:dyDescent="0.25">
      <c r="B36" s="46" t="s">
        <v>63</v>
      </c>
      <c r="C36" s="50">
        <v>69</v>
      </c>
      <c r="D36" s="50">
        <v>37</v>
      </c>
      <c r="E36" s="50">
        <v>16</v>
      </c>
      <c r="F36" s="50">
        <v>39</v>
      </c>
      <c r="G36" s="50">
        <v>0</v>
      </c>
      <c r="H36" s="50">
        <v>0</v>
      </c>
      <c r="I36" s="50">
        <v>5</v>
      </c>
      <c r="J36" s="50">
        <v>2</v>
      </c>
      <c r="K36" s="50">
        <v>0</v>
      </c>
      <c r="L36" s="50">
        <v>1</v>
      </c>
      <c r="M36" s="50">
        <v>36</v>
      </c>
      <c r="N36" s="50">
        <v>0</v>
      </c>
      <c r="O36" s="15">
        <f t="shared" si="0"/>
        <v>169</v>
      </c>
      <c r="P36" s="15">
        <f t="shared" si="1"/>
        <v>205</v>
      </c>
      <c r="R36" s="38" t="s">
        <v>92</v>
      </c>
      <c r="S36" s="39">
        <f t="shared" ref="S36:AF36" si="28">MAX(S19:S21)</f>
        <v>385</v>
      </c>
      <c r="T36" s="39">
        <f t="shared" si="28"/>
        <v>143</v>
      </c>
      <c r="U36" s="39">
        <f t="shared" si="28"/>
        <v>61</v>
      </c>
      <c r="V36" s="39">
        <f t="shared" si="28"/>
        <v>156</v>
      </c>
      <c r="W36" s="39">
        <f t="shared" si="28"/>
        <v>1</v>
      </c>
      <c r="X36" s="39">
        <f t="shared" si="28"/>
        <v>0</v>
      </c>
      <c r="Y36" s="39">
        <f t="shared" si="28"/>
        <v>12</v>
      </c>
      <c r="Z36" s="39">
        <f t="shared" si="28"/>
        <v>9</v>
      </c>
      <c r="AA36" s="39">
        <f t="shared" si="28"/>
        <v>2</v>
      </c>
      <c r="AB36" s="39">
        <f t="shared" si="28"/>
        <v>1</v>
      </c>
      <c r="AC36" s="39">
        <f t="shared" si="28"/>
        <v>399</v>
      </c>
      <c r="AD36" s="39">
        <f t="shared" si="28"/>
        <v>0</v>
      </c>
      <c r="AE36" s="40">
        <f t="shared" si="28"/>
        <v>749</v>
      </c>
      <c r="AF36" s="40">
        <f t="shared" si="28"/>
        <v>1148</v>
      </c>
    </row>
    <row r="37" spans="2:32" ht="23.1" customHeight="1" x14ac:dyDescent="0.25">
      <c r="B37" s="45" t="s">
        <v>64</v>
      </c>
      <c r="C37" s="50">
        <v>64</v>
      </c>
      <c r="D37" s="50">
        <v>28</v>
      </c>
      <c r="E37" s="50">
        <v>19</v>
      </c>
      <c r="F37" s="50">
        <v>26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0</v>
      </c>
      <c r="M37" s="50">
        <v>49</v>
      </c>
      <c r="N37" s="50">
        <v>0</v>
      </c>
      <c r="O37" s="15">
        <f t="shared" si="0"/>
        <v>141</v>
      </c>
      <c r="P37" s="15">
        <f t="shared" si="1"/>
        <v>190</v>
      </c>
      <c r="R37" s="37" t="s">
        <v>85</v>
      </c>
      <c r="S37" s="35">
        <f t="shared" ref="S37:AF37" si="29">SUM(S10:S12)</f>
        <v>414</v>
      </c>
      <c r="T37" s="16">
        <f t="shared" si="29"/>
        <v>215</v>
      </c>
      <c r="U37" s="16">
        <f t="shared" si="29"/>
        <v>100</v>
      </c>
      <c r="V37" s="16">
        <f t="shared" si="29"/>
        <v>276</v>
      </c>
      <c r="W37" s="16">
        <f t="shared" si="29"/>
        <v>4</v>
      </c>
      <c r="X37" s="16">
        <f t="shared" si="29"/>
        <v>0</v>
      </c>
      <c r="Y37" s="16">
        <f t="shared" si="29"/>
        <v>25</v>
      </c>
      <c r="Z37" s="16">
        <f t="shared" si="29"/>
        <v>6</v>
      </c>
      <c r="AA37" s="16">
        <f t="shared" si="29"/>
        <v>1</v>
      </c>
      <c r="AB37" s="16">
        <f t="shared" si="29"/>
        <v>1</v>
      </c>
      <c r="AC37" s="16">
        <f t="shared" si="29"/>
        <v>484</v>
      </c>
      <c r="AD37" s="16">
        <f t="shared" si="29"/>
        <v>0</v>
      </c>
      <c r="AE37" s="32">
        <f t="shared" si="29"/>
        <v>1042</v>
      </c>
      <c r="AF37" s="32">
        <f t="shared" si="29"/>
        <v>1526</v>
      </c>
    </row>
    <row r="38" spans="2:32" ht="23.1" customHeight="1" x14ac:dyDescent="0.25">
      <c r="B38" s="46" t="s">
        <v>65</v>
      </c>
      <c r="C38" s="50">
        <v>130</v>
      </c>
      <c r="D38" s="50">
        <v>70</v>
      </c>
      <c r="E38" s="50">
        <v>14</v>
      </c>
      <c r="F38" s="50">
        <v>31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0</v>
      </c>
      <c r="M38" s="50">
        <v>73</v>
      </c>
      <c r="N38" s="50">
        <v>0</v>
      </c>
      <c r="O38" s="15">
        <f t="shared" si="0"/>
        <v>248</v>
      </c>
      <c r="P38" s="15">
        <f t="shared" si="1"/>
        <v>321</v>
      </c>
      <c r="R38" s="28" t="s">
        <v>86</v>
      </c>
      <c r="S38" s="16">
        <f t="shared" ref="S38:AF38" si="30">SUM(S13:S18)</f>
        <v>2069</v>
      </c>
      <c r="T38" s="16">
        <f t="shared" si="30"/>
        <v>797</v>
      </c>
      <c r="U38" s="16">
        <f t="shared" si="30"/>
        <v>368</v>
      </c>
      <c r="V38" s="16">
        <f t="shared" si="30"/>
        <v>787</v>
      </c>
      <c r="W38" s="16">
        <f t="shared" si="30"/>
        <v>3</v>
      </c>
      <c r="X38" s="16">
        <f t="shared" si="30"/>
        <v>2</v>
      </c>
      <c r="Y38" s="16">
        <f t="shared" si="30"/>
        <v>65</v>
      </c>
      <c r="Z38" s="16">
        <f t="shared" si="30"/>
        <v>34</v>
      </c>
      <c r="AA38" s="16">
        <f t="shared" si="30"/>
        <v>8</v>
      </c>
      <c r="AB38" s="16">
        <f t="shared" si="30"/>
        <v>13</v>
      </c>
      <c r="AC38" s="16">
        <f t="shared" si="30"/>
        <v>1631</v>
      </c>
      <c r="AD38" s="16">
        <f t="shared" si="30"/>
        <v>0</v>
      </c>
      <c r="AE38" s="32">
        <f t="shared" si="30"/>
        <v>4146</v>
      </c>
      <c r="AF38" s="32">
        <f t="shared" si="30"/>
        <v>5777</v>
      </c>
    </row>
    <row r="39" spans="2:32" ht="23.1" customHeight="1" x14ac:dyDescent="0.25">
      <c r="B39" s="46" t="s">
        <v>66</v>
      </c>
      <c r="C39" s="50">
        <v>115</v>
      </c>
      <c r="D39" s="50">
        <v>32</v>
      </c>
      <c r="E39" s="50">
        <v>11</v>
      </c>
      <c r="F39" s="50">
        <v>38</v>
      </c>
      <c r="G39" s="50">
        <v>0</v>
      </c>
      <c r="H39" s="50">
        <v>0</v>
      </c>
      <c r="I39" s="50">
        <v>2</v>
      </c>
      <c r="J39" s="50">
        <v>0</v>
      </c>
      <c r="K39" s="50">
        <v>1</v>
      </c>
      <c r="L39" s="50">
        <v>0</v>
      </c>
      <c r="M39" s="50">
        <v>74</v>
      </c>
      <c r="N39" s="50">
        <v>0</v>
      </c>
      <c r="O39" s="15">
        <f t="shared" si="0"/>
        <v>199</v>
      </c>
      <c r="P39" s="15">
        <f t="shared" si="1"/>
        <v>273</v>
      </c>
      <c r="R39" s="29" t="s">
        <v>87</v>
      </c>
      <c r="S39" s="16">
        <f t="shared" ref="S39:AF39" si="31">SUM(S19:S21)</f>
        <v>1012</v>
      </c>
      <c r="T39" s="16">
        <f t="shared" si="31"/>
        <v>386</v>
      </c>
      <c r="U39" s="16">
        <f t="shared" si="31"/>
        <v>168</v>
      </c>
      <c r="V39" s="16">
        <f t="shared" si="31"/>
        <v>423</v>
      </c>
      <c r="W39" s="16">
        <f t="shared" si="31"/>
        <v>1</v>
      </c>
      <c r="X39" s="16">
        <f t="shared" si="31"/>
        <v>0</v>
      </c>
      <c r="Y39" s="16">
        <f t="shared" si="31"/>
        <v>27</v>
      </c>
      <c r="Z39" s="16">
        <f t="shared" si="31"/>
        <v>13</v>
      </c>
      <c r="AA39" s="16">
        <f t="shared" si="31"/>
        <v>4</v>
      </c>
      <c r="AB39" s="16">
        <f t="shared" si="31"/>
        <v>1</v>
      </c>
      <c r="AC39" s="16">
        <f t="shared" si="31"/>
        <v>1100</v>
      </c>
      <c r="AD39" s="16">
        <f t="shared" si="31"/>
        <v>0</v>
      </c>
      <c r="AE39" s="32">
        <f t="shared" si="31"/>
        <v>2035</v>
      </c>
      <c r="AF39" s="32">
        <f t="shared" si="31"/>
        <v>3135</v>
      </c>
    </row>
    <row r="40" spans="2:32" ht="23.1" customHeight="1" x14ac:dyDescent="0.25">
      <c r="B40" s="46" t="s">
        <v>67</v>
      </c>
      <c r="C40" s="50">
        <v>121</v>
      </c>
      <c r="D40" s="50">
        <v>27</v>
      </c>
      <c r="E40" s="50">
        <v>15</v>
      </c>
      <c r="F40" s="50">
        <v>25</v>
      </c>
      <c r="G40" s="50">
        <v>1</v>
      </c>
      <c r="H40" s="50">
        <v>0</v>
      </c>
      <c r="I40" s="50">
        <v>0</v>
      </c>
      <c r="J40" s="50">
        <v>1</v>
      </c>
      <c r="K40" s="50">
        <v>1</v>
      </c>
      <c r="L40" s="50">
        <v>1</v>
      </c>
      <c r="M40" s="50">
        <v>125</v>
      </c>
      <c r="N40" s="50">
        <v>0</v>
      </c>
      <c r="O40" s="15">
        <f t="shared" si="0"/>
        <v>192</v>
      </c>
      <c r="P40" s="15">
        <f t="shared" si="1"/>
        <v>317</v>
      </c>
      <c r="R40" s="5" t="s">
        <v>17</v>
      </c>
      <c r="S40" s="16">
        <f t="shared" ref="S40:AF40" si="32">SUM(S10:S21)</f>
        <v>3495</v>
      </c>
      <c r="T40" s="16">
        <f t="shared" si="32"/>
        <v>1398</v>
      </c>
      <c r="U40" s="16">
        <f t="shared" si="32"/>
        <v>636</v>
      </c>
      <c r="V40" s="16">
        <f t="shared" si="32"/>
        <v>1486</v>
      </c>
      <c r="W40" s="16">
        <f t="shared" si="32"/>
        <v>8</v>
      </c>
      <c r="X40" s="16">
        <f t="shared" si="32"/>
        <v>2</v>
      </c>
      <c r="Y40" s="16">
        <f t="shared" si="32"/>
        <v>117</v>
      </c>
      <c r="Z40" s="16">
        <f t="shared" si="32"/>
        <v>53</v>
      </c>
      <c r="AA40" s="16">
        <f t="shared" si="32"/>
        <v>13</v>
      </c>
      <c r="AB40" s="16">
        <f t="shared" si="32"/>
        <v>15</v>
      </c>
      <c r="AC40" s="16">
        <f t="shared" si="32"/>
        <v>3215</v>
      </c>
      <c r="AD40" s="16">
        <f t="shared" si="32"/>
        <v>0</v>
      </c>
      <c r="AE40" s="32">
        <f t="shared" si="32"/>
        <v>7223</v>
      </c>
      <c r="AF40" s="32">
        <f t="shared" si="32"/>
        <v>10438</v>
      </c>
    </row>
    <row r="41" spans="2:32" ht="23.1" customHeight="1" x14ac:dyDescent="0.25">
      <c r="B41" s="45" t="s">
        <v>68</v>
      </c>
      <c r="C41" s="50">
        <v>142</v>
      </c>
      <c r="D41" s="50">
        <v>25</v>
      </c>
      <c r="E41" s="50">
        <v>18</v>
      </c>
      <c r="F41" s="50">
        <v>19</v>
      </c>
      <c r="G41" s="50">
        <v>1</v>
      </c>
      <c r="H41" s="50">
        <v>0</v>
      </c>
      <c r="I41" s="50">
        <v>2</v>
      </c>
      <c r="J41" s="50">
        <v>0</v>
      </c>
      <c r="K41" s="50">
        <v>0</v>
      </c>
      <c r="L41" s="50">
        <v>1</v>
      </c>
      <c r="M41" s="50">
        <v>135</v>
      </c>
      <c r="N41" s="50">
        <v>0</v>
      </c>
      <c r="O41" s="15">
        <f t="shared" si="0"/>
        <v>208</v>
      </c>
      <c r="P41" s="15">
        <f t="shared" si="1"/>
        <v>343</v>
      </c>
      <c r="R41" s="5" t="s">
        <v>159</v>
      </c>
      <c r="S41" s="16">
        <f>SUM(S10:S33)</f>
        <v>4828</v>
      </c>
      <c r="T41" s="16">
        <f t="shared" ref="T41:AF41" si="33">SUM(T10:T33)</f>
        <v>1858</v>
      </c>
      <c r="U41" s="16">
        <f t="shared" si="33"/>
        <v>853</v>
      </c>
      <c r="V41" s="16">
        <f t="shared" si="33"/>
        <v>1997</v>
      </c>
      <c r="W41" s="16">
        <f t="shared" si="33"/>
        <v>11</v>
      </c>
      <c r="X41" s="16">
        <f t="shared" si="33"/>
        <v>4</v>
      </c>
      <c r="Y41" s="16">
        <f t="shared" si="33"/>
        <v>167</v>
      </c>
      <c r="Z41" s="16">
        <f t="shared" si="33"/>
        <v>65</v>
      </c>
      <c r="AA41" s="16">
        <f t="shared" si="33"/>
        <v>20</v>
      </c>
      <c r="AB41" s="16">
        <f t="shared" si="33"/>
        <v>24</v>
      </c>
      <c r="AC41" s="16">
        <f t="shared" si="33"/>
        <v>4914</v>
      </c>
      <c r="AD41" s="16">
        <f t="shared" si="33"/>
        <v>0</v>
      </c>
      <c r="AE41" s="32">
        <f t="shared" si="33"/>
        <v>9827</v>
      </c>
      <c r="AF41" s="32">
        <f t="shared" si="33"/>
        <v>14741</v>
      </c>
    </row>
    <row r="42" spans="2:32" ht="23.1" customHeight="1" x14ac:dyDescent="0.25">
      <c r="B42" s="46" t="s">
        <v>69</v>
      </c>
      <c r="C42" s="50">
        <v>116</v>
      </c>
      <c r="D42" s="50">
        <v>8</v>
      </c>
      <c r="E42" s="50">
        <v>8</v>
      </c>
      <c r="F42" s="50">
        <v>28</v>
      </c>
      <c r="G42" s="50">
        <v>0</v>
      </c>
      <c r="H42" s="50">
        <v>0</v>
      </c>
      <c r="I42" s="50">
        <v>3</v>
      </c>
      <c r="J42" s="50">
        <v>3</v>
      </c>
      <c r="K42" s="50">
        <v>0</v>
      </c>
      <c r="L42" s="50">
        <v>0</v>
      </c>
      <c r="M42" s="50">
        <v>95</v>
      </c>
      <c r="N42" s="50">
        <v>0</v>
      </c>
      <c r="O42" s="15">
        <f t="shared" si="0"/>
        <v>166</v>
      </c>
      <c r="P42" s="15">
        <f t="shared" si="1"/>
        <v>261</v>
      </c>
      <c r="R42" s="5" t="s">
        <v>160</v>
      </c>
      <c r="S42" s="48">
        <f>S41/S40</f>
        <v>1.3814020028612304</v>
      </c>
      <c r="T42" s="48">
        <f t="shared" ref="T42:AF42" si="34">T41/T40</f>
        <v>1.3290414878397712</v>
      </c>
      <c r="U42" s="48">
        <f t="shared" si="34"/>
        <v>1.3411949685534592</v>
      </c>
      <c r="V42" s="48">
        <f t="shared" si="34"/>
        <v>1.3438761776581427</v>
      </c>
      <c r="W42" s="48">
        <f t="shared" si="34"/>
        <v>1.375</v>
      </c>
      <c r="X42" s="48">
        <f t="shared" si="34"/>
        <v>2</v>
      </c>
      <c r="Y42" s="48">
        <f t="shared" si="34"/>
        <v>1.4273504273504274</v>
      </c>
      <c r="Z42" s="48">
        <f t="shared" si="34"/>
        <v>1.2264150943396226</v>
      </c>
      <c r="AA42" s="48">
        <f t="shared" si="34"/>
        <v>1.5384615384615385</v>
      </c>
      <c r="AB42" s="48">
        <f t="shared" si="34"/>
        <v>1.6</v>
      </c>
      <c r="AC42" s="48">
        <f t="shared" si="34"/>
        <v>1.5284603421461898</v>
      </c>
      <c r="AD42" s="48" t="e">
        <f t="shared" si="34"/>
        <v>#DIV/0!</v>
      </c>
      <c r="AE42" s="48">
        <f t="shared" si="34"/>
        <v>1.3605150214592274</v>
      </c>
      <c r="AF42" s="48">
        <f t="shared" si="34"/>
        <v>1.4122437248515041</v>
      </c>
    </row>
    <row r="43" spans="2:32" ht="23.1" customHeight="1" x14ac:dyDescent="0.25">
      <c r="B43" s="45" t="s">
        <v>70</v>
      </c>
      <c r="C43" s="50">
        <v>94</v>
      </c>
      <c r="D43" s="50">
        <v>37</v>
      </c>
      <c r="E43" s="50">
        <v>4</v>
      </c>
      <c r="F43" s="50">
        <v>28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1</v>
      </c>
      <c r="M43" s="50">
        <v>77</v>
      </c>
      <c r="N43" s="50">
        <v>0</v>
      </c>
      <c r="O43" s="15">
        <f t="shared" si="0"/>
        <v>168</v>
      </c>
      <c r="P43" s="15">
        <f t="shared" si="1"/>
        <v>245</v>
      </c>
    </row>
    <row r="44" spans="2:32" ht="23.1" customHeight="1" x14ac:dyDescent="0.25">
      <c r="B44" s="47" t="s">
        <v>71</v>
      </c>
      <c r="C44" s="50">
        <v>105</v>
      </c>
      <c r="D44" s="50">
        <v>31</v>
      </c>
      <c r="E44" s="50">
        <v>12</v>
      </c>
      <c r="F44" s="50">
        <v>38</v>
      </c>
      <c r="G44" s="50">
        <v>0</v>
      </c>
      <c r="H44" s="50">
        <v>0</v>
      </c>
      <c r="I44" s="50">
        <v>5</v>
      </c>
      <c r="J44" s="50">
        <v>4</v>
      </c>
      <c r="K44" s="50">
        <v>0</v>
      </c>
      <c r="L44" s="50">
        <v>1</v>
      </c>
      <c r="M44" s="50">
        <v>81</v>
      </c>
      <c r="N44" s="50">
        <v>0</v>
      </c>
      <c r="O44" s="15">
        <f t="shared" si="0"/>
        <v>196</v>
      </c>
      <c r="P44" s="15">
        <f t="shared" si="1"/>
        <v>277</v>
      </c>
    </row>
    <row r="45" spans="2:32" ht="23.1" customHeight="1" x14ac:dyDescent="0.25">
      <c r="B45" s="45" t="s">
        <v>72</v>
      </c>
      <c r="C45" s="50">
        <v>87</v>
      </c>
      <c r="D45" s="50">
        <v>31</v>
      </c>
      <c r="E45" s="50">
        <v>16</v>
      </c>
      <c r="F45" s="50">
        <v>33</v>
      </c>
      <c r="G45" s="50">
        <v>0</v>
      </c>
      <c r="H45" s="50">
        <v>0</v>
      </c>
      <c r="I45" s="50">
        <v>1</v>
      </c>
      <c r="J45" s="50">
        <v>1</v>
      </c>
      <c r="K45" s="50">
        <v>2</v>
      </c>
      <c r="L45" s="50">
        <v>1</v>
      </c>
      <c r="M45" s="50">
        <v>88</v>
      </c>
      <c r="N45" s="50">
        <v>0</v>
      </c>
      <c r="O45" s="15">
        <f t="shared" si="0"/>
        <v>172</v>
      </c>
      <c r="P45" s="15">
        <f t="shared" si="1"/>
        <v>260</v>
      </c>
    </row>
    <row r="46" spans="2:32" ht="23.1" customHeight="1" x14ac:dyDescent="0.25">
      <c r="B46" s="46" t="s">
        <v>73</v>
      </c>
      <c r="C46" s="50">
        <v>104</v>
      </c>
      <c r="D46" s="50">
        <v>25</v>
      </c>
      <c r="E46" s="50">
        <v>11</v>
      </c>
      <c r="F46" s="50">
        <v>40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1</v>
      </c>
      <c r="M46" s="50">
        <v>97</v>
      </c>
      <c r="N46" s="50">
        <v>0</v>
      </c>
      <c r="O46" s="15">
        <f t="shared" si="0"/>
        <v>186</v>
      </c>
      <c r="P46" s="15">
        <f t="shared" si="1"/>
        <v>283</v>
      </c>
      <c r="R46" s="8"/>
      <c r="T46"/>
    </row>
    <row r="47" spans="2:32" ht="23.1" customHeight="1" x14ac:dyDescent="0.25">
      <c r="B47" s="46" t="s">
        <v>74</v>
      </c>
      <c r="C47" s="50">
        <v>68</v>
      </c>
      <c r="D47" s="50">
        <v>33</v>
      </c>
      <c r="E47" s="50">
        <v>9</v>
      </c>
      <c r="F47" s="50">
        <v>42</v>
      </c>
      <c r="G47" s="50">
        <v>0</v>
      </c>
      <c r="H47" s="50">
        <v>0</v>
      </c>
      <c r="I47" s="50">
        <v>1</v>
      </c>
      <c r="J47" s="50">
        <v>3</v>
      </c>
      <c r="K47" s="50">
        <v>0</v>
      </c>
      <c r="L47" s="50">
        <v>0</v>
      </c>
      <c r="M47" s="50">
        <v>82</v>
      </c>
      <c r="N47" s="50">
        <v>0</v>
      </c>
      <c r="O47" s="15">
        <f t="shared" si="0"/>
        <v>156</v>
      </c>
      <c r="P47" s="15">
        <f t="shared" si="1"/>
        <v>238</v>
      </c>
      <c r="R47" s="8"/>
      <c r="T47"/>
    </row>
    <row r="48" spans="2:32" ht="23.1" customHeight="1" x14ac:dyDescent="0.25">
      <c r="B48" s="46" t="s">
        <v>75</v>
      </c>
      <c r="C48" s="50">
        <v>82</v>
      </c>
      <c r="D48" s="50">
        <v>28</v>
      </c>
      <c r="E48" s="50">
        <v>13</v>
      </c>
      <c r="F48" s="50">
        <v>31</v>
      </c>
      <c r="G48" s="50">
        <v>0</v>
      </c>
      <c r="H48" s="50">
        <v>0</v>
      </c>
      <c r="I48" s="50">
        <v>1</v>
      </c>
      <c r="J48" s="50">
        <v>3</v>
      </c>
      <c r="K48" s="50">
        <v>1</v>
      </c>
      <c r="L48" s="50">
        <v>0</v>
      </c>
      <c r="M48" s="50">
        <v>99</v>
      </c>
      <c r="N48" s="50">
        <v>0</v>
      </c>
      <c r="O48" s="15">
        <f t="shared" si="0"/>
        <v>159</v>
      </c>
      <c r="P48" s="15">
        <f t="shared" si="1"/>
        <v>258</v>
      </c>
      <c r="R48" s="8"/>
      <c r="T48"/>
    </row>
    <row r="49" spans="2:20" ht="23.1" customHeight="1" x14ac:dyDescent="0.25">
      <c r="B49" s="45" t="s">
        <v>76</v>
      </c>
      <c r="C49" s="50">
        <v>75</v>
      </c>
      <c r="D49" s="50">
        <v>42</v>
      </c>
      <c r="E49" s="50">
        <v>15</v>
      </c>
      <c r="F49" s="50">
        <v>43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75</v>
      </c>
      <c r="N49" s="50">
        <v>0</v>
      </c>
      <c r="O49" s="15">
        <f t="shared" si="0"/>
        <v>178</v>
      </c>
      <c r="P49" s="15">
        <f t="shared" si="1"/>
        <v>253</v>
      </c>
      <c r="R49" s="8"/>
      <c r="T49"/>
    </row>
    <row r="50" spans="2:20" ht="23.1" customHeight="1" x14ac:dyDescent="0.25">
      <c r="B50" s="46" t="s">
        <v>77</v>
      </c>
      <c r="C50" s="50">
        <v>108</v>
      </c>
      <c r="D50" s="50">
        <v>29</v>
      </c>
      <c r="E50" s="50">
        <v>12</v>
      </c>
      <c r="F50" s="50">
        <v>27</v>
      </c>
      <c r="G50" s="50">
        <v>0</v>
      </c>
      <c r="H50" s="50">
        <v>0</v>
      </c>
      <c r="I50" s="50">
        <v>3</v>
      </c>
      <c r="J50" s="50">
        <v>1</v>
      </c>
      <c r="K50" s="50">
        <v>0</v>
      </c>
      <c r="L50" s="50">
        <v>0</v>
      </c>
      <c r="M50" s="50">
        <v>105</v>
      </c>
      <c r="N50" s="50">
        <v>0</v>
      </c>
      <c r="O50" s="15">
        <f t="shared" si="0"/>
        <v>180</v>
      </c>
      <c r="P50" s="15">
        <f t="shared" si="1"/>
        <v>285</v>
      </c>
      <c r="R50" s="8"/>
      <c r="T50"/>
    </row>
    <row r="51" spans="2:20" ht="23.1" customHeight="1" x14ac:dyDescent="0.25">
      <c r="B51" s="46" t="s">
        <v>78</v>
      </c>
      <c r="C51" s="50">
        <v>103</v>
      </c>
      <c r="D51" s="50">
        <v>48</v>
      </c>
      <c r="E51" s="50">
        <v>16</v>
      </c>
      <c r="F51" s="50">
        <v>43</v>
      </c>
      <c r="G51" s="50">
        <v>0</v>
      </c>
      <c r="H51" s="50">
        <v>0</v>
      </c>
      <c r="I51" s="50">
        <v>2</v>
      </c>
      <c r="J51" s="50">
        <v>1</v>
      </c>
      <c r="K51" s="50">
        <v>1</v>
      </c>
      <c r="L51" s="50">
        <v>0</v>
      </c>
      <c r="M51" s="50">
        <v>98</v>
      </c>
      <c r="N51" s="50">
        <v>0</v>
      </c>
      <c r="O51" s="15">
        <f t="shared" si="0"/>
        <v>214</v>
      </c>
      <c r="P51" s="15">
        <f t="shared" si="1"/>
        <v>312</v>
      </c>
      <c r="R51" s="8"/>
      <c r="T51"/>
    </row>
    <row r="52" spans="2:20" ht="23.1" customHeight="1" x14ac:dyDescent="0.25">
      <c r="B52" s="46" t="s">
        <v>79</v>
      </c>
      <c r="C52" s="50">
        <v>97</v>
      </c>
      <c r="D52" s="50">
        <v>43</v>
      </c>
      <c r="E52" s="50">
        <v>20</v>
      </c>
      <c r="F52" s="50">
        <v>58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100</v>
      </c>
      <c r="N52" s="50">
        <v>0</v>
      </c>
      <c r="O52" s="15">
        <f t="shared" si="0"/>
        <v>220</v>
      </c>
      <c r="P52" s="15">
        <f t="shared" si="1"/>
        <v>320</v>
      </c>
      <c r="R52" s="8"/>
      <c r="T52"/>
    </row>
    <row r="53" spans="2:20" ht="23.1" customHeight="1" x14ac:dyDescent="0.25">
      <c r="B53" s="45" t="s">
        <v>80</v>
      </c>
      <c r="C53" s="50">
        <v>77</v>
      </c>
      <c r="D53" s="50">
        <v>23</v>
      </c>
      <c r="E53" s="50">
        <v>11</v>
      </c>
      <c r="F53" s="50">
        <v>22</v>
      </c>
      <c r="G53" s="50">
        <v>0</v>
      </c>
      <c r="H53" s="50">
        <v>0</v>
      </c>
      <c r="I53" s="50">
        <v>1</v>
      </c>
      <c r="J53" s="50">
        <v>0</v>
      </c>
      <c r="K53" s="50">
        <v>1</v>
      </c>
      <c r="L53" s="50">
        <v>0</v>
      </c>
      <c r="M53" s="50">
        <v>96</v>
      </c>
      <c r="N53" s="50">
        <v>0</v>
      </c>
      <c r="O53" s="15">
        <f t="shared" si="0"/>
        <v>135</v>
      </c>
      <c r="P53" s="15">
        <f t="shared" si="1"/>
        <v>231</v>
      </c>
      <c r="R53" s="8"/>
      <c r="T53"/>
    </row>
    <row r="54" spans="2:20" ht="23.1" customHeight="1" x14ac:dyDescent="0.25">
      <c r="B54" s="45" t="s">
        <v>81</v>
      </c>
      <c r="C54" s="50">
        <v>63</v>
      </c>
      <c r="D54" s="50">
        <v>27</v>
      </c>
      <c r="E54" s="50">
        <v>9</v>
      </c>
      <c r="F54" s="50">
        <v>34</v>
      </c>
      <c r="G54" s="50">
        <v>1</v>
      </c>
      <c r="H54" s="50">
        <v>0</v>
      </c>
      <c r="I54" s="50">
        <v>4</v>
      </c>
      <c r="J54" s="50">
        <v>1</v>
      </c>
      <c r="K54" s="50">
        <v>0</v>
      </c>
      <c r="L54" s="50">
        <v>0</v>
      </c>
      <c r="M54" s="50">
        <v>79</v>
      </c>
      <c r="N54" s="50">
        <v>0</v>
      </c>
      <c r="O54" s="15">
        <f t="shared" si="0"/>
        <v>139</v>
      </c>
      <c r="P54" s="15">
        <f t="shared" si="1"/>
        <v>218</v>
      </c>
      <c r="R54" s="8"/>
      <c r="T54"/>
    </row>
    <row r="55" spans="2:20" ht="23.1" customHeight="1" x14ac:dyDescent="0.25">
      <c r="B55" s="45" t="s">
        <v>82</v>
      </c>
      <c r="C55" s="50">
        <v>74</v>
      </c>
      <c r="D55" s="50">
        <v>43</v>
      </c>
      <c r="E55" s="50">
        <v>16</v>
      </c>
      <c r="F55" s="50">
        <v>28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113</v>
      </c>
      <c r="N55" s="50">
        <v>0</v>
      </c>
      <c r="O55" s="15">
        <f t="shared" si="0"/>
        <v>165</v>
      </c>
      <c r="P55" s="15">
        <f t="shared" si="1"/>
        <v>278</v>
      </c>
      <c r="R55" s="8"/>
      <c r="T55"/>
    </row>
    <row r="56" spans="2:20" ht="23.1" customHeight="1" x14ac:dyDescent="0.25">
      <c r="B56" s="45" t="s">
        <v>83</v>
      </c>
      <c r="C56" s="50">
        <v>83</v>
      </c>
      <c r="D56" s="50">
        <v>28</v>
      </c>
      <c r="E56" s="50">
        <v>24</v>
      </c>
      <c r="F56" s="50">
        <v>33</v>
      </c>
      <c r="G56" s="50">
        <v>0</v>
      </c>
      <c r="H56" s="50">
        <v>0</v>
      </c>
      <c r="I56" s="50">
        <v>3</v>
      </c>
      <c r="J56" s="50">
        <v>1</v>
      </c>
      <c r="K56" s="50">
        <v>0</v>
      </c>
      <c r="L56" s="50">
        <v>0</v>
      </c>
      <c r="M56" s="50">
        <v>86</v>
      </c>
      <c r="N56" s="50">
        <v>0</v>
      </c>
      <c r="O56" s="15">
        <f t="shared" si="0"/>
        <v>172</v>
      </c>
      <c r="P56" s="15">
        <f t="shared" si="1"/>
        <v>258</v>
      </c>
      <c r="R56" s="8"/>
      <c r="T56"/>
    </row>
    <row r="57" spans="2:20" ht="23.1" customHeight="1" x14ac:dyDescent="0.25">
      <c r="B57" s="45" t="s">
        <v>84</v>
      </c>
      <c r="C57" s="50">
        <v>78</v>
      </c>
      <c r="D57" s="50">
        <v>17</v>
      </c>
      <c r="E57" s="50">
        <v>12</v>
      </c>
      <c r="F57" s="50">
        <v>22</v>
      </c>
      <c r="G57" s="50">
        <v>0</v>
      </c>
      <c r="H57" s="50">
        <v>0</v>
      </c>
      <c r="I57" s="50">
        <v>1</v>
      </c>
      <c r="J57" s="50">
        <v>0</v>
      </c>
      <c r="K57" s="50">
        <v>1</v>
      </c>
      <c r="L57" s="50">
        <v>0</v>
      </c>
      <c r="M57" s="50">
        <v>70</v>
      </c>
      <c r="N57" s="50">
        <v>0</v>
      </c>
      <c r="O57" s="15">
        <f t="shared" si="0"/>
        <v>131</v>
      </c>
      <c r="P57" s="15">
        <f t="shared" si="1"/>
        <v>201</v>
      </c>
      <c r="R57" s="8"/>
      <c r="T57"/>
    </row>
    <row r="58" spans="2:20" ht="23.1" customHeight="1" x14ac:dyDescent="0.25">
      <c r="B58" s="45" t="s">
        <v>99</v>
      </c>
      <c r="C58" s="50">
        <v>43</v>
      </c>
      <c r="D58" s="50">
        <v>32</v>
      </c>
      <c r="E58" s="50">
        <v>6</v>
      </c>
      <c r="F58" s="50">
        <v>18</v>
      </c>
      <c r="G58" s="50">
        <v>0</v>
      </c>
      <c r="H58" s="50">
        <v>0</v>
      </c>
      <c r="I58" s="50">
        <v>1</v>
      </c>
      <c r="J58" s="50">
        <v>0</v>
      </c>
      <c r="K58" s="50">
        <v>1</v>
      </c>
      <c r="L58" s="50">
        <v>0</v>
      </c>
      <c r="M58" s="50">
        <v>63</v>
      </c>
      <c r="N58" s="50">
        <v>0</v>
      </c>
      <c r="O58" s="15">
        <f t="shared" si="0"/>
        <v>101</v>
      </c>
      <c r="P58" s="15">
        <f t="shared" si="1"/>
        <v>164</v>
      </c>
      <c r="R58" s="8"/>
      <c r="T58"/>
    </row>
    <row r="59" spans="2:20" ht="23.1" customHeight="1" x14ac:dyDescent="0.25">
      <c r="B59" s="45" t="s">
        <v>100</v>
      </c>
      <c r="C59" s="50">
        <v>58</v>
      </c>
      <c r="D59" s="50">
        <v>43</v>
      </c>
      <c r="E59" s="50">
        <v>11</v>
      </c>
      <c r="F59" s="50">
        <v>28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65</v>
      </c>
      <c r="N59" s="50">
        <v>0</v>
      </c>
      <c r="O59" s="15">
        <f t="shared" si="0"/>
        <v>141</v>
      </c>
      <c r="P59" s="15">
        <f t="shared" si="1"/>
        <v>206</v>
      </c>
      <c r="R59" s="8"/>
      <c r="T59"/>
    </row>
    <row r="60" spans="2:20" ht="23.1" customHeight="1" x14ac:dyDescent="0.25">
      <c r="B60" s="45" t="s">
        <v>101</v>
      </c>
      <c r="C60" s="50">
        <v>28</v>
      </c>
      <c r="D60" s="50">
        <v>31</v>
      </c>
      <c r="E60" s="50">
        <v>14</v>
      </c>
      <c r="F60" s="50">
        <v>24</v>
      </c>
      <c r="G60" s="50">
        <v>0</v>
      </c>
      <c r="H60" s="50">
        <v>0</v>
      </c>
      <c r="I60" s="50">
        <v>9</v>
      </c>
      <c r="J60" s="50">
        <v>3</v>
      </c>
      <c r="K60" s="50">
        <v>0</v>
      </c>
      <c r="L60" s="50">
        <v>0</v>
      </c>
      <c r="M60" s="50">
        <v>83</v>
      </c>
      <c r="N60" s="50">
        <v>0</v>
      </c>
      <c r="O60" s="15">
        <f t="shared" si="0"/>
        <v>109</v>
      </c>
      <c r="P60" s="15">
        <f t="shared" si="1"/>
        <v>192</v>
      </c>
      <c r="R60" s="8"/>
      <c r="T60"/>
    </row>
    <row r="61" spans="2:20" ht="23.1" customHeight="1" x14ac:dyDescent="0.25">
      <c r="B61" s="45" t="s">
        <v>102</v>
      </c>
      <c r="C61" s="50">
        <v>49</v>
      </c>
      <c r="D61" s="50">
        <v>14</v>
      </c>
      <c r="E61" s="50">
        <v>15</v>
      </c>
      <c r="F61" s="50">
        <v>33</v>
      </c>
      <c r="G61" s="50">
        <v>0</v>
      </c>
      <c r="H61" s="50">
        <v>0</v>
      </c>
      <c r="I61" s="50">
        <v>11</v>
      </c>
      <c r="J61" s="50">
        <v>1</v>
      </c>
      <c r="K61" s="50">
        <v>1</v>
      </c>
      <c r="L61" s="50">
        <v>0</v>
      </c>
      <c r="M61" s="50">
        <v>94</v>
      </c>
      <c r="N61" s="50">
        <v>0</v>
      </c>
      <c r="O61" s="15">
        <f t="shared" si="0"/>
        <v>124</v>
      </c>
      <c r="P61" s="15">
        <f t="shared" si="1"/>
        <v>218</v>
      </c>
      <c r="R61" s="8"/>
      <c r="T61"/>
    </row>
    <row r="62" spans="2:20" ht="23.1" customHeight="1" x14ac:dyDescent="0.25">
      <c r="B62" s="45" t="s">
        <v>107</v>
      </c>
      <c r="C62" s="50">
        <v>52</v>
      </c>
      <c r="D62" s="50">
        <v>28</v>
      </c>
      <c r="E62" s="50">
        <v>11</v>
      </c>
      <c r="F62" s="50">
        <v>22</v>
      </c>
      <c r="G62" s="50">
        <v>0</v>
      </c>
      <c r="H62" s="50">
        <v>0</v>
      </c>
      <c r="I62" s="50">
        <v>6</v>
      </c>
      <c r="J62" s="50">
        <v>0</v>
      </c>
      <c r="K62" s="50">
        <v>0</v>
      </c>
      <c r="L62" s="50">
        <v>2</v>
      </c>
      <c r="M62" s="50">
        <v>56</v>
      </c>
      <c r="N62" s="50">
        <v>0</v>
      </c>
      <c r="O62" s="15">
        <f t="shared" si="0"/>
        <v>121</v>
      </c>
      <c r="P62" s="15">
        <f t="shared" si="1"/>
        <v>177</v>
      </c>
      <c r="R62" s="8"/>
      <c r="T62"/>
    </row>
    <row r="63" spans="2:20" ht="23.1" customHeight="1" x14ac:dyDescent="0.25">
      <c r="B63" s="45" t="s">
        <v>108</v>
      </c>
      <c r="C63" s="50">
        <v>46</v>
      </c>
      <c r="D63" s="50">
        <v>11</v>
      </c>
      <c r="E63" s="50">
        <v>7</v>
      </c>
      <c r="F63" s="50">
        <v>29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53</v>
      </c>
      <c r="N63" s="50">
        <v>0</v>
      </c>
      <c r="O63" s="15">
        <f t="shared" si="0"/>
        <v>93</v>
      </c>
      <c r="P63" s="15">
        <f t="shared" si="1"/>
        <v>146</v>
      </c>
      <c r="R63" s="8"/>
      <c r="T63"/>
    </row>
    <row r="64" spans="2:20" ht="23.1" customHeight="1" x14ac:dyDescent="0.25">
      <c r="B64" s="45" t="s">
        <v>109</v>
      </c>
      <c r="C64" s="50">
        <v>37</v>
      </c>
      <c r="D64" s="50">
        <v>18</v>
      </c>
      <c r="E64" s="50">
        <v>4</v>
      </c>
      <c r="F64" s="50">
        <v>17</v>
      </c>
      <c r="G64" s="50">
        <v>1</v>
      </c>
      <c r="H64" s="50">
        <v>0</v>
      </c>
      <c r="I64" s="50">
        <v>2</v>
      </c>
      <c r="J64" s="50">
        <v>1</v>
      </c>
      <c r="K64" s="50">
        <v>0</v>
      </c>
      <c r="L64" s="50">
        <v>0</v>
      </c>
      <c r="M64" s="50">
        <v>69</v>
      </c>
      <c r="N64" s="50">
        <v>0</v>
      </c>
      <c r="O64" s="15">
        <f t="shared" si="0"/>
        <v>80</v>
      </c>
      <c r="P64" s="15">
        <f t="shared" si="1"/>
        <v>149</v>
      </c>
      <c r="R64" s="8"/>
      <c r="T64"/>
    </row>
    <row r="65" spans="2:20" ht="23.1" customHeight="1" x14ac:dyDescent="0.25">
      <c r="B65" s="45" t="s">
        <v>158</v>
      </c>
      <c r="C65" s="50">
        <v>77</v>
      </c>
      <c r="D65" s="50">
        <v>19</v>
      </c>
      <c r="E65" s="50">
        <v>6</v>
      </c>
      <c r="F65" s="50">
        <v>11</v>
      </c>
      <c r="G65" s="50">
        <v>2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73</v>
      </c>
      <c r="N65" s="50">
        <v>0</v>
      </c>
      <c r="O65" s="15">
        <f t="shared" si="0"/>
        <v>116</v>
      </c>
      <c r="P65" s="15">
        <f t="shared" si="1"/>
        <v>189</v>
      </c>
      <c r="R65" s="8"/>
      <c r="T65"/>
    </row>
    <row r="66" spans="2:20" ht="23.1" customHeight="1" x14ac:dyDescent="0.25">
      <c r="B66" s="45" t="s">
        <v>103</v>
      </c>
      <c r="C66" s="50">
        <v>47</v>
      </c>
      <c r="D66" s="50">
        <v>28</v>
      </c>
      <c r="E66" s="50">
        <v>9</v>
      </c>
      <c r="F66" s="50">
        <v>33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54</v>
      </c>
      <c r="N66" s="50">
        <v>0</v>
      </c>
      <c r="O66" s="15">
        <f t="shared" si="0"/>
        <v>118</v>
      </c>
      <c r="P66" s="15">
        <f t="shared" si="1"/>
        <v>172</v>
      </c>
      <c r="R66" s="8"/>
      <c r="T66"/>
    </row>
    <row r="67" spans="2:20" ht="23.1" customHeight="1" x14ac:dyDescent="0.25">
      <c r="B67" s="45" t="s">
        <v>104</v>
      </c>
      <c r="C67" s="50">
        <v>41</v>
      </c>
      <c r="D67" s="50">
        <v>8</v>
      </c>
      <c r="E67" s="50">
        <v>5</v>
      </c>
      <c r="F67" s="50">
        <v>28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31</v>
      </c>
      <c r="N67" s="50">
        <v>0</v>
      </c>
      <c r="O67" s="15">
        <f t="shared" si="0"/>
        <v>84</v>
      </c>
      <c r="P67" s="15">
        <f t="shared" si="1"/>
        <v>115</v>
      </c>
      <c r="R67" s="8"/>
      <c r="T67"/>
    </row>
    <row r="68" spans="2:20" ht="23.1" customHeight="1" x14ac:dyDescent="0.25">
      <c r="B68" s="45" t="s">
        <v>105</v>
      </c>
      <c r="C68" s="50">
        <v>58</v>
      </c>
      <c r="D68" s="50">
        <v>17</v>
      </c>
      <c r="E68" s="50">
        <v>7</v>
      </c>
      <c r="F68" s="50">
        <v>26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56</v>
      </c>
      <c r="N68" s="50">
        <v>0</v>
      </c>
      <c r="O68" s="15">
        <f t="shared" si="0"/>
        <v>109</v>
      </c>
      <c r="P68" s="15">
        <f t="shared" si="1"/>
        <v>165</v>
      </c>
      <c r="R68" s="8"/>
      <c r="T68"/>
    </row>
    <row r="69" spans="2:20" ht="23.1" customHeight="1" x14ac:dyDescent="0.25">
      <c r="B69" s="45" t="s">
        <v>106</v>
      </c>
      <c r="C69" s="50">
        <v>42</v>
      </c>
      <c r="D69" s="50">
        <v>14</v>
      </c>
      <c r="E69" s="50">
        <v>6</v>
      </c>
      <c r="F69" s="50">
        <v>15</v>
      </c>
      <c r="G69" s="50">
        <v>0</v>
      </c>
      <c r="H69" s="50">
        <v>1</v>
      </c>
      <c r="I69" s="50">
        <v>0</v>
      </c>
      <c r="J69" s="50">
        <v>0</v>
      </c>
      <c r="K69" s="50">
        <v>0</v>
      </c>
      <c r="L69" s="50">
        <v>0</v>
      </c>
      <c r="M69" s="50">
        <v>53</v>
      </c>
      <c r="N69" s="50">
        <v>0</v>
      </c>
      <c r="O69" s="15">
        <f t="shared" si="0"/>
        <v>78</v>
      </c>
      <c r="P69" s="15">
        <f t="shared" si="1"/>
        <v>131</v>
      </c>
      <c r="R69" s="8"/>
      <c r="T69"/>
    </row>
    <row r="70" spans="2:20" ht="23.1" customHeight="1" x14ac:dyDescent="0.25">
      <c r="B70" s="45" t="s">
        <v>110</v>
      </c>
      <c r="C70" s="50">
        <v>41</v>
      </c>
      <c r="D70" s="50">
        <v>16</v>
      </c>
      <c r="E70" s="50">
        <v>6</v>
      </c>
      <c r="F70" s="50">
        <v>26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48</v>
      </c>
      <c r="N70" s="50">
        <v>0</v>
      </c>
      <c r="O70" s="15">
        <f t="shared" si="0"/>
        <v>89</v>
      </c>
      <c r="P70" s="15">
        <f t="shared" si="1"/>
        <v>137</v>
      </c>
      <c r="R70" s="8"/>
      <c r="T70"/>
    </row>
    <row r="71" spans="2:20" ht="23.1" customHeight="1" x14ac:dyDescent="0.25">
      <c r="B71" s="45" t="s">
        <v>111</v>
      </c>
      <c r="C71" s="50">
        <v>31</v>
      </c>
      <c r="D71" s="50">
        <v>18</v>
      </c>
      <c r="E71" s="50">
        <v>10</v>
      </c>
      <c r="F71" s="50">
        <v>28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33</v>
      </c>
      <c r="N71" s="50">
        <v>0</v>
      </c>
      <c r="O71" s="15">
        <f t="shared" si="0"/>
        <v>88</v>
      </c>
      <c r="P71" s="15">
        <f t="shared" si="1"/>
        <v>121</v>
      </c>
      <c r="R71" s="8"/>
      <c r="T71"/>
    </row>
    <row r="72" spans="2:20" ht="23.1" customHeight="1" x14ac:dyDescent="0.25">
      <c r="B72" s="45" t="s">
        <v>112</v>
      </c>
      <c r="C72" s="50">
        <v>22</v>
      </c>
      <c r="D72" s="50">
        <v>23</v>
      </c>
      <c r="E72" s="50">
        <v>4</v>
      </c>
      <c r="F72" s="50">
        <v>19</v>
      </c>
      <c r="G72" s="50">
        <v>0</v>
      </c>
      <c r="H72" s="50">
        <v>1</v>
      </c>
      <c r="I72" s="50">
        <v>0</v>
      </c>
      <c r="J72" s="50">
        <v>0</v>
      </c>
      <c r="K72" s="50">
        <v>0</v>
      </c>
      <c r="L72" s="50">
        <v>1</v>
      </c>
      <c r="M72" s="50">
        <v>54</v>
      </c>
      <c r="N72" s="50">
        <v>0</v>
      </c>
      <c r="O72" s="15">
        <f t="shared" si="0"/>
        <v>70</v>
      </c>
      <c r="P72" s="15">
        <f t="shared" si="1"/>
        <v>124</v>
      </c>
      <c r="R72" s="8"/>
      <c r="T72"/>
    </row>
    <row r="73" spans="2:20" ht="23.1" customHeight="1" x14ac:dyDescent="0.25">
      <c r="B73" s="45" t="s">
        <v>113</v>
      </c>
      <c r="C73" s="50">
        <v>36</v>
      </c>
      <c r="D73" s="50">
        <v>14</v>
      </c>
      <c r="E73" s="50">
        <v>9</v>
      </c>
      <c r="F73" s="50">
        <v>26</v>
      </c>
      <c r="G73" s="50">
        <v>0</v>
      </c>
      <c r="H73" s="50">
        <v>0</v>
      </c>
      <c r="I73" s="50">
        <v>4</v>
      </c>
      <c r="J73" s="50">
        <v>0</v>
      </c>
      <c r="K73" s="50">
        <v>1</v>
      </c>
      <c r="L73" s="50">
        <v>0</v>
      </c>
      <c r="M73" s="50">
        <v>47</v>
      </c>
      <c r="N73" s="50">
        <v>0</v>
      </c>
      <c r="O73" s="15">
        <f t="shared" si="0"/>
        <v>90</v>
      </c>
      <c r="P73" s="15">
        <f t="shared" si="1"/>
        <v>137</v>
      </c>
      <c r="R73" s="8"/>
      <c r="T73"/>
    </row>
    <row r="74" spans="2:20" ht="23.1" customHeight="1" x14ac:dyDescent="0.25">
      <c r="B74" s="45" t="s">
        <v>114</v>
      </c>
      <c r="C74" s="50">
        <v>47</v>
      </c>
      <c r="D74" s="50">
        <v>9</v>
      </c>
      <c r="E74" s="50">
        <v>4</v>
      </c>
      <c r="F74" s="50">
        <v>17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1</v>
      </c>
      <c r="M74" s="50">
        <v>48</v>
      </c>
      <c r="N74" s="50">
        <v>0</v>
      </c>
      <c r="O74" s="15">
        <f t="shared" ref="O74:O105" si="35">SUM(C74:L74,N74)</f>
        <v>79</v>
      </c>
      <c r="P74" s="15">
        <f t="shared" ref="P74:P105" si="36">SUM(C74:N74)</f>
        <v>127</v>
      </c>
      <c r="R74" s="8"/>
      <c r="T74"/>
    </row>
    <row r="75" spans="2:20" ht="23.1" customHeight="1" x14ac:dyDescent="0.25">
      <c r="B75" s="45" t="s">
        <v>115</v>
      </c>
      <c r="C75" s="50">
        <v>43</v>
      </c>
      <c r="D75" s="50">
        <v>10</v>
      </c>
      <c r="E75" s="50">
        <v>11</v>
      </c>
      <c r="F75" s="50">
        <v>18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53</v>
      </c>
      <c r="N75" s="50">
        <v>0</v>
      </c>
      <c r="O75" s="15">
        <f t="shared" si="35"/>
        <v>83</v>
      </c>
      <c r="P75" s="15">
        <f t="shared" si="36"/>
        <v>136</v>
      </c>
      <c r="R75" s="8"/>
      <c r="T75"/>
    </row>
    <row r="76" spans="2:20" ht="23.1" customHeight="1" x14ac:dyDescent="0.25">
      <c r="B76" s="45" t="s">
        <v>116</v>
      </c>
      <c r="C76" s="50">
        <v>32</v>
      </c>
      <c r="D76" s="50">
        <v>7</v>
      </c>
      <c r="E76" s="50">
        <v>14</v>
      </c>
      <c r="F76" s="50">
        <v>15</v>
      </c>
      <c r="G76" s="50">
        <v>0</v>
      </c>
      <c r="H76" s="50">
        <v>0</v>
      </c>
      <c r="I76" s="50">
        <v>3</v>
      </c>
      <c r="J76" s="50">
        <v>2</v>
      </c>
      <c r="K76" s="50">
        <v>0</v>
      </c>
      <c r="L76" s="50">
        <v>0</v>
      </c>
      <c r="M76" s="50">
        <v>68</v>
      </c>
      <c r="N76" s="50">
        <v>0</v>
      </c>
      <c r="O76" s="15">
        <f t="shared" si="35"/>
        <v>73</v>
      </c>
      <c r="P76" s="15">
        <f t="shared" si="36"/>
        <v>141</v>
      </c>
      <c r="R76" s="8"/>
      <c r="T76"/>
    </row>
    <row r="77" spans="2:20" ht="23.1" customHeight="1" x14ac:dyDescent="0.25">
      <c r="B77" s="45" t="s">
        <v>117</v>
      </c>
      <c r="C77" s="50">
        <v>34</v>
      </c>
      <c r="D77" s="50">
        <v>11</v>
      </c>
      <c r="E77" s="50">
        <v>8</v>
      </c>
      <c r="F77" s="50">
        <v>20</v>
      </c>
      <c r="G77" s="50">
        <v>0</v>
      </c>
      <c r="H77" s="50">
        <v>0</v>
      </c>
      <c r="I77" s="50">
        <v>1</v>
      </c>
      <c r="J77" s="50">
        <v>0</v>
      </c>
      <c r="K77" s="50">
        <v>1</v>
      </c>
      <c r="L77" s="50">
        <v>0</v>
      </c>
      <c r="M77" s="50">
        <v>65</v>
      </c>
      <c r="N77" s="50">
        <v>0</v>
      </c>
      <c r="O77" s="15">
        <f t="shared" si="35"/>
        <v>75</v>
      </c>
      <c r="P77" s="15">
        <f t="shared" si="36"/>
        <v>140</v>
      </c>
      <c r="R77" s="8"/>
      <c r="T77"/>
    </row>
    <row r="78" spans="2:20" ht="23.1" customHeight="1" x14ac:dyDescent="0.25">
      <c r="B78" s="46" t="s">
        <v>118</v>
      </c>
      <c r="C78" s="50">
        <v>28</v>
      </c>
      <c r="D78" s="50">
        <v>15</v>
      </c>
      <c r="E78" s="50">
        <v>6</v>
      </c>
      <c r="F78" s="50">
        <v>4</v>
      </c>
      <c r="G78" s="50">
        <v>0</v>
      </c>
      <c r="H78" s="50">
        <v>0</v>
      </c>
      <c r="I78" s="50">
        <v>1</v>
      </c>
      <c r="J78" s="50">
        <v>0</v>
      </c>
      <c r="K78" s="50">
        <v>1</v>
      </c>
      <c r="L78" s="50">
        <v>0</v>
      </c>
      <c r="M78" s="50">
        <v>52</v>
      </c>
      <c r="N78" s="50">
        <v>0</v>
      </c>
      <c r="O78" s="15">
        <f t="shared" si="35"/>
        <v>55</v>
      </c>
      <c r="P78" s="15">
        <f t="shared" si="36"/>
        <v>107</v>
      </c>
      <c r="R78" s="8"/>
      <c r="T78"/>
    </row>
    <row r="79" spans="2:20" ht="23.1" customHeight="1" x14ac:dyDescent="0.25">
      <c r="B79" s="45" t="s">
        <v>119</v>
      </c>
      <c r="C79" s="50">
        <v>29</v>
      </c>
      <c r="D79" s="50">
        <v>11</v>
      </c>
      <c r="E79" s="50">
        <v>10</v>
      </c>
      <c r="F79" s="50">
        <v>6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43</v>
      </c>
      <c r="N79" s="50">
        <v>0</v>
      </c>
      <c r="O79" s="15">
        <f t="shared" si="35"/>
        <v>56</v>
      </c>
      <c r="P79" s="15">
        <f t="shared" si="36"/>
        <v>99</v>
      </c>
      <c r="R79" s="8"/>
      <c r="T79"/>
    </row>
    <row r="80" spans="2:20" ht="23.1" customHeight="1" x14ac:dyDescent="0.25">
      <c r="B80" s="47" t="s">
        <v>120</v>
      </c>
      <c r="C80" s="50">
        <v>26</v>
      </c>
      <c r="D80" s="50">
        <v>6</v>
      </c>
      <c r="E80" s="50">
        <v>4</v>
      </c>
      <c r="F80" s="50">
        <v>10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1</v>
      </c>
      <c r="M80" s="50">
        <v>22</v>
      </c>
      <c r="N80" s="50">
        <v>0</v>
      </c>
      <c r="O80" s="15">
        <f t="shared" si="35"/>
        <v>47</v>
      </c>
      <c r="P80" s="15">
        <f t="shared" si="36"/>
        <v>69</v>
      </c>
      <c r="R80" s="8"/>
      <c r="T80"/>
    </row>
    <row r="81" spans="2:20" ht="23.1" customHeight="1" x14ac:dyDescent="0.25">
      <c r="B81" s="45" t="s">
        <v>121</v>
      </c>
      <c r="C81" s="50">
        <v>22</v>
      </c>
      <c r="D81" s="50">
        <v>10</v>
      </c>
      <c r="E81" s="50">
        <v>9</v>
      </c>
      <c r="F81" s="50">
        <v>17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29</v>
      </c>
      <c r="N81" s="50">
        <v>0</v>
      </c>
      <c r="O81" s="15">
        <f t="shared" si="35"/>
        <v>59</v>
      </c>
      <c r="P81" s="15">
        <f t="shared" si="36"/>
        <v>88</v>
      </c>
      <c r="R81" s="8"/>
      <c r="T81"/>
    </row>
    <row r="82" spans="2:20" ht="23.1" customHeight="1" x14ac:dyDescent="0.25">
      <c r="B82" s="46" t="s">
        <v>122</v>
      </c>
      <c r="C82" s="50">
        <v>16</v>
      </c>
      <c r="D82" s="50">
        <v>4</v>
      </c>
      <c r="E82" s="50">
        <v>0</v>
      </c>
      <c r="F82" s="50">
        <v>2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17</v>
      </c>
      <c r="N82" s="50">
        <v>0</v>
      </c>
      <c r="O82" s="15">
        <f t="shared" si="35"/>
        <v>23</v>
      </c>
      <c r="P82" s="15">
        <f t="shared" si="36"/>
        <v>40</v>
      </c>
      <c r="R82" s="8"/>
      <c r="T82"/>
    </row>
    <row r="83" spans="2:20" ht="23.1" customHeight="1" x14ac:dyDescent="0.25">
      <c r="B83" s="45" t="s">
        <v>123</v>
      </c>
      <c r="C83" s="50">
        <v>22</v>
      </c>
      <c r="D83" s="50">
        <v>6</v>
      </c>
      <c r="E83" s="50">
        <v>1</v>
      </c>
      <c r="F83" s="50">
        <v>2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24</v>
      </c>
      <c r="N83" s="50">
        <v>0</v>
      </c>
      <c r="O83" s="15">
        <f t="shared" si="35"/>
        <v>31</v>
      </c>
      <c r="P83" s="15">
        <f t="shared" si="36"/>
        <v>55</v>
      </c>
      <c r="R83" s="8"/>
      <c r="T83"/>
    </row>
    <row r="84" spans="2:20" ht="23.1" customHeight="1" x14ac:dyDescent="0.25">
      <c r="B84" s="47" t="s">
        <v>124</v>
      </c>
      <c r="C84" s="50">
        <v>22</v>
      </c>
      <c r="D84" s="50">
        <v>1</v>
      </c>
      <c r="E84" s="50">
        <v>2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16</v>
      </c>
      <c r="N84" s="50">
        <v>0</v>
      </c>
      <c r="O84" s="15">
        <f t="shared" si="35"/>
        <v>26</v>
      </c>
      <c r="P84" s="15">
        <f t="shared" si="36"/>
        <v>42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5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15</v>
      </c>
      <c r="N85" s="50">
        <v>0</v>
      </c>
      <c r="O85" s="15">
        <f t="shared" si="35"/>
        <v>21</v>
      </c>
      <c r="P85" s="15">
        <f t="shared" si="36"/>
        <v>36</v>
      </c>
      <c r="R85" s="8"/>
      <c r="T85"/>
    </row>
    <row r="86" spans="2:20" ht="23.1" customHeight="1" x14ac:dyDescent="0.25">
      <c r="B86" s="46" t="s">
        <v>126</v>
      </c>
      <c r="C86" s="50">
        <v>16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1</v>
      </c>
      <c r="M86" s="50">
        <v>16</v>
      </c>
      <c r="N86" s="50">
        <v>0</v>
      </c>
      <c r="O86" s="15">
        <f t="shared" si="35"/>
        <v>17</v>
      </c>
      <c r="P86" s="15">
        <f t="shared" si="36"/>
        <v>33</v>
      </c>
      <c r="R86" s="8"/>
      <c r="T86"/>
    </row>
    <row r="87" spans="2:20" ht="23.1" customHeight="1" x14ac:dyDescent="0.25">
      <c r="B87" s="45" t="s">
        <v>127</v>
      </c>
      <c r="C87" s="50">
        <v>20</v>
      </c>
      <c r="D87" s="50">
        <v>3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14</v>
      </c>
      <c r="N87" s="50">
        <v>0</v>
      </c>
      <c r="O87" s="15">
        <f t="shared" si="35"/>
        <v>23</v>
      </c>
      <c r="P87" s="15">
        <f t="shared" si="36"/>
        <v>37</v>
      </c>
      <c r="R87" s="8"/>
      <c r="T87"/>
    </row>
    <row r="88" spans="2:20" ht="23.1" customHeight="1" x14ac:dyDescent="0.25">
      <c r="B88" s="47" t="s">
        <v>128</v>
      </c>
      <c r="C88" s="50">
        <v>14</v>
      </c>
      <c r="D88" s="50">
        <v>2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22</v>
      </c>
      <c r="N88" s="50">
        <v>0</v>
      </c>
      <c r="O88" s="15">
        <f t="shared" si="35"/>
        <v>16</v>
      </c>
      <c r="P88" s="15">
        <f t="shared" si="36"/>
        <v>38</v>
      </c>
      <c r="R88" s="8"/>
      <c r="T88"/>
    </row>
    <row r="89" spans="2:20" ht="23.1" customHeight="1" x14ac:dyDescent="0.25">
      <c r="B89" s="45" t="s">
        <v>129</v>
      </c>
      <c r="C89" s="50">
        <v>13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16</v>
      </c>
      <c r="N89" s="50">
        <v>0</v>
      </c>
      <c r="O89" s="15">
        <f t="shared" si="35"/>
        <v>14</v>
      </c>
      <c r="P89" s="15">
        <f t="shared" si="36"/>
        <v>30</v>
      </c>
      <c r="R89" s="8"/>
      <c r="T89"/>
    </row>
    <row r="90" spans="2:20" ht="23.1" customHeight="1" x14ac:dyDescent="0.25">
      <c r="B90" s="46" t="s">
        <v>130</v>
      </c>
      <c r="C90" s="50">
        <v>10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0</v>
      </c>
      <c r="K90" s="50">
        <v>1</v>
      </c>
      <c r="L90" s="50">
        <v>2</v>
      </c>
      <c r="M90" s="50">
        <v>16</v>
      </c>
      <c r="N90" s="50">
        <v>0</v>
      </c>
      <c r="O90" s="15">
        <f t="shared" si="35"/>
        <v>15</v>
      </c>
      <c r="P90" s="15">
        <f t="shared" si="36"/>
        <v>31</v>
      </c>
      <c r="R90" s="8"/>
      <c r="T90"/>
    </row>
    <row r="91" spans="2:20" ht="23.1" customHeight="1" x14ac:dyDescent="0.25">
      <c r="B91" s="45" t="s">
        <v>131</v>
      </c>
      <c r="C91" s="50">
        <v>6</v>
      </c>
      <c r="D91" s="50">
        <v>1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4</v>
      </c>
      <c r="N91" s="50">
        <v>0</v>
      </c>
      <c r="O91" s="15">
        <f t="shared" si="35"/>
        <v>8</v>
      </c>
      <c r="P91" s="15">
        <f t="shared" si="36"/>
        <v>12</v>
      </c>
      <c r="R91" s="8"/>
      <c r="T91"/>
    </row>
    <row r="92" spans="2:20" ht="23.1" customHeight="1" x14ac:dyDescent="0.25">
      <c r="B92" s="47" t="s">
        <v>132</v>
      </c>
      <c r="C92" s="50">
        <v>24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14</v>
      </c>
      <c r="N92" s="50">
        <v>0</v>
      </c>
      <c r="O92" s="15">
        <f t="shared" si="35"/>
        <v>25</v>
      </c>
      <c r="P92" s="15">
        <f t="shared" si="36"/>
        <v>39</v>
      </c>
      <c r="R92" s="8"/>
      <c r="T92"/>
    </row>
    <row r="93" spans="2:20" ht="23.1" customHeight="1" x14ac:dyDescent="0.25">
      <c r="B93" s="45" t="s">
        <v>133</v>
      </c>
      <c r="C93" s="50">
        <v>43</v>
      </c>
      <c r="D93" s="50">
        <v>8</v>
      </c>
      <c r="E93" s="50">
        <v>10</v>
      </c>
      <c r="F93" s="50">
        <v>9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38</v>
      </c>
      <c r="N93" s="50">
        <v>0</v>
      </c>
      <c r="O93" s="15">
        <f t="shared" si="35"/>
        <v>70</v>
      </c>
      <c r="P93" s="15">
        <f t="shared" si="36"/>
        <v>108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5">
        <f t="shared" si="35"/>
        <v>4</v>
      </c>
      <c r="P94" s="15">
        <f t="shared" si="36"/>
        <v>8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1</v>
      </c>
      <c r="N95" s="50">
        <v>0</v>
      </c>
      <c r="O95" s="15">
        <f t="shared" si="35"/>
        <v>3</v>
      </c>
      <c r="P95" s="15">
        <f t="shared" si="36"/>
        <v>4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2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4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6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1</v>
      </c>
      <c r="M97" s="50">
        <v>3</v>
      </c>
      <c r="N97" s="50">
        <v>0</v>
      </c>
      <c r="O97" s="15">
        <f t="shared" si="35"/>
        <v>8</v>
      </c>
      <c r="P97" s="15">
        <f t="shared" si="36"/>
        <v>11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2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21</v>
      </c>
      <c r="N98" s="50">
        <v>0</v>
      </c>
      <c r="O98" s="15">
        <f t="shared" si="35"/>
        <v>7</v>
      </c>
      <c r="P98" s="15">
        <f t="shared" si="36"/>
        <v>28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0</v>
      </c>
      <c r="E99" s="50">
        <v>1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12</v>
      </c>
      <c r="N99" s="50">
        <v>0</v>
      </c>
      <c r="O99" s="15">
        <f t="shared" si="35"/>
        <v>9</v>
      </c>
      <c r="P99" s="15">
        <f t="shared" si="36"/>
        <v>21</v>
      </c>
      <c r="R99" s="8"/>
      <c r="T99"/>
    </row>
    <row r="100" spans="2:20" ht="23.1" customHeight="1" x14ac:dyDescent="0.25">
      <c r="B100" s="47" t="s">
        <v>140</v>
      </c>
      <c r="C100" s="50">
        <v>8</v>
      </c>
      <c r="D100" s="50">
        <v>1</v>
      </c>
      <c r="E100" s="50">
        <v>0</v>
      </c>
      <c r="F100" s="50">
        <v>1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7</v>
      </c>
      <c r="N100" s="50">
        <v>0</v>
      </c>
      <c r="O100" s="15">
        <f t="shared" si="35"/>
        <v>10</v>
      </c>
      <c r="P100" s="15">
        <f t="shared" si="36"/>
        <v>17</v>
      </c>
      <c r="R100" s="8"/>
      <c r="T100"/>
    </row>
    <row r="101" spans="2:20" ht="23.1" customHeight="1" x14ac:dyDescent="0.25">
      <c r="B101" s="45" t="s">
        <v>141</v>
      </c>
      <c r="C101" s="50">
        <v>14</v>
      </c>
      <c r="D101" s="50">
        <v>0</v>
      </c>
      <c r="E101" s="50">
        <v>1</v>
      </c>
      <c r="F101" s="50">
        <v>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18</v>
      </c>
      <c r="N101" s="50">
        <v>0</v>
      </c>
      <c r="O101" s="15">
        <f t="shared" si="35"/>
        <v>16</v>
      </c>
      <c r="P101" s="15">
        <f t="shared" si="36"/>
        <v>34</v>
      </c>
      <c r="R101" s="8"/>
      <c r="T101"/>
    </row>
    <row r="102" spans="2:20" ht="23.1" customHeight="1" x14ac:dyDescent="0.25">
      <c r="B102" s="46" t="s">
        <v>142</v>
      </c>
      <c r="C102" s="50">
        <v>28</v>
      </c>
      <c r="D102" s="50">
        <v>1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33</v>
      </c>
      <c r="N102" s="50">
        <v>0</v>
      </c>
      <c r="O102" s="15">
        <f t="shared" si="35"/>
        <v>30</v>
      </c>
      <c r="P102" s="15">
        <f t="shared" si="36"/>
        <v>63</v>
      </c>
      <c r="R102" s="8"/>
      <c r="T102"/>
    </row>
    <row r="103" spans="2:20" ht="23.1" customHeight="1" x14ac:dyDescent="0.25">
      <c r="B103" s="45" t="s">
        <v>143</v>
      </c>
      <c r="C103" s="50">
        <v>31</v>
      </c>
      <c r="D103" s="50">
        <v>0</v>
      </c>
      <c r="E103" s="50">
        <v>0</v>
      </c>
      <c r="F103" s="50">
        <v>2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29</v>
      </c>
      <c r="N103" s="50">
        <v>0</v>
      </c>
      <c r="O103" s="15">
        <f t="shared" si="35"/>
        <v>33</v>
      </c>
      <c r="P103" s="15">
        <f t="shared" si="36"/>
        <v>62</v>
      </c>
      <c r="R103" s="8"/>
      <c r="T103"/>
    </row>
    <row r="104" spans="2:20" ht="23.1" customHeight="1" x14ac:dyDescent="0.25">
      <c r="B104" s="47" t="s">
        <v>144</v>
      </c>
      <c r="C104" s="50">
        <v>22</v>
      </c>
      <c r="D104" s="50">
        <v>3</v>
      </c>
      <c r="E104" s="50">
        <v>1</v>
      </c>
      <c r="F104" s="50">
        <v>1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26</v>
      </c>
      <c r="N104" s="50">
        <v>0</v>
      </c>
      <c r="O104" s="15">
        <f t="shared" si="35"/>
        <v>27</v>
      </c>
      <c r="P104" s="15">
        <f t="shared" si="36"/>
        <v>53</v>
      </c>
      <c r="R104" s="8"/>
      <c r="T104"/>
    </row>
    <row r="105" spans="2:20" ht="23.1" customHeight="1" x14ac:dyDescent="0.25">
      <c r="B105" s="45" t="s">
        <v>145</v>
      </c>
      <c r="C105" s="50">
        <v>22</v>
      </c>
      <c r="D105" s="50">
        <v>1</v>
      </c>
      <c r="E105" s="50">
        <v>1</v>
      </c>
      <c r="F105" s="50">
        <v>0</v>
      </c>
      <c r="G105" s="50">
        <v>0</v>
      </c>
      <c r="H105" s="50">
        <v>0</v>
      </c>
      <c r="I105" s="50">
        <v>1</v>
      </c>
      <c r="J105" s="50">
        <v>1</v>
      </c>
      <c r="K105" s="50">
        <v>0</v>
      </c>
      <c r="L105" s="50">
        <v>0</v>
      </c>
      <c r="M105" s="50">
        <v>21</v>
      </c>
      <c r="N105" s="50">
        <v>0</v>
      </c>
      <c r="O105" s="15">
        <f t="shared" si="35"/>
        <v>26</v>
      </c>
      <c r="P105" s="15">
        <f t="shared" si="36"/>
        <v>47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4828</v>
      </c>
      <c r="D106" s="16">
        <f t="shared" ref="D106:P106" si="37">SUM(D10:D105)</f>
        <v>1858</v>
      </c>
      <c r="E106" s="16">
        <f t="shared" si="37"/>
        <v>853</v>
      </c>
      <c r="F106" s="16">
        <f t="shared" si="37"/>
        <v>1997</v>
      </c>
      <c r="G106" s="16">
        <f t="shared" si="37"/>
        <v>11</v>
      </c>
      <c r="H106" s="16">
        <f t="shared" si="37"/>
        <v>4</v>
      </c>
      <c r="I106" s="16">
        <f t="shared" si="37"/>
        <v>167</v>
      </c>
      <c r="J106" s="16">
        <f t="shared" si="37"/>
        <v>65</v>
      </c>
      <c r="K106" s="16">
        <f t="shared" si="37"/>
        <v>20</v>
      </c>
      <c r="L106" s="16">
        <f t="shared" si="37"/>
        <v>24</v>
      </c>
      <c r="M106" s="16">
        <f t="shared" si="37"/>
        <v>4914</v>
      </c>
      <c r="N106" s="16">
        <f t="shared" si="37"/>
        <v>0</v>
      </c>
      <c r="O106" s="16">
        <f t="shared" si="37"/>
        <v>9827</v>
      </c>
      <c r="P106" s="16">
        <f t="shared" si="37"/>
        <v>14741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0.32752187775591884</v>
      </c>
      <c r="D107" s="43">
        <f t="shared" si="38"/>
        <v>0.12604300929380638</v>
      </c>
      <c r="E107" s="43">
        <f t="shared" si="38"/>
        <v>5.7865816430364293E-2</v>
      </c>
      <c r="F107" s="43">
        <f t="shared" si="38"/>
        <v>0.13547249168984465</v>
      </c>
      <c r="G107" s="43">
        <f t="shared" si="38"/>
        <v>7.4621803134115731E-4</v>
      </c>
      <c r="H107" s="43">
        <f t="shared" si="38"/>
        <v>2.7135201139678449E-4</v>
      </c>
      <c r="I107" s="43">
        <f t="shared" si="38"/>
        <v>1.1328946475815753E-2</v>
      </c>
      <c r="J107" s="43">
        <f t="shared" si="38"/>
        <v>4.4094701851977482E-3</v>
      </c>
      <c r="K107" s="43">
        <f t="shared" si="38"/>
        <v>1.3567600569839224E-3</v>
      </c>
      <c r="L107" s="43">
        <f t="shared" si="38"/>
        <v>1.6281120683807068E-3</v>
      </c>
      <c r="M107" s="43">
        <f t="shared" si="38"/>
        <v>0.33335594600094975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0.49129948102167498</v>
      </c>
      <c r="D108" s="44">
        <f t="shared" ref="D108:N108" si="39">D106/$O$106</f>
        <v>0.18907092703775313</v>
      </c>
      <c r="E108" s="44">
        <f t="shared" si="39"/>
        <v>8.6801668871476542E-2</v>
      </c>
      <c r="F108" s="44">
        <f t="shared" si="39"/>
        <v>0.20321563040602422</v>
      </c>
      <c r="G108" s="44">
        <f t="shared" si="39"/>
        <v>1.119365014755266E-3</v>
      </c>
      <c r="H108" s="44">
        <f t="shared" si="39"/>
        <v>4.0704182354736948E-4</v>
      </c>
      <c r="I108" s="44">
        <f t="shared" si="39"/>
        <v>1.6993996133102676E-2</v>
      </c>
      <c r="J108" s="44">
        <f t="shared" si="39"/>
        <v>6.6144296326447541E-3</v>
      </c>
      <c r="K108" s="44">
        <f t="shared" si="39"/>
        <v>2.0352091177368472E-3</v>
      </c>
      <c r="L108" s="44">
        <f t="shared" si="39"/>
        <v>2.4422509412842168E-3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60" workbookViewId="0">
      <selection activeCell="C106" sqref="C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Bugolobi-Nakawa'!C3:G3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Bugolobi-Nakawa-24h'!D5</f>
        <v>03.08.19</v>
      </c>
      <c r="E5" s="3"/>
      <c r="F5" s="41" t="s">
        <v>1</v>
      </c>
      <c r="G5" s="63" t="str">
        <f>'03.08 Bugolobi-Nakawa-24h'!G5:H5</f>
        <v>Business Park</v>
      </c>
      <c r="H5" s="64"/>
      <c r="I5" s="14"/>
      <c r="J5" s="2" t="s">
        <v>5</v>
      </c>
      <c r="K5" s="63" t="str">
        <f>'03.08 Bugolobi-Nakawa-24h'!K5:L5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Nakawa-Bugolobi'!D6:E6</f>
        <v>Nakawa</v>
      </c>
      <c r="E6" s="64"/>
      <c r="F6" s="2" t="s">
        <v>2</v>
      </c>
      <c r="G6" s="63" t="str">
        <f>'29.07 Nakawa-Bugolobi'!G6:H6</f>
        <v>Bugolobi</v>
      </c>
      <c r="H6" s="64"/>
      <c r="J6" s="2" t="s">
        <v>21</v>
      </c>
      <c r="K6" s="63" t="str">
        <f>'03.08 Bugolobi-Nakawa-24h'!K6:L6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27</v>
      </c>
      <c r="D10" s="50">
        <v>4</v>
      </c>
      <c r="E10" s="50">
        <v>18</v>
      </c>
      <c r="F10" s="50">
        <v>5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43</v>
      </c>
      <c r="N10" s="50">
        <v>0</v>
      </c>
      <c r="O10" s="15">
        <f t="shared" ref="O10:O73" si="0">SUM(C10:L10,N10)</f>
        <v>55</v>
      </c>
      <c r="P10" s="15">
        <f t="shared" ref="P10:P73" si="1">SUM(C10:N10)</f>
        <v>98</v>
      </c>
      <c r="R10" s="1" t="s">
        <v>6</v>
      </c>
      <c r="S10" s="17">
        <f t="shared" ref="S10:AF10" si="2">SUM(C10:C13)</f>
        <v>117</v>
      </c>
      <c r="T10" s="17">
        <f t="shared" si="2"/>
        <v>16</v>
      </c>
      <c r="U10" s="17">
        <f t="shared" si="2"/>
        <v>52</v>
      </c>
      <c r="V10" s="17">
        <f t="shared" si="2"/>
        <v>20</v>
      </c>
      <c r="W10" s="17">
        <f t="shared" si="2"/>
        <v>1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194</v>
      </c>
      <c r="AD10" s="17">
        <f t="shared" si="2"/>
        <v>0</v>
      </c>
      <c r="AE10" s="31">
        <f t="shared" si="2"/>
        <v>210</v>
      </c>
      <c r="AF10" s="31">
        <f t="shared" si="2"/>
        <v>404</v>
      </c>
    </row>
    <row r="11" spans="2:32" s="6" customFormat="1" ht="23.1" customHeight="1" x14ac:dyDescent="0.25">
      <c r="B11" s="45" t="s">
        <v>38</v>
      </c>
      <c r="C11" s="50">
        <v>36</v>
      </c>
      <c r="D11" s="50">
        <v>2</v>
      </c>
      <c r="E11" s="50">
        <v>9</v>
      </c>
      <c r="F11" s="50">
        <v>3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36</v>
      </c>
      <c r="N11" s="50">
        <v>0</v>
      </c>
      <c r="O11" s="15">
        <f t="shared" si="0"/>
        <v>51</v>
      </c>
      <c r="P11" s="15">
        <f t="shared" si="1"/>
        <v>87</v>
      </c>
      <c r="R11" s="1" t="s">
        <v>7</v>
      </c>
      <c r="S11" s="17">
        <f t="shared" ref="S11:AF11" si="3">SUM(C14:C17)</f>
        <v>175</v>
      </c>
      <c r="T11" s="17">
        <f t="shared" si="3"/>
        <v>38</v>
      </c>
      <c r="U11" s="17">
        <f t="shared" si="3"/>
        <v>47</v>
      </c>
      <c r="V11" s="17">
        <f t="shared" si="3"/>
        <v>37</v>
      </c>
      <c r="W11" s="17">
        <f t="shared" si="3"/>
        <v>0</v>
      </c>
      <c r="X11" s="17">
        <f t="shared" si="3"/>
        <v>1</v>
      </c>
      <c r="Y11" s="17">
        <f t="shared" si="3"/>
        <v>14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249</v>
      </c>
      <c r="AD11" s="17">
        <f t="shared" si="3"/>
        <v>0</v>
      </c>
      <c r="AE11" s="31">
        <f t="shared" si="3"/>
        <v>313</v>
      </c>
      <c r="AF11" s="31">
        <f t="shared" si="3"/>
        <v>562</v>
      </c>
    </row>
    <row r="12" spans="2:32" ht="23.1" customHeight="1" x14ac:dyDescent="0.25">
      <c r="B12" s="45" t="s">
        <v>39</v>
      </c>
      <c r="C12" s="50">
        <v>22</v>
      </c>
      <c r="D12" s="50">
        <v>6</v>
      </c>
      <c r="E12" s="50">
        <v>11</v>
      </c>
      <c r="F12" s="50">
        <v>8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0</v>
      </c>
      <c r="M12" s="50">
        <v>58</v>
      </c>
      <c r="N12" s="50">
        <v>0</v>
      </c>
      <c r="O12" s="15">
        <f t="shared" si="0"/>
        <v>50</v>
      </c>
      <c r="P12" s="15">
        <f t="shared" si="1"/>
        <v>108</v>
      </c>
      <c r="R12" s="1" t="s">
        <v>8</v>
      </c>
      <c r="S12" s="17">
        <f t="shared" ref="S12:AF12" si="4">SUM(C18:C21)</f>
        <v>231</v>
      </c>
      <c r="T12" s="17">
        <f t="shared" si="4"/>
        <v>54</v>
      </c>
      <c r="U12" s="17">
        <f t="shared" si="4"/>
        <v>56</v>
      </c>
      <c r="V12" s="17">
        <f t="shared" si="4"/>
        <v>78</v>
      </c>
      <c r="W12" s="17">
        <f t="shared" si="4"/>
        <v>2</v>
      </c>
      <c r="X12" s="17">
        <f t="shared" si="4"/>
        <v>0</v>
      </c>
      <c r="Y12" s="17">
        <f t="shared" si="4"/>
        <v>10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368</v>
      </c>
      <c r="AD12" s="17">
        <f t="shared" si="4"/>
        <v>1</v>
      </c>
      <c r="AE12" s="31">
        <f t="shared" si="4"/>
        <v>436</v>
      </c>
      <c r="AF12" s="31">
        <f t="shared" si="4"/>
        <v>804</v>
      </c>
    </row>
    <row r="13" spans="2:32" ht="23.1" customHeight="1" x14ac:dyDescent="0.25">
      <c r="B13" s="45" t="s">
        <v>40</v>
      </c>
      <c r="C13" s="50">
        <v>32</v>
      </c>
      <c r="D13" s="50">
        <v>4</v>
      </c>
      <c r="E13" s="50">
        <v>14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57</v>
      </c>
      <c r="N13" s="50">
        <v>0</v>
      </c>
      <c r="O13" s="15">
        <f t="shared" si="0"/>
        <v>54</v>
      </c>
      <c r="P13" s="15">
        <f t="shared" si="1"/>
        <v>111</v>
      </c>
      <c r="R13" s="1" t="s">
        <v>9</v>
      </c>
      <c r="S13" s="17">
        <f t="shared" ref="S13:AF13" si="5">SUM(C22:C25)</f>
        <v>292</v>
      </c>
      <c r="T13" s="17">
        <f t="shared" si="5"/>
        <v>52</v>
      </c>
      <c r="U13" s="17">
        <f t="shared" si="5"/>
        <v>65</v>
      </c>
      <c r="V13" s="17">
        <f t="shared" si="5"/>
        <v>46</v>
      </c>
      <c r="W13" s="17">
        <f t="shared" si="5"/>
        <v>0</v>
      </c>
      <c r="X13" s="17">
        <f t="shared" si="5"/>
        <v>1</v>
      </c>
      <c r="Y13" s="17">
        <f t="shared" si="5"/>
        <v>23</v>
      </c>
      <c r="Z13" s="17">
        <f t="shared" si="5"/>
        <v>2</v>
      </c>
      <c r="AA13" s="17">
        <f t="shared" si="5"/>
        <v>0</v>
      </c>
      <c r="AB13" s="17">
        <f t="shared" si="5"/>
        <v>1</v>
      </c>
      <c r="AC13" s="17">
        <f t="shared" si="5"/>
        <v>401</v>
      </c>
      <c r="AD13" s="17">
        <f t="shared" si="5"/>
        <v>1</v>
      </c>
      <c r="AE13" s="31">
        <f t="shared" si="5"/>
        <v>483</v>
      </c>
      <c r="AF13" s="31">
        <f t="shared" si="5"/>
        <v>884</v>
      </c>
    </row>
    <row r="14" spans="2:32" ht="23.1" customHeight="1" x14ac:dyDescent="0.25">
      <c r="B14" s="45" t="s">
        <v>41</v>
      </c>
      <c r="C14" s="50">
        <v>32</v>
      </c>
      <c r="D14" s="50">
        <v>7</v>
      </c>
      <c r="E14" s="50">
        <v>12</v>
      </c>
      <c r="F14" s="50">
        <v>5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52</v>
      </c>
      <c r="N14" s="50">
        <v>0</v>
      </c>
      <c r="O14" s="15">
        <f t="shared" si="0"/>
        <v>58</v>
      </c>
      <c r="P14" s="15">
        <f t="shared" si="1"/>
        <v>110</v>
      </c>
      <c r="R14" s="1" t="s">
        <v>10</v>
      </c>
      <c r="S14" s="17">
        <f t="shared" ref="S14:AF14" si="6">SUM(C26:C29)</f>
        <v>226</v>
      </c>
      <c r="T14" s="17">
        <f t="shared" si="6"/>
        <v>64</v>
      </c>
      <c r="U14" s="17">
        <f t="shared" si="6"/>
        <v>42</v>
      </c>
      <c r="V14" s="17">
        <f t="shared" si="6"/>
        <v>65</v>
      </c>
      <c r="W14" s="17">
        <f t="shared" si="6"/>
        <v>2</v>
      </c>
      <c r="X14" s="17">
        <f t="shared" si="6"/>
        <v>0</v>
      </c>
      <c r="Y14" s="17">
        <f t="shared" si="6"/>
        <v>19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355</v>
      </c>
      <c r="AD14" s="17">
        <f t="shared" si="6"/>
        <v>0</v>
      </c>
      <c r="AE14" s="31">
        <f t="shared" si="6"/>
        <v>422</v>
      </c>
      <c r="AF14" s="31">
        <f t="shared" si="6"/>
        <v>777</v>
      </c>
    </row>
    <row r="15" spans="2:32" ht="23.1" customHeight="1" x14ac:dyDescent="0.25">
      <c r="B15" s="45" t="s">
        <v>42</v>
      </c>
      <c r="C15" s="50">
        <v>45</v>
      </c>
      <c r="D15" s="50">
        <v>6</v>
      </c>
      <c r="E15" s="50">
        <v>10</v>
      </c>
      <c r="F15" s="50">
        <v>8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50</v>
      </c>
      <c r="N15" s="50">
        <v>0</v>
      </c>
      <c r="O15" s="15">
        <f t="shared" si="0"/>
        <v>72</v>
      </c>
      <c r="P15" s="15">
        <f t="shared" si="1"/>
        <v>122</v>
      </c>
      <c r="R15" s="1" t="s">
        <v>11</v>
      </c>
      <c r="S15" s="17">
        <f t="shared" ref="S15:AF15" si="7">SUM(C30:C33)</f>
        <v>238</v>
      </c>
      <c r="T15" s="17">
        <f t="shared" si="7"/>
        <v>68</v>
      </c>
      <c r="U15" s="17">
        <f t="shared" si="7"/>
        <v>55</v>
      </c>
      <c r="V15" s="17">
        <f t="shared" si="7"/>
        <v>53</v>
      </c>
      <c r="W15" s="17">
        <f t="shared" si="7"/>
        <v>3</v>
      </c>
      <c r="X15" s="17">
        <f t="shared" si="7"/>
        <v>1</v>
      </c>
      <c r="Y15" s="17">
        <f t="shared" si="7"/>
        <v>35</v>
      </c>
      <c r="Z15" s="17">
        <f t="shared" si="7"/>
        <v>7</v>
      </c>
      <c r="AA15" s="17">
        <f t="shared" si="7"/>
        <v>0</v>
      </c>
      <c r="AB15" s="17">
        <f t="shared" si="7"/>
        <v>1</v>
      </c>
      <c r="AC15" s="17">
        <f t="shared" si="7"/>
        <v>364</v>
      </c>
      <c r="AD15" s="17">
        <f t="shared" si="7"/>
        <v>0</v>
      </c>
      <c r="AE15" s="31">
        <f t="shared" si="7"/>
        <v>461</v>
      </c>
      <c r="AF15" s="31">
        <f t="shared" si="7"/>
        <v>825</v>
      </c>
    </row>
    <row r="16" spans="2:32" ht="23.1" customHeight="1" x14ac:dyDescent="0.25">
      <c r="B16" s="45" t="s">
        <v>43</v>
      </c>
      <c r="C16" s="50">
        <v>49</v>
      </c>
      <c r="D16" s="50">
        <v>12</v>
      </c>
      <c r="E16" s="50">
        <v>8</v>
      </c>
      <c r="F16" s="50">
        <v>12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65</v>
      </c>
      <c r="N16" s="50">
        <v>0</v>
      </c>
      <c r="O16" s="15">
        <f t="shared" si="0"/>
        <v>84</v>
      </c>
      <c r="P16" s="15">
        <f t="shared" si="1"/>
        <v>149</v>
      </c>
      <c r="R16" s="1" t="s">
        <v>12</v>
      </c>
      <c r="S16" s="17">
        <f t="shared" ref="S16:AF16" si="8">SUM(C34:C37)</f>
        <v>310</v>
      </c>
      <c r="T16" s="17">
        <f t="shared" si="8"/>
        <v>83</v>
      </c>
      <c r="U16" s="17">
        <f t="shared" si="8"/>
        <v>48</v>
      </c>
      <c r="V16" s="17">
        <f t="shared" si="8"/>
        <v>63</v>
      </c>
      <c r="W16" s="17">
        <f t="shared" si="8"/>
        <v>3</v>
      </c>
      <c r="X16" s="17">
        <f t="shared" si="8"/>
        <v>0</v>
      </c>
      <c r="Y16" s="17">
        <f t="shared" si="8"/>
        <v>13</v>
      </c>
      <c r="Z16" s="17">
        <f t="shared" si="8"/>
        <v>3</v>
      </c>
      <c r="AA16" s="17">
        <f t="shared" si="8"/>
        <v>1</v>
      </c>
      <c r="AB16" s="17">
        <f t="shared" si="8"/>
        <v>2</v>
      </c>
      <c r="AC16" s="17">
        <f t="shared" si="8"/>
        <v>537</v>
      </c>
      <c r="AD16" s="17">
        <f t="shared" si="8"/>
        <v>0</v>
      </c>
      <c r="AE16" s="31">
        <f t="shared" si="8"/>
        <v>526</v>
      </c>
      <c r="AF16" s="31">
        <f t="shared" si="8"/>
        <v>1063</v>
      </c>
    </row>
    <row r="17" spans="2:32" ht="23.1" customHeight="1" x14ac:dyDescent="0.25">
      <c r="B17" s="45" t="s">
        <v>44</v>
      </c>
      <c r="C17" s="50">
        <v>49</v>
      </c>
      <c r="D17" s="50">
        <v>13</v>
      </c>
      <c r="E17" s="50">
        <v>17</v>
      </c>
      <c r="F17" s="50">
        <v>12</v>
      </c>
      <c r="G17" s="50">
        <v>0</v>
      </c>
      <c r="H17" s="50">
        <v>1</v>
      </c>
      <c r="I17" s="50">
        <v>7</v>
      </c>
      <c r="J17" s="50">
        <v>0</v>
      </c>
      <c r="K17" s="50">
        <v>0</v>
      </c>
      <c r="L17" s="50">
        <v>0</v>
      </c>
      <c r="M17" s="50">
        <v>82</v>
      </c>
      <c r="N17" s="50">
        <v>0</v>
      </c>
      <c r="O17" s="15">
        <f t="shared" si="0"/>
        <v>99</v>
      </c>
      <c r="P17" s="15">
        <f t="shared" si="1"/>
        <v>181</v>
      </c>
      <c r="R17" s="1" t="s">
        <v>13</v>
      </c>
      <c r="S17" s="17">
        <f t="shared" ref="S17:AF17" si="9">SUM(C38:C41)</f>
        <v>414</v>
      </c>
      <c r="T17" s="17">
        <f t="shared" si="9"/>
        <v>69</v>
      </c>
      <c r="U17" s="17">
        <f t="shared" si="9"/>
        <v>71</v>
      </c>
      <c r="V17" s="17">
        <f t="shared" si="9"/>
        <v>76</v>
      </c>
      <c r="W17" s="17">
        <f t="shared" si="9"/>
        <v>5</v>
      </c>
      <c r="X17" s="17">
        <f t="shared" si="9"/>
        <v>0</v>
      </c>
      <c r="Y17" s="17">
        <f t="shared" si="9"/>
        <v>21</v>
      </c>
      <c r="Z17" s="17">
        <f t="shared" si="9"/>
        <v>4</v>
      </c>
      <c r="AA17" s="17">
        <f t="shared" si="9"/>
        <v>2</v>
      </c>
      <c r="AB17" s="17">
        <f t="shared" si="9"/>
        <v>1</v>
      </c>
      <c r="AC17" s="17">
        <f t="shared" si="9"/>
        <v>462</v>
      </c>
      <c r="AD17" s="17">
        <f t="shared" si="9"/>
        <v>0</v>
      </c>
      <c r="AE17" s="31">
        <f t="shared" si="9"/>
        <v>663</v>
      </c>
      <c r="AF17" s="31">
        <f t="shared" si="9"/>
        <v>1125</v>
      </c>
    </row>
    <row r="18" spans="2:32" ht="23.1" customHeight="1" x14ac:dyDescent="0.25">
      <c r="B18" s="45" t="s">
        <v>45</v>
      </c>
      <c r="C18" s="50">
        <v>43</v>
      </c>
      <c r="D18" s="50">
        <v>25</v>
      </c>
      <c r="E18" s="50">
        <v>10</v>
      </c>
      <c r="F18" s="50">
        <v>41</v>
      </c>
      <c r="G18" s="50">
        <v>0</v>
      </c>
      <c r="H18" s="50">
        <v>0</v>
      </c>
      <c r="I18" s="50">
        <v>5</v>
      </c>
      <c r="J18" s="50">
        <v>3</v>
      </c>
      <c r="K18" s="50">
        <v>0</v>
      </c>
      <c r="L18" s="50">
        <v>0</v>
      </c>
      <c r="M18" s="50">
        <v>85</v>
      </c>
      <c r="N18" s="50">
        <v>0</v>
      </c>
      <c r="O18" s="15">
        <f t="shared" si="0"/>
        <v>127</v>
      </c>
      <c r="P18" s="15">
        <f t="shared" si="1"/>
        <v>212</v>
      </c>
      <c r="R18" s="1" t="s">
        <v>14</v>
      </c>
      <c r="S18" s="17">
        <f t="shared" ref="S18:AF18" si="10">SUM(C42:C45)</f>
        <v>377</v>
      </c>
      <c r="T18" s="17">
        <f t="shared" si="10"/>
        <v>88</v>
      </c>
      <c r="U18" s="17">
        <f t="shared" si="10"/>
        <v>39</v>
      </c>
      <c r="V18" s="17">
        <f t="shared" si="10"/>
        <v>75</v>
      </c>
      <c r="W18" s="17">
        <f t="shared" si="10"/>
        <v>4</v>
      </c>
      <c r="X18" s="17">
        <f t="shared" si="10"/>
        <v>1</v>
      </c>
      <c r="Y18" s="17">
        <f t="shared" si="10"/>
        <v>15</v>
      </c>
      <c r="Z18" s="17">
        <f t="shared" si="10"/>
        <v>2</v>
      </c>
      <c r="AA18" s="17">
        <f t="shared" si="10"/>
        <v>0</v>
      </c>
      <c r="AB18" s="17">
        <f t="shared" si="10"/>
        <v>1</v>
      </c>
      <c r="AC18" s="17">
        <f t="shared" si="10"/>
        <v>484</v>
      </c>
      <c r="AD18" s="17">
        <f t="shared" si="10"/>
        <v>0</v>
      </c>
      <c r="AE18" s="31">
        <f t="shared" si="10"/>
        <v>602</v>
      </c>
      <c r="AF18" s="31">
        <f t="shared" si="10"/>
        <v>1086</v>
      </c>
    </row>
    <row r="19" spans="2:32" ht="23.1" customHeight="1" x14ac:dyDescent="0.25">
      <c r="B19" s="45" t="s">
        <v>46</v>
      </c>
      <c r="C19" s="50">
        <v>72</v>
      </c>
      <c r="D19" s="50">
        <v>9</v>
      </c>
      <c r="E19" s="50">
        <v>21</v>
      </c>
      <c r="F19" s="50">
        <v>16</v>
      </c>
      <c r="G19" s="50">
        <v>1</v>
      </c>
      <c r="H19" s="50">
        <v>0</v>
      </c>
      <c r="I19" s="50">
        <v>4</v>
      </c>
      <c r="J19" s="50">
        <v>1</v>
      </c>
      <c r="K19" s="50">
        <v>0</v>
      </c>
      <c r="L19" s="50">
        <v>0</v>
      </c>
      <c r="M19" s="50">
        <v>107</v>
      </c>
      <c r="N19" s="50">
        <v>1</v>
      </c>
      <c r="O19" s="15">
        <f t="shared" si="0"/>
        <v>125</v>
      </c>
      <c r="P19" s="15">
        <f t="shared" si="1"/>
        <v>232</v>
      </c>
      <c r="R19" s="1" t="s">
        <v>15</v>
      </c>
      <c r="S19" s="17">
        <f t="shared" ref="S19:AF19" si="11">SUM(C46:C49)</f>
        <v>294</v>
      </c>
      <c r="T19" s="17">
        <f t="shared" si="11"/>
        <v>79</v>
      </c>
      <c r="U19" s="17">
        <f t="shared" si="11"/>
        <v>75</v>
      </c>
      <c r="V19" s="17">
        <f t="shared" si="11"/>
        <v>73</v>
      </c>
      <c r="W19" s="17">
        <f t="shared" si="11"/>
        <v>1</v>
      </c>
      <c r="X19" s="17">
        <f t="shared" si="11"/>
        <v>0</v>
      </c>
      <c r="Y19" s="17">
        <f t="shared" si="11"/>
        <v>11</v>
      </c>
      <c r="Z19" s="17">
        <f t="shared" si="11"/>
        <v>1</v>
      </c>
      <c r="AA19" s="17">
        <f t="shared" si="11"/>
        <v>2</v>
      </c>
      <c r="AB19" s="17">
        <f t="shared" si="11"/>
        <v>2</v>
      </c>
      <c r="AC19" s="17">
        <f t="shared" si="11"/>
        <v>424</v>
      </c>
      <c r="AD19" s="17">
        <f t="shared" si="11"/>
        <v>0</v>
      </c>
      <c r="AE19" s="31">
        <f t="shared" si="11"/>
        <v>538</v>
      </c>
      <c r="AF19" s="31">
        <f t="shared" si="11"/>
        <v>962</v>
      </c>
    </row>
    <row r="20" spans="2:32" ht="23.1" customHeight="1" x14ac:dyDescent="0.25">
      <c r="B20" s="45" t="s">
        <v>47</v>
      </c>
      <c r="C20" s="50">
        <v>54</v>
      </c>
      <c r="D20" s="50">
        <v>7</v>
      </c>
      <c r="E20" s="50">
        <v>17</v>
      </c>
      <c r="F20" s="50">
        <v>12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82</v>
      </c>
      <c r="N20" s="50">
        <v>0</v>
      </c>
      <c r="O20" s="15">
        <f t="shared" si="0"/>
        <v>91</v>
      </c>
      <c r="P20" s="15">
        <f t="shared" si="1"/>
        <v>173</v>
      </c>
      <c r="R20" s="1" t="s">
        <v>16</v>
      </c>
      <c r="S20" s="17">
        <f t="shared" ref="S20:AF20" si="12">SUM(C50:C53)</f>
        <v>286</v>
      </c>
      <c r="T20" s="17">
        <f t="shared" si="12"/>
        <v>62</v>
      </c>
      <c r="U20" s="17">
        <f t="shared" si="12"/>
        <v>54</v>
      </c>
      <c r="V20" s="17">
        <f t="shared" si="12"/>
        <v>49</v>
      </c>
      <c r="W20" s="17">
        <f t="shared" si="12"/>
        <v>1</v>
      </c>
      <c r="X20" s="17">
        <f t="shared" si="12"/>
        <v>0</v>
      </c>
      <c r="Y20" s="17">
        <f t="shared" si="12"/>
        <v>16</v>
      </c>
      <c r="Z20" s="17">
        <f t="shared" si="12"/>
        <v>3</v>
      </c>
      <c r="AA20" s="17">
        <f t="shared" si="12"/>
        <v>1</v>
      </c>
      <c r="AB20" s="17">
        <f t="shared" si="12"/>
        <v>1</v>
      </c>
      <c r="AC20" s="17">
        <f t="shared" si="12"/>
        <v>379</v>
      </c>
      <c r="AD20" s="17">
        <f t="shared" si="12"/>
        <v>0</v>
      </c>
      <c r="AE20" s="31">
        <f t="shared" si="12"/>
        <v>473</v>
      </c>
      <c r="AF20" s="31">
        <f t="shared" si="12"/>
        <v>852</v>
      </c>
    </row>
    <row r="21" spans="2:32" ht="23.1" customHeight="1" x14ac:dyDescent="0.25">
      <c r="B21" s="45" t="s">
        <v>48</v>
      </c>
      <c r="C21" s="50">
        <v>62</v>
      </c>
      <c r="D21" s="50">
        <v>13</v>
      </c>
      <c r="E21" s="50">
        <v>8</v>
      </c>
      <c r="F21" s="50">
        <v>9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94</v>
      </c>
      <c r="N21" s="50">
        <v>0</v>
      </c>
      <c r="O21" s="15">
        <f t="shared" si="0"/>
        <v>93</v>
      </c>
      <c r="P21" s="15">
        <f t="shared" si="1"/>
        <v>187</v>
      </c>
      <c r="R21" s="36" t="s">
        <v>20</v>
      </c>
      <c r="S21" s="34">
        <f t="shared" ref="S21:AF21" si="13">SUM(C54:C57)</f>
        <v>219</v>
      </c>
      <c r="T21" s="17">
        <f t="shared" si="13"/>
        <v>48</v>
      </c>
      <c r="U21" s="17">
        <f t="shared" si="13"/>
        <v>25</v>
      </c>
      <c r="V21" s="17">
        <f t="shared" si="13"/>
        <v>47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1</v>
      </c>
      <c r="AA21" s="17">
        <f t="shared" si="13"/>
        <v>0</v>
      </c>
      <c r="AB21" s="17">
        <f t="shared" si="13"/>
        <v>1</v>
      </c>
      <c r="AC21" s="17">
        <f t="shared" si="13"/>
        <v>326</v>
      </c>
      <c r="AD21" s="17">
        <f t="shared" si="13"/>
        <v>0</v>
      </c>
      <c r="AE21" s="31">
        <f t="shared" si="13"/>
        <v>350</v>
      </c>
      <c r="AF21" s="31">
        <f t="shared" si="13"/>
        <v>676</v>
      </c>
    </row>
    <row r="22" spans="2:32" ht="23.1" customHeight="1" x14ac:dyDescent="0.25">
      <c r="B22" s="45" t="s">
        <v>49</v>
      </c>
      <c r="C22" s="50">
        <v>67</v>
      </c>
      <c r="D22" s="50">
        <v>13</v>
      </c>
      <c r="E22" s="50">
        <v>21</v>
      </c>
      <c r="F22" s="50">
        <v>13</v>
      </c>
      <c r="G22" s="50">
        <v>0</v>
      </c>
      <c r="H22" s="50">
        <v>0</v>
      </c>
      <c r="I22" s="50">
        <v>5</v>
      </c>
      <c r="J22" s="50">
        <v>0</v>
      </c>
      <c r="K22" s="50">
        <v>0</v>
      </c>
      <c r="L22" s="50">
        <v>0</v>
      </c>
      <c r="M22" s="50">
        <v>105</v>
      </c>
      <c r="N22" s="50">
        <v>0</v>
      </c>
      <c r="O22" s="15">
        <f t="shared" si="0"/>
        <v>119</v>
      </c>
      <c r="P22" s="15">
        <f t="shared" si="1"/>
        <v>224</v>
      </c>
      <c r="R22" s="36" t="s">
        <v>146</v>
      </c>
      <c r="S22" s="34">
        <f>SUM(C58:C61)</f>
        <v>193</v>
      </c>
      <c r="T22" s="34">
        <f t="shared" ref="T22:AF22" si="14">SUM(D58:D61)</f>
        <v>33</v>
      </c>
      <c r="U22" s="34">
        <f t="shared" si="14"/>
        <v>46</v>
      </c>
      <c r="V22" s="34">
        <f t="shared" si="14"/>
        <v>29</v>
      </c>
      <c r="W22" s="34">
        <f t="shared" si="14"/>
        <v>1</v>
      </c>
      <c r="X22" s="34">
        <f t="shared" si="14"/>
        <v>0</v>
      </c>
      <c r="Y22" s="34">
        <f t="shared" si="14"/>
        <v>19</v>
      </c>
      <c r="Z22" s="34">
        <f t="shared" si="14"/>
        <v>1</v>
      </c>
      <c r="AA22" s="34">
        <f t="shared" si="14"/>
        <v>0</v>
      </c>
      <c r="AB22" s="34">
        <f t="shared" si="14"/>
        <v>1</v>
      </c>
      <c r="AC22" s="34">
        <f t="shared" si="14"/>
        <v>257</v>
      </c>
      <c r="AD22" s="34">
        <f t="shared" si="14"/>
        <v>0</v>
      </c>
      <c r="AE22" s="31">
        <f t="shared" si="14"/>
        <v>323</v>
      </c>
      <c r="AF22" s="31">
        <f t="shared" si="14"/>
        <v>580</v>
      </c>
    </row>
    <row r="23" spans="2:32" ht="23.1" customHeight="1" x14ac:dyDescent="0.25">
      <c r="B23" s="45" t="s">
        <v>50</v>
      </c>
      <c r="C23" s="50">
        <v>72</v>
      </c>
      <c r="D23" s="50">
        <v>18</v>
      </c>
      <c r="E23" s="50">
        <v>27</v>
      </c>
      <c r="F23" s="50">
        <v>9</v>
      </c>
      <c r="G23" s="50">
        <v>0</v>
      </c>
      <c r="H23" s="50">
        <v>0</v>
      </c>
      <c r="I23" s="50">
        <v>8</v>
      </c>
      <c r="J23" s="50">
        <v>1</v>
      </c>
      <c r="K23" s="50">
        <v>0</v>
      </c>
      <c r="L23" s="50">
        <v>0</v>
      </c>
      <c r="M23" s="50">
        <v>116</v>
      </c>
      <c r="N23" s="50">
        <v>0</v>
      </c>
      <c r="O23" s="15">
        <f t="shared" si="0"/>
        <v>135</v>
      </c>
      <c r="P23" s="15">
        <f t="shared" si="1"/>
        <v>251</v>
      </c>
      <c r="R23" s="36" t="s">
        <v>147</v>
      </c>
      <c r="S23" s="34">
        <f>SUM(C62:C65)</f>
        <v>179</v>
      </c>
      <c r="T23" s="34">
        <f t="shared" ref="T23:AF23" si="15">SUM(D62:D65)</f>
        <v>48</v>
      </c>
      <c r="U23" s="34">
        <f t="shared" si="15"/>
        <v>38</v>
      </c>
      <c r="V23" s="34">
        <f t="shared" si="15"/>
        <v>50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4</v>
      </c>
      <c r="AA23" s="34">
        <f t="shared" si="15"/>
        <v>1</v>
      </c>
      <c r="AB23" s="34">
        <f t="shared" si="15"/>
        <v>0</v>
      </c>
      <c r="AC23" s="34">
        <f t="shared" si="15"/>
        <v>219</v>
      </c>
      <c r="AD23" s="34">
        <f t="shared" si="15"/>
        <v>0</v>
      </c>
      <c r="AE23" s="31">
        <f t="shared" si="15"/>
        <v>324</v>
      </c>
      <c r="AF23" s="31">
        <f t="shared" si="15"/>
        <v>543</v>
      </c>
    </row>
    <row r="24" spans="2:32" ht="23.1" customHeight="1" x14ac:dyDescent="0.25">
      <c r="B24" s="45" t="s">
        <v>51</v>
      </c>
      <c r="C24" s="50">
        <v>68</v>
      </c>
      <c r="D24" s="50">
        <v>12</v>
      </c>
      <c r="E24" s="50">
        <v>9</v>
      </c>
      <c r="F24" s="50">
        <v>16</v>
      </c>
      <c r="G24" s="50">
        <v>0</v>
      </c>
      <c r="H24" s="50">
        <v>0</v>
      </c>
      <c r="I24" s="50">
        <v>5</v>
      </c>
      <c r="J24" s="50">
        <v>0</v>
      </c>
      <c r="K24" s="50">
        <v>0</v>
      </c>
      <c r="L24" s="50">
        <v>1</v>
      </c>
      <c r="M24" s="50">
        <v>86</v>
      </c>
      <c r="N24" s="50">
        <v>1</v>
      </c>
      <c r="O24" s="15">
        <f t="shared" si="0"/>
        <v>112</v>
      </c>
      <c r="P24" s="15">
        <f t="shared" si="1"/>
        <v>198</v>
      </c>
      <c r="R24" s="36" t="s">
        <v>148</v>
      </c>
      <c r="S24" s="34">
        <f>SUM(C66:C69)</f>
        <v>197</v>
      </c>
      <c r="T24" s="34">
        <f t="shared" ref="T24:AF24" si="16">SUM(D66:D69)</f>
        <v>39</v>
      </c>
      <c r="U24" s="34">
        <f t="shared" si="16"/>
        <v>21</v>
      </c>
      <c r="V24" s="34">
        <f t="shared" si="16"/>
        <v>41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2</v>
      </c>
      <c r="AA24" s="34">
        <f t="shared" si="16"/>
        <v>2</v>
      </c>
      <c r="AB24" s="34">
        <f t="shared" si="16"/>
        <v>0</v>
      </c>
      <c r="AC24" s="34">
        <f t="shared" si="16"/>
        <v>205</v>
      </c>
      <c r="AD24" s="34">
        <f t="shared" si="16"/>
        <v>0</v>
      </c>
      <c r="AE24" s="31">
        <f t="shared" si="16"/>
        <v>306</v>
      </c>
      <c r="AF24" s="31">
        <f t="shared" si="16"/>
        <v>511</v>
      </c>
    </row>
    <row r="25" spans="2:32" ht="23.1" customHeight="1" x14ac:dyDescent="0.25">
      <c r="B25" s="45" t="s">
        <v>52</v>
      </c>
      <c r="C25" s="50">
        <v>85</v>
      </c>
      <c r="D25" s="50">
        <v>9</v>
      </c>
      <c r="E25" s="50">
        <v>8</v>
      </c>
      <c r="F25" s="50">
        <v>8</v>
      </c>
      <c r="G25" s="50">
        <v>0</v>
      </c>
      <c r="H25" s="50">
        <v>1</v>
      </c>
      <c r="I25" s="50">
        <v>5</v>
      </c>
      <c r="J25" s="50">
        <v>1</v>
      </c>
      <c r="K25" s="50">
        <v>0</v>
      </c>
      <c r="L25" s="50">
        <v>0</v>
      </c>
      <c r="M25" s="50">
        <v>94</v>
      </c>
      <c r="N25" s="50">
        <v>0</v>
      </c>
      <c r="O25" s="15">
        <f t="shared" si="0"/>
        <v>117</v>
      </c>
      <c r="P25" s="15">
        <f t="shared" si="1"/>
        <v>211</v>
      </c>
      <c r="R25" s="36" t="s">
        <v>149</v>
      </c>
      <c r="S25" s="34">
        <f>SUM(C70:C73)</f>
        <v>156</v>
      </c>
      <c r="T25" s="34">
        <f t="shared" ref="T25:AF25" si="17">SUM(D70:D73)</f>
        <v>37</v>
      </c>
      <c r="U25" s="34">
        <f t="shared" si="17"/>
        <v>46</v>
      </c>
      <c r="V25" s="34">
        <f t="shared" si="17"/>
        <v>41</v>
      </c>
      <c r="W25" s="34">
        <f t="shared" si="17"/>
        <v>1</v>
      </c>
      <c r="X25" s="34">
        <f t="shared" si="17"/>
        <v>0</v>
      </c>
      <c r="Y25" s="34">
        <f t="shared" si="17"/>
        <v>3</v>
      </c>
      <c r="Z25" s="34">
        <f t="shared" si="17"/>
        <v>3</v>
      </c>
      <c r="AA25" s="34">
        <f t="shared" si="17"/>
        <v>1</v>
      </c>
      <c r="AB25" s="34">
        <f t="shared" si="17"/>
        <v>0</v>
      </c>
      <c r="AC25" s="34">
        <f t="shared" si="17"/>
        <v>208</v>
      </c>
      <c r="AD25" s="34">
        <f t="shared" si="17"/>
        <v>0</v>
      </c>
      <c r="AE25" s="31">
        <f t="shared" si="17"/>
        <v>288</v>
      </c>
      <c r="AF25" s="31">
        <f t="shared" si="17"/>
        <v>496</v>
      </c>
    </row>
    <row r="26" spans="2:32" ht="23.1" customHeight="1" x14ac:dyDescent="0.25">
      <c r="B26" s="45" t="s">
        <v>53</v>
      </c>
      <c r="C26" s="50">
        <v>52</v>
      </c>
      <c r="D26" s="50">
        <v>15</v>
      </c>
      <c r="E26" s="50">
        <v>7</v>
      </c>
      <c r="F26" s="50">
        <v>18</v>
      </c>
      <c r="G26" s="50">
        <v>0</v>
      </c>
      <c r="H26" s="50">
        <v>0</v>
      </c>
      <c r="I26" s="50">
        <v>5</v>
      </c>
      <c r="J26" s="50">
        <v>1</v>
      </c>
      <c r="K26" s="50">
        <v>0</v>
      </c>
      <c r="L26" s="50">
        <v>0</v>
      </c>
      <c r="M26" s="50">
        <v>84</v>
      </c>
      <c r="N26" s="50">
        <v>0</v>
      </c>
      <c r="O26" s="15">
        <f t="shared" si="0"/>
        <v>98</v>
      </c>
      <c r="P26" s="15">
        <f t="shared" si="1"/>
        <v>182</v>
      </c>
      <c r="R26" s="36" t="s">
        <v>150</v>
      </c>
      <c r="S26" s="34">
        <f>SUM(C74:C77)</f>
        <v>149</v>
      </c>
      <c r="T26" s="34">
        <f t="shared" ref="T26:AF26" si="18">SUM(D74:D77)</f>
        <v>26</v>
      </c>
      <c r="U26" s="34">
        <f t="shared" si="18"/>
        <v>32</v>
      </c>
      <c r="V26" s="34">
        <f t="shared" si="18"/>
        <v>8</v>
      </c>
      <c r="W26" s="34">
        <f t="shared" si="18"/>
        <v>1</v>
      </c>
      <c r="X26" s="34">
        <f t="shared" si="18"/>
        <v>0</v>
      </c>
      <c r="Y26" s="34">
        <f t="shared" si="18"/>
        <v>2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157</v>
      </c>
      <c r="AD26" s="34">
        <f t="shared" si="18"/>
        <v>0</v>
      </c>
      <c r="AE26" s="31">
        <f t="shared" si="18"/>
        <v>219</v>
      </c>
      <c r="AF26" s="31">
        <f t="shared" si="18"/>
        <v>376</v>
      </c>
    </row>
    <row r="27" spans="2:32" ht="23.1" customHeight="1" x14ac:dyDescent="0.25">
      <c r="B27" s="45" t="s">
        <v>54</v>
      </c>
      <c r="C27" s="50">
        <v>57</v>
      </c>
      <c r="D27" s="50">
        <v>16</v>
      </c>
      <c r="E27" s="50">
        <v>14</v>
      </c>
      <c r="F27" s="50">
        <v>16</v>
      </c>
      <c r="G27" s="50">
        <v>1</v>
      </c>
      <c r="H27" s="50">
        <v>0</v>
      </c>
      <c r="I27" s="50">
        <v>4</v>
      </c>
      <c r="J27" s="50">
        <v>1</v>
      </c>
      <c r="K27" s="50">
        <v>0</v>
      </c>
      <c r="L27" s="50">
        <v>0</v>
      </c>
      <c r="M27" s="50">
        <v>93</v>
      </c>
      <c r="N27" s="50">
        <v>0</v>
      </c>
      <c r="O27" s="15">
        <f t="shared" si="0"/>
        <v>109</v>
      </c>
      <c r="P27" s="15">
        <f t="shared" si="1"/>
        <v>202</v>
      </c>
      <c r="R27" s="36" t="s">
        <v>151</v>
      </c>
      <c r="S27" s="34">
        <f>SUM(C78:C81)</f>
        <v>119</v>
      </c>
      <c r="T27" s="34">
        <f t="shared" ref="T27:AF27" si="19">SUM(D78:D81)</f>
        <v>17</v>
      </c>
      <c r="U27" s="34">
        <f t="shared" si="19"/>
        <v>2</v>
      </c>
      <c r="V27" s="34">
        <f t="shared" si="19"/>
        <v>5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108</v>
      </c>
      <c r="AD27" s="34">
        <f t="shared" si="19"/>
        <v>0</v>
      </c>
      <c r="AE27" s="31">
        <f t="shared" si="19"/>
        <v>145</v>
      </c>
      <c r="AF27" s="31">
        <f t="shared" si="19"/>
        <v>253</v>
      </c>
    </row>
    <row r="28" spans="2:32" ht="23.1" customHeight="1" x14ac:dyDescent="0.25">
      <c r="B28" s="45" t="s">
        <v>55</v>
      </c>
      <c r="C28" s="50">
        <v>49</v>
      </c>
      <c r="D28" s="50">
        <v>15</v>
      </c>
      <c r="E28" s="50">
        <v>8</v>
      </c>
      <c r="F28" s="50">
        <v>13</v>
      </c>
      <c r="G28" s="50">
        <v>0</v>
      </c>
      <c r="H28" s="50">
        <v>0</v>
      </c>
      <c r="I28" s="50">
        <v>9</v>
      </c>
      <c r="J28" s="50">
        <v>1</v>
      </c>
      <c r="K28" s="50">
        <v>0</v>
      </c>
      <c r="L28" s="50">
        <v>0</v>
      </c>
      <c r="M28" s="50">
        <v>83</v>
      </c>
      <c r="N28" s="50">
        <v>0</v>
      </c>
      <c r="O28" s="15">
        <f t="shared" si="0"/>
        <v>95</v>
      </c>
      <c r="P28" s="15">
        <f t="shared" si="1"/>
        <v>178</v>
      </c>
      <c r="R28" s="36" t="s">
        <v>152</v>
      </c>
      <c r="S28" s="34">
        <f>SUM(C82:C85)</f>
        <v>80</v>
      </c>
      <c r="T28" s="34">
        <f t="shared" ref="T28:AF28" si="20">SUM(D82:D85)</f>
        <v>11</v>
      </c>
      <c r="U28" s="34">
        <f t="shared" si="20"/>
        <v>6</v>
      </c>
      <c r="V28" s="34">
        <f t="shared" si="20"/>
        <v>3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1</v>
      </c>
      <c r="AB28" s="34">
        <f t="shared" si="20"/>
        <v>0</v>
      </c>
      <c r="AC28" s="34">
        <f t="shared" si="20"/>
        <v>80</v>
      </c>
      <c r="AD28" s="34">
        <f t="shared" si="20"/>
        <v>0</v>
      </c>
      <c r="AE28" s="31">
        <f t="shared" si="20"/>
        <v>102</v>
      </c>
      <c r="AF28" s="31">
        <f t="shared" si="20"/>
        <v>182</v>
      </c>
    </row>
    <row r="29" spans="2:32" ht="23.1" customHeight="1" x14ac:dyDescent="0.25">
      <c r="B29" s="45" t="s">
        <v>56</v>
      </c>
      <c r="C29" s="50">
        <v>68</v>
      </c>
      <c r="D29" s="50">
        <v>18</v>
      </c>
      <c r="E29" s="50">
        <v>13</v>
      </c>
      <c r="F29" s="50">
        <v>18</v>
      </c>
      <c r="G29" s="50">
        <v>1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95</v>
      </c>
      <c r="N29" s="50">
        <v>0</v>
      </c>
      <c r="O29" s="15">
        <f t="shared" si="0"/>
        <v>120</v>
      </c>
      <c r="P29" s="15">
        <f t="shared" si="1"/>
        <v>215</v>
      </c>
      <c r="R29" s="36" t="s">
        <v>153</v>
      </c>
      <c r="S29" s="34">
        <f>SUM(C86:C89)</f>
        <v>51</v>
      </c>
      <c r="T29" s="34">
        <f t="shared" ref="T29:AF29" si="21">SUM(D86:D89)</f>
        <v>10</v>
      </c>
      <c r="U29" s="34">
        <f t="shared" si="21"/>
        <v>4</v>
      </c>
      <c r="V29" s="34">
        <f t="shared" si="21"/>
        <v>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1</v>
      </c>
      <c r="AB29" s="34">
        <f t="shared" si="21"/>
        <v>0</v>
      </c>
      <c r="AC29" s="34">
        <f t="shared" si="21"/>
        <v>66</v>
      </c>
      <c r="AD29" s="34">
        <f t="shared" si="21"/>
        <v>0</v>
      </c>
      <c r="AE29" s="31">
        <f t="shared" si="21"/>
        <v>72</v>
      </c>
      <c r="AF29" s="31">
        <f t="shared" si="21"/>
        <v>138</v>
      </c>
    </row>
    <row r="30" spans="2:32" ht="23.1" customHeight="1" x14ac:dyDescent="0.25">
      <c r="B30" s="45" t="s">
        <v>57</v>
      </c>
      <c r="C30" s="50">
        <v>70</v>
      </c>
      <c r="D30" s="50">
        <v>20</v>
      </c>
      <c r="E30" s="50">
        <v>11</v>
      </c>
      <c r="F30" s="50">
        <v>9</v>
      </c>
      <c r="G30" s="50">
        <v>1</v>
      </c>
      <c r="H30" s="50">
        <v>0</v>
      </c>
      <c r="I30" s="50">
        <v>13</v>
      </c>
      <c r="J30" s="50">
        <v>3</v>
      </c>
      <c r="K30" s="50">
        <v>0</v>
      </c>
      <c r="L30" s="50">
        <v>0</v>
      </c>
      <c r="M30" s="50">
        <v>99</v>
      </c>
      <c r="N30" s="50">
        <v>0</v>
      </c>
      <c r="O30" s="15">
        <f t="shared" si="0"/>
        <v>127</v>
      </c>
      <c r="P30" s="15">
        <f t="shared" si="1"/>
        <v>226</v>
      </c>
      <c r="R30" s="36" t="s">
        <v>154</v>
      </c>
      <c r="S30" s="34">
        <f>SUM(C90:C93)</f>
        <v>53</v>
      </c>
      <c r="T30" s="34">
        <f t="shared" ref="T30:AF30" si="22">SUM(D90:D93)</f>
        <v>4</v>
      </c>
      <c r="U30" s="34">
        <f t="shared" si="22"/>
        <v>3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61</v>
      </c>
      <c r="AD30" s="34">
        <f t="shared" si="22"/>
        <v>0</v>
      </c>
      <c r="AE30" s="31">
        <f t="shared" si="22"/>
        <v>61</v>
      </c>
      <c r="AF30" s="31">
        <f t="shared" si="22"/>
        <v>122</v>
      </c>
    </row>
    <row r="31" spans="2:32" ht="23.1" customHeight="1" x14ac:dyDescent="0.25">
      <c r="B31" s="46" t="s">
        <v>58</v>
      </c>
      <c r="C31" s="50">
        <v>35</v>
      </c>
      <c r="D31" s="50">
        <v>17</v>
      </c>
      <c r="E31" s="50">
        <v>23</v>
      </c>
      <c r="F31" s="50">
        <v>13</v>
      </c>
      <c r="G31" s="50">
        <v>0</v>
      </c>
      <c r="H31" s="50">
        <v>1</v>
      </c>
      <c r="I31" s="50">
        <v>5</v>
      </c>
      <c r="J31" s="50">
        <v>0</v>
      </c>
      <c r="K31" s="50">
        <v>0</v>
      </c>
      <c r="L31" s="50">
        <v>0</v>
      </c>
      <c r="M31" s="50">
        <v>77</v>
      </c>
      <c r="N31" s="50">
        <v>0</v>
      </c>
      <c r="O31" s="15">
        <f t="shared" si="0"/>
        <v>94</v>
      </c>
      <c r="P31" s="15">
        <f t="shared" si="1"/>
        <v>171</v>
      </c>
      <c r="R31" s="36" t="s">
        <v>155</v>
      </c>
      <c r="S31" s="34">
        <f>SUM(C94:C97)</f>
        <v>57</v>
      </c>
      <c r="T31" s="34">
        <f t="shared" ref="T31:AF31" si="23">SUM(D94:D97)</f>
        <v>14</v>
      </c>
      <c r="U31" s="34">
        <f t="shared" si="23"/>
        <v>13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96</v>
      </c>
      <c r="AD31" s="34">
        <f t="shared" si="23"/>
        <v>0</v>
      </c>
      <c r="AE31" s="31">
        <f t="shared" si="23"/>
        <v>85</v>
      </c>
      <c r="AF31" s="31">
        <f t="shared" si="23"/>
        <v>181</v>
      </c>
    </row>
    <row r="32" spans="2:32" ht="23.1" customHeight="1" x14ac:dyDescent="0.25">
      <c r="B32" s="46" t="s">
        <v>59</v>
      </c>
      <c r="C32" s="50">
        <v>69</v>
      </c>
      <c r="D32" s="50">
        <v>18</v>
      </c>
      <c r="E32" s="50">
        <v>9</v>
      </c>
      <c r="F32" s="50">
        <v>13</v>
      </c>
      <c r="G32" s="50">
        <v>1</v>
      </c>
      <c r="H32" s="50">
        <v>0</v>
      </c>
      <c r="I32" s="50">
        <v>7</v>
      </c>
      <c r="J32" s="50">
        <v>3</v>
      </c>
      <c r="K32" s="50">
        <v>0</v>
      </c>
      <c r="L32" s="50">
        <v>0</v>
      </c>
      <c r="M32" s="50">
        <v>96</v>
      </c>
      <c r="N32" s="50">
        <v>0</v>
      </c>
      <c r="O32" s="15">
        <f t="shared" si="0"/>
        <v>120</v>
      </c>
      <c r="P32" s="15">
        <f t="shared" si="1"/>
        <v>216</v>
      </c>
      <c r="R32" s="33" t="s">
        <v>156</v>
      </c>
      <c r="S32" s="34">
        <f>SUM(C98:C101)</f>
        <v>51</v>
      </c>
      <c r="T32" s="34">
        <f t="shared" ref="T32:AF32" si="24">SUM(D98:D101)</f>
        <v>4</v>
      </c>
      <c r="U32" s="34">
        <f t="shared" si="24"/>
        <v>1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65</v>
      </c>
      <c r="AD32" s="34">
        <f t="shared" si="24"/>
        <v>0</v>
      </c>
      <c r="AE32" s="31">
        <f t="shared" si="24"/>
        <v>58</v>
      </c>
      <c r="AF32" s="31">
        <f t="shared" si="24"/>
        <v>123</v>
      </c>
    </row>
    <row r="33" spans="2:32" ht="23.1" customHeight="1" x14ac:dyDescent="0.25">
      <c r="B33" s="45" t="s">
        <v>60</v>
      </c>
      <c r="C33" s="50">
        <v>64</v>
      </c>
      <c r="D33" s="50">
        <v>13</v>
      </c>
      <c r="E33" s="50">
        <v>12</v>
      </c>
      <c r="F33" s="50">
        <v>18</v>
      </c>
      <c r="G33" s="50">
        <v>1</v>
      </c>
      <c r="H33" s="50">
        <v>0</v>
      </c>
      <c r="I33" s="50">
        <v>10</v>
      </c>
      <c r="J33" s="50">
        <v>1</v>
      </c>
      <c r="K33" s="50">
        <v>0</v>
      </c>
      <c r="L33" s="50">
        <v>1</v>
      </c>
      <c r="M33" s="50">
        <v>92</v>
      </c>
      <c r="N33" s="50">
        <v>0</v>
      </c>
      <c r="O33" s="15">
        <f t="shared" si="0"/>
        <v>120</v>
      </c>
      <c r="P33" s="15">
        <f t="shared" si="1"/>
        <v>212</v>
      </c>
      <c r="R33" s="33" t="s">
        <v>157</v>
      </c>
      <c r="S33" s="34">
        <f>SUM(C102:C105)</f>
        <v>110</v>
      </c>
      <c r="T33" s="34">
        <f t="shared" ref="T33:AF33" si="25">SUM(D102:D105)</f>
        <v>5</v>
      </c>
      <c r="U33" s="34">
        <f t="shared" si="25"/>
        <v>5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110</v>
      </c>
      <c r="AD33" s="34">
        <f t="shared" si="25"/>
        <v>0</v>
      </c>
      <c r="AE33" s="31">
        <f t="shared" si="25"/>
        <v>123</v>
      </c>
      <c r="AF33" s="31">
        <f t="shared" si="25"/>
        <v>233</v>
      </c>
    </row>
    <row r="34" spans="2:32" ht="23.1" customHeight="1" x14ac:dyDescent="0.25">
      <c r="B34" s="46" t="s">
        <v>61</v>
      </c>
      <c r="C34" s="50">
        <v>91</v>
      </c>
      <c r="D34" s="50">
        <v>12</v>
      </c>
      <c r="E34" s="50">
        <v>16</v>
      </c>
      <c r="F34" s="50">
        <v>17</v>
      </c>
      <c r="G34" s="50">
        <v>1</v>
      </c>
      <c r="H34" s="50">
        <v>0</v>
      </c>
      <c r="I34" s="50">
        <v>4</v>
      </c>
      <c r="J34" s="50">
        <v>0</v>
      </c>
      <c r="K34" s="50">
        <v>0</v>
      </c>
      <c r="L34" s="50">
        <v>0</v>
      </c>
      <c r="M34" s="50">
        <v>128</v>
      </c>
      <c r="N34" s="50">
        <v>0</v>
      </c>
      <c r="O34" s="15">
        <f t="shared" si="0"/>
        <v>141</v>
      </c>
      <c r="P34" s="15">
        <f t="shared" si="1"/>
        <v>269</v>
      </c>
      <c r="R34" s="38" t="s">
        <v>90</v>
      </c>
      <c r="S34" s="39">
        <f t="shared" ref="S34:AF34" si="26">MAX(S10:S12)</f>
        <v>231</v>
      </c>
      <c r="T34" s="39">
        <f t="shared" si="26"/>
        <v>54</v>
      </c>
      <c r="U34" s="39">
        <f t="shared" si="26"/>
        <v>56</v>
      </c>
      <c r="V34" s="39">
        <f t="shared" si="26"/>
        <v>78</v>
      </c>
      <c r="W34" s="39">
        <f t="shared" si="26"/>
        <v>2</v>
      </c>
      <c r="X34" s="39">
        <f t="shared" si="26"/>
        <v>1</v>
      </c>
      <c r="Y34" s="39">
        <f t="shared" si="26"/>
        <v>14</v>
      </c>
      <c r="Z34" s="39">
        <f t="shared" si="26"/>
        <v>4</v>
      </c>
      <c r="AA34" s="39">
        <f t="shared" si="26"/>
        <v>0</v>
      </c>
      <c r="AB34" s="39">
        <f t="shared" si="26"/>
        <v>0</v>
      </c>
      <c r="AC34" s="39">
        <f t="shared" si="26"/>
        <v>368</v>
      </c>
      <c r="AD34" s="39">
        <f t="shared" si="26"/>
        <v>1</v>
      </c>
      <c r="AE34" s="40">
        <f t="shared" si="26"/>
        <v>436</v>
      </c>
      <c r="AF34" s="40">
        <f t="shared" si="26"/>
        <v>804</v>
      </c>
    </row>
    <row r="35" spans="2:32" ht="23.1" customHeight="1" x14ac:dyDescent="0.25">
      <c r="B35" s="46" t="s">
        <v>62</v>
      </c>
      <c r="C35" s="50">
        <v>45</v>
      </c>
      <c r="D35" s="50">
        <v>19</v>
      </c>
      <c r="E35" s="50">
        <v>12</v>
      </c>
      <c r="F35" s="50">
        <v>11</v>
      </c>
      <c r="G35" s="50">
        <v>1</v>
      </c>
      <c r="H35" s="50">
        <v>0</v>
      </c>
      <c r="I35" s="50">
        <v>3</v>
      </c>
      <c r="J35" s="50">
        <v>1</v>
      </c>
      <c r="K35" s="50">
        <v>0</v>
      </c>
      <c r="L35" s="50">
        <v>1</v>
      </c>
      <c r="M35" s="50">
        <v>157</v>
      </c>
      <c r="N35" s="50">
        <v>0</v>
      </c>
      <c r="O35" s="15">
        <f t="shared" si="0"/>
        <v>93</v>
      </c>
      <c r="P35" s="15">
        <f t="shared" si="1"/>
        <v>250</v>
      </c>
      <c r="R35" s="38" t="s">
        <v>91</v>
      </c>
      <c r="S35" s="39">
        <f t="shared" ref="S35:AF35" si="27">MAX(S13:S18)</f>
        <v>414</v>
      </c>
      <c r="T35" s="39">
        <f t="shared" si="27"/>
        <v>88</v>
      </c>
      <c r="U35" s="39">
        <f t="shared" si="27"/>
        <v>71</v>
      </c>
      <c r="V35" s="39">
        <f t="shared" si="27"/>
        <v>76</v>
      </c>
      <c r="W35" s="39">
        <f t="shared" si="27"/>
        <v>5</v>
      </c>
      <c r="X35" s="39">
        <f t="shared" si="27"/>
        <v>1</v>
      </c>
      <c r="Y35" s="39">
        <f t="shared" si="27"/>
        <v>35</v>
      </c>
      <c r="Z35" s="39">
        <f t="shared" si="27"/>
        <v>7</v>
      </c>
      <c r="AA35" s="39">
        <f t="shared" si="27"/>
        <v>2</v>
      </c>
      <c r="AB35" s="39">
        <f t="shared" si="27"/>
        <v>2</v>
      </c>
      <c r="AC35" s="39">
        <f t="shared" si="27"/>
        <v>537</v>
      </c>
      <c r="AD35" s="39">
        <f t="shared" si="27"/>
        <v>1</v>
      </c>
      <c r="AE35" s="40">
        <f t="shared" si="27"/>
        <v>663</v>
      </c>
      <c r="AF35" s="40">
        <f t="shared" si="27"/>
        <v>1125</v>
      </c>
    </row>
    <row r="36" spans="2:32" ht="23.1" customHeight="1" x14ac:dyDescent="0.25">
      <c r="B36" s="46" t="s">
        <v>63</v>
      </c>
      <c r="C36" s="50">
        <v>93</v>
      </c>
      <c r="D36" s="50">
        <v>22</v>
      </c>
      <c r="E36" s="50">
        <v>11</v>
      </c>
      <c r="F36" s="50">
        <v>16</v>
      </c>
      <c r="G36" s="50">
        <v>1</v>
      </c>
      <c r="H36" s="50">
        <v>0</v>
      </c>
      <c r="I36" s="50">
        <v>2</v>
      </c>
      <c r="J36" s="50">
        <v>2</v>
      </c>
      <c r="K36" s="50">
        <v>0</v>
      </c>
      <c r="L36" s="50">
        <v>1</v>
      </c>
      <c r="M36" s="50">
        <v>143</v>
      </c>
      <c r="N36" s="50">
        <v>0</v>
      </c>
      <c r="O36" s="15">
        <f t="shared" si="0"/>
        <v>148</v>
      </c>
      <c r="P36" s="15">
        <f t="shared" si="1"/>
        <v>291</v>
      </c>
      <c r="R36" s="38" t="s">
        <v>92</v>
      </c>
      <c r="S36" s="39">
        <f t="shared" ref="S36:AF36" si="28">MAX(S19:S21)</f>
        <v>294</v>
      </c>
      <c r="T36" s="39">
        <f t="shared" si="28"/>
        <v>79</v>
      </c>
      <c r="U36" s="39">
        <f t="shared" si="28"/>
        <v>75</v>
      </c>
      <c r="V36" s="39">
        <f t="shared" si="28"/>
        <v>73</v>
      </c>
      <c r="W36" s="39">
        <f t="shared" si="28"/>
        <v>1</v>
      </c>
      <c r="X36" s="39">
        <f t="shared" si="28"/>
        <v>0</v>
      </c>
      <c r="Y36" s="39">
        <f t="shared" si="28"/>
        <v>16</v>
      </c>
      <c r="Z36" s="39">
        <f t="shared" si="28"/>
        <v>3</v>
      </c>
      <c r="AA36" s="39">
        <f t="shared" si="28"/>
        <v>2</v>
      </c>
      <c r="AB36" s="39">
        <f t="shared" si="28"/>
        <v>2</v>
      </c>
      <c r="AC36" s="39">
        <f t="shared" si="28"/>
        <v>424</v>
      </c>
      <c r="AD36" s="39">
        <f t="shared" si="28"/>
        <v>0</v>
      </c>
      <c r="AE36" s="40">
        <f t="shared" si="28"/>
        <v>538</v>
      </c>
      <c r="AF36" s="40">
        <f t="shared" si="28"/>
        <v>962</v>
      </c>
    </row>
    <row r="37" spans="2:32" ht="23.1" customHeight="1" x14ac:dyDescent="0.25">
      <c r="B37" s="45" t="s">
        <v>64</v>
      </c>
      <c r="C37" s="50">
        <v>81</v>
      </c>
      <c r="D37" s="50">
        <v>30</v>
      </c>
      <c r="E37" s="50">
        <v>9</v>
      </c>
      <c r="F37" s="50">
        <v>19</v>
      </c>
      <c r="G37" s="50">
        <v>0</v>
      </c>
      <c r="H37" s="50">
        <v>0</v>
      </c>
      <c r="I37" s="50">
        <v>4</v>
      </c>
      <c r="J37" s="50">
        <v>0</v>
      </c>
      <c r="K37" s="50">
        <v>1</v>
      </c>
      <c r="L37" s="50">
        <v>0</v>
      </c>
      <c r="M37" s="50">
        <v>109</v>
      </c>
      <c r="N37" s="50">
        <v>0</v>
      </c>
      <c r="O37" s="15">
        <f t="shared" si="0"/>
        <v>144</v>
      </c>
      <c r="P37" s="15">
        <f t="shared" si="1"/>
        <v>253</v>
      </c>
      <c r="R37" s="37" t="s">
        <v>85</v>
      </c>
      <c r="S37" s="35">
        <f t="shared" ref="S37:AF37" si="29">SUM(S10:S12)</f>
        <v>523</v>
      </c>
      <c r="T37" s="16">
        <f t="shared" si="29"/>
        <v>108</v>
      </c>
      <c r="U37" s="16">
        <f t="shared" si="29"/>
        <v>155</v>
      </c>
      <c r="V37" s="16">
        <f t="shared" si="29"/>
        <v>135</v>
      </c>
      <c r="W37" s="16">
        <f t="shared" si="29"/>
        <v>3</v>
      </c>
      <c r="X37" s="16">
        <f t="shared" si="29"/>
        <v>1</v>
      </c>
      <c r="Y37" s="16">
        <f t="shared" si="29"/>
        <v>27</v>
      </c>
      <c r="Z37" s="16">
        <f t="shared" si="29"/>
        <v>6</v>
      </c>
      <c r="AA37" s="16">
        <f t="shared" si="29"/>
        <v>0</v>
      </c>
      <c r="AB37" s="16">
        <f t="shared" si="29"/>
        <v>0</v>
      </c>
      <c r="AC37" s="16">
        <f t="shared" si="29"/>
        <v>811</v>
      </c>
      <c r="AD37" s="16">
        <f t="shared" si="29"/>
        <v>1</v>
      </c>
      <c r="AE37" s="32">
        <f t="shared" si="29"/>
        <v>959</v>
      </c>
      <c r="AF37" s="32">
        <f t="shared" si="29"/>
        <v>1770</v>
      </c>
    </row>
    <row r="38" spans="2:32" ht="23.1" customHeight="1" x14ac:dyDescent="0.25">
      <c r="B38" s="46" t="s">
        <v>65</v>
      </c>
      <c r="C38" s="50">
        <v>84</v>
      </c>
      <c r="D38" s="50">
        <v>27</v>
      </c>
      <c r="E38" s="50">
        <v>26</v>
      </c>
      <c r="F38" s="50">
        <v>19</v>
      </c>
      <c r="G38" s="50">
        <v>4</v>
      </c>
      <c r="H38" s="50">
        <v>0</v>
      </c>
      <c r="I38" s="50">
        <v>5</v>
      </c>
      <c r="J38" s="50">
        <v>0</v>
      </c>
      <c r="K38" s="50">
        <v>0</v>
      </c>
      <c r="L38" s="50">
        <v>1</v>
      </c>
      <c r="M38" s="50">
        <v>91</v>
      </c>
      <c r="N38" s="50">
        <v>0</v>
      </c>
      <c r="O38" s="15">
        <f t="shared" si="0"/>
        <v>166</v>
      </c>
      <c r="P38" s="15">
        <f t="shared" si="1"/>
        <v>257</v>
      </c>
      <c r="R38" s="28" t="s">
        <v>86</v>
      </c>
      <c r="S38" s="16">
        <f t="shared" ref="S38:AF38" si="30">SUM(S13:S18)</f>
        <v>1857</v>
      </c>
      <c r="T38" s="16">
        <f t="shared" si="30"/>
        <v>424</v>
      </c>
      <c r="U38" s="16">
        <f t="shared" si="30"/>
        <v>320</v>
      </c>
      <c r="V38" s="16">
        <f t="shared" si="30"/>
        <v>378</v>
      </c>
      <c r="W38" s="16">
        <f t="shared" si="30"/>
        <v>17</v>
      </c>
      <c r="X38" s="16">
        <f t="shared" si="30"/>
        <v>3</v>
      </c>
      <c r="Y38" s="16">
        <f t="shared" si="30"/>
        <v>126</v>
      </c>
      <c r="Z38" s="16">
        <f t="shared" si="30"/>
        <v>22</v>
      </c>
      <c r="AA38" s="16">
        <f t="shared" si="30"/>
        <v>3</v>
      </c>
      <c r="AB38" s="16">
        <f t="shared" si="30"/>
        <v>6</v>
      </c>
      <c r="AC38" s="16">
        <f t="shared" si="30"/>
        <v>2603</v>
      </c>
      <c r="AD38" s="16">
        <f t="shared" si="30"/>
        <v>1</v>
      </c>
      <c r="AE38" s="32">
        <f t="shared" si="30"/>
        <v>3157</v>
      </c>
      <c r="AF38" s="32">
        <f t="shared" si="30"/>
        <v>5760</v>
      </c>
    </row>
    <row r="39" spans="2:32" ht="23.1" customHeight="1" x14ac:dyDescent="0.25">
      <c r="B39" s="46" t="s">
        <v>66</v>
      </c>
      <c r="C39" s="50">
        <v>118</v>
      </c>
      <c r="D39" s="50">
        <v>16</v>
      </c>
      <c r="E39" s="50">
        <v>20</v>
      </c>
      <c r="F39" s="50">
        <v>13</v>
      </c>
      <c r="G39" s="50">
        <v>0</v>
      </c>
      <c r="H39" s="50">
        <v>0</v>
      </c>
      <c r="I39" s="50">
        <v>1</v>
      </c>
      <c r="J39" s="50">
        <v>2</v>
      </c>
      <c r="K39" s="50">
        <v>1</v>
      </c>
      <c r="L39" s="50">
        <v>0</v>
      </c>
      <c r="M39" s="50">
        <v>91</v>
      </c>
      <c r="N39" s="50">
        <v>0</v>
      </c>
      <c r="O39" s="15">
        <f t="shared" si="0"/>
        <v>171</v>
      </c>
      <c r="P39" s="15">
        <f t="shared" si="1"/>
        <v>262</v>
      </c>
      <c r="R39" s="29" t="s">
        <v>87</v>
      </c>
      <c r="S39" s="16">
        <f t="shared" ref="S39:AF39" si="31">SUM(S19:S21)</f>
        <v>799</v>
      </c>
      <c r="T39" s="16">
        <f t="shared" si="31"/>
        <v>189</v>
      </c>
      <c r="U39" s="16">
        <f t="shared" si="31"/>
        <v>154</v>
      </c>
      <c r="V39" s="16">
        <f t="shared" si="31"/>
        <v>169</v>
      </c>
      <c r="W39" s="16">
        <f t="shared" si="31"/>
        <v>2</v>
      </c>
      <c r="X39" s="16">
        <f t="shared" si="31"/>
        <v>0</v>
      </c>
      <c r="Y39" s="16">
        <f t="shared" si="31"/>
        <v>36</v>
      </c>
      <c r="Z39" s="16">
        <f t="shared" si="31"/>
        <v>5</v>
      </c>
      <c r="AA39" s="16">
        <f t="shared" si="31"/>
        <v>3</v>
      </c>
      <c r="AB39" s="16">
        <f t="shared" si="31"/>
        <v>4</v>
      </c>
      <c r="AC39" s="16">
        <f t="shared" si="31"/>
        <v>1129</v>
      </c>
      <c r="AD39" s="16">
        <f t="shared" si="31"/>
        <v>0</v>
      </c>
      <c r="AE39" s="32">
        <f t="shared" si="31"/>
        <v>1361</v>
      </c>
      <c r="AF39" s="32">
        <f t="shared" si="31"/>
        <v>2490</v>
      </c>
    </row>
    <row r="40" spans="2:32" ht="23.1" customHeight="1" x14ac:dyDescent="0.25">
      <c r="B40" s="46" t="s">
        <v>67</v>
      </c>
      <c r="C40" s="50">
        <v>95</v>
      </c>
      <c r="D40" s="50">
        <v>13</v>
      </c>
      <c r="E40" s="50">
        <v>10</v>
      </c>
      <c r="F40" s="50">
        <v>18</v>
      </c>
      <c r="G40" s="50">
        <v>0</v>
      </c>
      <c r="H40" s="50">
        <v>0</v>
      </c>
      <c r="I40" s="50">
        <v>8</v>
      </c>
      <c r="J40" s="50">
        <v>1</v>
      </c>
      <c r="K40" s="50">
        <v>0</v>
      </c>
      <c r="L40" s="50">
        <v>0</v>
      </c>
      <c r="M40" s="50">
        <v>140</v>
      </c>
      <c r="N40" s="50">
        <v>0</v>
      </c>
      <c r="O40" s="15">
        <f t="shared" si="0"/>
        <v>145</v>
      </c>
      <c r="P40" s="15">
        <f t="shared" si="1"/>
        <v>285</v>
      </c>
      <c r="R40" s="5" t="s">
        <v>17</v>
      </c>
      <c r="S40" s="16">
        <f t="shared" ref="S40:AF40" si="32">SUM(S10:S21)</f>
        <v>3179</v>
      </c>
      <c r="T40" s="16">
        <f t="shared" si="32"/>
        <v>721</v>
      </c>
      <c r="U40" s="16">
        <f t="shared" si="32"/>
        <v>629</v>
      </c>
      <c r="V40" s="16">
        <f t="shared" si="32"/>
        <v>682</v>
      </c>
      <c r="W40" s="16">
        <f t="shared" si="32"/>
        <v>22</v>
      </c>
      <c r="X40" s="16">
        <f t="shared" si="32"/>
        <v>4</v>
      </c>
      <c r="Y40" s="16">
        <f t="shared" si="32"/>
        <v>189</v>
      </c>
      <c r="Z40" s="16">
        <f t="shared" si="32"/>
        <v>33</v>
      </c>
      <c r="AA40" s="16">
        <f t="shared" si="32"/>
        <v>6</v>
      </c>
      <c r="AB40" s="16">
        <f t="shared" si="32"/>
        <v>10</v>
      </c>
      <c r="AC40" s="16">
        <f t="shared" si="32"/>
        <v>4543</v>
      </c>
      <c r="AD40" s="16">
        <f t="shared" si="32"/>
        <v>2</v>
      </c>
      <c r="AE40" s="32">
        <f t="shared" si="32"/>
        <v>5477</v>
      </c>
      <c r="AF40" s="32">
        <f t="shared" si="32"/>
        <v>10020</v>
      </c>
    </row>
    <row r="41" spans="2:32" ht="23.1" customHeight="1" x14ac:dyDescent="0.25">
      <c r="B41" s="45" t="s">
        <v>68</v>
      </c>
      <c r="C41" s="50">
        <v>117</v>
      </c>
      <c r="D41" s="50">
        <v>13</v>
      </c>
      <c r="E41" s="50">
        <v>15</v>
      </c>
      <c r="F41" s="50">
        <v>26</v>
      </c>
      <c r="G41" s="50">
        <v>1</v>
      </c>
      <c r="H41" s="50">
        <v>0</v>
      </c>
      <c r="I41" s="50">
        <v>7</v>
      </c>
      <c r="J41" s="50">
        <v>1</v>
      </c>
      <c r="K41" s="50">
        <v>1</v>
      </c>
      <c r="L41" s="50">
        <v>0</v>
      </c>
      <c r="M41" s="50">
        <v>140</v>
      </c>
      <c r="N41" s="50">
        <v>0</v>
      </c>
      <c r="O41" s="15">
        <f t="shared" si="0"/>
        <v>181</v>
      </c>
      <c r="P41" s="15">
        <f t="shared" si="1"/>
        <v>321</v>
      </c>
      <c r="R41" s="5" t="s">
        <v>159</v>
      </c>
      <c r="S41" s="16">
        <f>SUM(S10:S33)</f>
        <v>4574</v>
      </c>
      <c r="T41" s="16">
        <f t="shared" ref="T41:AF41" si="33">SUM(T10:T33)</f>
        <v>969</v>
      </c>
      <c r="U41" s="16">
        <f t="shared" si="33"/>
        <v>846</v>
      </c>
      <c r="V41" s="16">
        <f t="shared" si="33"/>
        <v>869</v>
      </c>
      <c r="W41" s="16">
        <f t="shared" si="33"/>
        <v>25</v>
      </c>
      <c r="X41" s="16">
        <f t="shared" si="33"/>
        <v>4</v>
      </c>
      <c r="Y41" s="16">
        <f t="shared" si="33"/>
        <v>223</v>
      </c>
      <c r="Z41" s="16">
        <f t="shared" si="33"/>
        <v>48</v>
      </c>
      <c r="AA41" s="16">
        <f t="shared" si="33"/>
        <v>12</v>
      </c>
      <c r="AB41" s="16">
        <f t="shared" si="33"/>
        <v>11</v>
      </c>
      <c r="AC41" s="16">
        <f t="shared" si="33"/>
        <v>6175</v>
      </c>
      <c r="AD41" s="16">
        <f t="shared" si="33"/>
        <v>2</v>
      </c>
      <c r="AE41" s="32">
        <f t="shared" si="33"/>
        <v>7583</v>
      </c>
      <c r="AF41" s="32">
        <f t="shared" si="33"/>
        <v>13758</v>
      </c>
    </row>
    <row r="42" spans="2:32" ht="23.1" customHeight="1" x14ac:dyDescent="0.25">
      <c r="B42" s="46" t="s">
        <v>69</v>
      </c>
      <c r="C42" s="50">
        <v>117</v>
      </c>
      <c r="D42" s="50">
        <v>13</v>
      </c>
      <c r="E42" s="50">
        <v>8</v>
      </c>
      <c r="F42" s="50">
        <v>19</v>
      </c>
      <c r="G42" s="50">
        <v>1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125</v>
      </c>
      <c r="N42" s="50">
        <v>0</v>
      </c>
      <c r="O42" s="15">
        <f t="shared" si="0"/>
        <v>160</v>
      </c>
      <c r="P42" s="15">
        <f t="shared" si="1"/>
        <v>285</v>
      </c>
      <c r="R42" s="5" t="s">
        <v>160</v>
      </c>
      <c r="S42" s="48">
        <f>S41/S40</f>
        <v>1.4388172381251967</v>
      </c>
      <c r="T42" s="48">
        <f t="shared" ref="T42:AF42" si="34">T41/T40</f>
        <v>1.3439667128987518</v>
      </c>
      <c r="U42" s="48">
        <f t="shared" si="34"/>
        <v>1.3449920508744038</v>
      </c>
      <c r="V42" s="48">
        <f t="shared" si="34"/>
        <v>1.2741935483870968</v>
      </c>
      <c r="W42" s="48">
        <f t="shared" si="34"/>
        <v>1.1363636363636365</v>
      </c>
      <c r="X42" s="48">
        <f t="shared" si="34"/>
        <v>1</v>
      </c>
      <c r="Y42" s="48">
        <f t="shared" si="34"/>
        <v>1.17989417989418</v>
      </c>
      <c r="Z42" s="48">
        <f t="shared" si="34"/>
        <v>1.4545454545454546</v>
      </c>
      <c r="AA42" s="48">
        <f t="shared" si="34"/>
        <v>2</v>
      </c>
      <c r="AB42" s="48">
        <f t="shared" si="34"/>
        <v>1.1000000000000001</v>
      </c>
      <c r="AC42" s="48">
        <f t="shared" si="34"/>
        <v>1.3592339863526304</v>
      </c>
      <c r="AD42" s="48">
        <f t="shared" si="34"/>
        <v>1</v>
      </c>
      <c r="AE42" s="48">
        <f t="shared" si="34"/>
        <v>1.3845170713894468</v>
      </c>
      <c r="AF42" s="48">
        <f t="shared" si="34"/>
        <v>1.3730538922155688</v>
      </c>
    </row>
    <row r="43" spans="2:32" ht="23.1" customHeight="1" x14ac:dyDescent="0.25">
      <c r="B43" s="45" t="s">
        <v>70</v>
      </c>
      <c r="C43" s="50">
        <v>128</v>
      </c>
      <c r="D43" s="50">
        <v>46</v>
      </c>
      <c r="E43" s="50">
        <v>18</v>
      </c>
      <c r="F43" s="50">
        <v>40</v>
      </c>
      <c r="G43" s="50">
        <v>2</v>
      </c>
      <c r="H43" s="50">
        <v>0</v>
      </c>
      <c r="I43" s="50">
        <v>7</v>
      </c>
      <c r="J43" s="50">
        <v>1</v>
      </c>
      <c r="K43" s="50">
        <v>0</v>
      </c>
      <c r="L43" s="50">
        <v>1</v>
      </c>
      <c r="M43" s="50">
        <v>187</v>
      </c>
      <c r="N43" s="50">
        <v>0</v>
      </c>
      <c r="O43" s="15">
        <f t="shared" si="0"/>
        <v>243</v>
      </c>
      <c r="P43" s="15">
        <f t="shared" si="1"/>
        <v>430</v>
      </c>
    </row>
    <row r="44" spans="2:32" ht="23.1" customHeight="1" x14ac:dyDescent="0.25">
      <c r="B44" s="47" t="s">
        <v>71</v>
      </c>
      <c r="C44" s="50">
        <v>72</v>
      </c>
      <c r="D44" s="50">
        <v>14</v>
      </c>
      <c r="E44" s="50">
        <v>8</v>
      </c>
      <c r="F44" s="50">
        <v>7</v>
      </c>
      <c r="G44" s="50">
        <v>0</v>
      </c>
      <c r="H44" s="50">
        <v>1</v>
      </c>
      <c r="I44" s="50">
        <v>4</v>
      </c>
      <c r="J44" s="50">
        <v>0</v>
      </c>
      <c r="K44" s="50">
        <v>0</v>
      </c>
      <c r="L44" s="50">
        <v>0</v>
      </c>
      <c r="M44" s="50">
        <v>92</v>
      </c>
      <c r="N44" s="50">
        <v>0</v>
      </c>
      <c r="O44" s="15">
        <f t="shared" si="0"/>
        <v>106</v>
      </c>
      <c r="P44" s="15">
        <f t="shared" si="1"/>
        <v>198</v>
      </c>
    </row>
    <row r="45" spans="2:32" ht="23.1" customHeight="1" x14ac:dyDescent="0.25">
      <c r="B45" s="45" t="s">
        <v>72</v>
      </c>
      <c r="C45" s="50">
        <v>60</v>
      </c>
      <c r="D45" s="50">
        <v>15</v>
      </c>
      <c r="E45" s="50">
        <v>5</v>
      </c>
      <c r="F45" s="50">
        <v>9</v>
      </c>
      <c r="G45" s="50">
        <v>1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80</v>
      </c>
      <c r="N45" s="50">
        <v>0</v>
      </c>
      <c r="O45" s="15">
        <f t="shared" si="0"/>
        <v>93</v>
      </c>
      <c r="P45" s="15">
        <f t="shared" si="1"/>
        <v>173</v>
      </c>
    </row>
    <row r="46" spans="2:32" ht="23.1" customHeight="1" x14ac:dyDescent="0.25">
      <c r="B46" s="46" t="s">
        <v>73</v>
      </c>
      <c r="C46" s="50">
        <v>84</v>
      </c>
      <c r="D46" s="50">
        <v>17</v>
      </c>
      <c r="E46" s="50">
        <v>22</v>
      </c>
      <c r="F46" s="50">
        <v>30</v>
      </c>
      <c r="G46" s="50">
        <v>1</v>
      </c>
      <c r="H46" s="50">
        <v>0</v>
      </c>
      <c r="I46" s="50">
        <v>2</v>
      </c>
      <c r="J46" s="50">
        <v>0</v>
      </c>
      <c r="K46" s="50">
        <v>1</v>
      </c>
      <c r="L46" s="50">
        <v>1</v>
      </c>
      <c r="M46" s="50">
        <v>101</v>
      </c>
      <c r="N46" s="50">
        <v>0</v>
      </c>
      <c r="O46" s="15">
        <f t="shared" si="0"/>
        <v>158</v>
      </c>
      <c r="P46" s="15">
        <f t="shared" si="1"/>
        <v>259</v>
      </c>
      <c r="R46" s="8"/>
      <c r="T46"/>
    </row>
    <row r="47" spans="2:32" ht="23.1" customHeight="1" x14ac:dyDescent="0.25">
      <c r="B47" s="46" t="s">
        <v>74</v>
      </c>
      <c r="C47" s="50">
        <v>77</v>
      </c>
      <c r="D47" s="50">
        <v>29</v>
      </c>
      <c r="E47" s="50">
        <v>18</v>
      </c>
      <c r="F47" s="50">
        <v>13</v>
      </c>
      <c r="G47" s="50">
        <v>0</v>
      </c>
      <c r="H47" s="50">
        <v>0</v>
      </c>
      <c r="I47" s="50">
        <v>6</v>
      </c>
      <c r="J47" s="50">
        <v>0</v>
      </c>
      <c r="K47" s="50">
        <v>0</v>
      </c>
      <c r="L47" s="50">
        <v>1</v>
      </c>
      <c r="M47" s="50">
        <v>110</v>
      </c>
      <c r="N47" s="50">
        <v>0</v>
      </c>
      <c r="O47" s="15">
        <f t="shared" si="0"/>
        <v>144</v>
      </c>
      <c r="P47" s="15">
        <f t="shared" si="1"/>
        <v>254</v>
      </c>
      <c r="R47" s="8"/>
      <c r="T47"/>
    </row>
    <row r="48" spans="2:32" ht="23.1" customHeight="1" x14ac:dyDescent="0.25">
      <c r="B48" s="46" t="s">
        <v>75</v>
      </c>
      <c r="C48" s="50">
        <v>73</v>
      </c>
      <c r="D48" s="50">
        <v>11</v>
      </c>
      <c r="E48" s="50">
        <v>23</v>
      </c>
      <c r="F48" s="50">
        <v>9</v>
      </c>
      <c r="G48" s="50">
        <v>0</v>
      </c>
      <c r="H48" s="50">
        <v>0</v>
      </c>
      <c r="I48" s="50">
        <v>2</v>
      </c>
      <c r="J48" s="50">
        <v>1</v>
      </c>
      <c r="K48" s="50">
        <v>1</v>
      </c>
      <c r="L48" s="50">
        <v>0</v>
      </c>
      <c r="M48" s="50">
        <v>112</v>
      </c>
      <c r="N48" s="50">
        <v>0</v>
      </c>
      <c r="O48" s="15">
        <f t="shared" si="0"/>
        <v>120</v>
      </c>
      <c r="P48" s="15">
        <f t="shared" si="1"/>
        <v>232</v>
      </c>
      <c r="R48" s="8"/>
      <c r="T48"/>
    </row>
    <row r="49" spans="2:20" ht="23.1" customHeight="1" x14ac:dyDescent="0.25">
      <c r="B49" s="45" t="s">
        <v>76</v>
      </c>
      <c r="C49" s="50">
        <v>60</v>
      </c>
      <c r="D49" s="50">
        <v>22</v>
      </c>
      <c r="E49" s="50">
        <v>12</v>
      </c>
      <c r="F49" s="50">
        <v>21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101</v>
      </c>
      <c r="N49" s="50">
        <v>0</v>
      </c>
      <c r="O49" s="15">
        <f t="shared" si="0"/>
        <v>116</v>
      </c>
      <c r="P49" s="15">
        <f t="shared" si="1"/>
        <v>217</v>
      </c>
      <c r="R49" s="8"/>
      <c r="T49"/>
    </row>
    <row r="50" spans="2:20" ht="23.1" customHeight="1" x14ac:dyDescent="0.25">
      <c r="B50" s="46" t="s">
        <v>77</v>
      </c>
      <c r="C50" s="50">
        <v>73</v>
      </c>
      <c r="D50" s="50">
        <v>13</v>
      </c>
      <c r="E50" s="50">
        <v>9</v>
      </c>
      <c r="F50" s="50">
        <v>10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0</v>
      </c>
      <c r="M50" s="50">
        <v>108</v>
      </c>
      <c r="N50" s="50">
        <v>0</v>
      </c>
      <c r="O50" s="15">
        <f t="shared" si="0"/>
        <v>109</v>
      </c>
      <c r="P50" s="15">
        <f t="shared" si="1"/>
        <v>217</v>
      </c>
      <c r="R50" s="8"/>
      <c r="T50"/>
    </row>
    <row r="51" spans="2:20" ht="23.1" customHeight="1" x14ac:dyDescent="0.25">
      <c r="B51" s="46" t="s">
        <v>78</v>
      </c>
      <c r="C51" s="50">
        <v>66</v>
      </c>
      <c r="D51" s="50">
        <v>9</v>
      </c>
      <c r="E51" s="50">
        <v>21</v>
      </c>
      <c r="F51" s="50">
        <v>14</v>
      </c>
      <c r="G51" s="50">
        <v>1</v>
      </c>
      <c r="H51" s="50">
        <v>0</v>
      </c>
      <c r="I51" s="50">
        <v>3</v>
      </c>
      <c r="J51" s="50">
        <v>2</v>
      </c>
      <c r="K51" s="50">
        <v>0</v>
      </c>
      <c r="L51" s="50">
        <v>0</v>
      </c>
      <c r="M51" s="50">
        <v>79</v>
      </c>
      <c r="N51" s="50">
        <v>0</v>
      </c>
      <c r="O51" s="15">
        <f t="shared" si="0"/>
        <v>116</v>
      </c>
      <c r="P51" s="15">
        <f t="shared" si="1"/>
        <v>195</v>
      </c>
      <c r="R51" s="8"/>
      <c r="T51"/>
    </row>
    <row r="52" spans="2:20" ht="23.1" customHeight="1" x14ac:dyDescent="0.25">
      <c r="B52" s="46" t="s">
        <v>79</v>
      </c>
      <c r="C52" s="50">
        <v>69</v>
      </c>
      <c r="D52" s="50">
        <v>17</v>
      </c>
      <c r="E52" s="50">
        <v>17</v>
      </c>
      <c r="F52" s="50">
        <v>14</v>
      </c>
      <c r="G52" s="50">
        <v>0</v>
      </c>
      <c r="H52" s="50">
        <v>0</v>
      </c>
      <c r="I52" s="50">
        <v>6</v>
      </c>
      <c r="J52" s="50">
        <v>1</v>
      </c>
      <c r="K52" s="50">
        <v>0</v>
      </c>
      <c r="L52" s="50">
        <v>0</v>
      </c>
      <c r="M52" s="50">
        <v>104</v>
      </c>
      <c r="N52" s="50">
        <v>0</v>
      </c>
      <c r="O52" s="15">
        <f t="shared" si="0"/>
        <v>124</v>
      </c>
      <c r="P52" s="15">
        <f t="shared" si="1"/>
        <v>228</v>
      </c>
      <c r="R52" s="8"/>
      <c r="T52"/>
    </row>
    <row r="53" spans="2:20" ht="23.1" customHeight="1" x14ac:dyDescent="0.25">
      <c r="B53" s="45" t="s">
        <v>80</v>
      </c>
      <c r="C53" s="50">
        <v>78</v>
      </c>
      <c r="D53" s="50">
        <v>23</v>
      </c>
      <c r="E53" s="50">
        <v>7</v>
      </c>
      <c r="F53" s="50">
        <v>11</v>
      </c>
      <c r="G53" s="50">
        <v>0</v>
      </c>
      <c r="H53" s="50">
        <v>0</v>
      </c>
      <c r="I53" s="50">
        <v>3</v>
      </c>
      <c r="J53" s="50">
        <v>0</v>
      </c>
      <c r="K53" s="50">
        <v>1</v>
      </c>
      <c r="L53" s="50">
        <v>1</v>
      </c>
      <c r="M53" s="50">
        <v>88</v>
      </c>
      <c r="N53" s="50">
        <v>0</v>
      </c>
      <c r="O53" s="15">
        <f t="shared" si="0"/>
        <v>124</v>
      </c>
      <c r="P53" s="15">
        <f t="shared" si="1"/>
        <v>212</v>
      </c>
      <c r="R53" s="8"/>
      <c r="T53"/>
    </row>
    <row r="54" spans="2:20" ht="23.1" customHeight="1" x14ac:dyDescent="0.25">
      <c r="B54" s="45" t="s">
        <v>81</v>
      </c>
      <c r="C54" s="50">
        <v>63</v>
      </c>
      <c r="D54" s="50">
        <v>16</v>
      </c>
      <c r="E54" s="50">
        <v>6</v>
      </c>
      <c r="F54" s="50">
        <v>13</v>
      </c>
      <c r="G54" s="50">
        <v>0</v>
      </c>
      <c r="H54" s="50">
        <v>0</v>
      </c>
      <c r="I54" s="50">
        <v>4</v>
      </c>
      <c r="J54" s="50">
        <v>0</v>
      </c>
      <c r="K54" s="50">
        <v>0</v>
      </c>
      <c r="L54" s="50">
        <v>0</v>
      </c>
      <c r="M54" s="50">
        <v>82</v>
      </c>
      <c r="N54" s="50">
        <v>0</v>
      </c>
      <c r="O54" s="15">
        <f t="shared" si="0"/>
        <v>102</v>
      </c>
      <c r="P54" s="15">
        <f t="shared" si="1"/>
        <v>184</v>
      </c>
      <c r="R54" s="8"/>
      <c r="T54"/>
    </row>
    <row r="55" spans="2:20" ht="23.1" customHeight="1" x14ac:dyDescent="0.25">
      <c r="B55" s="45" t="s">
        <v>82</v>
      </c>
      <c r="C55" s="50">
        <v>56</v>
      </c>
      <c r="D55" s="50">
        <v>13</v>
      </c>
      <c r="E55" s="50">
        <v>6</v>
      </c>
      <c r="F55" s="50">
        <v>7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1</v>
      </c>
      <c r="M55" s="50">
        <v>112</v>
      </c>
      <c r="N55" s="50">
        <v>0</v>
      </c>
      <c r="O55" s="15">
        <f t="shared" si="0"/>
        <v>85</v>
      </c>
      <c r="P55" s="15">
        <f t="shared" si="1"/>
        <v>197</v>
      </c>
      <c r="R55" s="8"/>
      <c r="T55"/>
    </row>
    <row r="56" spans="2:20" ht="23.1" customHeight="1" x14ac:dyDescent="0.25">
      <c r="B56" s="45" t="s">
        <v>83</v>
      </c>
      <c r="C56" s="50">
        <v>48</v>
      </c>
      <c r="D56" s="50">
        <v>11</v>
      </c>
      <c r="E56" s="50">
        <v>4</v>
      </c>
      <c r="F56" s="50">
        <v>12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69</v>
      </c>
      <c r="N56" s="50">
        <v>0</v>
      </c>
      <c r="O56" s="15">
        <f t="shared" si="0"/>
        <v>77</v>
      </c>
      <c r="P56" s="15">
        <f t="shared" si="1"/>
        <v>146</v>
      </c>
      <c r="R56" s="8"/>
      <c r="T56"/>
    </row>
    <row r="57" spans="2:20" ht="23.1" customHeight="1" x14ac:dyDescent="0.25">
      <c r="B57" s="45" t="s">
        <v>84</v>
      </c>
      <c r="C57" s="50">
        <v>52</v>
      </c>
      <c r="D57" s="50">
        <v>8</v>
      </c>
      <c r="E57" s="50">
        <v>9</v>
      </c>
      <c r="F57" s="50">
        <v>15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63</v>
      </c>
      <c r="N57" s="50">
        <v>0</v>
      </c>
      <c r="O57" s="15">
        <f t="shared" si="0"/>
        <v>86</v>
      </c>
      <c r="P57" s="15">
        <f t="shared" si="1"/>
        <v>149</v>
      </c>
      <c r="R57" s="8"/>
      <c r="T57"/>
    </row>
    <row r="58" spans="2:20" ht="23.1" customHeight="1" x14ac:dyDescent="0.25">
      <c r="B58" s="45" t="s">
        <v>99</v>
      </c>
      <c r="C58" s="50">
        <v>41</v>
      </c>
      <c r="D58" s="50">
        <v>6</v>
      </c>
      <c r="E58" s="50">
        <v>13</v>
      </c>
      <c r="F58" s="50">
        <v>8</v>
      </c>
      <c r="G58" s="50">
        <v>0</v>
      </c>
      <c r="H58" s="50">
        <v>0</v>
      </c>
      <c r="I58" s="50">
        <v>2</v>
      </c>
      <c r="J58" s="50">
        <v>1</v>
      </c>
      <c r="K58" s="50">
        <v>0</v>
      </c>
      <c r="L58" s="50">
        <v>0</v>
      </c>
      <c r="M58" s="50">
        <v>63</v>
      </c>
      <c r="N58" s="50">
        <v>0</v>
      </c>
      <c r="O58" s="15">
        <f t="shared" si="0"/>
        <v>71</v>
      </c>
      <c r="P58" s="15">
        <f t="shared" si="1"/>
        <v>134</v>
      </c>
      <c r="R58" s="8"/>
      <c r="T58"/>
    </row>
    <row r="59" spans="2:20" ht="23.1" customHeight="1" x14ac:dyDescent="0.25">
      <c r="B59" s="45" t="s">
        <v>100</v>
      </c>
      <c r="C59" s="50">
        <v>51</v>
      </c>
      <c r="D59" s="50">
        <v>12</v>
      </c>
      <c r="E59" s="50">
        <v>8</v>
      </c>
      <c r="F59" s="50">
        <v>4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1</v>
      </c>
      <c r="M59" s="50">
        <v>71</v>
      </c>
      <c r="N59" s="50">
        <v>0</v>
      </c>
      <c r="O59" s="15">
        <f t="shared" si="0"/>
        <v>77</v>
      </c>
      <c r="P59" s="15">
        <f t="shared" si="1"/>
        <v>148</v>
      </c>
      <c r="R59" s="8"/>
      <c r="T59"/>
    </row>
    <row r="60" spans="2:20" ht="23.1" customHeight="1" x14ac:dyDescent="0.25">
      <c r="B60" s="45" t="s">
        <v>101</v>
      </c>
      <c r="C60" s="50">
        <v>49</v>
      </c>
      <c r="D60" s="50">
        <v>7</v>
      </c>
      <c r="E60" s="50">
        <v>14</v>
      </c>
      <c r="F60" s="50">
        <v>8</v>
      </c>
      <c r="G60" s="50">
        <v>1</v>
      </c>
      <c r="H60" s="50">
        <v>0</v>
      </c>
      <c r="I60" s="50">
        <v>7</v>
      </c>
      <c r="J60" s="50">
        <v>0</v>
      </c>
      <c r="K60" s="50">
        <v>0</v>
      </c>
      <c r="L60" s="50">
        <v>0</v>
      </c>
      <c r="M60" s="50">
        <v>64</v>
      </c>
      <c r="N60" s="50">
        <v>0</v>
      </c>
      <c r="O60" s="15">
        <f t="shared" si="0"/>
        <v>86</v>
      </c>
      <c r="P60" s="15">
        <f t="shared" si="1"/>
        <v>150</v>
      </c>
      <c r="R60" s="8"/>
      <c r="T60"/>
    </row>
    <row r="61" spans="2:20" ht="23.1" customHeight="1" x14ac:dyDescent="0.25">
      <c r="B61" s="45" t="s">
        <v>102</v>
      </c>
      <c r="C61" s="50">
        <v>52</v>
      </c>
      <c r="D61" s="50">
        <v>8</v>
      </c>
      <c r="E61" s="50">
        <v>11</v>
      </c>
      <c r="F61" s="50">
        <v>9</v>
      </c>
      <c r="G61" s="50">
        <v>0</v>
      </c>
      <c r="H61" s="50">
        <v>0</v>
      </c>
      <c r="I61" s="50">
        <v>9</v>
      </c>
      <c r="J61" s="50">
        <v>0</v>
      </c>
      <c r="K61" s="50">
        <v>0</v>
      </c>
      <c r="L61" s="50">
        <v>0</v>
      </c>
      <c r="M61" s="50">
        <v>59</v>
      </c>
      <c r="N61" s="50">
        <v>0</v>
      </c>
      <c r="O61" s="15">
        <f t="shared" si="0"/>
        <v>89</v>
      </c>
      <c r="P61" s="15">
        <f t="shared" si="1"/>
        <v>148</v>
      </c>
      <c r="R61" s="8"/>
      <c r="T61"/>
    </row>
    <row r="62" spans="2:20" ht="23.1" customHeight="1" x14ac:dyDescent="0.25">
      <c r="B62" s="45" t="s">
        <v>107</v>
      </c>
      <c r="C62" s="50">
        <v>43</v>
      </c>
      <c r="D62" s="50">
        <v>13</v>
      </c>
      <c r="E62" s="50">
        <v>9</v>
      </c>
      <c r="F62" s="50">
        <v>13</v>
      </c>
      <c r="G62" s="50">
        <v>0</v>
      </c>
      <c r="H62" s="50">
        <v>0</v>
      </c>
      <c r="I62" s="50">
        <v>2</v>
      </c>
      <c r="J62" s="50">
        <v>1</v>
      </c>
      <c r="K62" s="50">
        <v>0</v>
      </c>
      <c r="L62" s="50">
        <v>0</v>
      </c>
      <c r="M62" s="50">
        <v>59</v>
      </c>
      <c r="N62" s="50">
        <v>0</v>
      </c>
      <c r="O62" s="15">
        <f t="shared" si="0"/>
        <v>81</v>
      </c>
      <c r="P62" s="15">
        <f t="shared" si="1"/>
        <v>140</v>
      </c>
      <c r="R62" s="8"/>
      <c r="T62"/>
    </row>
    <row r="63" spans="2:20" ht="23.1" customHeight="1" x14ac:dyDescent="0.25">
      <c r="B63" s="45" t="s">
        <v>108</v>
      </c>
      <c r="C63" s="50">
        <v>36</v>
      </c>
      <c r="D63" s="50">
        <v>12</v>
      </c>
      <c r="E63" s="50">
        <v>7</v>
      </c>
      <c r="F63" s="50">
        <v>8</v>
      </c>
      <c r="G63" s="50">
        <v>0</v>
      </c>
      <c r="H63" s="50">
        <v>0</v>
      </c>
      <c r="I63" s="50">
        <v>0</v>
      </c>
      <c r="J63" s="50">
        <v>0</v>
      </c>
      <c r="K63" s="50">
        <v>1</v>
      </c>
      <c r="L63" s="50">
        <v>0</v>
      </c>
      <c r="M63" s="50">
        <v>58</v>
      </c>
      <c r="N63" s="50">
        <v>0</v>
      </c>
      <c r="O63" s="15">
        <f t="shared" si="0"/>
        <v>64</v>
      </c>
      <c r="P63" s="15">
        <f t="shared" si="1"/>
        <v>122</v>
      </c>
      <c r="R63" s="8"/>
      <c r="T63"/>
    </row>
    <row r="64" spans="2:20" ht="23.1" customHeight="1" x14ac:dyDescent="0.25">
      <c r="B64" s="45" t="s">
        <v>109</v>
      </c>
      <c r="C64" s="50">
        <v>39</v>
      </c>
      <c r="D64" s="50">
        <v>8</v>
      </c>
      <c r="E64" s="50">
        <v>10</v>
      </c>
      <c r="F64" s="50">
        <v>16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39</v>
      </c>
      <c r="N64" s="50">
        <v>0</v>
      </c>
      <c r="O64" s="15">
        <f t="shared" si="0"/>
        <v>74</v>
      </c>
      <c r="P64" s="15">
        <f t="shared" si="1"/>
        <v>113</v>
      </c>
      <c r="R64" s="8"/>
      <c r="T64"/>
    </row>
    <row r="65" spans="2:20" ht="23.1" customHeight="1" x14ac:dyDescent="0.25">
      <c r="B65" s="45" t="s">
        <v>158</v>
      </c>
      <c r="C65" s="50">
        <v>61</v>
      </c>
      <c r="D65" s="50">
        <v>15</v>
      </c>
      <c r="E65" s="50">
        <v>12</v>
      </c>
      <c r="F65" s="50">
        <v>13</v>
      </c>
      <c r="G65" s="50">
        <v>0</v>
      </c>
      <c r="H65" s="50">
        <v>0</v>
      </c>
      <c r="I65" s="50">
        <v>1</v>
      </c>
      <c r="J65" s="50">
        <v>3</v>
      </c>
      <c r="K65" s="50">
        <v>0</v>
      </c>
      <c r="L65" s="50">
        <v>0</v>
      </c>
      <c r="M65" s="50">
        <v>63</v>
      </c>
      <c r="N65" s="50">
        <v>0</v>
      </c>
      <c r="O65" s="15">
        <f t="shared" si="0"/>
        <v>105</v>
      </c>
      <c r="P65" s="15">
        <f t="shared" si="1"/>
        <v>168</v>
      </c>
      <c r="R65" s="8"/>
      <c r="T65"/>
    </row>
    <row r="66" spans="2:20" ht="23.1" customHeight="1" x14ac:dyDescent="0.25">
      <c r="B66" s="45" t="s">
        <v>103</v>
      </c>
      <c r="C66" s="50">
        <v>31</v>
      </c>
      <c r="D66" s="50">
        <v>8</v>
      </c>
      <c r="E66" s="50">
        <v>9</v>
      </c>
      <c r="F66" s="50">
        <v>11</v>
      </c>
      <c r="G66" s="50">
        <v>0</v>
      </c>
      <c r="H66" s="50">
        <v>0</v>
      </c>
      <c r="I66" s="50">
        <v>2</v>
      </c>
      <c r="J66" s="50">
        <v>1</v>
      </c>
      <c r="K66" s="50">
        <v>0</v>
      </c>
      <c r="L66" s="50">
        <v>0</v>
      </c>
      <c r="M66" s="50">
        <v>48</v>
      </c>
      <c r="N66" s="50">
        <v>0</v>
      </c>
      <c r="O66" s="15">
        <f t="shared" si="0"/>
        <v>62</v>
      </c>
      <c r="P66" s="15">
        <f t="shared" si="1"/>
        <v>110</v>
      </c>
      <c r="R66" s="8"/>
      <c r="T66"/>
    </row>
    <row r="67" spans="2:20" ht="23.1" customHeight="1" x14ac:dyDescent="0.25">
      <c r="B67" s="45" t="s">
        <v>104</v>
      </c>
      <c r="C67" s="50">
        <v>50</v>
      </c>
      <c r="D67" s="50">
        <v>5</v>
      </c>
      <c r="E67" s="50">
        <v>4</v>
      </c>
      <c r="F67" s="50">
        <v>12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51</v>
      </c>
      <c r="N67" s="50">
        <v>0</v>
      </c>
      <c r="O67" s="15">
        <f t="shared" si="0"/>
        <v>72</v>
      </c>
      <c r="P67" s="15">
        <f t="shared" si="1"/>
        <v>123</v>
      </c>
      <c r="R67" s="8"/>
      <c r="T67"/>
    </row>
    <row r="68" spans="2:20" ht="23.1" customHeight="1" x14ac:dyDescent="0.25">
      <c r="B68" s="45" t="s">
        <v>105</v>
      </c>
      <c r="C68" s="50">
        <v>63</v>
      </c>
      <c r="D68" s="50">
        <v>17</v>
      </c>
      <c r="E68" s="50">
        <v>7</v>
      </c>
      <c r="F68" s="50">
        <v>6</v>
      </c>
      <c r="G68" s="50">
        <v>0</v>
      </c>
      <c r="H68" s="50">
        <v>0</v>
      </c>
      <c r="I68" s="50">
        <v>1</v>
      </c>
      <c r="J68" s="50">
        <v>1</v>
      </c>
      <c r="K68" s="50">
        <v>1</v>
      </c>
      <c r="L68" s="50">
        <v>0</v>
      </c>
      <c r="M68" s="50">
        <v>60</v>
      </c>
      <c r="N68" s="50">
        <v>0</v>
      </c>
      <c r="O68" s="15">
        <f t="shared" si="0"/>
        <v>96</v>
      </c>
      <c r="P68" s="15">
        <f t="shared" si="1"/>
        <v>156</v>
      </c>
      <c r="R68" s="8"/>
      <c r="T68"/>
    </row>
    <row r="69" spans="2:20" ht="23.1" customHeight="1" x14ac:dyDescent="0.25">
      <c r="B69" s="45" t="s">
        <v>106</v>
      </c>
      <c r="C69" s="50">
        <v>53</v>
      </c>
      <c r="D69" s="50">
        <v>9</v>
      </c>
      <c r="E69" s="50">
        <v>1</v>
      </c>
      <c r="F69" s="50">
        <v>12</v>
      </c>
      <c r="G69" s="50">
        <v>0</v>
      </c>
      <c r="H69" s="50">
        <v>0</v>
      </c>
      <c r="I69" s="50">
        <v>0</v>
      </c>
      <c r="J69" s="50">
        <v>0</v>
      </c>
      <c r="K69" s="50">
        <v>1</v>
      </c>
      <c r="L69" s="50">
        <v>0</v>
      </c>
      <c r="M69" s="50">
        <v>46</v>
      </c>
      <c r="N69" s="50">
        <v>0</v>
      </c>
      <c r="O69" s="15">
        <f t="shared" si="0"/>
        <v>76</v>
      </c>
      <c r="P69" s="15">
        <f t="shared" si="1"/>
        <v>122</v>
      </c>
      <c r="R69" s="8"/>
      <c r="T69"/>
    </row>
    <row r="70" spans="2:20" ht="23.1" customHeight="1" x14ac:dyDescent="0.25">
      <c r="B70" s="45" t="s">
        <v>110</v>
      </c>
      <c r="C70" s="50">
        <v>47</v>
      </c>
      <c r="D70" s="50">
        <v>12</v>
      </c>
      <c r="E70" s="50">
        <v>17</v>
      </c>
      <c r="F70" s="50">
        <v>9</v>
      </c>
      <c r="G70" s="50">
        <v>0</v>
      </c>
      <c r="H70" s="50">
        <v>0</v>
      </c>
      <c r="I70" s="50">
        <v>2</v>
      </c>
      <c r="J70" s="50">
        <v>1</v>
      </c>
      <c r="K70" s="50">
        <v>0</v>
      </c>
      <c r="L70" s="50">
        <v>0</v>
      </c>
      <c r="M70" s="50">
        <v>62</v>
      </c>
      <c r="N70" s="50">
        <v>0</v>
      </c>
      <c r="O70" s="15">
        <f t="shared" si="0"/>
        <v>88</v>
      </c>
      <c r="P70" s="15">
        <f t="shared" si="1"/>
        <v>150</v>
      </c>
      <c r="R70" s="8"/>
      <c r="T70"/>
    </row>
    <row r="71" spans="2:20" ht="23.1" customHeight="1" x14ac:dyDescent="0.25">
      <c r="B71" s="45" t="s">
        <v>111</v>
      </c>
      <c r="C71" s="50">
        <v>34</v>
      </c>
      <c r="D71" s="50">
        <v>7</v>
      </c>
      <c r="E71" s="50">
        <v>13</v>
      </c>
      <c r="F71" s="50">
        <v>12</v>
      </c>
      <c r="G71" s="50">
        <v>1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53</v>
      </c>
      <c r="N71" s="50">
        <v>0</v>
      </c>
      <c r="O71" s="15">
        <f t="shared" si="0"/>
        <v>67</v>
      </c>
      <c r="P71" s="15">
        <f t="shared" si="1"/>
        <v>120</v>
      </c>
      <c r="R71" s="8"/>
      <c r="T71"/>
    </row>
    <row r="72" spans="2:20" ht="23.1" customHeight="1" x14ac:dyDescent="0.25">
      <c r="B72" s="45" t="s">
        <v>112</v>
      </c>
      <c r="C72" s="50">
        <v>42</v>
      </c>
      <c r="D72" s="50">
        <v>11</v>
      </c>
      <c r="E72" s="50">
        <v>6</v>
      </c>
      <c r="F72" s="50">
        <v>8</v>
      </c>
      <c r="G72" s="50">
        <v>0</v>
      </c>
      <c r="H72" s="50">
        <v>0</v>
      </c>
      <c r="I72" s="50">
        <v>0</v>
      </c>
      <c r="J72" s="50">
        <v>2</v>
      </c>
      <c r="K72" s="50">
        <v>0</v>
      </c>
      <c r="L72" s="50">
        <v>0</v>
      </c>
      <c r="M72" s="50">
        <v>45</v>
      </c>
      <c r="N72" s="50">
        <v>0</v>
      </c>
      <c r="O72" s="15">
        <f t="shared" si="0"/>
        <v>69</v>
      </c>
      <c r="P72" s="15">
        <f t="shared" si="1"/>
        <v>114</v>
      </c>
      <c r="R72" s="8"/>
      <c r="T72"/>
    </row>
    <row r="73" spans="2:20" ht="23.1" customHeight="1" x14ac:dyDescent="0.25">
      <c r="B73" s="45" t="s">
        <v>113</v>
      </c>
      <c r="C73" s="50">
        <v>33</v>
      </c>
      <c r="D73" s="50">
        <v>7</v>
      </c>
      <c r="E73" s="50">
        <v>10</v>
      </c>
      <c r="F73" s="50">
        <v>12</v>
      </c>
      <c r="G73" s="50">
        <v>0</v>
      </c>
      <c r="H73" s="50">
        <v>0</v>
      </c>
      <c r="I73" s="50">
        <v>1</v>
      </c>
      <c r="J73" s="50">
        <v>0</v>
      </c>
      <c r="K73" s="50">
        <v>1</v>
      </c>
      <c r="L73" s="50">
        <v>0</v>
      </c>
      <c r="M73" s="50">
        <v>48</v>
      </c>
      <c r="N73" s="50">
        <v>0</v>
      </c>
      <c r="O73" s="15">
        <f t="shared" si="0"/>
        <v>64</v>
      </c>
      <c r="P73" s="15">
        <f t="shared" si="1"/>
        <v>112</v>
      </c>
      <c r="R73" s="8"/>
      <c r="T73"/>
    </row>
    <row r="74" spans="2:20" ht="23.1" customHeight="1" x14ac:dyDescent="0.25">
      <c r="B74" s="45" t="s">
        <v>114</v>
      </c>
      <c r="C74" s="50">
        <v>38</v>
      </c>
      <c r="D74" s="50">
        <v>8</v>
      </c>
      <c r="E74" s="50">
        <v>11</v>
      </c>
      <c r="F74" s="50">
        <v>6</v>
      </c>
      <c r="G74" s="50">
        <v>1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37</v>
      </c>
      <c r="N74" s="50">
        <v>0</v>
      </c>
      <c r="O74" s="15">
        <f t="shared" ref="O74:O105" si="35">SUM(C74:L74,N74)</f>
        <v>64</v>
      </c>
      <c r="P74" s="15">
        <f t="shared" ref="P74:P105" si="36">SUM(C74:N74)</f>
        <v>101</v>
      </c>
      <c r="R74" s="8"/>
      <c r="T74"/>
    </row>
    <row r="75" spans="2:20" ht="23.1" customHeight="1" x14ac:dyDescent="0.25">
      <c r="B75" s="45" t="s">
        <v>115</v>
      </c>
      <c r="C75" s="50">
        <v>30</v>
      </c>
      <c r="D75" s="50">
        <v>10</v>
      </c>
      <c r="E75" s="50">
        <v>4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44</v>
      </c>
      <c r="N75" s="50">
        <v>0</v>
      </c>
      <c r="O75" s="15">
        <f t="shared" si="35"/>
        <v>45</v>
      </c>
      <c r="P75" s="15">
        <f t="shared" si="36"/>
        <v>89</v>
      </c>
      <c r="R75" s="8"/>
      <c r="T75"/>
    </row>
    <row r="76" spans="2:20" ht="23.1" customHeight="1" x14ac:dyDescent="0.25">
      <c r="B76" s="45" t="s">
        <v>116</v>
      </c>
      <c r="C76" s="50">
        <v>36</v>
      </c>
      <c r="D76" s="50">
        <v>5</v>
      </c>
      <c r="E76" s="50">
        <v>8</v>
      </c>
      <c r="F76" s="50">
        <v>2</v>
      </c>
      <c r="G76" s="50">
        <v>0</v>
      </c>
      <c r="H76" s="50">
        <v>0</v>
      </c>
      <c r="I76" s="50">
        <v>2</v>
      </c>
      <c r="J76" s="50">
        <v>0</v>
      </c>
      <c r="K76" s="50">
        <v>0</v>
      </c>
      <c r="L76" s="50">
        <v>0</v>
      </c>
      <c r="M76" s="50">
        <v>35</v>
      </c>
      <c r="N76" s="50">
        <v>0</v>
      </c>
      <c r="O76" s="15">
        <f t="shared" si="35"/>
        <v>53</v>
      </c>
      <c r="P76" s="15">
        <f t="shared" si="36"/>
        <v>88</v>
      </c>
      <c r="R76" s="8"/>
      <c r="T76"/>
    </row>
    <row r="77" spans="2:20" ht="23.1" customHeight="1" x14ac:dyDescent="0.25">
      <c r="B77" s="45" t="s">
        <v>117</v>
      </c>
      <c r="C77" s="50">
        <v>45</v>
      </c>
      <c r="D77" s="50">
        <v>3</v>
      </c>
      <c r="E77" s="50">
        <v>9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41</v>
      </c>
      <c r="N77" s="50">
        <v>0</v>
      </c>
      <c r="O77" s="15">
        <f t="shared" si="35"/>
        <v>57</v>
      </c>
      <c r="P77" s="15">
        <f t="shared" si="36"/>
        <v>98</v>
      </c>
      <c r="R77" s="8"/>
      <c r="T77"/>
    </row>
    <row r="78" spans="2:20" ht="23.1" customHeight="1" x14ac:dyDescent="0.25">
      <c r="B78" s="46" t="s">
        <v>118</v>
      </c>
      <c r="C78" s="50">
        <v>27</v>
      </c>
      <c r="D78" s="50">
        <v>5</v>
      </c>
      <c r="E78" s="50">
        <v>1</v>
      </c>
      <c r="F78" s="50">
        <v>3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23</v>
      </c>
      <c r="N78" s="50">
        <v>0</v>
      </c>
      <c r="O78" s="15">
        <f t="shared" si="35"/>
        <v>36</v>
      </c>
      <c r="P78" s="15">
        <f t="shared" si="36"/>
        <v>59</v>
      </c>
      <c r="R78" s="8"/>
      <c r="T78"/>
    </row>
    <row r="79" spans="2:20" ht="23.1" customHeight="1" x14ac:dyDescent="0.25">
      <c r="B79" s="45" t="s">
        <v>119</v>
      </c>
      <c r="C79" s="50">
        <v>29</v>
      </c>
      <c r="D79" s="50">
        <v>5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27</v>
      </c>
      <c r="N79" s="50">
        <v>0</v>
      </c>
      <c r="O79" s="15">
        <f t="shared" si="35"/>
        <v>35</v>
      </c>
      <c r="P79" s="15">
        <f t="shared" si="36"/>
        <v>62</v>
      </c>
      <c r="R79" s="8"/>
      <c r="T79"/>
    </row>
    <row r="80" spans="2:20" ht="23.1" customHeight="1" x14ac:dyDescent="0.25">
      <c r="B80" s="47" t="s">
        <v>120</v>
      </c>
      <c r="C80" s="50">
        <v>43</v>
      </c>
      <c r="D80" s="50">
        <v>1</v>
      </c>
      <c r="E80" s="50">
        <v>1</v>
      </c>
      <c r="F80" s="50">
        <v>1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34</v>
      </c>
      <c r="N80" s="50">
        <v>0</v>
      </c>
      <c r="O80" s="15">
        <f t="shared" si="35"/>
        <v>47</v>
      </c>
      <c r="P80" s="15">
        <f t="shared" si="36"/>
        <v>81</v>
      </c>
      <c r="R80" s="8"/>
      <c r="T80"/>
    </row>
    <row r="81" spans="2:20" ht="23.1" customHeight="1" x14ac:dyDescent="0.25">
      <c r="B81" s="45" t="s">
        <v>121</v>
      </c>
      <c r="C81" s="50">
        <v>20</v>
      </c>
      <c r="D81" s="50">
        <v>6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24</v>
      </c>
      <c r="N81" s="50">
        <v>0</v>
      </c>
      <c r="O81" s="15">
        <f t="shared" si="35"/>
        <v>27</v>
      </c>
      <c r="P81" s="15">
        <f t="shared" si="36"/>
        <v>51</v>
      </c>
      <c r="R81" s="8"/>
      <c r="T81"/>
    </row>
    <row r="82" spans="2:20" ht="23.1" customHeight="1" x14ac:dyDescent="0.25">
      <c r="B82" s="46" t="s">
        <v>122</v>
      </c>
      <c r="C82" s="50">
        <v>28</v>
      </c>
      <c r="D82" s="50">
        <v>4</v>
      </c>
      <c r="E82" s="50">
        <v>2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24</v>
      </c>
      <c r="N82" s="50">
        <v>0</v>
      </c>
      <c r="O82" s="15">
        <f t="shared" si="35"/>
        <v>35</v>
      </c>
      <c r="P82" s="15">
        <f t="shared" si="36"/>
        <v>59</v>
      </c>
      <c r="R82" s="8"/>
      <c r="T82"/>
    </row>
    <row r="83" spans="2:20" ht="23.1" customHeight="1" x14ac:dyDescent="0.25">
      <c r="B83" s="45" t="s">
        <v>123</v>
      </c>
      <c r="C83" s="50">
        <v>25</v>
      </c>
      <c r="D83" s="50">
        <v>4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22</v>
      </c>
      <c r="N83" s="50">
        <v>0</v>
      </c>
      <c r="O83" s="15">
        <f t="shared" si="35"/>
        <v>29</v>
      </c>
      <c r="P83" s="15">
        <f t="shared" si="36"/>
        <v>51</v>
      </c>
      <c r="R83" s="8"/>
      <c r="T83"/>
    </row>
    <row r="84" spans="2:20" ht="23.1" customHeight="1" x14ac:dyDescent="0.25">
      <c r="B84" s="47" t="s">
        <v>124</v>
      </c>
      <c r="C84" s="50">
        <v>12</v>
      </c>
      <c r="D84" s="50">
        <v>2</v>
      </c>
      <c r="E84" s="50">
        <v>2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1</v>
      </c>
      <c r="L84" s="50">
        <v>0</v>
      </c>
      <c r="M84" s="50">
        <v>22</v>
      </c>
      <c r="N84" s="50">
        <v>0</v>
      </c>
      <c r="O84" s="15">
        <f t="shared" si="35"/>
        <v>18</v>
      </c>
      <c r="P84" s="15">
        <f t="shared" si="36"/>
        <v>40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1</v>
      </c>
      <c r="E85" s="50">
        <v>2</v>
      </c>
      <c r="F85" s="50">
        <v>1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12</v>
      </c>
      <c r="N85" s="50">
        <v>0</v>
      </c>
      <c r="O85" s="15">
        <f t="shared" si="35"/>
        <v>20</v>
      </c>
      <c r="P85" s="15">
        <f t="shared" si="36"/>
        <v>32</v>
      </c>
      <c r="R85" s="8"/>
      <c r="T85"/>
    </row>
    <row r="86" spans="2:20" ht="23.1" customHeight="1" x14ac:dyDescent="0.25">
      <c r="B86" s="46" t="s">
        <v>126</v>
      </c>
      <c r="C86" s="50">
        <v>11</v>
      </c>
      <c r="D86" s="50">
        <v>2</v>
      </c>
      <c r="E86" s="50">
        <v>3</v>
      </c>
      <c r="F86" s="50">
        <v>3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21</v>
      </c>
      <c r="N86" s="50">
        <v>0</v>
      </c>
      <c r="O86" s="15">
        <f t="shared" si="35"/>
        <v>19</v>
      </c>
      <c r="P86" s="15">
        <f t="shared" si="36"/>
        <v>40</v>
      </c>
      <c r="R86" s="8"/>
      <c r="T86"/>
    </row>
    <row r="87" spans="2:20" ht="23.1" customHeight="1" x14ac:dyDescent="0.25">
      <c r="B87" s="45" t="s">
        <v>127</v>
      </c>
      <c r="C87" s="50">
        <v>12</v>
      </c>
      <c r="D87" s="50">
        <v>3</v>
      </c>
      <c r="E87" s="50">
        <v>1</v>
      </c>
      <c r="F87" s="50">
        <v>1</v>
      </c>
      <c r="G87" s="50">
        <v>0</v>
      </c>
      <c r="H87" s="50">
        <v>0</v>
      </c>
      <c r="I87" s="50">
        <v>0</v>
      </c>
      <c r="J87" s="50">
        <v>0</v>
      </c>
      <c r="K87" s="50">
        <v>1</v>
      </c>
      <c r="L87" s="50">
        <v>0</v>
      </c>
      <c r="M87" s="50">
        <v>17</v>
      </c>
      <c r="N87" s="50">
        <v>0</v>
      </c>
      <c r="O87" s="15">
        <f t="shared" si="35"/>
        <v>18</v>
      </c>
      <c r="P87" s="15">
        <f t="shared" si="36"/>
        <v>35</v>
      </c>
      <c r="R87" s="8"/>
      <c r="T87"/>
    </row>
    <row r="88" spans="2:20" ht="23.1" customHeight="1" x14ac:dyDescent="0.25">
      <c r="B88" s="47" t="s">
        <v>128</v>
      </c>
      <c r="C88" s="50">
        <v>11</v>
      </c>
      <c r="D88" s="50">
        <v>4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0</v>
      </c>
      <c r="M88" s="50">
        <v>18</v>
      </c>
      <c r="N88" s="50">
        <v>0</v>
      </c>
      <c r="O88" s="15">
        <f t="shared" si="35"/>
        <v>17</v>
      </c>
      <c r="P88" s="15">
        <f t="shared" si="36"/>
        <v>35</v>
      </c>
      <c r="R88" s="8"/>
      <c r="T88"/>
    </row>
    <row r="89" spans="2:20" ht="23.1" customHeight="1" x14ac:dyDescent="0.25">
      <c r="B89" s="45" t="s">
        <v>129</v>
      </c>
      <c r="C89" s="50">
        <v>17</v>
      </c>
      <c r="D89" s="50">
        <v>1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10</v>
      </c>
      <c r="N89" s="50">
        <v>0</v>
      </c>
      <c r="O89" s="15">
        <f t="shared" si="35"/>
        <v>18</v>
      </c>
      <c r="P89" s="15">
        <f t="shared" si="36"/>
        <v>28</v>
      </c>
      <c r="R89" s="8"/>
      <c r="T89"/>
    </row>
    <row r="90" spans="2:20" ht="23.1" customHeight="1" x14ac:dyDescent="0.25">
      <c r="B90" s="46" t="s">
        <v>130</v>
      </c>
      <c r="C90" s="50">
        <v>8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19</v>
      </c>
      <c r="N90" s="50">
        <v>0</v>
      </c>
      <c r="O90" s="15">
        <f t="shared" si="35"/>
        <v>9</v>
      </c>
      <c r="P90" s="15">
        <f t="shared" si="36"/>
        <v>28</v>
      </c>
      <c r="R90" s="8"/>
      <c r="T90"/>
    </row>
    <row r="91" spans="2:20" ht="23.1" customHeight="1" x14ac:dyDescent="0.25">
      <c r="B91" s="45" t="s">
        <v>131</v>
      </c>
      <c r="C91" s="50">
        <v>12</v>
      </c>
      <c r="D91" s="50">
        <v>1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6</v>
      </c>
      <c r="N91" s="50">
        <v>0</v>
      </c>
      <c r="O91" s="15">
        <f t="shared" si="35"/>
        <v>14</v>
      </c>
      <c r="P91" s="15">
        <f t="shared" si="36"/>
        <v>20</v>
      </c>
      <c r="R91" s="8"/>
      <c r="T91"/>
    </row>
    <row r="92" spans="2:20" ht="23.1" customHeight="1" x14ac:dyDescent="0.25">
      <c r="B92" s="47" t="s">
        <v>132</v>
      </c>
      <c r="C92" s="50">
        <v>10</v>
      </c>
      <c r="D92" s="50">
        <v>1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11</v>
      </c>
      <c r="N92" s="50">
        <v>0</v>
      </c>
      <c r="O92" s="15">
        <f t="shared" si="35"/>
        <v>12</v>
      </c>
      <c r="P92" s="15">
        <f t="shared" si="36"/>
        <v>23</v>
      </c>
      <c r="R92" s="8"/>
      <c r="T92"/>
    </row>
    <row r="93" spans="2:20" ht="23.1" customHeight="1" x14ac:dyDescent="0.25">
      <c r="B93" s="45" t="s">
        <v>133</v>
      </c>
      <c r="C93" s="50">
        <v>23</v>
      </c>
      <c r="D93" s="50">
        <v>1</v>
      </c>
      <c r="E93" s="50">
        <v>1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25</v>
      </c>
      <c r="N93" s="50">
        <v>0</v>
      </c>
      <c r="O93" s="15">
        <f t="shared" si="35"/>
        <v>26</v>
      </c>
      <c r="P93" s="15">
        <f t="shared" si="36"/>
        <v>51</v>
      </c>
      <c r="R93" s="8"/>
      <c r="T93"/>
    </row>
    <row r="94" spans="2:20" ht="23.1" customHeight="1" x14ac:dyDescent="0.25">
      <c r="B94" s="46" t="s">
        <v>134</v>
      </c>
      <c r="C94" s="50">
        <v>10</v>
      </c>
      <c r="D94" s="50">
        <v>3</v>
      </c>
      <c r="E94" s="50">
        <v>5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26</v>
      </c>
      <c r="N94" s="50">
        <v>0</v>
      </c>
      <c r="O94" s="15">
        <f t="shared" si="35"/>
        <v>18</v>
      </c>
      <c r="P94" s="15">
        <f t="shared" si="36"/>
        <v>44</v>
      </c>
      <c r="R94" s="8"/>
      <c r="T94"/>
    </row>
    <row r="95" spans="2:20" ht="23.1" customHeight="1" x14ac:dyDescent="0.25">
      <c r="B95" s="45" t="s">
        <v>135</v>
      </c>
      <c r="C95" s="50">
        <v>16</v>
      </c>
      <c r="D95" s="50">
        <v>1</v>
      </c>
      <c r="E95" s="50">
        <v>2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28</v>
      </c>
      <c r="N95" s="50">
        <v>0</v>
      </c>
      <c r="O95" s="15">
        <f t="shared" si="35"/>
        <v>19</v>
      </c>
      <c r="P95" s="15">
        <f t="shared" si="36"/>
        <v>47</v>
      </c>
      <c r="R95" s="8"/>
      <c r="T95"/>
    </row>
    <row r="96" spans="2:20" ht="23.1" customHeight="1" x14ac:dyDescent="0.25">
      <c r="B96" s="47" t="s">
        <v>136</v>
      </c>
      <c r="C96" s="50">
        <v>17</v>
      </c>
      <c r="D96" s="50">
        <v>6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17</v>
      </c>
      <c r="N96" s="50">
        <v>0</v>
      </c>
      <c r="O96" s="15">
        <f t="shared" si="35"/>
        <v>23</v>
      </c>
      <c r="P96" s="15">
        <f t="shared" si="36"/>
        <v>40</v>
      </c>
      <c r="R96" s="8"/>
      <c r="T96"/>
    </row>
    <row r="97" spans="2:20" ht="23.1" customHeight="1" x14ac:dyDescent="0.25">
      <c r="B97" s="45" t="s">
        <v>137</v>
      </c>
      <c r="C97" s="50">
        <v>14</v>
      </c>
      <c r="D97" s="50">
        <v>4</v>
      </c>
      <c r="E97" s="50">
        <v>6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25</v>
      </c>
      <c r="N97" s="50">
        <v>0</v>
      </c>
      <c r="O97" s="15">
        <f t="shared" si="35"/>
        <v>25</v>
      </c>
      <c r="P97" s="15">
        <f t="shared" si="36"/>
        <v>50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1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17</v>
      </c>
      <c r="N98" s="50">
        <v>0</v>
      </c>
      <c r="O98" s="15">
        <f t="shared" si="35"/>
        <v>4</v>
      </c>
      <c r="P98" s="15">
        <f t="shared" si="36"/>
        <v>21</v>
      </c>
      <c r="R98" s="8"/>
      <c r="T98"/>
    </row>
    <row r="99" spans="2:20" ht="23.1" customHeight="1" x14ac:dyDescent="0.25">
      <c r="B99" s="45" t="s">
        <v>139</v>
      </c>
      <c r="C99" s="50">
        <v>15</v>
      </c>
      <c r="D99" s="50">
        <v>1</v>
      </c>
      <c r="E99" s="50">
        <v>1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10</v>
      </c>
      <c r="N99" s="50">
        <v>0</v>
      </c>
      <c r="O99" s="15">
        <f t="shared" si="35"/>
        <v>18</v>
      </c>
      <c r="P99" s="15">
        <f t="shared" si="36"/>
        <v>28</v>
      </c>
      <c r="R99" s="8"/>
      <c r="T99"/>
    </row>
    <row r="100" spans="2:20" ht="23.1" customHeight="1" x14ac:dyDescent="0.25">
      <c r="B100" s="47" t="s">
        <v>140</v>
      </c>
      <c r="C100" s="50">
        <v>12</v>
      </c>
      <c r="D100" s="50">
        <v>1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14</v>
      </c>
      <c r="N100" s="50">
        <v>0</v>
      </c>
      <c r="O100" s="15">
        <f t="shared" si="35"/>
        <v>14</v>
      </c>
      <c r="P100" s="15">
        <f t="shared" si="36"/>
        <v>28</v>
      </c>
      <c r="R100" s="8"/>
      <c r="T100"/>
    </row>
    <row r="101" spans="2:20" ht="23.1" customHeight="1" x14ac:dyDescent="0.25">
      <c r="B101" s="45" t="s">
        <v>141</v>
      </c>
      <c r="C101" s="50">
        <v>21</v>
      </c>
      <c r="D101" s="50">
        <v>1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24</v>
      </c>
      <c r="N101" s="50">
        <v>0</v>
      </c>
      <c r="O101" s="15">
        <f t="shared" si="35"/>
        <v>22</v>
      </c>
      <c r="P101" s="15">
        <f t="shared" si="36"/>
        <v>46</v>
      </c>
      <c r="R101" s="8"/>
      <c r="T101"/>
    </row>
    <row r="102" spans="2:20" ht="23.1" customHeight="1" x14ac:dyDescent="0.25">
      <c r="B102" s="46" t="s">
        <v>142</v>
      </c>
      <c r="C102" s="50">
        <v>32</v>
      </c>
      <c r="D102" s="50">
        <v>2</v>
      </c>
      <c r="E102" s="50">
        <v>1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29</v>
      </c>
      <c r="N102" s="50">
        <v>0</v>
      </c>
      <c r="O102" s="15">
        <f t="shared" si="35"/>
        <v>36</v>
      </c>
      <c r="P102" s="15">
        <f t="shared" si="36"/>
        <v>65</v>
      </c>
      <c r="R102" s="8"/>
      <c r="T102"/>
    </row>
    <row r="103" spans="2:20" ht="23.1" customHeight="1" x14ac:dyDescent="0.25">
      <c r="B103" s="45" t="s">
        <v>143</v>
      </c>
      <c r="C103" s="50">
        <v>33</v>
      </c>
      <c r="D103" s="50">
        <v>2</v>
      </c>
      <c r="E103" s="50">
        <v>2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22</v>
      </c>
      <c r="N103" s="50">
        <v>0</v>
      </c>
      <c r="O103" s="15">
        <f t="shared" si="35"/>
        <v>38</v>
      </c>
      <c r="P103" s="15">
        <f t="shared" si="36"/>
        <v>60</v>
      </c>
      <c r="R103" s="8"/>
      <c r="T103"/>
    </row>
    <row r="104" spans="2:20" ht="23.1" customHeight="1" x14ac:dyDescent="0.25">
      <c r="B104" s="47" t="s">
        <v>144</v>
      </c>
      <c r="C104" s="50">
        <v>26</v>
      </c>
      <c r="D104" s="50">
        <v>0</v>
      </c>
      <c r="E104" s="50">
        <v>2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28</v>
      </c>
      <c r="N104" s="50">
        <v>0</v>
      </c>
      <c r="O104" s="15">
        <f t="shared" si="35"/>
        <v>28</v>
      </c>
      <c r="P104" s="15">
        <f t="shared" si="36"/>
        <v>56</v>
      </c>
      <c r="R104" s="8"/>
      <c r="T104"/>
    </row>
    <row r="105" spans="2:20" ht="23.1" customHeight="1" x14ac:dyDescent="0.25">
      <c r="B105" s="45" t="s">
        <v>145</v>
      </c>
      <c r="C105" s="50">
        <v>19</v>
      </c>
      <c r="D105" s="50">
        <v>1</v>
      </c>
      <c r="E105" s="50">
        <v>0</v>
      </c>
      <c r="F105" s="50">
        <v>1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31</v>
      </c>
      <c r="N105" s="50">
        <v>0</v>
      </c>
      <c r="O105" s="15">
        <f t="shared" si="35"/>
        <v>21</v>
      </c>
      <c r="P105" s="15">
        <f t="shared" si="36"/>
        <v>52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4574</v>
      </c>
      <c r="D106" s="16">
        <f t="shared" ref="D106:P106" si="37">SUM(D10:D105)</f>
        <v>969</v>
      </c>
      <c r="E106" s="16">
        <f t="shared" si="37"/>
        <v>846</v>
      </c>
      <c r="F106" s="16">
        <f t="shared" si="37"/>
        <v>869</v>
      </c>
      <c r="G106" s="16">
        <f t="shared" si="37"/>
        <v>25</v>
      </c>
      <c r="H106" s="16">
        <f t="shared" si="37"/>
        <v>4</v>
      </c>
      <c r="I106" s="16">
        <f t="shared" si="37"/>
        <v>223</v>
      </c>
      <c r="J106" s="16">
        <f t="shared" si="37"/>
        <v>48</v>
      </c>
      <c r="K106" s="16">
        <f t="shared" si="37"/>
        <v>12</v>
      </c>
      <c r="L106" s="16">
        <f t="shared" si="37"/>
        <v>11</v>
      </c>
      <c r="M106" s="16">
        <f t="shared" si="37"/>
        <v>6175</v>
      </c>
      <c r="N106" s="16">
        <f t="shared" si="37"/>
        <v>2</v>
      </c>
      <c r="O106" s="16">
        <f t="shared" si="37"/>
        <v>7583</v>
      </c>
      <c r="P106" s="16">
        <f t="shared" si="37"/>
        <v>13758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0.33246111353394386</v>
      </c>
      <c r="D107" s="43">
        <f t="shared" si="38"/>
        <v>7.0431748800697774E-2</v>
      </c>
      <c r="E107" s="43">
        <f t="shared" si="38"/>
        <v>6.1491495856955951E-2</v>
      </c>
      <c r="F107" s="43">
        <f t="shared" si="38"/>
        <v>6.3163250472452387E-2</v>
      </c>
      <c r="G107" s="43">
        <f t="shared" si="38"/>
        <v>1.8171245820613462E-3</v>
      </c>
      <c r="H107" s="43">
        <f t="shared" si="38"/>
        <v>2.9073993312981537E-4</v>
      </c>
      <c r="I107" s="43">
        <f t="shared" si="38"/>
        <v>1.6208751271987207E-2</v>
      </c>
      <c r="J107" s="43">
        <f t="shared" si="38"/>
        <v>3.4888791975577847E-3</v>
      </c>
      <c r="K107" s="43">
        <f t="shared" si="38"/>
        <v>8.7221979938944616E-4</v>
      </c>
      <c r="L107" s="43">
        <f t="shared" si="38"/>
        <v>7.9953481610699228E-4</v>
      </c>
      <c r="M107" s="43">
        <f t="shared" si="38"/>
        <v>0.44882977176915251</v>
      </c>
      <c r="N107" s="43">
        <f t="shared" si="38"/>
        <v>1.4536996656490768E-4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0.60319134907028882</v>
      </c>
      <c r="D108" s="44">
        <f t="shared" ref="D108:N108" si="39">D106/$O$106</f>
        <v>0.12778583674007649</v>
      </c>
      <c r="E108" s="44">
        <f t="shared" si="39"/>
        <v>0.1115653435315838</v>
      </c>
      <c r="F108" s="44">
        <f t="shared" si="39"/>
        <v>0.11459844388764341</v>
      </c>
      <c r="G108" s="44">
        <f t="shared" si="39"/>
        <v>3.2968482131082687E-3</v>
      </c>
      <c r="H108" s="44">
        <f t="shared" si="39"/>
        <v>5.2749571409732294E-4</v>
      </c>
      <c r="I108" s="44">
        <f t="shared" si="39"/>
        <v>2.9407886060925755E-2</v>
      </c>
      <c r="J108" s="44">
        <f t="shared" si="39"/>
        <v>6.3299485691678753E-3</v>
      </c>
      <c r="K108" s="44">
        <f t="shared" si="39"/>
        <v>1.5824871422919688E-3</v>
      </c>
      <c r="L108" s="44">
        <f t="shared" si="39"/>
        <v>1.450613213767638E-3</v>
      </c>
      <c r="M108" s="44"/>
      <c r="N108" s="44">
        <f t="shared" si="39"/>
        <v>2.6374785704866147E-4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Bugolobi-Nakawa'!C3:G3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3" t="str">
        <f>'03.08 Nakawa-Bugolobi-24h'!G5:H5</f>
        <v>Business Park</v>
      </c>
      <c r="H5" s="64"/>
      <c r="I5" s="14"/>
      <c r="J5" s="2" t="s">
        <v>5</v>
      </c>
      <c r="K5" s="63" t="str">
        <f>'03.08 Nakawa-Bugolobi-24h'!K5:L5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Bugolobi-Nakawa'!D6:E6</f>
        <v>Bugolobi</v>
      </c>
      <c r="E6" s="64"/>
      <c r="F6" s="2" t="s">
        <v>2</v>
      </c>
      <c r="G6" s="63" t="str">
        <f>'29.07 Bugolobi-Nakawa'!G6:H6</f>
        <v>Nakawa</v>
      </c>
      <c r="H6" s="64"/>
      <c r="J6" s="2" t="s">
        <v>21</v>
      </c>
      <c r="K6" s="63" t="str">
        <f>'03.08 Nakawa-Bugolobi-24h'!K6:L6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0</v>
      </c>
      <c r="E10" s="50">
        <v>4</v>
      </c>
      <c r="F10" s="50">
        <v>6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16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33</v>
      </c>
      <c r="R10" s="1" t="s">
        <v>6</v>
      </c>
      <c r="S10" s="17">
        <f t="shared" ref="S10:AF10" si="2">SUM(C10:C13)</f>
        <v>46</v>
      </c>
      <c r="T10" s="17">
        <f t="shared" si="2"/>
        <v>4</v>
      </c>
      <c r="U10" s="17">
        <f t="shared" si="2"/>
        <v>5</v>
      </c>
      <c r="V10" s="17">
        <f t="shared" si="2"/>
        <v>36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109</v>
      </c>
      <c r="AD10" s="17">
        <f t="shared" si="2"/>
        <v>0</v>
      </c>
      <c r="AE10" s="31">
        <f t="shared" si="2"/>
        <v>98</v>
      </c>
      <c r="AF10" s="31">
        <f t="shared" si="2"/>
        <v>207</v>
      </c>
    </row>
    <row r="11" spans="2:32" s="6" customFormat="1" ht="23.1" customHeight="1" x14ac:dyDescent="0.25">
      <c r="B11" s="23" t="s">
        <v>38</v>
      </c>
      <c r="C11" s="50">
        <v>4</v>
      </c>
      <c r="D11" s="50">
        <v>1</v>
      </c>
      <c r="E11" s="50">
        <v>0</v>
      </c>
      <c r="F11" s="50">
        <v>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22</v>
      </c>
      <c r="N11" s="50">
        <v>0</v>
      </c>
      <c r="O11" s="15">
        <f t="shared" si="0"/>
        <v>9</v>
      </c>
      <c r="P11" s="15">
        <f t="shared" si="1"/>
        <v>31</v>
      </c>
      <c r="R11" s="1" t="s">
        <v>7</v>
      </c>
      <c r="S11" s="17">
        <f t="shared" ref="S11:AF11" si="3">SUM(C14:C17)</f>
        <v>109</v>
      </c>
      <c r="T11" s="17">
        <f t="shared" si="3"/>
        <v>16</v>
      </c>
      <c r="U11" s="17">
        <f t="shared" si="3"/>
        <v>13</v>
      </c>
      <c r="V11" s="17">
        <f t="shared" si="3"/>
        <v>116</v>
      </c>
      <c r="W11" s="17">
        <f t="shared" si="3"/>
        <v>1</v>
      </c>
      <c r="X11" s="17">
        <f t="shared" si="3"/>
        <v>0</v>
      </c>
      <c r="Y11" s="17">
        <f t="shared" si="3"/>
        <v>11</v>
      </c>
      <c r="Z11" s="17">
        <f t="shared" si="3"/>
        <v>5</v>
      </c>
      <c r="AA11" s="17">
        <f t="shared" si="3"/>
        <v>1</v>
      </c>
      <c r="AB11" s="17">
        <f t="shared" si="3"/>
        <v>0</v>
      </c>
      <c r="AC11" s="17">
        <f t="shared" si="3"/>
        <v>171</v>
      </c>
      <c r="AD11" s="17">
        <f t="shared" si="3"/>
        <v>0</v>
      </c>
      <c r="AE11" s="31">
        <f t="shared" si="3"/>
        <v>272</v>
      </c>
      <c r="AF11" s="31">
        <f t="shared" si="3"/>
        <v>443</v>
      </c>
    </row>
    <row r="12" spans="2:32" ht="23.1" customHeight="1" x14ac:dyDescent="0.25">
      <c r="B12" s="23" t="s">
        <v>39</v>
      </c>
      <c r="C12" s="50">
        <v>13</v>
      </c>
      <c r="D12" s="50">
        <v>0</v>
      </c>
      <c r="E12" s="50">
        <v>0</v>
      </c>
      <c r="F12" s="50">
        <v>11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34</v>
      </c>
      <c r="N12" s="50">
        <v>0</v>
      </c>
      <c r="O12" s="15">
        <f t="shared" si="0"/>
        <v>26</v>
      </c>
      <c r="P12" s="15">
        <f t="shared" si="1"/>
        <v>60</v>
      </c>
      <c r="R12" s="1" t="s">
        <v>8</v>
      </c>
      <c r="S12" s="17">
        <f t="shared" ref="S12:AF12" si="4">SUM(C18:C21)</f>
        <v>88</v>
      </c>
      <c r="T12" s="17">
        <f t="shared" si="4"/>
        <v>21</v>
      </c>
      <c r="U12" s="17">
        <f t="shared" si="4"/>
        <v>19</v>
      </c>
      <c r="V12" s="17">
        <f t="shared" si="4"/>
        <v>28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118</v>
      </c>
      <c r="AD12" s="17">
        <f t="shared" si="4"/>
        <v>0</v>
      </c>
      <c r="AE12" s="31">
        <f t="shared" si="4"/>
        <v>161</v>
      </c>
      <c r="AF12" s="31">
        <f t="shared" si="4"/>
        <v>279</v>
      </c>
    </row>
    <row r="13" spans="2:32" ht="23.1" customHeight="1" x14ac:dyDescent="0.25">
      <c r="B13" s="23" t="s">
        <v>40</v>
      </c>
      <c r="C13" s="50">
        <v>22</v>
      </c>
      <c r="D13" s="50">
        <v>3</v>
      </c>
      <c r="E13" s="50">
        <v>1</v>
      </c>
      <c r="F13" s="50">
        <v>15</v>
      </c>
      <c r="G13" s="50">
        <v>0</v>
      </c>
      <c r="H13" s="50">
        <v>0</v>
      </c>
      <c r="I13" s="50">
        <v>1</v>
      </c>
      <c r="J13" s="50">
        <v>3</v>
      </c>
      <c r="K13" s="50">
        <v>1</v>
      </c>
      <c r="L13" s="50">
        <v>0</v>
      </c>
      <c r="M13" s="50">
        <v>37</v>
      </c>
      <c r="N13" s="50">
        <v>0</v>
      </c>
      <c r="O13" s="15">
        <f t="shared" si="0"/>
        <v>46</v>
      </c>
      <c r="P13" s="15">
        <f t="shared" si="1"/>
        <v>83</v>
      </c>
      <c r="R13" s="1" t="s">
        <v>9</v>
      </c>
      <c r="S13" s="17">
        <f t="shared" ref="S13:AF13" si="5">SUM(C22:C25)</f>
        <v>118</v>
      </c>
      <c r="T13" s="17">
        <f t="shared" si="5"/>
        <v>22</v>
      </c>
      <c r="U13" s="17">
        <f t="shared" si="5"/>
        <v>25</v>
      </c>
      <c r="V13" s="17">
        <f t="shared" si="5"/>
        <v>43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7</v>
      </c>
      <c r="AA13" s="17">
        <f t="shared" si="5"/>
        <v>0</v>
      </c>
      <c r="AB13" s="17">
        <f t="shared" si="5"/>
        <v>0</v>
      </c>
      <c r="AC13" s="17">
        <f t="shared" si="5"/>
        <v>233</v>
      </c>
      <c r="AD13" s="17">
        <f t="shared" si="5"/>
        <v>0</v>
      </c>
      <c r="AE13" s="31">
        <f t="shared" si="5"/>
        <v>219</v>
      </c>
      <c r="AF13" s="31">
        <f t="shared" si="5"/>
        <v>452</v>
      </c>
    </row>
    <row r="14" spans="2:32" ht="23.1" customHeight="1" x14ac:dyDescent="0.25">
      <c r="B14" s="23" t="s">
        <v>41</v>
      </c>
      <c r="C14" s="50">
        <v>23</v>
      </c>
      <c r="D14" s="50">
        <v>4</v>
      </c>
      <c r="E14" s="50">
        <v>2</v>
      </c>
      <c r="F14" s="50">
        <v>29</v>
      </c>
      <c r="G14" s="50">
        <v>1</v>
      </c>
      <c r="H14" s="50">
        <v>0</v>
      </c>
      <c r="I14" s="50">
        <v>3</v>
      </c>
      <c r="J14" s="50">
        <v>1</v>
      </c>
      <c r="K14" s="50">
        <v>0</v>
      </c>
      <c r="L14" s="50">
        <v>0</v>
      </c>
      <c r="M14" s="50">
        <v>28</v>
      </c>
      <c r="N14" s="50">
        <v>0</v>
      </c>
      <c r="O14" s="15">
        <f t="shared" si="0"/>
        <v>63</v>
      </c>
      <c r="P14" s="15">
        <f t="shared" si="1"/>
        <v>91</v>
      </c>
      <c r="R14" s="1" t="s">
        <v>10</v>
      </c>
      <c r="S14" s="17">
        <f t="shared" ref="S14:AF14" si="6">SUM(C26:C29)</f>
        <v>192</v>
      </c>
      <c r="T14" s="17">
        <f t="shared" si="6"/>
        <v>26</v>
      </c>
      <c r="U14" s="17">
        <f t="shared" si="6"/>
        <v>28</v>
      </c>
      <c r="V14" s="17">
        <f t="shared" si="6"/>
        <v>38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268</v>
      </c>
      <c r="AD14" s="17">
        <f t="shared" si="6"/>
        <v>0</v>
      </c>
      <c r="AE14" s="31">
        <f t="shared" si="6"/>
        <v>288</v>
      </c>
      <c r="AF14" s="31">
        <f t="shared" si="6"/>
        <v>556</v>
      </c>
    </row>
    <row r="15" spans="2:32" ht="23.1" customHeight="1" x14ac:dyDescent="0.25">
      <c r="B15" s="23" t="s">
        <v>42</v>
      </c>
      <c r="C15" s="50">
        <v>24</v>
      </c>
      <c r="D15" s="50">
        <v>8</v>
      </c>
      <c r="E15" s="50">
        <v>8</v>
      </c>
      <c r="F15" s="50">
        <v>30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38</v>
      </c>
      <c r="N15" s="50">
        <v>0</v>
      </c>
      <c r="O15" s="15">
        <f t="shared" si="0"/>
        <v>73</v>
      </c>
      <c r="P15" s="15">
        <f t="shared" si="1"/>
        <v>111</v>
      </c>
      <c r="R15" s="1" t="s">
        <v>11</v>
      </c>
      <c r="S15" s="17">
        <f t="shared" ref="S15:AF15" si="7">SUM(C30:C33)</f>
        <v>119</v>
      </c>
      <c r="T15" s="17">
        <f t="shared" si="7"/>
        <v>29</v>
      </c>
      <c r="U15" s="17">
        <f t="shared" si="7"/>
        <v>19</v>
      </c>
      <c r="V15" s="17">
        <f t="shared" si="7"/>
        <v>20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1</v>
      </c>
      <c r="AA15" s="17">
        <f t="shared" si="7"/>
        <v>2</v>
      </c>
      <c r="AB15" s="17">
        <f t="shared" si="7"/>
        <v>0</v>
      </c>
      <c r="AC15" s="17">
        <f t="shared" si="7"/>
        <v>183</v>
      </c>
      <c r="AD15" s="17">
        <f t="shared" si="7"/>
        <v>0</v>
      </c>
      <c r="AE15" s="31">
        <f t="shared" si="7"/>
        <v>195</v>
      </c>
      <c r="AF15" s="31">
        <f t="shared" si="7"/>
        <v>378</v>
      </c>
    </row>
    <row r="16" spans="2:32" ht="23.1" customHeight="1" x14ac:dyDescent="0.25">
      <c r="B16" s="23" t="s">
        <v>43</v>
      </c>
      <c r="C16" s="50">
        <v>38</v>
      </c>
      <c r="D16" s="50">
        <v>3</v>
      </c>
      <c r="E16" s="50">
        <v>1</v>
      </c>
      <c r="F16" s="50">
        <v>29</v>
      </c>
      <c r="G16" s="50">
        <v>0</v>
      </c>
      <c r="H16" s="50">
        <v>0</v>
      </c>
      <c r="I16" s="50">
        <v>6</v>
      </c>
      <c r="J16" s="50">
        <v>1</v>
      </c>
      <c r="K16" s="50">
        <v>1</v>
      </c>
      <c r="L16" s="50">
        <v>0</v>
      </c>
      <c r="M16" s="50">
        <v>57</v>
      </c>
      <c r="N16" s="50">
        <v>0</v>
      </c>
      <c r="O16" s="15">
        <f t="shared" si="0"/>
        <v>79</v>
      </c>
      <c r="P16" s="15">
        <f t="shared" si="1"/>
        <v>136</v>
      </c>
      <c r="R16" s="1" t="s">
        <v>12</v>
      </c>
      <c r="S16" s="17">
        <f t="shared" ref="S16:AF16" si="8">SUM(C34:C37)</f>
        <v>157</v>
      </c>
      <c r="T16" s="17">
        <f t="shared" si="8"/>
        <v>35</v>
      </c>
      <c r="U16" s="17">
        <f t="shared" si="8"/>
        <v>23</v>
      </c>
      <c r="V16" s="17">
        <f t="shared" si="8"/>
        <v>35</v>
      </c>
      <c r="W16" s="17">
        <f t="shared" si="8"/>
        <v>1</v>
      </c>
      <c r="X16" s="17">
        <f t="shared" si="8"/>
        <v>0</v>
      </c>
      <c r="Y16" s="17">
        <f t="shared" si="8"/>
        <v>3</v>
      </c>
      <c r="Z16" s="17">
        <f t="shared" si="8"/>
        <v>4</v>
      </c>
      <c r="AA16" s="17">
        <f t="shared" si="8"/>
        <v>2</v>
      </c>
      <c r="AB16" s="17">
        <f t="shared" si="8"/>
        <v>0</v>
      </c>
      <c r="AC16" s="17">
        <f t="shared" si="8"/>
        <v>149</v>
      </c>
      <c r="AD16" s="17">
        <f t="shared" si="8"/>
        <v>0</v>
      </c>
      <c r="AE16" s="31">
        <f t="shared" si="8"/>
        <v>260</v>
      </c>
      <c r="AF16" s="31">
        <f t="shared" si="8"/>
        <v>409</v>
      </c>
    </row>
    <row r="17" spans="2:32" ht="23.1" customHeight="1" x14ac:dyDescent="0.25">
      <c r="B17" s="23" t="s">
        <v>44</v>
      </c>
      <c r="C17" s="50">
        <v>24</v>
      </c>
      <c r="D17" s="50">
        <v>1</v>
      </c>
      <c r="E17" s="50">
        <v>2</v>
      </c>
      <c r="F17" s="50">
        <v>28</v>
      </c>
      <c r="G17" s="50">
        <v>0</v>
      </c>
      <c r="H17" s="50">
        <v>0</v>
      </c>
      <c r="I17" s="50">
        <v>0</v>
      </c>
      <c r="J17" s="50">
        <v>2</v>
      </c>
      <c r="K17" s="50">
        <v>0</v>
      </c>
      <c r="L17" s="50">
        <v>0</v>
      </c>
      <c r="M17" s="50">
        <v>48</v>
      </c>
      <c r="N17" s="50">
        <v>0</v>
      </c>
      <c r="O17" s="15">
        <f t="shared" si="0"/>
        <v>57</v>
      </c>
      <c r="P17" s="15">
        <f t="shared" si="1"/>
        <v>105</v>
      </c>
      <c r="R17" s="1" t="s">
        <v>13</v>
      </c>
      <c r="S17" s="17">
        <f t="shared" ref="S17:AF17" si="9">SUM(C38:C41)</f>
        <v>231</v>
      </c>
      <c r="T17" s="17">
        <f t="shared" si="9"/>
        <v>53</v>
      </c>
      <c r="U17" s="17">
        <f t="shared" si="9"/>
        <v>26</v>
      </c>
      <c r="V17" s="17">
        <f t="shared" si="9"/>
        <v>31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2</v>
      </c>
      <c r="AA17" s="17">
        <f t="shared" si="9"/>
        <v>0</v>
      </c>
      <c r="AB17" s="17">
        <f t="shared" si="9"/>
        <v>1</v>
      </c>
      <c r="AC17" s="17">
        <f t="shared" si="9"/>
        <v>229</v>
      </c>
      <c r="AD17" s="17">
        <f t="shared" si="9"/>
        <v>0</v>
      </c>
      <c r="AE17" s="31">
        <f t="shared" si="9"/>
        <v>350</v>
      </c>
      <c r="AF17" s="31">
        <f t="shared" si="9"/>
        <v>579</v>
      </c>
    </row>
    <row r="18" spans="2:32" ht="23.1" customHeight="1" x14ac:dyDescent="0.25">
      <c r="B18" s="23" t="s">
        <v>45</v>
      </c>
      <c r="C18" s="50">
        <v>33</v>
      </c>
      <c r="D18" s="50">
        <v>5</v>
      </c>
      <c r="E18" s="50">
        <v>6</v>
      </c>
      <c r="F18" s="50">
        <v>6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26</v>
      </c>
      <c r="N18" s="50">
        <v>0</v>
      </c>
      <c r="O18" s="15">
        <f t="shared" si="0"/>
        <v>52</v>
      </c>
      <c r="P18" s="15">
        <f t="shared" si="1"/>
        <v>78</v>
      </c>
      <c r="R18" s="1" t="s">
        <v>14</v>
      </c>
      <c r="S18" s="17">
        <f t="shared" ref="S18:AF18" si="10">SUM(C42:C45)</f>
        <v>208</v>
      </c>
      <c r="T18" s="17">
        <f t="shared" si="10"/>
        <v>46</v>
      </c>
      <c r="U18" s="17">
        <f t="shared" si="10"/>
        <v>18</v>
      </c>
      <c r="V18" s="17">
        <f t="shared" si="10"/>
        <v>26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1</v>
      </c>
      <c r="AA18" s="17">
        <f t="shared" si="10"/>
        <v>1</v>
      </c>
      <c r="AB18" s="17">
        <f t="shared" si="10"/>
        <v>0</v>
      </c>
      <c r="AC18" s="17">
        <f t="shared" si="10"/>
        <v>238</v>
      </c>
      <c r="AD18" s="17">
        <f t="shared" si="10"/>
        <v>0</v>
      </c>
      <c r="AE18" s="31">
        <f t="shared" si="10"/>
        <v>306</v>
      </c>
      <c r="AF18" s="31">
        <f t="shared" si="10"/>
        <v>544</v>
      </c>
    </row>
    <row r="19" spans="2:32" ht="23.1" customHeight="1" x14ac:dyDescent="0.25">
      <c r="B19" s="23" t="s">
        <v>46</v>
      </c>
      <c r="C19" s="50">
        <v>28</v>
      </c>
      <c r="D19" s="50">
        <v>4</v>
      </c>
      <c r="E19" s="50">
        <v>2</v>
      </c>
      <c r="F19" s="50">
        <v>3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18</v>
      </c>
      <c r="N19" s="50">
        <v>0</v>
      </c>
      <c r="O19" s="15">
        <f t="shared" si="0"/>
        <v>37</v>
      </c>
      <c r="P19" s="15">
        <f t="shared" si="1"/>
        <v>55</v>
      </c>
      <c r="R19" s="1" t="s">
        <v>15</v>
      </c>
      <c r="S19" s="17">
        <f t="shared" ref="S19:AF19" si="11">SUM(C46:C49)</f>
        <v>232</v>
      </c>
      <c r="T19" s="17">
        <f t="shared" si="11"/>
        <v>36</v>
      </c>
      <c r="U19" s="17">
        <f t="shared" si="11"/>
        <v>16</v>
      </c>
      <c r="V19" s="17">
        <f t="shared" si="11"/>
        <v>35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265</v>
      </c>
      <c r="AD19" s="17">
        <f t="shared" si="11"/>
        <v>0</v>
      </c>
      <c r="AE19" s="31">
        <f t="shared" si="11"/>
        <v>329</v>
      </c>
      <c r="AF19" s="31">
        <f t="shared" si="11"/>
        <v>594</v>
      </c>
    </row>
    <row r="20" spans="2:32" ht="23.1" customHeight="1" x14ac:dyDescent="0.25">
      <c r="B20" s="23" t="s">
        <v>47</v>
      </c>
      <c r="C20" s="50">
        <v>9</v>
      </c>
      <c r="D20" s="50">
        <v>4</v>
      </c>
      <c r="E20" s="50">
        <v>3</v>
      </c>
      <c r="F20" s="50">
        <v>10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32</v>
      </c>
      <c r="N20" s="50">
        <v>0</v>
      </c>
      <c r="O20" s="15">
        <f t="shared" si="0"/>
        <v>27</v>
      </c>
      <c r="P20" s="15">
        <f t="shared" si="1"/>
        <v>59</v>
      </c>
      <c r="R20" s="1" t="s">
        <v>16</v>
      </c>
      <c r="S20" s="17">
        <f t="shared" ref="S20:AF20" si="12">SUM(C50:C53)</f>
        <v>314</v>
      </c>
      <c r="T20" s="17">
        <f t="shared" si="12"/>
        <v>52</v>
      </c>
      <c r="U20" s="17">
        <f t="shared" si="12"/>
        <v>49</v>
      </c>
      <c r="V20" s="17">
        <f t="shared" si="12"/>
        <v>31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309</v>
      </c>
      <c r="AD20" s="17">
        <f t="shared" si="12"/>
        <v>0</v>
      </c>
      <c r="AE20" s="31">
        <f t="shared" si="12"/>
        <v>452</v>
      </c>
      <c r="AF20" s="31">
        <f t="shared" si="12"/>
        <v>761</v>
      </c>
    </row>
    <row r="21" spans="2:32" ht="23.1" customHeight="1" x14ac:dyDescent="0.25">
      <c r="B21" s="23" t="s">
        <v>48</v>
      </c>
      <c r="C21" s="50">
        <v>18</v>
      </c>
      <c r="D21" s="50">
        <v>8</v>
      </c>
      <c r="E21" s="50">
        <v>8</v>
      </c>
      <c r="F21" s="50">
        <v>9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42</v>
      </c>
      <c r="N21" s="50">
        <v>0</v>
      </c>
      <c r="O21" s="15">
        <f t="shared" si="0"/>
        <v>45</v>
      </c>
      <c r="P21" s="15">
        <f t="shared" si="1"/>
        <v>87</v>
      </c>
      <c r="R21" s="36" t="s">
        <v>20</v>
      </c>
      <c r="S21" s="34">
        <f t="shared" ref="S21:AF21" si="13">SUM(C54:C57)</f>
        <v>262</v>
      </c>
      <c r="T21" s="17">
        <f t="shared" si="13"/>
        <v>66</v>
      </c>
      <c r="U21" s="17">
        <f t="shared" si="13"/>
        <v>70</v>
      </c>
      <c r="V21" s="17">
        <f t="shared" si="13"/>
        <v>28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329</v>
      </c>
      <c r="AD21" s="17">
        <f t="shared" si="13"/>
        <v>0</v>
      </c>
      <c r="AE21" s="31">
        <f t="shared" si="13"/>
        <v>433</v>
      </c>
      <c r="AF21" s="31">
        <f t="shared" si="13"/>
        <v>762</v>
      </c>
    </row>
    <row r="22" spans="2:32" ht="23.1" customHeight="1" x14ac:dyDescent="0.25">
      <c r="B22" s="23" t="s">
        <v>49</v>
      </c>
      <c r="C22" s="50">
        <v>22</v>
      </c>
      <c r="D22" s="50">
        <v>6</v>
      </c>
      <c r="E22" s="50">
        <v>4</v>
      </c>
      <c r="F22" s="50">
        <v>10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46</v>
      </c>
      <c r="N22" s="50">
        <v>0</v>
      </c>
      <c r="O22" s="15">
        <f t="shared" si="0"/>
        <v>43</v>
      </c>
      <c r="P22" s="15">
        <f t="shared" si="1"/>
        <v>89</v>
      </c>
      <c r="R22" s="38" t="s">
        <v>90</v>
      </c>
      <c r="S22" s="39">
        <f>MAX(S10:S12)</f>
        <v>109</v>
      </c>
      <c r="T22" s="39">
        <f t="shared" ref="T22:AF22" si="14">MAX(T10:T12)</f>
        <v>21</v>
      </c>
      <c r="U22" s="39">
        <f t="shared" si="14"/>
        <v>19</v>
      </c>
      <c r="V22" s="39">
        <f t="shared" si="14"/>
        <v>116</v>
      </c>
      <c r="W22" s="39">
        <f t="shared" si="14"/>
        <v>1</v>
      </c>
      <c r="X22" s="39">
        <f t="shared" si="14"/>
        <v>0</v>
      </c>
      <c r="Y22" s="39">
        <f t="shared" si="14"/>
        <v>11</v>
      </c>
      <c r="Z22" s="39">
        <f t="shared" si="14"/>
        <v>5</v>
      </c>
      <c r="AA22" s="39">
        <f t="shared" si="14"/>
        <v>1</v>
      </c>
      <c r="AB22" s="39">
        <f t="shared" si="14"/>
        <v>0</v>
      </c>
      <c r="AC22" s="39">
        <f t="shared" si="14"/>
        <v>171</v>
      </c>
      <c r="AD22" s="39">
        <f t="shared" si="14"/>
        <v>0</v>
      </c>
      <c r="AE22" s="40">
        <f t="shared" si="14"/>
        <v>272</v>
      </c>
      <c r="AF22" s="40">
        <f t="shared" si="14"/>
        <v>443</v>
      </c>
    </row>
    <row r="23" spans="2:32" ht="23.1" customHeight="1" x14ac:dyDescent="0.25">
      <c r="B23" s="23" t="s">
        <v>50</v>
      </c>
      <c r="C23" s="50">
        <v>26</v>
      </c>
      <c r="D23" s="50">
        <v>8</v>
      </c>
      <c r="E23" s="50">
        <v>4</v>
      </c>
      <c r="F23" s="50">
        <v>13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69</v>
      </c>
      <c r="N23" s="50">
        <v>0</v>
      </c>
      <c r="O23" s="15">
        <f t="shared" si="0"/>
        <v>52</v>
      </c>
      <c r="P23" s="15">
        <f t="shared" si="1"/>
        <v>121</v>
      </c>
      <c r="R23" s="38" t="s">
        <v>91</v>
      </c>
      <c r="S23" s="39">
        <f>MAX(S13:S18)</f>
        <v>231</v>
      </c>
      <c r="T23" s="39">
        <f t="shared" ref="T23:AF23" si="15">MAX(T13:T18)</f>
        <v>53</v>
      </c>
      <c r="U23" s="39">
        <f t="shared" si="15"/>
        <v>28</v>
      </c>
      <c r="V23" s="39">
        <f t="shared" si="15"/>
        <v>43</v>
      </c>
      <c r="W23" s="39">
        <f t="shared" si="15"/>
        <v>1</v>
      </c>
      <c r="X23" s="39">
        <f t="shared" si="15"/>
        <v>0</v>
      </c>
      <c r="Y23" s="39">
        <f t="shared" si="15"/>
        <v>6</v>
      </c>
      <c r="Z23" s="39">
        <f t="shared" si="15"/>
        <v>7</v>
      </c>
      <c r="AA23" s="39">
        <f t="shared" si="15"/>
        <v>2</v>
      </c>
      <c r="AB23" s="39">
        <f t="shared" si="15"/>
        <v>1</v>
      </c>
      <c r="AC23" s="39">
        <f t="shared" si="15"/>
        <v>268</v>
      </c>
      <c r="AD23" s="39">
        <f t="shared" si="15"/>
        <v>0</v>
      </c>
      <c r="AE23" s="40">
        <f t="shared" si="15"/>
        <v>350</v>
      </c>
      <c r="AF23" s="40">
        <f t="shared" si="15"/>
        <v>579</v>
      </c>
    </row>
    <row r="24" spans="2:32" ht="23.1" customHeight="1" x14ac:dyDescent="0.25">
      <c r="B24" s="23" t="s">
        <v>51</v>
      </c>
      <c r="C24" s="50">
        <v>29</v>
      </c>
      <c r="D24" s="50">
        <v>5</v>
      </c>
      <c r="E24" s="50">
        <v>5</v>
      </c>
      <c r="F24" s="50">
        <v>12</v>
      </c>
      <c r="G24" s="50">
        <v>0</v>
      </c>
      <c r="H24" s="50">
        <v>0</v>
      </c>
      <c r="I24" s="50">
        <v>1</v>
      </c>
      <c r="J24" s="50">
        <v>5</v>
      </c>
      <c r="K24" s="50">
        <v>0</v>
      </c>
      <c r="L24" s="50">
        <v>0</v>
      </c>
      <c r="M24" s="50">
        <v>57</v>
      </c>
      <c r="N24" s="50">
        <v>0</v>
      </c>
      <c r="O24" s="15">
        <f t="shared" si="0"/>
        <v>57</v>
      </c>
      <c r="P24" s="15">
        <f t="shared" si="1"/>
        <v>114</v>
      </c>
      <c r="R24" s="38" t="s">
        <v>92</v>
      </c>
      <c r="S24" s="39">
        <f>MAX(S19:S21)</f>
        <v>314</v>
      </c>
      <c r="T24" s="39">
        <f t="shared" ref="T24:AF24" si="16">MAX(T19:T21)</f>
        <v>66</v>
      </c>
      <c r="U24" s="39">
        <f t="shared" si="16"/>
        <v>70</v>
      </c>
      <c r="V24" s="39">
        <f t="shared" si="16"/>
        <v>35</v>
      </c>
      <c r="W24" s="39">
        <f t="shared" si="16"/>
        <v>1</v>
      </c>
      <c r="X24" s="39">
        <f t="shared" si="16"/>
        <v>0</v>
      </c>
      <c r="Y24" s="39">
        <f t="shared" si="16"/>
        <v>7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329</v>
      </c>
      <c r="AD24" s="39">
        <f t="shared" si="16"/>
        <v>0</v>
      </c>
      <c r="AE24" s="40">
        <f t="shared" si="16"/>
        <v>452</v>
      </c>
      <c r="AF24" s="40">
        <f t="shared" si="16"/>
        <v>762</v>
      </c>
    </row>
    <row r="25" spans="2:32" ht="23.1" customHeight="1" x14ac:dyDescent="0.25">
      <c r="B25" s="23" t="s">
        <v>52</v>
      </c>
      <c r="C25" s="50">
        <v>41</v>
      </c>
      <c r="D25" s="50">
        <v>3</v>
      </c>
      <c r="E25" s="50">
        <v>12</v>
      </c>
      <c r="F25" s="50">
        <v>8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61</v>
      </c>
      <c r="N25" s="50">
        <v>0</v>
      </c>
      <c r="O25" s="15">
        <f t="shared" si="0"/>
        <v>67</v>
      </c>
      <c r="P25" s="15">
        <f t="shared" si="1"/>
        <v>128</v>
      </c>
      <c r="R25" s="37" t="s">
        <v>85</v>
      </c>
      <c r="S25" s="35">
        <f t="shared" ref="S25:AF25" si="17">SUM(S10:S12)</f>
        <v>243</v>
      </c>
      <c r="T25" s="16">
        <f t="shared" si="17"/>
        <v>41</v>
      </c>
      <c r="U25" s="16">
        <f t="shared" si="17"/>
        <v>37</v>
      </c>
      <c r="V25" s="16">
        <f t="shared" si="17"/>
        <v>180</v>
      </c>
      <c r="W25" s="16">
        <f t="shared" si="17"/>
        <v>1</v>
      </c>
      <c r="X25" s="16">
        <f t="shared" si="17"/>
        <v>0</v>
      </c>
      <c r="Y25" s="16">
        <f t="shared" si="17"/>
        <v>18</v>
      </c>
      <c r="Z25" s="16">
        <f t="shared" si="17"/>
        <v>9</v>
      </c>
      <c r="AA25" s="16">
        <f t="shared" si="17"/>
        <v>2</v>
      </c>
      <c r="AB25" s="16">
        <f t="shared" si="17"/>
        <v>0</v>
      </c>
      <c r="AC25" s="16">
        <f t="shared" si="17"/>
        <v>398</v>
      </c>
      <c r="AD25" s="16">
        <f t="shared" si="17"/>
        <v>0</v>
      </c>
      <c r="AE25" s="32">
        <f t="shared" si="17"/>
        <v>531</v>
      </c>
      <c r="AF25" s="32">
        <f t="shared" si="17"/>
        <v>929</v>
      </c>
    </row>
    <row r="26" spans="2:32" ht="23.1" customHeight="1" x14ac:dyDescent="0.25">
      <c r="B26" s="23" t="s">
        <v>53</v>
      </c>
      <c r="C26" s="50">
        <v>51</v>
      </c>
      <c r="D26" s="50">
        <v>9</v>
      </c>
      <c r="E26" s="50">
        <v>11</v>
      </c>
      <c r="F26" s="50">
        <v>17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81</v>
      </c>
      <c r="N26" s="50">
        <v>0</v>
      </c>
      <c r="O26" s="15">
        <f t="shared" si="0"/>
        <v>88</v>
      </c>
      <c r="P26" s="15">
        <f t="shared" si="1"/>
        <v>169</v>
      </c>
      <c r="R26" s="28" t="s">
        <v>86</v>
      </c>
      <c r="S26" s="16">
        <f t="shared" ref="S26:AF26" si="18">SUM(S13:S18)</f>
        <v>1025</v>
      </c>
      <c r="T26" s="16">
        <f t="shared" si="18"/>
        <v>211</v>
      </c>
      <c r="U26" s="16">
        <f t="shared" si="18"/>
        <v>139</v>
      </c>
      <c r="V26" s="16">
        <f t="shared" si="18"/>
        <v>193</v>
      </c>
      <c r="W26" s="16">
        <f t="shared" si="18"/>
        <v>1</v>
      </c>
      <c r="X26" s="16">
        <f t="shared" si="18"/>
        <v>0</v>
      </c>
      <c r="Y26" s="16">
        <f t="shared" si="18"/>
        <v>28</v>
      </c>
      <c r="Z26" s="16">
        <f t="shared" si="18"/>
        <v>15</v>
      </c>
      <c r="AA26" s="16">
        <f t="shared" si="18"/>
        <v>5</v>
      </c>
      <c r="AB26" s="16">
        <f t="shared" si="18"/>
        <v>1</v>
      </c>
      <c r="AC26" s="16">
        <f t="shared" si="18"/>
        <v>1300</v>
      </c>
      <c r="AD26" s="16">
        <f t="shared" si="18"/>
        <v>0</v>
      </c>
      <c r="AE26" s="32">
        <f t="shared" si="18"/>
        <v>1618</v>
      </c>
      <c r="AF26" s="32">
        <f t="shared" si="18"/>
        <v>2918</v>
      </c>
    </row>
    <row r="27" spans="2:32" ht="23.1" customHeight="1" x14ac:dyDescent="0.25">
      <c r="B27" s="23" t="s">
        <v>54</v>
      </c>
      <c r="C27" s="50">
        <v>60</v>
      </c>
      <c r="D27" s="50">
        <v>13</v>
      </c>
      <c r="E27" s="50">
        <v>13</v>
      </c>
      <c r="F27" s="50">
        <v>10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69</v>
      </c>
      <c r="N27" s="50">
        <v>0</v>
      </c>
      <c r="O27" s="15">
        <f t="shared" si="0"/>
        <v>97</v>
      </c>
      <c r="P27" s="15">
        <f t="shared" si="1"/>
        <v>166</v>
      </c>
      <c r="R27" s="29" t="s">
        <v>87</v>
      </c>
      <c r="S27" s="16">
        <f t="shared" ref="S27:AF27" si="19">SUM(S19:S21)</f>
        <v>808</v>
      </c>
      <c r="T27" s="16">
        <f t="shared" si="19"/>
        <v>154</v>
      </c>
      <c r="U27" s="16">
        <f t="shared" si="19"/>
        <v>135</v>
      </c>
      <c r="V27" s="16">
        <f t="shared" si="19"/>
        <v>94</v>
      </c>
      <c r="W27" s="16">
        <f t="shared" si="19"/>
        <v>1</v>
      </c>
      <c r="X27" s="16">
        <f t="shared" si="19"/>
        <v>0</v>
      </c>
      <c r="Y27" s="16">
        <f t="shared" si="19"/>
        <v>16</v>
      </c>
      <c r="Z27" s="16">
        <f t="shared" si="19"/>
        <v>4</v>
      </c>
      <c r="AA27" s="16">
        <f t="shared" si="19"/>
        <v>2</v>
      </c>
      <c r="AB27" s="16">
        <f t="shared" si="19"/>
        <v>0</v>
      </c>
      <c r="AC27" s="16">
        <f t="shared" si="19"/>
        <v>903</v>
      </c>
      <c r="AD27" s="16">
        <f t="shared" si="19"/>
        <v>0</v>
      </c>
      <c r="AE27" s="32">
        <f t="shared" si="19"/>
        <v>1214</v>
      </c>
      <c r="AF27" s="32">
        <f t="shared" si="19"/>
        <v>2117</v>
      </c>
    </row>
    <row r="28" spans="2:32" ht="23.1" customHeight="1" x14ac:dyDescent="0.25">
      <c r="B28" s="23" t="s">
        <v>55</v>
      </c>
      <c r="C28" s="50">
        <v>42</v>
      </c>
      <c r="D28" s="50">
        <v>3</v>
      </c>
      <c r="E28" s="50">
        <v>1</v>
      </c>
      <c r="F28" s="50">
        <v>7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70</v>
      </c>
      <c r="N28" s="50">
        <v>0</v>
      </c>
      <c r="O28" s="15">
        <f t="shared" si="0"/>
        <v>54</v>
      </c>
      <c r="P28" s="15">
        <f t="shared" si="1"/>
        <v>124</v>
      </c>
      <c r="R28" s="5" t="s">
        <v>17</v>
      </c>
      <c r="S28" s="16">
        <f t="shared" ref="S28:AF28" si="20">SUM(S10:S21)</f>
        <v>2076</v>
      </c>
      <c r="T28" s="16">
        <f t="shared" si="20"/>
        <v>406</v>
      </c>
      <c r="U28" s="16">
        <f t="shared" si="20"/>
        <v>311</v>
      </c>
      <c r="V28" s="16">
        <f t="shared" si="20"/>
        <v>467</v>
      </c>
      <c r="W28" s="16">
        <f t="shared" si="20"/>
        <v>3</v>
      </c>
      <c r="X28" s="16">
        <f t="shared" si="20"/>
        <v>0</v>
      </c>
      <c r="Y28" s="16">
        <f t="shared" si="20"/>
        <v>62</v>
      </c>
      <c r="Z28" s="16">
        <f t="shared" si="20"/>
        <v>28</v>
      </c>
      <c r="AA28" s="16">
        <f t="shared" si="20"/>
        <v>9</v>
      </c>
      <c r="AB28" s="16">
        <f t="shared" si="20"/>
        <v>1</v>
      </c>
      <c r="AC28" s="16">
        <f t="shared" si="20"/>
        <v>2601</v>
      </c>
      <c r="AD28" s="16">
        <f t="shared" si="20"/>
        <v>0</v>
      </c>
      <c r="AE28" s="32">
        <f t="shared" si="20"/>
        <v>3363</v>
      </c>
      <c r="AF28" s="32">
        <f t="shared" si="20"/>
        <v>5964</v>
      </c>
    </row>
    <row r="29" spans="2:32" ht="23.1" customHeight="1" x14ac:dyDescent="0.25">
      <c r="B29" s="23" t="s">
        <v>56</v>
      </c>
      <c r="C29" s="50">
        <v>39</v>
      </c>
      <c r="D29" s="50">
        <v>1</v>
      </c>
      <c r="E29" s="50">
        <v>3</v>
      </c>
      <c r="F29" s="50">
        <v>4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48</v>
      </c>
      <c r="N29" s="50">
        <v>0</v>
      </c>
      <c r="O29" s="15">
        <f t="shared" si="0"/>
        <v>49</v>
      </c>
      <c r="P29" s="15">
        <f t="shared" si="1"/>
        <v>97</v>
      </c>
      <c r="R29"/>
      <c r="S29" s="20"/>
      <c r="T29" s="19"/>
    </row>
    <row r="30" spans="2:32" ht="23.1" customHeight="1" x14ac:dyDescent="0.25">
      <c r="B30" s="23" t="s">
        <v>57</v>
      </c>
      <c r="C30" s="50">
        <v>28</v>
      </c>
      <c r="D30" s="50">
        <v>5</v>
      </c>
      <c r="E30" s="50">
        <v>2</v>
      </c>
      <c r="F30" s="50">
        <v>3</v>
      </c>
      <c r="G30" s="50">
        <v>0</v>
      </c>
      <c r="H30" s="50">
        <v>0</v>
      </c>
      <c r="I30" s="50">
        <v>1</v>
      </c>
      <c r="J30" s="50">
        <v>1</v>
      </c>
      <c r="K30" s="50">
        <v>1</v>
      </c>
      <c r="L30" s="50">
        <v>0</v>
      </c>
      <c r="M30" s="50">
        <v>63</v>
      </c>
      <c r="N30" s="50">
        <v>0</v>
      </c>
      <c r="O30" s="15">
        <f t="shared" si="0"/>
        <v>41</v>
      </c>
      <c r="P30" s="15">
        <f t="shared" si="1"/>
        <v>104</v>
      </c>
    </row>
    <row r="31" spans="2:32" ht="23.1" customHeight="1" x14ac:dyDescent="0.25">
      <c r="B31" s="24" t="s">
        <v>58</v>
      </c>
      <c r="C31" s="50">
        <v>34</v>
      </c>
      <c r="D31" s="50">
        <v>8</v>
      </c>
      <c r="E31" s="50">
        <v>6</v>
      </c>
      <c r="F31" s="50">
        <v>8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44</v>
      </c>
      <c r="N31" s="50">
        <v>0</v>
      </c>
      <c r="O31" s="15">
        <f t="shared" si="0"/>
        <v>57</v>
      </c>
      <c r="P31" s="15">
        <f t="shared" si="1"/>
        <v>101</v>
      </c>
    </row>
    <row r="32" spans="2:32" ht="23.1" customHeight="1" x14ac:dyDescent="0.25">
      <c r="B32" s="24" t="s">
        <v>59</v>
      </c>
      <c r="C32" s="50">
        <v>27</v>
      </c>
      <c r="D32" s="50">
        <v>7</v>
      </c>
      <c r="E32" s="50">
        <v>3</v>
      </c>
      <c r="F32" s="50">
        <v>5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37</v>
      </c>
      <c r="N32" s="50">
        <v>0</v>
      </c>
      <c r="O32" s="15">
        <f t="shared" si="0"/>
        <v>44</v>
      </c>
      <c r="P32" s="15">
        <f t="shared" si="1"/>
        <v>81</v>
      </c>
    </row>
    <row r="33" spans="2:20" ht="23.1" customHeight="1" x14ac:dyDescent="0.25">
      <c r="B33" s="23" t="s">
        <v>60</v>
      </c>
      <c r="C33" s="50">
        <v>30</v>
      </c>
      <c r="D33" s="50">
        <v>9</v>
      </c>
      <c r="E33" s="50">
        <v>8</v>
      </c>
      <c r="F33" s="50">
        <v>4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39</v>
      </c>
      <c r="N33" s="50">
        <v>0</v>
      </c>
      <c r="O33" s="15">
        <f t="shared" si="0"/>
        <v>53</v>
      </c>
      <c r="P33" s="15">
        <f t="shared" si="1"/>
        <v>92</v>
      </c>
    </row>
    <row r="34" spans="2:20" ht="23.1" customHeight="1" x14ac:dyDescent="0.25">
      <c r="B34" s="24" t="s">
        <v>61</v>
      </c>
      <c r="C34" s="50">
        <v>36</v>
      </c>
      <c r="D34" s="50">
        <v>7</v>
      </c>
      <c r="E34" s="50">
        <v>9</v>
      </c>
      <c r="F34" s="50">
        <v>7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37</v>
      </c>
      <c r="N34" s="50">
        <v>0</v>
      </c>
      <c r="O34" s="15">
        <f t="shared" si="0"/>
        <v>60</v>
      </c>
      <c r="P34" s="15">
        <f t="shared" si="1"/>
        <v>97</v>
      </c>
    </row>
    <row r="35" spans="2:20" ht="23.1" customHeight="1" x14ac:dyDescent="0.25">
      <c r="B35" s="24" t="s">
        <v>62</v>
      </c>
      <c r="C35" s="50">
        <v>32</v>
      </c>
      <c r="D35" s="50">
        <v>9</v>
      </c>
      <c r="E35" s="50">
        <v>6</v>
      </c>
      <c r="F35" s="50">
        <v>12</v>
      </c>
      <c r="G35" s="50">
        <v>1</v>
      </c>
      <c r="H35" s="50">
        <v>0</v>
      </c>
      <c r="I35" s="50">
        <v>1</v>
      </c>
      <c r="J35" s="50">
        <v>4</v>
      </c>
      <c r="K35" s="50">
        <v>1</v>
      </c>
      <c r="L35" s="50">
        <v>0</v>
      </c>
      <c r="M35" s="50">
        <v>47</v>
      </c>
      <c r="N35" s="50">
        <v>0</v>
      </c>
      <c r="O35" s="15">
        <f t="shared" si="0"/>
        <v>66</v>
      </c>
      <c r="P35" s="15">
        <f t="shared" si="1"/>
        <v>113</v>
      </c>
    </row>
    <row r="36" spans="2:20" ht="23.1" customHeight="1" x14ac:dyDescent="0.25">
      <c r="B36" s="24" t="s">
        <v>63</v>
      </c>
      <c r="C36" s="50">
        <v>45</v>
      </c>
      <c r="D36" s="50">
        <v>5</v>
      </c>
      <c r="E36" s="50">
        <v>6</v>
      </c>
      <c r="F36" s="50">
        <v>7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40</v>
      </c>
      <c r="N36" s="50">
        <v>0</v>
      </c>
      <c r="O36" s="15">
        <f t="shared" si="0"/>
        <v>65</v>
      </c>
      <c r="P36" s="15">
        <f t="shared" si="1"/>
        <v>105</v>
      </c>
    </row>
    <row r="37" spans="2:20" ht="23.1" customHeight="1" x14ac:dyDescent="0.25">
      <c r="B37" s="23" t="s">
        <v>64</v>
      </c>
      <c r="C37" s="50">
        <v>44</v>
      </c>
      <c r="D37" s="50">
        <v>14</v>
      </c>
      <c r="E37" s="50">
        <v>2</v>
      </c>
      <c r="F37" s="50">
        <v>9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25</v>
      </c>
      <c r="N37" s="50">
        <v>0</v>
      </c>
      <c r="O37" s="15">
        <f t="shared" si="0"/>
        <v>69</v>
      </c>
      <c r="P37" s="15">
        <f t="shared" si="1"/>
        <v>94</v>
      </c>
    </row>
    <row r="38" spans="2:20" ht="23.1" customHeight="1" x14ac:dyDescent="0.25">
      <c r="B38" s="24" t="s">
        <v>65</v>
      </c>
      <c r="C38" s="50">
        <v>90</v>
      </c>
      <c r="D38" s="50">
        <v>16</v>
      </c>
      <c r="E38" s="50">
        <v>8</v>
      </c>
      <c r="F38" s="50">
        <v>6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61</v>
      </c>
      <c r="N38" s="50">
        <v>0</v>
      </c>
      <c r="O38" s="15">
        <f t="shared" si="0"/>
        <v>122</v>
      </c>
      <c r="P38" s="15">
        <f t="shared" si="1"/>
        <v>183</v>
      </c>
    </row>
    <row r="39" spans="2:20" ht="23.1" customHeight="1" x14ac:dyDescent="0.25">
      <c r="B39" s="24" t="s">
        <v>66</v>
      </c>
      <c r="C39" s="50">
        <v>32</v>
      </c>
      <c r="D39" s="50">
        <v>8</v>
      </c>
      <c r="E39" s="50">
        <v>5</v>
      </c>
      <c r="F39" s="50">
        <v>7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0</v>
      </c>
      <c r="M39" s="50">
        <v>46</v>
      </c>
      <c r="N39" s="50">
        <v>0</v>
      </c>
      <c r="O39" s="15">
        <f t="shared" si="0"/>
        <v>55</v>
      </c>
      <c r="P39" s="15">
        <f t="shared" si="1"/>
        <v>101</v>
      </c>
    </row>
    <row r="40" spans="2:20" ht="23.1" customHeight="1" x14ac:dyDescent="0.25">
      <c r="B40" s="24" t="s">
        <v>67</v>
      </c>
      <c r="C40" s="50">
        <v>57</v>
      </c>
      <c r="D40" s="50">
        <v>16</v>
      </c>
      <c r="E40" s="50">
        <v>5</v>
      </c>
      <c r="F40" s="50">
        <v>8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1</v>
      </c>
      <c r="M40" s="50">
        <v>65</v>
      </c>
      <c r="N40" s="50">
        <v>0</v>
      </c>
      <c r="O40" s="15">
        <f t="shared" si="0"/>
        <v>88</v>
      </c>
      <c r="P40" s="15">
        <f t="shared" si="1"/>
        <v>153</v>
      </c>
    </row>
    <row r="41" spans="2:20" ht="23.1" customHeight="1" x14ac:dyDescent="0.25">
      <c r="B41" s="23" t="s">
        <v>68</v>
      </c>
      <c r="C41" s="50">
        <v>52</v>
      </c>
      <c r="D41" s="50">
        <v>13</v>
      </c>
      <c r="E41" s="50">
        <v>8</v>
      </c>
      <c r="F41" s="50">
        <v>10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57</v>
      </c>
      <c r="N41" s="50">
        <v>0</v>
      </c>
      <c r="O41" s="15">
        <f t="shared" si="0"/>
        <v>85</v>
      </c>
      <c r="P41" s="15">
        <f t="shared" si="1"/>
        <v>142</v>
      </c>
    </row>
    <row r="42" spans="2:20" ht="23.1" customHeight="1" x14ac:dyDescent="0.25">
      <c r="B42" s="24" t="s">
        <v>69</v>
      </c>
      <c r="C42" s="50">
        <v>47</v>
      </c>
      <c r="D42" s="50">
        <v>11</v>
      </c>
      <c r="E42" s="50">
        <v>6</v>
      </c>
      <c r="F42" s="50">
        <v>8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52</v>
      </c>
      <c r="N42" s="50">
        <v>0</v>
      </c>
      <c r="O42" s="15">
        <f t="shared" si="0"/>
        <v>75</v>
      </c>
      <c r="P42" s="15">
        <f t="shared" si="1"/>
        <v>127</v>
      </c>
    </row>
    <row r="43" spans="2:20" ht="23.1" customHeight="1" x14ac:dyDescent="0.25">
      <c r="B43" s="23" t="s">
        <v>70</v>
      </c>
      <c r="C43" s="50">
        <v>48</v>
      </c>
      <c r="D43" s="50">
        <v>11</v>
      </c>
      <c r="E43" s="50">
        <v>3</v>
      </c>
      <c r="F43" s="50">
        <v>5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45</v>
      </c>
      <c r="N43" s="50">
        <v>0</v>
      </c>
      <c r="O43" s="15">
        <f t="shared" si="0"/>
        <v>67</v>
      </c>
      <c r="P43" s="15">
        <f t="shared" si="1"/>
        <v>112</v>
      </c>
    </row>
    <row r="44" spans="2:20" ht="23.1" customHeight="1" x14ac:dyDescent="0.25">
      <c r="B44" s="25" t="s">
        <v>71</v>
      </c>
      <c r="C44" s="50">
        <v>54</v>
      </c>
      <c r="D44" s="50">
        <v>16</v>
      </c>
      <c r="E44" s="50">
        <v>6</v>
      </c>
      <c r="F44" s="50">
        <v>6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53</v>
      </c>
      <c r="N44" s="50">
        <v>0</v>
      </c>
      <c r="O44" s="15">
        <f t="shared" si="0"/>
        <v>85</v>
      </c>
      <c r="P44" s="15">
        <f t="shared" si="1"/>
        <v>138</v>
      </c>
    </row>
    <row r="45" spans="2:20" ht="23.1" customHeight="1" x14ac:dyDescent="0.25">
      <c r="B45" s="23" t="s">
        <v>72</v>
      </c>
      <c r="C45" s="50">
        <v>59</v>
      </c>
      <c r="D45" s="50">
        <v>8</v>
      </c>
      <c r="E45" s="50">
        <v>3</v>
      </c>
      <c r="F45" s="50">
        <v>7</v>
      </c>
      <c r="G45" s="50">
        <v>0</v>
      </c>
      <c r="H45" s="50">
        <v>0</v>
      </c>
      <c r="I45" s="50">
        <v>0</v>
      </c>
      <c r="J45" s="50">
        <v>1</v>
      </c>
      <c r="K45" s="50">
        <v>1</v>
      </c>
      <c r="L45" s="50">
        <v>0</v>
      </c>
      <c r="M45" s="50">
        <v>88</v>
      </c>
      <c r="N45" s="50">
        <v>0</v>
      </c>
      <c r="O45" s="15">
        <f t="shared" si="0"/>
        <v>79</v>
      </c>
      <c r="P45" s="15">
        <f t="shared" si="1"/>
        <v>167</v>
      </c>
    </row>
    <row r="46" spans="2:20" ht="23.1" customHeight="1" x14ac:dyDescent="0.25">
      <c r="B46" s="24" t="s">
        <v>73</v>
      </c>
      <c r="C46" s="50">
        <v>66</v>
      </c>
      <c r="D46" s="50">
        <v>9</v>
      </c>
      <c r="E46" s="50">
        <v>6</v>
      </c>
      <c r="F46" s="50">
        <v>7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68</v>
      </c>
      <c r="N46" s="50">
        <v>0</v>
      </c>
      <c r="O46" s="15">
        <f t="shared" si="0"/>
        <v>90</v>
      </c>
      <c r="P46" s="15">
        <f t="shared" si="1"/>
        <v>158</v>
      </c>
      <c r="R46" s="8"/>
      <c r="T46"/>
    </row>
    <row r="47" spans="2:20" ht="23.1" customHeight="1" x14ac:dyDescent="0.25">
      <c r="B47" s="24" t="s">
        <v>74</v>
      </c>
      <c r="C47" s="50">
        <v>60</v>
      </c>
      <c r="D47" s="50">
        <v>8</v>
      </c>
      <c r="E47" s="50">
        <v>4</v>
      </c>
      <c r="F47" s="50">
        <v>13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65</v>
      </c>
      <c r="N47" s="50">
        <v>0</v>
      </c>
      <c r="O47" s="15">
        <f t="shared" si="0"/>
        <v>88</v>
      </c>
      <c r="P47" s="15">
        <f t="shared" si="1"/>
        <v>153</v>
      </c>
      <c r="R47" s="8"/>
      <c r="T47"/>
    </row>
    <row r="48" spans="2:20" ht="23.1" customHeight="1" x14ac:dyDescent="0.25">
      <c r="B48" s="24" t="s">
        <v>75</v>
      </c>
      <c r="C48" s="50">
        <v>46</v>
      </c>
      <c r="D48" s="50">
        <v>9</v>
      </c>
      <c r="E48" s="50">
        <v>2</v>
      </c>
      <c r="F48" s="50">
        <v>8</v>
      </c>
      <c r="G48" s="50">
        <v>0</v>
      </c>
      <c r="H48" s="50">
        <v>0</v>
      </c>
      <c r="I48" s="50">
        <v>0</v>
      </c>
      <c r="J48" s="50">
        <v>0</v>
      </c>
      <c r="K48" s="50">
        <v>1</v>
      </c>
      <c r="L48" s="50">
        <v>0</v>
      </c>
      <c r="M48" s="50">
        <v>75</v>
      </c>
      <c r="N48" s="50">
        <v>0</v>
      </c>
      <c r="O48" s="15">
        <f t="shared" si="0"/>
        <v>66</v>
      </c>
      <c r="P48" s="15">
        <f t="shared" si="1"/>
        <v>141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10</v>
      </c>
      <c r="E49" s="50">
        <v>4</v>
      </c>
      <c r="F49" s="50">
        <v>7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57</v>
      </c>
      <c r="N49" s="50">
        <v>0</v>
      </c>
      <c r="O49" s="15">
        <f t="shared" si="0"/>
        <v>85</v>
      </c>
      <c r="P49" s="15">
        <f t="shared" si="1"/>
        <v>142</v>
      </c>
      <c r="R49" s="8"/>
      <c r="T49"/>
    </row>
    <row r="50" spans="2:20" ht="23.1" customHeight="1" x14ac:dyDescent="0.25">
      <c r="B50" s="24" t="s">
        <v>77</v>
      </c>
      <c r="C50" s="50">
        <v>65</v>
      </c>
      <c r="D50" s="50">
        <v>13</v>
      </c>
      <c r="E50" s="50">
        <v>9</v>
      </c>
      <c r="F50" s="50">
        <v>9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91</v>
      </c>
      <c r="N50" s="50">
        <v>0</v>
      </c>
      <c r="O50" s="15">
        <f t="shared" si="0"/>
        <v>96</v>
      </c>
      <c r="P50" s="15">
        <f t="shared" si="1"/>
        <v>187</v>
      </c>
      <c r="R50" s="8"/>
      <c r="T50"/>
    </row>
    <row r="51" spans="2:20" ht="23.1" customHeight="1" x14ac:dyDescent="0.25">
      <c r="B51" s="24" t="s">
        <v>78</v>
      </c>
      <c r="C51" s="50">
        <v>75</v>
      </c>
      <c r="D51" s="50">
        <v>18</v>
      </c>
      <c r="E51" s="50">
        <v>14</v>
      </c>
      <c r="F51" s="50">
        <v>3</v>
      </c>
      <c r="G51" s="50">
        <v>0</v>
      </c>
      <c r="H51" s="50">
        <v>0</v>
      </c>
      <c r="I51" s="50">
        <v>0</v>
      </c>
      <c r="J51" s="50">
        <v>1</v>
      </c>
      <c r="K51" s="50">
        <v>1</v>
      </c>
      <c r="L51" s="50">
        <v>0</v>
      </c>
      <c r="M51" s="50">
        <v>85</v>
      </c>
      <c r="N51" s="50">
        <v>0</v>
      </c>
      <c r="O51" s="15">
        <f t="shared" si="0"/>
        <v>112</v>
      </c>
      <c r="P51" s="15">
        <f t="shared" si="1"/>
        <v>197</v>
      </c>
      <c r="R51" s="8"/>
      <c r="T51"/>
    </row>
    <row r="52" spans="2:20" ht="23.1" customHeight="1" x14ac:dyDescent="0.25">
      <c r="B52" s="24" t="s">
        <v>79</v>
      </c>
      <c r="C52" s="50">
        <v>75</v>
      </c>
      <c r="D52" s="50">
        <v>9</v>
      </c>
      <c r="E52" s="50">
        <v>17</v>
      </c>
      <c r="F52" s="50">
        <v>8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68</v>
      </c>
      <c r="N52" s="50">
        <v>0</v>
      </c>
      <c r="O52" s="15">
        <f t="shared" si="0"/>
        <v>112</v>
      </c>
      <c r="P52" s="15">
        <f t="shared" si="1"/>
        <v>180</v>
      </c>
      <c r="R52" s="8"/>
      <c r="T52"/>
    </row>
    <row r="53" spans="2:20" ht="23.1" customHeight="1" x14ac:dyDescent="0.25">
      <c r="B53" s="23" t="s">
        <v>80</v>
      </c>
      <c r="C53" s="50">
        <v>99</v>
      </c>
      <c r="D53" s="50">
        <v>12</v>
      </c>
      <c r="E53" s="50">
        <v>9</v>
      </c>
      <c r="F53" s="50">
        <v>11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65</v>
      </c>
      <c r="N53" s="50">
        <v>0</v>
      </c>
      <c r="O53" s="15">
        <f t="shared" si="0"/>
        <v>132</v>
      </c>
      <c r="P53" s="15">
        <f t="shared" si="1"/>
        <v>197</v>
      </c>
      <c r="R53" s="8"/>
      <c r="T53"/>
    </row>
    <row r="54" spans="2:20" ht="23.1" customHeight="1" x14ac:dyDescent="0.25">
      <c r="B54" s="23" t="s">
        <v>81</v>
      </c>
      <c r="C54" s="50">
        <v>69</v>
      </c>
      <c r="D54" s="50">
        <v>22</v>
      </c>
      <c r="E54" s="50">
        <v>17</v>
      </c>
      <c r="F54" s="50">
        <v>6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95</v>
      </c>
      <c r="N54" s="50">
        <v>0</v>
      </c>
      <c r="O54" s="15">
        <f t="shared" si="0"/>
        <v>116</v>
      </c>
      <c r="P54" s="15">
        <f t="shared" si="1"/>
        <v>211</v>
      </c>
      <c r="R54" s="8"/>
      <c r="T54"/>
    </row>
    <row r="55" spans="2:20" ht="23.1" customHeight="1" x14ac:dyDescent="0.25">
      <c r="B55" s="23" t="s">
        <v>82</v>
      </c>
      <c r="C55" s="50">
        <v>51</v>
      </c>
      <c r="D55" s="50">
        <v>9</v>
      </c>
      <c r="E55" s="50">
        <v>15</v>
      </c>
      <c r="F55" s="50">
        <v>8</v>
      </c>
      <c r="G55" s="50">
        <v>1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77</v>
      </c>
      <c r="N55" s="50">
        <v>0</v>
      </c>
      <c r="O55" s="15">
        <f t="shared" si="0"/>
        <v>84</v>
      </c>
      <c r="P55" s="15">
        <f t="shared" si="1"/>
        <v>161</v>
      </c>
      <c r="R55" s="8"/>
      <c r="T55"/>
    </row>
    <row r="56" spans="2:20" ht="23.1" customHeight="1" x14ac:dyDescent="0.25">
      <c r="B56" s="23" t="s">
        <v>83</v>
      </c>
      <c r="C56" s="50">
        <v>75</v>
      </c>
      <c r="D56" s="50">
        <v>14</v>
      </c>
      <c r="E56" s="50">
        <v>24</v>
      </c>
      <c r="F56" s="50">
        <v>5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74</v>
      </c>
      <c r="N56" s="50">
        <v>0</v>
      </c>
      <c r="O56" s="15">
        <f t="shared" si="0"/>
        <v>120</v>
      </c>
      <c r="P56" s="15">
        <f t="shared" si="1"/>
        <v>194</v>
      </c>
      <c r="R56" s="8"/>
      <c r="T56"/>
    </row>
    <row r="57" spans="2:20" ht="23.1" customHeight="1" x14ac:dyDescent="0.25">
      <c r="B57" s="23" t="s">
        <v>84</v>
      </c>
      <c r="C57" s="50">
        <v>67</v>
      </c>
      <c r="D57" s="50">
        <v>21</v>
      </c>
      <c r="E57" s="50">
        <v>14</v>
      </c>
      <c r="F57" s="50">
        <v>9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83</v>
      </c>
      <c r="N57" s="50">
        <v>0</v>
      </c>
      <c r="O57" s="15">
        <f t="shared" si="0"/>
        <v>113</v>
      </c>
      <c r="P57" s="15">
        <f t="shared" si="1"/>
        <v>196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2076</v>
      </c>
      <c r="D58" s="16">
        <f t="shared" si="21"/>
        <v>406</v>
      </c>
      <c r="E58" s="16">
        <f t="shared" si="21"/>
        <v>311</v>
      </c>
      <c r="F58" s="16">
        <f t="shared" si="21"/>
        <v>467</v>
      </c>
      <c r="G58" s="16">
        <f t="shared" si="21"/>
        <v>3</v>
      </c>
      <c r="H58" s="16">
        <f t="shared" si="21"/>
        <v>0</v>
      </c>
      <c r="I58" s="16">
        <f t="shared" si="21"/>
        <v>62</v>
      </c>
      <c r="J58" s="16">
        <f t="shared" si="21"/>
        <v>28</v>
      </c>
      <c r="K58" s="16">
        <f t="shared" si="21"/>
        <v>9</v>
      </c>
      <c r="L58" s="16">
        <f t="shared" si="21"/>
        <v>1</v>
      </c>
      <c r="M58" s="16">
        <f t="shared" si="21"/>
        <v>2601</v>
      </c>
      <c r="N58" s="16">
        <f t="shared" si="21"/>
        <v>0</v>
      </c>
      <c r="O58" s="16">
        <f t="shared" si="21"/>
        <v>3363</v>
      </c>
      <c r="P58" s="16">
        <f t="shared" si="21"/>
        <v>5964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0.34808853118712274</v>
      </c>
      <c r="D59" s="43">
        <f t="shared" si="22"/>
        <v>6.8075117370892016E-2</v>
      </c>
      <c r="E59" s="43">
        <f t="shared" si="22"/>
        <v>5.2146210596914822E-2</v>
      </c>
      <c r="F59" s="43">
        <f t="shared" si="22"/>
        <v>7.8303152246814223E-2</v>
      </c>
      <c r="G59" s="43">
        <f t="shared" si="22"/>
        <v>5.0301810865191151E-4</v>
      </c>
      <c r="H59" s="43">
        <f t="shared" si="22"/>
        <v>0</v>
      </c>
      <c r="I59" s="43">
        <f t="shared" si="22"/>
        <v>1.039570757880617E-2</v>
      </c>
      <c r="J59" s="43">
        <f t="shared" si="22"/>
        <v>4.6948356807511738E-3</v>
      </c>
      <c r="K59" s="43">
        <f t="shared" si="22"/>
        <v>1.5090543259557343E-3</v>
      </c>
      <c r="L59" s="43">
        <f t="shared" si="22"/>
        <v>1.6767270288397049E-4</v>
      </c>
      <c r="M59" s="43">
        <f t="shared" si="22"/>
        <v>0.43611670020120724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0.61730597680642285</v>
      </c>
      <c r="D60" s="44">
        <f t="shared" ref="D60:N60" si="23">D58/$O$58</f>
        <v>0.12072554267023491</v>
      </c>
      <c r="E60" s="44">
        <f t="shared" si="23"/>
        <v>9.2476955099613442E-2</v>
      </c>
      <c r="F60" s="44">
        <f t="shared" si="23"/>
        <v>0.13886410942610763</v>
      </c>
      <c r="G60" s="44">
        <f t="shared" si="23"/>
        <v>8.9206066012488853E-4</v>
      </c>
      <c r="H60" s="44">
        <f t="shared" si="23"/>
        <v>0</v>
      </c>
      <c r="I60" s="44">
        <f t="shared" si="23"/>
        <v>1.8435920309247695E-2</v>
      </c>
      <c r="J60" s="44">
        <f t="shared" si="23"/>
        <v>8.3258994944989586E-3</v>
      </c>
      <c r="K60" s="44">
        <f t="shared" si="23"/>
        <v>2.6761819803746653E-3</v>
      </c>
      <c r="L60" s="44">
        <f t="shared" si="23"/>
        <v>2.9735355337496281E-4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Nakawa-Bugolobi'!C3:G3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Bugolobi-Nakawa'!D5</f>
        <v>04.08.19</v>
      </c>
      <c r="E5" s="3"/>
      <c r="F5" s="41" t="s">
        <v>1</v>
      </c>
      <c r="G5" s="63" t="str">
        <f>'04.08 Bugolobi-Nakawa'!G5:H5</f>
        <v>Business Park</v>
      </c>
      <c r="H5" s="64"/>
      <c r="I5" s="14"/>
      <c r="J5" s="2" t="s">
        <v>5</v>
      </c>
      <c r="K5" s="63" t="str">
        <f>'04.08 Bugolobi-Nakawa'!K5:L5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Nakawa-Bugolobi'!D6:E6</f>
        <v>Nakawa</v>
      </c>
      <c r="E6" s="64"/>
      <c r="F6" s="2" t="s">
        <v>2</v>
      </c>
      <c r="G6" s="63" t="str">
        <f>'29.07 Nakawa-Bugolobi'!G6:H6</f>
        <v>Bugolobi</v>
      </c>
      <c r="H6" s="64"/>
      <c r="J6" s="2" t="s">
        <v>21</v>
      </c>
      <c r="K6" s="63" t="str">
        <f>'04.08 Bugolobi-Nakawa'!K6:L6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4</v>
      </c>
      <c r="E10" s="50">
        <v>3</v>
      </c>
      <c r="F10" s="50">
        <v>13</v>
      </c>
      <c r="G10" s="50">
        <v>0</v>
      </c>
      <c r="H10" s="50">
        <v>0</v>
      </c>
      <c r="I10" s="50">
        <v>0</v>
      </c>
      <c r="J10" s="50">
        <v>1</v>
      </c>
      <c r="K10" s="50">
        <v>2</v>
      </c>
      <c r="L10" s="50">
        <v>2</v>
      </c>
      <c r="M10" s="50">
        <v>51</v>
      </c>
      <c r="N10" s="50">
        <v>0</v>
      </c>
      <c r="O10" s="15">
        <f t="shared" ref="O10:O57" si="0">SUM(C10:L10,N10)</f>
        <v>48</v>
      </c>
      <c r="P10" s="15">
        <f t="shared" ref="P10:P57" si="1">SUM(C10:N10)</f>
        <v>99</v>
      </c>
      <c r="R10" s="1" t="s">
        <v>6</v>
      </c>
      <c r="S10" s="17">
        <f t="shared" ref="S10:AF10" si="2">SUM(C10:C13)</f>
        <v>58</v>
      </c>
      <c r="T10" s="17">
        <f t="shared" si="2"/>
        <v>12</v>
      </c>
      <c r="U10" s="17">
        <f t="shared" si="2"/>
        <v>7</v>
      </c>
      <c r="V10" s="17">
        <f t="shared" si="2"/>
        <v>43</v>
      </c>
      <c r="W10" s="17">
        <f t="shared" si="2"/>
        <v>2</v>
      </c>
      <c r="X10" s="17">
        <f t="shared" si="2"/>
        <v>0</v>
      </c>
      <c r="Y10" s="17">
        <f t="shared" si="2"/>
        <v>2</v>
      </c>
      <c r="Z10" s="17">
        <f t="shared" si="2"/>
        <v>4</v>
      </c>
      <c r="AA10" s="17">
        <f t="shared" si="2"/>
        <v>2</v>
      </c>
      <c r="AB10" s="17">
        <f t="shared" si="2"/>
        <v>2</v>
      </c>
      <c r="AC10" s="17">
        <f t="shared" si="2"/>
        <v>187</v>
      </c>
      <c r="AD10" s="17">
        <f t="shared" si="2"/>
        <v>0</v>
      </c>
      <c r="AE10" s="31">
        <f t="shared" si="2"/>
        <v>132</v>
      </c>
      <c r="AF10" s="31">
        <f t="shared" si="2"/>
        <v>319</v>
      </c>
    </row>
    <row r="11" spans="2:32" s="6" customFormat="1" ht="23.1" customHeight="1" x14ac:dyDescent="0.25">
      <c r="B11" s="23" t="s">
        <v>38</v>
      </c>
      <c r="C11" s="50">
        <v>14</v>
      </c>
      <c r="D11" s="50">
        <v>2</v>
      </c>
      <c r="E11" s="50">
        <v>0</v>
      </c>
      <c r="F11" s="50">
        <v>10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38</v>
      </c>
      <c r="N11" s="50">
        <v>0</v>
      </c>
      <c r="O11" s="15">
        <f t="shared" si="0"/>
        <v>27</v>
      </c>
      <c r="P11" s="15">
        <f t="shared" si="1"/>
        <v>65</v>
      </c>
      <c r="R11" s="1" t="s">
        <v>7</v>
      </c>
      <c r="S11" s="17">
        <f t="shared" ref="S11:AF11" si="3">SUM(C14:C17)</f>
        <v>56</v>
      </c>
      <c r="T11" s="17">
        <f t="shared" si="3"/>
        <v>8</v>
      </c>
      <c r="U11" s="17">
        <f t="shared" si="3"/>
        <v>10</v>
      </c>
      <c r="V11" s="17">
        <f t="shared" si="3"/>
        <v>37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2</v>
      </c>
      <c r="AB11" s="17">
        <f t="shared" si="3"/>
        <v>1</v>
      </c>
      <c r="AC11" s="17">
        <f t="shared" si="3"/>
        <v>139</v>
      </c>
      <c r="AD11" s="17">
        <f t="shared" si="3"/>
        <v>0</v>
      </c>
      <c r="AE11" s="31">
        <f t="shared" si="3"/>
        <v>116</v>
      </c>
      <c r="AF11" s="31">
        <f t="shared" si="3"/>
        <v>255</v>
      </c>
    </row>
    <row r="12" spans="2:32" ht="23.1" customHeight="1" x14ac:dyDescent="0.25">
      <c r="B12" s="23" t="s">
        <v>39</v>
      </c>
      <c r="C12" s="50">
        <v>10</v>
      </c>
      <c r="D12" s="50">
        <v>3</v>
      </c>
      <c r="E12" s="50">
        <v>2</v>
      </c>
      <c r="F12" s="50">
        <v>9</v>
      </c>
      <c r="G12" s="50">
        <v>1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51</v>
      </c>
      <c r="N12" s="50">
        <v>0</v>
      </c>
      <c r="O12" s="15">
        <f t="shared" si="0"/>
        <v>26</v>
      </c>
      <c r="P12" s="15">
        <f t="shared" si="1"/>
        <v>77</v>
      </c>
      <c r="R12" s="1" t="s">
        <v>8</v>
      </c>
      <c r="S12" s="17">
        <f t="shared" ref="S12:AF12" si="4">SUM(C18:C21)</f>
        <v>108</v>
      </c>
      <c r="T12" s="17">
        <f t="shared" si="4"/>
        <v>34</v>
      </c>
      <c r="U12" s="17">
        <f t="shared" si="4"/>
        <v>37</v>
      </c>
      <c r="V12" s="17">
        <f t="shared" si="4"/>
        <v>51</v>
      </c>
      <c r="W12" s="17">
        <f t="shared" si="4"/>
        <v>1</v>
      </c>
      <c r="X12" s="17">
        <f t="shared" si="4"/>
        <v>1</v>
      </c>
      <c r="Y12" s="17">
        <f t="shared" si="4"/>
        <v>3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147</v>
      </c>
      <c r="AD12" s="17">
        <f t="shared" si="4"/>
        <v>0</v>
      </c>
      <c r="AE12" s="31">
        <f t="shared" si="4"/>
        <v>239</v>
      </c>
      <c r="AF12" s="31">
        <f t="shared" si="4"/>
        <v>386</v>
      </c>
    </row>
    <row r="13" spans="2:32" ht="23.1" customHeight="1" x14ac:dyDescent="0.25">
      <c r="B13" s="23" t="s">
        <v>40</v>
      </c>
      <c r="C13" s="50">
        <v>11</v>
      </c>
      <c r="D13" s="50">
        <v>3</v>
      </c>
      <c r="E13" s="50">
        <v>2</v>
      </c>
      <c r="F13" s="50">
        <v>11</v>
      </c>
      <c r="G13" s="50">
        <v>1</v>
      </c>
      <c r="H13" s="50">
        <v>0</v>
      </c>
      <c r="I13" s="50">
        <v>0</v>
      </c>
      <c r="J13" s="50">
        <v>3</v>
      </c>
      <c r="K13" s="50">
        <v>0</v>
      </c>
      <c r="L13" s="50">
        <v>0</v>
      </c>
      <c r="M13" s="50">
        <v>47</v>
      </c>
      <c r="N13" s="50">
        <v>0</v>
      </c>
      <c r="O13" s="15">
        <f t="shared" si="0"/>
        <v>31</v>
      </c>
      <c r="P13" s="15">
        <f t="shared" si="1"/>
        <v>78</v>
      </c>
      <c r="R13" s="1" t="s">
        <v>9</v>
      </c>
      <c r="S13" s="17">
        <f t="shared" ref="S13:AF13" si="5">SUM(C22:C25)</f>
        <v>136</v>
      </c>
      <c r="T13" s="17">
        <f t="shared" si="5"/>
        <v>52</v>
      </c>
      <c r="U13" s="17">
        <f t="shared" si="5"/>
        <v>44</v>
      </c>
      <c r="V13" s="17">
        <f t="shared" si="5"/>
        <v>65</v>
      </c>
      <c r="W13" s="17">
        <f t="shared" si="5"/>
        <v>4</v>
      </c>
      <c r="X13" s="17">
        <f t="shared" si="5"/>
        <v>2</v>
      </c>
      <c r="Y13" s="17">
        <f t="shared" si="5"/>
        <v>5</v>
      </c>
      <c r="Z13" s="17">
        <f t="shared" si="5"/>
        <v>3</v>
      </c>
      <c r="AA13" s="17">
        <f t="shared" si="5"/>
        <v>1</v>
      </c>
      <c r="AB13" s="17">
        <f t="shared" si="5"/>
        <v>1</v>
      </c>
      <c r="AC13" s="17">
        <f t="shared" si="5"/>
        <v>194</v>
      </c>
      <c r="AD13" s="17">
        <f t="shared" si="5"/>
        <v>0</v>
      </c>
      <c r="AE13" s="31">
        <f t="shared" si="5"/>
        <v>313</v>
      </c>
      <c r="AF13" s="31">
        <f t="shared" si="5"/>
        <v>507</v>
      </c>
    </row>
    <row r="14" spans="2:32" ht="23.1" customHeight="1" x14ac:dyDescent="0.25">
      <c r="B14" s="23" t="s">
        <v>41</v>
      </c>
      <c r="C14" s="50">
        <v>14</v>
      </c>
      <c r="D14" s="50">
        <v>3</v>
      </c>
      <c r="E14" s="50">
        <v>2</v>
      </c>
      <c r="F14" s="50">
        <v>11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1</v>
      </c>
      <c r="M14" s="50">
        <v>39</v>
      </c>
      <c r="N14" s="50">
        <v>0</v>
      </c>
      <c r="O14" s="15">
        <f t="shared" si="0"/>
        <v>32</v>
      </c>
      <c r="P14" s="15">
        <f t="shared" si="1"/>
        <v>71</v>
      </c>
      <c r="R14" s="1" t="s">
        <v>10</v>
      </c>
      <c r="S14" s="17">
        <f t="shared" ref="S14:AF14" si="6">SUM(C26:C29)</f>
        <v>208</v>
      </c>
      <c r="T14" s="17">
        <f t="shared" si="6"/>
        <v>87</v>
      </c>
      <c r="U14" s="17">
        <f t="shared" si="6"/>
        <v>57</v>
      </c>
      <c r="V14" s="17">
        <f t="shared" si="6"/>
        <v>52</v>
      </c>
      <c r="W14" s="17">
        <f t="shared" si="6"/>
        <v>9</v>
      </c>
      <c r="X14" s="17">
        <f t="shared" si="6"/>
        <v>3</v>
      </c>
      <c r="Y14" s="17">
        <f t="shared" si="6"/>
        <v>12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224</v>
      </c>
      <c r="AD14" s="17">
        <f t="shared" si="6"/>
        <v>0</v>
      </c>
      <c r="AE14" s="31">
        <f t="shared" si="6"/>
        <v>429</v>
      </c>
      <c r="AF14" s="31">
        <f t="shared" si="6"/>
        <v>653</v>
      </c>
    </row>
    <row r="15" spans="2:32" ht="23.1" customHeight="1" x14ac:dyDescent="0.25">
      <c r="B15" s="23" t="s">
        <v>42</v>
      </c>
      <c r="C15" s="50">
        <v>18</v>
      </c>
      <c r="D15" s="50">
        <v>2</v>
      </c>
      <c r="E15" s="50">
        <v>3</v>
      </c>
      <c r="F15" s="50">
        <v>7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31</v>
      </c>
      <c r="N15" s="50">
        <v>0</v>
      </c>
      <c r="O15" s="15">
        <f t="shared" si="0"/>
        <v>30</v>
      </c>
      <c r="P15" s="15">
        <f t="shared" si="1"/>
        <v>61</v>
      </c>
      <c r="R15" s="1" t="s">
        <v>11</v>
      </c>
      <c r="S15" s="17">
        <f t="shared" ref="S15:AF15" si="7">SUM(C30:C33)</f>
        <v>213</v>
      </c>
      <c r="T15" s="17">
        <f t="shared" si="7"/>
        <v>56</v>
      </c>
      <c r="U15" s="17">
        <f t="shared" si="7"/>
        <v>29</v>
      </c>
      <c r="V15" s="17">
        <f t="shared" si="7"/>
        <v>55</v>
      </c>
      <c r="W15" s="17">
        <f t="shared" si="7"/>
        <v>1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2</v>
      </c>
      <c r="AC15" s="17">
        <f t="shared" si="7"/>
        <v>220</v>
      </c>
      <c r="AD15" s="17">
        <f t="shared" si="7"/>
        <v>1</v>
      </c>
      <c r="AE15" s="31">
        <f t="shared" si="7"/>
        <v>360</v>
      </c>
      <c r="AF15" s="31">
        <f t="shared" si="7"/>
        <v>580</v>
      </c>
    </row>
    <row r="16" spans="2:32" ht="23.1" customHeight="1" x14ac:dyDescent="0.25">
      <c r="B16" s="23" t="s">
        <v>43</v>
      </c>
      <c r="C16" s="50">
        <v>13</v>
      </c>
      <c r="D16" s="50">
        <v>1</v>
      </c>
      <c r="E16" s="50">
        <v>4</v>
      </c>
      <c r="F16" s="50">
        <v>6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33</v>
      </c>
      <c r="N16" s="50">
        <v>0</v>
      </c>
      <c r="O16" s="15">
        <f t="shared" si="0"/>
        <v>24</v>
      </c>
      <c r="P16" s="15">
        <f t="shared" si="1"/>
        <v>57</v>
      </c>
      <c r="R16" s="1" t="s">
        <v>12</v>
      </c>
      <c r="S16" s="17">
        <f t="shared" ref="S16:AF16" si="8">SUM(C34:C37)</f>
        <v>223</v>
      </c>
      <c r="T16" s="17">
        <f t="shared" si="8"/>
        <v>65</v>
      </c>
      <c r="U16" s="17">
        <f t="shared" si="8"/>
        <v>31</v>
      </c>
      <c r="V16" s="17">
        <f t="shared" si="8"/>
        <v>52</v>
      </c>
      <c r="W16" s="17">
        <f t="shared" si="8"/>
        <v>1</v>
      </c>
      <c r="X16" s="17">
        <f t="shared" si="8"/>
        <v>0</v>
      </c>
      <c r="Y16" s="17">
        <f t="shared" si="8"/>
        <v>5</v>
      </c>
      <c r="Z16" s="17">
        <f t="shared" si="8"/>
        <v>5</v>
      </c>
      <c r="AA16" s="17">
        <f t="shared" si="8"/>
        <v>1</v>
      </c>
      <c r="AB16" s="17">
        <f t="shared" si="8"/>
        <v>2</v>
      </c>
      <c r="AC16" s="17">
        <f t="shared" si="8"/>
        <v>263</v>
      </c>
      <c r="AD16" s="17">
        <f t="shared" si="8"/>
        <v>0</v>
      </c>
      <c r="AE16" s="31">
        <f t="shared" si="8"/>
        <v>385</v>
      </c>
      <c r="AF16" s="31">
        <f t="shared" si="8"/>
        <v>648</v>
      </c>
    </row>
    <row r="17" spans="2:32" ht="23.1" customHeight="1" x14ac:dyDescent="0.25">
      <c r="B17" s="23" t="s">
        <v>44</v>
      </c>
      <c r="C17" s="50">
        <v>11</v>
      </c>
      <c r="D17" s="50">
        <v>2</v>
      </c>
      <c r="E17" s="50">
        <v>1</v>
      </c>
      <c r="F17" s="50">
        <v>13</v>
      </c>
      <c r="G17" s="50">
        <v>0</v>
      </c>
      <c r="H17" s="50">
        <v>0</v>
      </c>
      <c r="I17" s="50">
        <v>1</v>
      </c>
      <c r="J17" s="50">
        <v>1</v>
      </c>
      <c r="K17" s="50">
        <v>1</v>
      </c>
      <c r="L17" s="50">
        <v>0</v>
      </c>
      <c r="M17" s="50">
        <v>36</v>
      </c>
      <c r="N17" s="50">
        <v>0</v>
      </c>
      <c r="O17" s="15">
        <f t="shared" si="0"/>
        <v>30</v>
      </c>
      <c r="P17" s="15">
        <f t="shared" si="1"/>
        <v>66</v>
      </c>
      <c r="R17" s="1" t="s">
        <v>13</v>
      </c>
      <c r="S17" s="17">
        <f t="shared" ref="S17:AF17" si="9">SUM(C38:C41)</f>
        <v>257</v>
      </c>
      <c r="T17" s="17">
        <f t="shared" si="9"/>
        <v>43</v>
      </c>
      <c r="U17" s="17">
        <f t="shared" si="9"/>
        <v>14</v>
      </c>
      <c r="V17" s="17">
        <f t="shared" si="9"/>
        <v>42</v>
      </c>
      <c r="W17" s="17">
        <f t="shared" si="9"/>
        <v>1</v>
      </c>
      <c r="X17" s="17">
        <f t="shared" si="9"/>
        <v>0</v>
      </c>
      <c r="Y17" s="17">
        <f t="shared" si="9"/>
        <v>6</v>
      </c>
      <c r="Z17" s="17">
        <f t="shared" si="9"/>
        <v>0</v>
      </c>
      <c r="AA17" s="17">
        <f t="shared" si="9"/>
        <v>3</v>
      </c>
      <c r="AB17" s="17">
        <f t="shared" si="9"/>
        <v>0</v>
      </c>
      <c r="AC17" s="17">
        <f t="shared" si="9"/>
        <v>217</v>
      </c>
      <c r="AD17" s="17">
        <f t="shared" si="9"/>
        <v>0</v>
      </c>
      <c r="AE17" s="31">
        <f t="shared" si="9"/>
        <v>366</v>
      </c>
      <c r="AF17" s="31">
        <f t="shared" si="9"/>
        <v>583</v>
      </c>
    </row>
    <row r="18" spans="2:32" ht="23.1" customHeight="1" x14ac:dyDescent="0.25">
      <c r="B18" s="23" t="s">
        <v>45</v>
      </c>
      <c r="C18" s="50">
        <v>16</v>
      </c>
      <c r="D18" s="50">
        <v>3</v>
      </c>
      <c r="E18" s="50">
        <v>1</v>
      </c>
      <c r="F18" s="50">
        <v>14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31</v>
      </c>
      <c r="N18" s="50">
        <v>0</v>
      </c>
      <c r="O18" s="15">
        <f t="shared" si="0"/>
        <v>35</v>
      </c>
      <c r="P18" s="15">
        <f t="shared" si="1"/>
        <v>66</v>
      </c>
      <c r="R18" s="1" t="s">
        <v>14</v>
      </c>
      <c r="S18" s="17">
        <f t="shared" ref="S18:AF18" si="10">SUM(C42:C45)</f>
        <v>220</v>
      </c>
      <c r="T18" s="17">
        <f t="shared" si="10"/>
        <v>34</v>
      </c>
      <c r="U18" s="17">
        <f t="shared" si="10"/>
        <v>16</v>
      </c>
      <c r="V18" s="17">
        <f t="shared" si="10"/>
        <v>43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7</v>
      </c>
      <c r="AA18" s="17">
        <f t="shared" si="10"/>
        <v>2</v>
      </c>
      <c r="AB18" s="17">
        <f t="shared" si="10"/>
        <v>0</v>
      </c>
      <c r="AC18" s="17">
        <f t="shared" si="10"/>
        <v>213</v>
      </c>
      <c r="AD18" s="17">
        <f t="shared" si="10"/>
        <v>0</v>
      </c>
      <c r="AE18" s="31">
        <f t="shared" si="10"/>
        <v>326</v>
      </c>
      <c r="AF18" s="31">
        <f t="shared" si="10"/>
        <v>539</v>
      </c>
    </row>
    <row r="19" spans="2:32" ht="23.1" customHeight="1" x14ac:dyDescent="0.25">
      <c r="B19" s="23" t="s">
        <v>46</v>
      </c>
      <c r="C19" s="50">
        <v>18</v>
      </c>
      <c r="D19" s="50">
        <v>4</v>
      </c>
      <c r="E19" s="50">
        <v>6</v>
      </c>
      <c r="F19" s="50">
        <v>16</v>
      </c>
      <c r="G19" s="50">
        <v>1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37</v>
      </c>
      <c r="N19" s="50">
        <v>0</v>
      </c>
      <c r="O19" s="15">
        <f t="shared" si="0"/>
        <v>46</v>
      </c>
      <c r="P19" s="15">
        <f t="shared" si="1"/>
        <v>83</v>
      </c>
      <c r="R19" s="1" t="s">
        <v>15</v>
      </c>
      <c r="S19" s="17">
        <f t="shared" ref="S19:AF19" si="11">SUM(C46:C49)</f>
        <v>250</v>
      </c>
      <c r="T19" s="17">
        <f t="shared" si="11"/>
        <v>53</v>
      </c>
      <c r="U19" s="17">
        <f t="shared" si="11"/>
        <v>20</v>
      </c>
      <c r="V19" s="17">
        <f t="shared" si="11"/>
        <v>50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277</v>
      </c>
      <c r="AD19" s="17">
        <f t="shared" si="11"/>
        <v>0</v>
      </c>
      <c r="AE19" s="31">
        <f t="shared" si="11"/>
        <v>379</v>
      </c>
      <c r="AF19" s="31">
        <f t="shared" si="11"/>
        <v>656</v>
      </c>
    </row>
    <row r="20" spans="2:32" ht="23.1" customHeight="1" x14ac:dyDescent="0.25">
      <c r="B20" s="23" t="s">
        <v>47</v>
      </c>
      <c r="C20" s="50">
        <v>38</v>
      </c>
      <c r="D20" s="50">
        <v>11</v>
      </c>
      <c r="E20" s="50">
        <v>14</v>
      </c>
      <c r="F20" s="50">
        <v>21</v>
      </c>
      <c r="G20" s="50">
        <v>0</v>
      </c>
      <c r="H20" s="50">
        <v>0</v>
      </c>
      <c r="I20" s="50">
        <v>0</v>
      </c>
      <c r="J20" s="50">
        <v>1</v>
      </c>
      <c r="K20" s="50">
        <v>1</v>
      </c>
      <c r="L20" s="50">
        <v>0</v>
      </c>
      <c r="M20" s="50">
        <v>42</v>
      </c>
      <c r="N20" s="50">
        <v>0</v>
      </c>
      <c r="O20" s="15">
        <f t="shared" si="0"/>
        <v>86</v>
      </c>
      <c r="P20" s="15">
        <f t="shared" si="1"/>
        <v>128</v>
      </c>
      <c r="R20" s="1" t="s">
        <v>16</v>
      </c>
      <c r="S20" s="17">
        <f t="shared" ref="S20:AF20" si="12">SUM(C50:C53)</f>
        <v>257</v>
      </c>
      <c r="T20" s="17">
        <f t="shared" si="12"/>
        <v>74</v>
      </c>
      <c r="U20" s="17">
        <f t="shared" si="12"/>
        <v>15</v>
      </c>
      <c r="V20" s="17">
        <f t="shared" si="12"/>
        <v>47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267</v>
      </c>
      <c r="AD20" s="17">
        <f t="shared" si="12"/>
        <v>0</v>
      </c>
      <c r="AE20" s="31">
        <f t="shared" si="12"/>
        <v>397</v>
      </c>
      <c r="AF20" s="31">
        <f t="shared" si="12"/>
        <v>664</v>
      </c>
    </row>
    <row r="21" spans="2:32" ht="23.1" customHeight="1" x14ac:dyDescent="0.25">
      <c r="B21" s="23" t="s">
        <v>48</v>
      </c>
      <c r="C21" s="50">
        <v>36</v>
      </c>
      <c r="D21" s="50">
        <v>16</v>
      </c>
      <c r="E21" s="50">
        <v>16</v>
      </c>
      <c r="F21" s="50">
        <v>0</v>
      </c>
      <c r="G21" s="50">
        <v>0</v>
      </c>
      <c r="H21" s="50">
        <v>1</v>
      </c>
      <c r="I21" s="50">
        <v>1</v>
      </c>
      <c r="J21" s="50">
        <v>2</v>
      </c>
      <c r="K21" s="50">
        <v>0</v>
      </c>
      <c r="L21" s="50">
        <v>0</v>
      </c>
      <c r="M21" s="50">
        <v>37</v>
      </c>
      <c r="N21" s="50">
        <v>0</v>
      </c>
      <c r="O21" s="15">
        <f t="shared" si="0"/>
        <v>72</v>
      </c>
      <c r="P21" s="15">
        <f t="shared" si="1"/>
        <v>109</v>
      </c>
      <c r="R21" s="36" t="s">
        <v>20</v>
      </c>
      <c r="S21" s="34">
        <f t="shared" ref="S21:AF21" si="13">SUM(C54:C57)</f>
        <v>233</v>
      </c>
      <c r="T21" s="17">
        <f t="shared" si="13"/>
        <v>72</v>
      </c>
      <c r="U21" s="17">
        <f t="shared" si="13"/>
        <v>23</v>
      </c>
      <c r="V21" s="17">
        <f t="shared" si="13"/>
        <v>35</v>
      </c>
      <c r="W21" s="17">
        <f t="shared" si="13"/>
        <v>2</v>
      </c>
      <c r="X21" s="17">
        <f t="shared" si="13"/>
        <v>0</v>
      </c>
      <c r="Y21" s="17">
        <f t="shared" si="13"/>
        <v>8</v>
      </c>
      <c r="Z21" s="17">
        <f t="shared" si="13"/>
        <v>0</v>
      </c>
      <c r="AA21" s="17">
        <f t="shared" si="13"/>
        <v>1</v>
      </c>
      <c r="AB21" s="17">
        <f t="shared" si="13"/>
        <v>1</v>
      </c>
      <c r="AC21" s="17">
        <f t="shared" si="13"/>
        <v>282</v>
      </c>
      <c r="AD21" s="17">
        <f t="shared" si="13"/>
        <v>0</v>
      </c>
      <c r="AE21" s="31">
        <f t="shared" si="13"/>
        <v>375</v>
      </c>
      <c r="AF21" s="31">
        <f t="shared" si="13"/>
        <v>657</v>
      </c>
    </row>
    <row r="22" spans="2:32" ht="23.1" customHeight="1" x14ac:dyDescent="0.25">
      <c r="B22" s="23" t="s">
        <v>49</v>
      </c>
      <c r="C22" s="50">
        <v>41</v>
      </c>
      <c r="D22" s="50">
        <v>11</v>
      </c>
      <c r="E22" s="50">
        <v>9</v>
      </c>
      <c r="F22" s="50">
        <v>21</v>
      </c>
      <c r="G22" s="50">
        <v>0</v>
      </c>
      <c r="H22" s="50">
        <v>0</v>
      </c>
      <c r="I22" s="50">
        <v>1</v>
      </c>
      <c r="J22" s="50">
        <v>2</v>
      </c>
      <c r="K22" s="50">
        <v>0</v>
      </c>
      <c r="L22" s="50">
        <v>1</v>
      </c>
      <c r="M22" s="50">
        <v>52</v>
      </c>
      <c r="N22" s="50">
        <v>0</v>
      </c>
      <c r="O22" s="15">
        <f t="shared" si="0"/>
        <v>86</v>
      </c>
      <c r="P22" s="15">
        <f t="shared" si="1"/>
        <v>138</v>
      </c>
      <c r="R22" s="38" t="s">
        <v>90</v>
      </c>
      <c r="S22" s="39">
        <f>MAX(S10:S12)</f>
        <v>108</v>
      </c>
      <c r="T22" s="39">
        <f t="shared" ref="T22:AF22" si="14">MAX(T10:T12)</f>
        <v>34</v>
      </c>
      <c r="U22" s="39">
        <f t="shared" si="14"/>
        <v>37</v>
      </c>
      <c r="V22" s="39">
        <f t="shared" si="14"/>
        <v>51</v>
      </c>
      <c r="W22" s="39">
        <f t="shared" si="14"/>
        <v>2</v>
      </c>
      <c r="X22" s="39">
        <f t="shared" si="14"/>
        <v>1</v>
      </c>
      <c r="Y22" s="39">
        <f t="shared" si="14"/>
        <v>3</v>
      </c>
      <c r="Z22" s="39">
        <f t="shared" si="14"/>
        <v>4</v>
      </c>
      <c r="AA22" s="39">
        <f t="shared" si="14"/>
        <v>2</v>
      </c>
      <c r="AB22" s="39">
        <f t="shared" si="14"/>
        <v>2</v>
      </c>
      <c r="AC22" s="39">
        <f t="shared" si="14"/>
        <v>187</v>
      </c>
      <c r="AD22" s="39">
        <f t="shared" si="14"/>
        <v>0</v>
      </c>
      <c r="AE22" s="40">
        <f t="shared" si="14"/>
        <v>239</v>
      </c>
      <c r="AF22" s="40">
        <f t="shared" si="14"/>
        <v>386</v>
      </c>
    </row>
    <row r="23" spans="2:32" ht="23.1" customHeight="1" x14ac:dyDescent="0.25">
      <c r="B23" s="23" t="s">
        <v>50</v>
      </c>
      <c r="C23" s="50">
        <v>21</v>
      </c>
      <c r="D23" s="50">
        <v>8</v>
      </c>
      <c r="E23" s="50">
        <v>11</v>
      </c>
      <c r="F23" s="50">
        <v>22</v>
      </c>
      <c r="G23" s="50">
        <v>1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63</v>
      </c>
      <c r="N23" s="50">
        <v>0</v>
      </c>
      <c r="O23" s="15">
        <f t="shared" si="0"/>
        <v>64</v>
      </c>
      <c r="P23" s="15">
        <f t="shared" si="1"/>
        <v>127</v>
      </c>
      <c r="R23" s="38" t="s">
        <v>91</v>
      </c>
      <c r="S23" s="39">
        <f>MAX(S13:S18)</f>
        <v>257</v>
      </c>
      <c r="T23" s="39">
        <f t="shared" ref="T23:AF23" si="15">MAX(T13:T18)</f>
        <v>87</v>
      </c>
      <c r="U23" s="39">
        <f t="shared" si="15"/>
        <v>57</v>
      </c>
      <c r="V23" s="39">
        <f t="shared" si="15"/>
        <v>65</v>
      </c>
      <c r="W23" s="39">
        <f t="shared" si="15"/>
        <v>9</v>
      </c>
      <c r="X23" s="39">
        <f t="shared" si="15"/>
        <v>3</v>
      </c>
      <c r="Y23" s="39">
        <f t="shared" si="15"/>
        <v>12</v>
      </c>
      <c r="Z23" s="39">
        <f t="shared" si="15"/>
        <v>7</v>
      </c>
      <c r="AA23" s="39">
        <f t="shared" si="15"/>
        <v>3</v>
      </c>
      <c r="AB23" s="39">
        <f t="shared" si="15"/>
        <v>2</v>
      </c>
      <c r="AC23" s="39">
        <f t="shared" si="15"/>
        <v>263</v>
      </c>
      <c r="AD23" s="39">
        <f t="shared" si="15"/>
        <v>1</v>
      </c>
      <c r="AE23" s="40">
        <f t="shared" si="15"/>
        <v>429</v>
      </c>
      <c r="AF23" s="40">
        <f t="shared" si="15"/>
        <v>653</v>
      </c>
    </row>
    <row r="24" spans="2:32" ht="23.1" customHeight="1" x14ac:dyDescent="0.25">
      <c r="B24" s="23" t="s">
        <v>51</v>
      </c>
      <c r="C24" s="50">
        <v>32</v>
      </c>
      <c r="D24" s="50">
        <v>11</v>
      </c>
      <c r="E24" s="50">
        <v>7</v>
      </c>
      <c r="F24" s="50">
        <v>11</v>
      </c>
      <c r="G24" s="50">
        <v>2</v>
      </c>
      <c r="H24" s="50">
        <v>0</v>
      </c>
      <c r="I24" s="50">
        <v>1</v>
      </c>
      <c r="J24" s="50">
        <v>0</v>
      </c>
      <c r="K24" s="50">
        <v>1</v>
      </c>
      <c r="L24" s="50">
        <v>0</v>
      </c>
      <c r="M24" s="50">
        <v>32</v>
      </c>
      <c r="N24" s="50">
        <v>0</v>
      </c>
      <c r="O24" s="15">
        <f t="shared" si="0"/>
        <v>65</v>
      </c>
      <c r="P24" s="15">
        <f t="shared" si="1"/>
        <v>97</v>
      </c>
      <c r="R24" s="38" t="s">
        <v>92</v>
      </c>
      <c r="S24" s="39">
        <f>MAX(S19:S21)</f>
        <v>257</v>
      </c>
      <c r="T24" s="39">
        <f t="shared" ref="T24:AF24" si="16">MAX(T19:T21)</f>
        <v>74</v>
      </c>
      <c r="U24" s="39">
        <f t="shared" si="16"/>
        <v>23</v>
      </c>
      <c r="V24" s="39">
        <f t="shared" si="16"/>
        <v>50</v>
      </c>
      <c r="W24" s="39">
        <f t="shared" si="16"/>
        <v>2</v>
      </c>
      <c r="X24" s="39">
        <f t="shared" si="16"/>
        <v>0</v>
      </c>
      <c r="Y24" s="39">
        <f t="shared" si="16"/>
        <v>8</v>
      </c>
      <c r="Z24" s="39">
        <f t="shared" si="16"/>
        <v>3</v>
      </c>
      <c r="AA24" s="39">
        <f t="shared" si="16"/>
        <v>1</v>
      </c>
      <c r="AB24" s="39">
        <f t="shared" si="16"/>
        <v>1</v>
      </c>
      <c r="AC24" s="39">
        <f t="shared" si="16"/>
        <v>282</v>
      </c>
      <c r="AD24" s="39">
        <f t="shared" si="16"/>
        <v>0</v>
      </c>
      <c r="AE24" s="40">
        <f t="shared" si="16"/>
        <v>397</v>
      </c>
      <c r="AF24" s="40">
        <f t="shared" si="16"/>
        <v>664</v>
      </c>
    </row>
    <row r="25" spans="2:32" ht="23.1" customHeight="1" x14ac:dyDescent="0.25">
      <c r="B25" s="23" t="s">
        <v>52</v>
      </c>
      <c r="C25" s="50">
        <v>42</v>
      </c>
      <c r="D25" s="50">
        <v>22</v>
      </c>
      <c r="E25" s="50">
        <v>17</v>
      </c>
      <c r="F25" s="50">
        <v>11</v>
      </c>
      <c r="G25" s="50">
        <v>1</v>
      </c>
      <c r="H25" s="50">
        <v>2</v>
      </c>
      <c r="I25" s="50">
        <v>3</v>
      </c>
      <c r="J25" s="50">
        <v>0</v>
      </c>
      <c r="K25" s="50">
        <v>0</v>
      </c>
      <c r="L25" s="50">
        <v>0</v>
      </c>
      <c r="M25" s="50">
        <v>47</v>
      </c>
      <c r="N25" s="50">
        <v>0</v>
      </c>
      <c r="O25" s="15">
        <f t="shared" si="0"/>
        <v>98</v>
      </c>
      <c r="P25" s="15">
        <f t="shared" si="1"/>
        <v>145</v>
      </c>
      <c r="R25" s="37" t="s">
        <v>85</v>
      </c>
      <c r="S25" s="35">
        <f t="shared" ref="S25:AF25" si="17">SUM(S10:S12)</f>
        <v>222</v>
      </c>
      <c r="T25" s="16">
        <f t="shared" si="17"/>
        <v>54</v>
      </c>
      <c r="U25" s="16">
        <f t="shared" si="17"/>
        <v>54</v>
      </c>
      <c r="V25" s="16">
        <f t="shared" si="17"/>
        <v>131</v>
      </c>
      <c r="W25" s="16">
        <f t="shared" si="17"/>
        <v>3</v>
      </c>
      <c r="X25" s="16">
        <f t="shared" si="17"/>
        <v>1</v>
      </c>
      <c r="Y25" s="16">
        <f t="shared" si="17"/>
        <v>6</v>
      </c>
      <c r="Z25" s="16">
        <f t="shared" si="17"/>
        <v>8</v>
      </c>
      <c r="AA25" s="16">
        <f t="shared" si="17"/>
        <v>5</v>
      </c>
      <c r="AB25" s="16">
        <f t="shared" si="17"/>
        <v>3</v>
      </c>
      <c r="AC25" s="16">
        <f t="shared" si="17"/>
        <v>473</v>
      </c>
      <c r="AD25" s="16">
        <f t="shared" si="17"/>
        <v>0</v>
      </c>
      <c r="AE25" s="32">
        <f t="shared" si="17"/>
        <v>487</v>
      </c>
      <c r="AF25" s="32">
        <f t="shared" si="17"/>
        <v>960</v>
      </c>
    </row>
    <row r="26" spans="2:32" ht="23.1" customHeight="1" x14ac:dyDescent="0.25">
      <c r="B26" s="23" t="s">
        <v>53</v>
      </c>
      <c r="C26" s="50">
        <v>67</v>
      </c>
      <c r="D26" s="50">
        <v>34</v>
      </c>
      <c r="E26" s="50">
        <v>23</v>
      </c>
      <c r="F26" s="50">
        <v>26</v>
      </c>
      <c r="G26" s="50">
        <v>7</v>
      </c>
      <c r="H26" s="50">
        <v>3</v>
      </c>
      <c r="I26" s="50">
        <v>3</v>
      </c>
      <c r="J26" s="50">
        <v>1</v>
      </c>
      <c r="K26" s="50">
        <v>0</v>
      </c>
      <c r="L26" s="50">
        <v>0</v>
      </c>
      <c r="M26" s="50">
        <v>71</v>
      </c>
      <c r="N26" s="50">
        <v>0</v>
      </c>
      <c r="O26" s="15">
        <f t="shared" si="0"/>
        <v>164</v>
      </c>
      <c r="P26" s="15">
        <f t="shared" si="1"/>
        <v>235</v>
      </c>
      <c r="R26" s="28" t="s">
        <v>86</v>
      </c>
      <c r="S26" s="16">
        <f t="shared" ref="S26:AF26" si="18">SUM(S13:S18)</f>
        <v>1257</v>
      </c>
      <c r="T26" s="16">
        <f t="shared" si="18"/>
        <v>337</v>
      </c>
      <c r="U26" s="16">
        <f t="shared" si="18"/>
        <v>191</v>
      </c>
      <c r="V26" s="16">
        <f t="shared" si="18"/>
        <v>309</v>
      </c>
      <c r="W26" s="16">
        <f t="shared" si="18"/>
        <v>16</v>
      </c>
      <c r="X26" s="16">
        <f t="shared" si="18"/>
        <v>5</v>
      </c>
      <c r="Y26" s="16">
        <f t="shared" si="18"/>
        <v>34</v>
      </c>
      <c r="Z26" s="16">
        <f t="shared" si="18"/>
        <v>17</v>
      </c>
      <c r="AA26" s="16">
        <f t="shared" si="18"/>
        <v>7</v>
      </c>
      <c r="AB26" s="16">
        <f t="shared" si="18"/>
        <v>5</v>
      </c>
      <c r="AC26" s="16">
        <f t="shared" si="18"/>
        <v>1331</v>
      </c>
      <c r="AD26" s="16">
        <f t="shared" si="18"/>
        <v>1</v>
      </c>
      <c r="AE26" s="32">
        <f t="shared" si="18"/>
        <v>2179</v>
      </c>
      <c r="AF26" s="32">
        <f t="shared" si="18"/>
        <v>3510</v>
      </c>
    </row>
    <row r="27" spans="2:32" ht="23.1" customHeight="1" x14ac:dyDescent="0.25">
      <c r="B27" s="23" t="s">
        <v>54</v>
      </c>
      <c r="C27" s="50">
        <v>52</v>
      </c>
      <c r="D27" s="50">
        <v>26</v>
      </c>
      <c r="E27" s="50">
        <v>17</v>
      </c>
      <c r="F27" s="50">
        <v>12</v>
      </c>
      <c r="G27" s="50">
        <v>1</v>
      </c>
      <c r="H27" s="50">
        <v>0</v>
      </c>
      <c r="I27" s="50">
        <v>6</v>
      </c>
      <c r="J27" s="50">
        <v>0</v>
      </c>
      <c r="K27" s="50">
        <v>0</v>
      </c>
      <c r="L27" s="50">
        <v>0</v>
      </c>
      <c r="M27" s="50">
        <v>59</v>
      </c>
      <c r="N27" s="50">
        <v>0</v>
      </c>
      <c r="O27" s="15">
        <f t="shared" si="0"/>
        <v>114</v>
      </c>
      <c r="P27" s="15">
        <f t="shared" si="1"/>
        <v>173</v>
      </c>
      <c r="R27" s="29" t="s">
        <v>87</v>
      </c>
      <c r="S27" s="16">
        <f t="shared" ref="S27:AF27" si="19">SUM(S19:S21)</f>
        <v>740</v>
      </c>
      <c r="T27" s="16">
        <f t="shared" si="19"/>
        <v>199</v>
      </c>
      <c r="U27" s="16">
        <f t="shared" si="19"/>
        <v>58</v>
      </c>
      <c r="V27" s="16">
        <f t="shared" si="19"/>
        <v>132</v>
      </c>
      <c r="W27" s="16">
        <f t="shared" si="19"/>
        <v>2</v>
      </c>
      <c r="X27" s="16">
        <f t="shared" si="19"/>
        <v>0</v>
      </c>
      <c r="Y27" s="16">
        <f t="shared" si="19"/>
        <v>11</v>
      </c>
      <c r="Z27" s="16">
        <f t="shared" si="19"/>
        <v>5</v>
      </c>
      <c r="AA27" s="16">
        <f t="shared" si="19"/>
        <v>3</v>
      </c>
      <c r="AB27" s="16">
        <f t="shared" si="19"/>
        <v>1</v>
      </c>
      <c r="AC27" s="16">
        <f t="shared" si="19"/>
        <v>826</v>
      </c>
      <c r="AD27" s="16">
        <f t="shared" si="19"/>
        <v>0</v>
      </c>
      <c r="AE27" s="32">
        <f t="shared" si="19"/>
        <v>1151</v>
      </c>
      <c r="AF27" s="32">
        <f t="shared" si="19"/>
        <v>1977</v>
      </c>
    </row>
    <row r="28" spans="2:32" ht="23.1" customHeight="1" x14ac:dyDescent="0.25">
      <c r="B28" s="23" t="s">
        <v>55</v>
      </c>
      <c r="C28" s="50">
        <v>46</v>
      </c>
      <c r="D28" s="50">
        <v>16</v>
      </c>
      <c r="E28" s="50">
        <v>15</v>
      </c>
      <c r="F28" s="50">
        <v>6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47</v>
      </c>
      <c r="N28" s="50">
        <v>0</v>
      </c>
      <c r="O28" s="15">
        <f t="shared" si="0"/>
        <v>83</v>
      </c>
      <c r="P28" s="15">
        <f t="shared" si="1"/>
        <v>130</v>
      </c>
      <c r="R28" s="5" t="s">
        <v>17</v>
      </c>
      <c r="S28" s="16">
        <f t="shared" ref="S28:AF28" si="20">SUM(S10:S21)</f>
        <v>2219</v>
      </c>
      <c r="T28" s="16">
        <f t="shared" si="20"/>
        <v>590</v>
      </c>
      <c r="U28" s="16">
        <f t="shared" si="20"/>
        <v>303</v>
      </c>
      <c r="V28" s="16">
        <f t="shared" si="20"/>
        <v>572</v>
      </c>
      <c r="W28" s="16">
        <f t="shared" si="20"/>
        <v>21</v>
      </c>
      <c r="X28" s="16">
        <f t="shared" si="20"/>
        <v>6</v>
      </c>
      <c r="Y28" s="16">
        <f t="shared" si="20"/>
        <v>51</v>
      </c>
      <c r="Z28" s="16">
        <f t="shared" si="20"/>
        <v>30</v>
      </c>
      <c r="AA28" s="16">
        <f t="shared" si="20"/>
        <v>15</v>
      </c>
      <c r="AB28" s="16">
        <f t="shared" si="20"/>
        <v>9</v>
      </c>
      <c r="AC28" s="16">
        <f t="shared" si="20"/>
        <v>2630</v>
      </c>
      <c r="AD28" s="16">
        <f t="shared" si="20"/>
        <v>1</v>
      </c>
      <c r="AE28" s="32">
        <f t="shared" si="20"/>
        <v>3817</v>
      </c>
      <c r="AF28" s="32">
        <f t="shared" si="20"/>
        <v>6447</v>
      </c>
    </row>
    <row r="29" spans="2:32" ht="23.1" customHeight="1" x14ac:dyDescent="0.25">
      <c r="B29" s="23" t="s">
        <v>56</v>
      </c>
      <c r="C29" s="50">
        <v>43</v>
      </c>
      <c r="D29" s="50">
        <v>11</v>
      </c>
      <c r="E29" s="50">
        <v>2</v>
      </c>
      <c r="F29" s="50">
        <v>8</v>
      </c>
      <c r="G29" s="50">
        <v>1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47</v>
      </c>
      <c r="N29" s="50">
        <v>0</v>
      </c>
      <c r="O29" s="15">
        <f t="shared" si="0"/>
        <v>68</v>
      </c>
      <c r="P29" s="15">
        <f t="shared" si="1"/>
        <v>115</v>
      </c>
      <c r="R29"/>
      <c r="S29" s="20"/>
      <c r="T29" s="19"/>
    </row>
    <row r="30" spans="2:32" ht="23.1" customHeight="1" x14ac:dyDescent="0.25">
      <c r="B30" s="23" t="s">
        <v>57</v>
      </c>
      <c r="C30" s="50">
        <v>47</v>
      </c>
      <c r="D30" s="50">
        <v>12</v>
      </c>
      <c r="E30" s="50">
        <v>7</v>
      </c>
      <c r="F30" s="50">
        <v>16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57</v>
      </c>
      <c r="N30" s="50">
        <v>1</v>
      </c>
      <c r="O30" s="15">
        <f t="shared" si="0"/>
        <v>85</v>
      </c>
      <c r="P30" s="15">
        <f t="shared" si="1"/>
        <v>142</v>
      </c>
    </row>
    <row r="31" spans="2:32" ht="23.1" customHeight="1" x14ac:dyDescent="0.25">
      <c r="B31" s="24" t="s">
        <v>58</v>
      </c>
      <c r="C31" s="50">
        <v>56</v>
      </c>
      <c r="D31" s="50">
        <v>13</v>
      </c>
      <c r="E31" s="50">
        <v>0</v>
      </c>
      <c r="F31" s="50">
        <v>11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49</v>
      </c>
      <c r="N31" s="50">
        <v>0</v>
      </c>
      <c r="O31" s="15">
        <f t="shared" si="0"/>
        <v>80</v>
      </c>
      <c r="P31" s="15">
        <f t="shared" si="1"/>
        <v>129</v>
      </c>
    </row>
    <row r="32" spans="2:32" ht="23.1" customHeight="1" x14ac:dyDescent="0.25">
      <c r="B32" s="24" t="s">
        <v>59</v>
      </c>
      <c r="C32" s="50">
        <v>43</v>
      </c>
      <c r="D32" s="50">
        <v>22</v>
      </c>
      <c r="E32" s="50">
        <v>16</v>
      </c>
      <c r="F32" s="50">
        <v>16</v>
      </c>
      <c r="G32" s="50">
        <v>1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53</v>
      </c>
      <c r="N32" s="50">
        <v>0</v>
      </c>
      <c r="O32" s="15">
        <f t="shared" si="0"/>
        <v>98</v>
      </c>
      <c r="P32" s="15">
        <f t="shared" si="1"/>
        <v>151</v>
      </c>
    </row>
    <row r="33" spans="2:20" ht="23.1" customHeight="1" x14ac:dyDescent="0.25">
      <c r="B33" s="23" t="s">
        <v>60</v>
      </c>
      <c r="C33" s="50">
        <v>67</v>
      </c>
      <c r="D33" s="50">
        <v>9</v>
      </c>
      <c r="E33" s="50">
        <v>6</v>
      </c>
      <c r="F33" s="50">
        <v>12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2</v>
      </c>
      <c r="M33" s="50">
        <v>61</v>
      </c>
      <c r="N33" s="50">
        <v>0</v>
      </c>
      <c r="O33" s="15">
        <f t="shared" si="0"/>
        <v>97</v>
      </c>
      <c r="P33" s="15">
        <f t="shared" si="1"/>
        <v>158</v>
      </c>
    </row>
    <row r="34" spans="2:20" ht="23.1" customHeight="1" x14ac:dyDescent="0.25">
      <c r="B34" s="24" t="s">
        <v>61</v>
      </c>
      <c r="C34" s="50">
        <v>53</v>
      </c>
      <c r="D34" s="50">
        <v>9</v>
      </c>
      <c r="E34" s="50">
        <v>6</v>
      </c>
      <c r="F34" s="50">
        <v>11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63</v>
      </c>
      <c r="N34" s="50">
        <v>0</v>
      </c>
      <c r="O34" s="15">
        <f t="shared" si="0"/>
        <v>81</v>
      </c>
      <c r="P34" s="15">
        <f t="shared" si="1"/>
        <v>144</v>
      </c>
    </row>
    <row r="35" spans="2:20" ht="23.1" customHeight="1" x14ac:dyDescent="0.25">
      <c r="B35" s="24" t="s">
        <v>62</v>
      </c>
      <c r="C35" s="50">
        <v>62</v>
      </c>
      <c r="D35" s="50">
        <v>11</v>
      </c>
      <c r="E35" s="50">
        <v>8</v>
      </c>
      <c r="F35" s="50">
        <v>9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1</v>
      </c>
      <c r="M35" s="50">
        <v>71</v>
      </c>
      <c r="N35" s="50">
        <v>0</v>
      </c>
      <c r="O35" s="15">
        <f t="shared" si="0"/>
        <v>92</v>
      </c>
      <c r="P35" s="15">
        <f t="shared" si="1"/>
        <v>163</v>
      </c>
    </row>
    <row r="36" spans="2:20" ht="23.1" customHeight="1" x14ac:dyDescent="0.25">
      <c r="B36" s="24" t="s">
        <v>63</v>
      </c>
      <c r="C36" s="50">
        <v>56</v>
      </c>
      <c r="D36" s="50">
        <v>24</v>
      </c>
      <c r="E36" s="50">
        <v>9</v>
      </c>
      <c r="F36" s="50">
        <v>18</v>
      </c>
      <c r="G36" s="50">
        <v>0</v>
      </c>
      <c r="H36" s="50">
        <v>0</v>
      </c>
      <c r="I36" s="50">
        <v>3</v>
      </c>
      <c r="J36" s="50">
        <v>3</v>
      </c>
      <c r="K36" s="50">
        <v>0</v>
      </c>
      <c r="L36" s="50">
        <v>0</v>
      </c>
      <c r="M36" s="50">
        <v>67</v>
      </c>
      <c r="N36" s="50">
        <v>0</v>
      </c>
      <c r="O36" s="15">
        <f t="shared" si="0"/>
        <v>113</v>
      </c>
      <c r="P36" s="15">
        <f t="shared" si="1"/>
        <v>180</v>
      </c>
    </row>
    <row r="37" spans="2:20" ht="23.1" customHeight="1" x14ac:dyDescent="0.25">
      <c r="B37" s="23" t="s">
        <v>64</v>
      </c>
      <c r="C37" s="50">
        <v>52</v>
      </c>
      <c r="D37" s="50">
        <v>21</v>
      </c>
      <c r="E37" s="50">
        <v>8</v>
      </c>
      <c r="F37" s="50">
        <v>14</v>
      </c>
      <c r="G37" s="50">
        <v>1</v>
      </c>
      <c r="H37" s="50">
        <v>0</v>
      </c>
      <c r="I37" s="50">
        <v>1</v>
      </c>
      <c r="J37" s="50">
        <v>0</v>
      </c>
      <c r="K37" s="50">
        <v>1</v>
      </c>
      <c r="L37" s="50">
        <v>1</v>
      </c>
      <c r="M37" s="50">
        <v>62</v>
      </c>
      <c r="N37" s="50">
        <v>0</v>
      </c>
      <c r="O37" s="15">
        <f t="shared" si="0"/>
        <v>99</v>
      </c>
      <c r="P37" s="15">
        <f t="shared" si="1"/>
        <v>161</v>
      </c>
    </row>
    <row r="38" spans="2:20" ht="23.1" customHeight="1" x14ac:dyDescent="0.25">
      <c r="B38" s="24" t="s">
        <v>65</v>
      </c>
      <c r="C38" s="50">
        <v>73</v>
      </c>
      <c r="D38" s="50">
        <v>12</v>
      </c>
      <c r="E38" s="50">
        <v>2</v>
      </c>
      <c r="F38" s="50">
        <v>5</v>
      </c>
      <c r="G38" s="50">
        <v>1</v>
      </c>
      <c r="H38" s="50">
        <v>0</v>
      </c>
      <c r="I38" s="50">
        <v>5</v>
      </c>
      <c r="J38" s="50">
        <v>0</v>
      </c>
      <c r="K38" s="50">
        <v>1</v>
      </c>
      <c r="L38" s="50">
        <v>0</v>
      </c>
      <c r="M38" s="50">
        <v>77</v>
      </c>
      <c r="N38" s="50">
        <v>0</v>
      </c>
      <c r="O38" s="15">
        <f t="shared" si="0"/>
        <v>99</v>
      </c>
      <c r="P38" s="15">
        <f t="shared" si="1"/>
        <v>176</v>
      </c>
    </row>
    <row r="39" spans="2:20" ht="23.1" customHeight="1" x14ac:dyDescent="0.25">
      <c r="B39" s="24" t="s">
        <v>66</v>
      </c>
      <c r="C39" s="50">
        <v>65</v>
      </c>
      <c r="D39" s="50">
        <v>8</v>
      </c>
      <c r="E39" s="50">
        <v>1</v>
      </c>
      <c r="F39" s="50">
        <v>16</v>
      </c>
      <c r="G39" s="50">
        <v>0</v>
      </c>
      <c r="H39" s="50">
        <v>0</v>
      </c>
      <c r="I39" s="50">
        <v>0</v>
      </c>
      <c r="J39" s="50">
        <v>0</v>
      </c>
      <c r="K39" s="50">
        <v>2</v>
      </c>
      <c r="L39" s="50">
        <v>0</v>
      </c>
      <c r="M39" s="50">
        <v>38</v>
      </c>
      <c r="N39" s="50">
        <v>0</v>
      </c>
      <c r="O39" s="15">
        <f t="shared" si="0"/>
        <v>92</v>
      </c>
      <c r="P39" s="15">
        <f t="shared" si="1"/>
        <v>130</v>
      </c>
    </row>
    <row r="40" spans="2:20" ht="23.1" customHeight="1" x14ac:dyDescent="0.25">
      <c r="B40" s="24" t="s">
        <v>67</v>
      </c>
      <c r="C40" s="50">
        <v>56</v>
      </c>
      <c r="D40" s="50">
        <v>7</v>
      </c>
      <c r="E40" s="50">
        <v>5</v>
      </c>
      <c r="F40" s="50">
        <v>13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46</v>
      </c>
      <c r="N40" s="50">
        <v>0</v>
      </c>
      <c r="O40" s="15">
        <f t="shared" si="0"/>
        <v>82</v>
      </c>
      <c r="P40" s="15">
        <f t="shared" si="1"/>
        <v>128</v>
      </c>
    </row>
    <row r="41" spans="2:20" ht="23.1" customHeight="1" x14ac:dyDescent="0.25">
      <c r="B41" s="23" t="s">
        <v>68</v>
      </c>
      <c r="C41" s="50">
        <v>63</v>
      </c>
      <c r="D41" s="50">
        <v>16</v>
      </c>
      <c r="E41" s="50">
        <v>6</v>
      </c>
      <c r="F41" s="50">
        <v>8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56</v>
      </c>
      <c r="N41" s="50">
        <v>0</v>
      </c>
      <c r="O41" s="15">
        <f t="shared" si="0"/>
        <v>93</v>
      </c>
      <c r="P41" s="15">
        <f t="shared" si="1"/>
        <v>149</v>
      </c>
    </row>
    <row r="42" spans="2:20" ht="23.1" customHeight="1" x14ac:dyDescent="0.25">
      <c r="B42" s="24" t="s">
        <v>69</v>
      </c>
      <c r="C42" s="50">
        <v>44</v>
      </c>
      <c r="D42" s="50">
        <v>8</v>
      </c>
      <c r="E42" s="50">
        <v>0</v>
      </c>
      <c r="F42" s="50">
        <v>11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55</v>
      </c>
      <c r="N42" s="50">
        <v>0</v>
      </c>
      <c r="O42" s="15">
        <f t="shared" si="0"/>
        <v>64</v>
      </c>
      <c r="P42" s="15">
        <f t="shared" si="1"/>
        <v>119</v>
      </c>
    </row>
    <row r="43" spans="2:20" ht="23.1" customHeight="1" x14ac:dyDescent="0.25">
      <c r="B43" s="23" t="s">
        <v>70</v>
      </c>
      <c r="C43" s="50">
        <v>40</v>
      </c>
      <c r="D43" s="50">
        <v>9</v>
      </c>
      <c r="E43" s="50">
        <v>6</v>
      </c>
      <c r="F43" s="50">
        <v>14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46</v>
      </c>
      <c r="N43" s="50">
        <v>0</v>
      </c>
      <c r="O43" s="15">
        <f t="shared" si="0"/>
        <v>72</v>
      </c>
      <c r="P43" s="15">
        <f t="shared" si="1"/>
        <v>118</v>
      </c>
    </row>
    <row r="44" spans="2:20" ht="23.1" customHeight="1" x14ac:dyDescent="0.25">
      <c r="B44" s="25" t="s">
        <v>71</v>
      </c>
      <c r="C44" s="50">
        <v>50</v>
      </c>
      <c r="D44" s="50">
        <v>8</v>
      </c>
      <c r="E44" s="50">
        <v>8</v>
      </c>
      <c r="F44" s="50">
        <v>10</v>
      </c>
      <c r="G44" s="50">
        <v>0</v>
      </c>
      <c r="H44" s="50">
        <v>0</v>
      </c>
      <c r="I44" s="50">
        <v>0</v>
      </c>
      <c r="J44" s="50">
        <v>3</v>
      </c>
      <c r="K44" s="50">
        <v>2</v>
      </c>
      <c r="L44" s="50">
        <v>0</v>
      </c>
      <c r="M44" s="50">
        <v>56</v>
      </c>
      <c r="N44" s="50">
        <v>0</v>
      </c>
      <c r="O44" s="15">
        <f t="shared" si="0"/>
        <v>81</v>
      </c>
      <c r="P44" s="15">
        <f t="shared" si="1"/>
        <v>137</v>
      </c>
    </row>
    <row r="45" spans="2:20" ht="23.1" customHeight="1" x14ac:dyDescent="0.25">
      <c r="B45" s="23" t="s">
        <v>72</v>
      </c>
      <c r="C45" s="50">
        <v>86</v>
      </c>
      <c r="D45" s="50">
        <v>9</v>
      </c>
      <c r="E45" s="50">
        <v>2</v>
      </c>
      <c r="F45" s="50">
        <v>8</v>
      </c>
      <c r="G45" s="50">
        <v>0</v>
      </c>
      <c r="H45" s="50">
        <v>0</v>
      </c>
      <c r="I45" s="50">
        <v>3</v>
      </c>
      <c r="J45" s="50">
        <v>1</v>
      </c>
      <c r="K45" s="50">
        <v>0</v>
      </c>
      <c r="L45" s="50">
        <v>0</v>
      </c>
      <c r="M45" s="50">
        <v>56</v>
      </c>
      <c r="N45" s="50">
        <v>0</v>
      </c>
      <c r="O45" s="15">
        <f t="shared" si="0"/>
        <v>109</v>
      </c>
      <c r="P45" s="15">
        <f t="shared" si="1"/>
        <v>165</v>
      </c>
    </row>
    <row r="46" spans="2:20" ht="23.1" customHeight="1" x14ac:dyDescent="0.25">
      <c r="B46" s="24" t="s">
        <v>73</v>
      </c>
      <c r="C46" s="50">
        <v>70</v>
      </c>
      <c r="D46" s="50">
        <v>11</v>
      </c>
      <c r="E46" s="50">
        <v>5</v>
      </c>
      <c r="F46" s="50">
        <v>21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88</v>
      </c>
      <c r="N46" s="50">
        <v>0</v>
      </c>
      <c r="O46" s="15">
        <f t="shared" si="0"/>
        <v>109</v>
      </c>
      <c r="P46" s="15">
        <f t="shared" si="1"/>
        <v>197</v>
      </c>
      <c r="R46" s="8"/>
      <c r="T46"/>
    </row>
    <row r="47" spans="2:20" ht="23.1" customHeight="1" x14ac:dyDescent="0.25">
      <c r="B47" s="24" t="s">
        <v>74</v>
      </c>
      <c r="C47" s="50">
        <v>64</v>
      </c>
      <c r="D47" s="50">
        <v>8</v>
      </c>
      <c r="E47" s="50">
        <v>4</v>
      </c>
      <c r="F47" s="50">
        <v>13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82</v>
      </c>
      <c r="N47" s="50">
        <v>0</v>
      </c>
      <c r="O47" s="15">
        <f t="shared" si="0"/>
        <v>90</v>
      </c>
      <c r="P47" s="15">
        <f t="shared" si="1"/>
        <v>172</v>
      </c>
      <c r="R47" s="8"/>
      <c r="T47"/>
    </row>
    <row r="48" spans="2:20" ht="23.1" customHeight="1" x14ac:dyDescent="0.25">
      <c r="B48" s="24" t="s">
        <v>75</v>
      </c>
      <c r="C48" s="50">
        <v>55</v>
      </c>
      <c r="D48" s="50">
        <v>6</v>
      </c>
      <c r="E48" s="50">
        <v>3</v>
      </c>
      <c r="F48" s="50">
        <v>6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68</v>
      </c>
      <c r="N48" s="50">
        <v>0</v>
      </c>
      <c r="O48" s="15">
        <f t="shared" si="0"/>
        <v>71</v>
      </c>
      <c r="P48" s="15">
        <f t="shared" si="1"/>
        <v>139</v>
      </c>
      <c r="R48" s="8"/>
      <c r="T48"/>
    </row>
    <row r="49" spans="2:20" ht="23.1" customHeight="1" x14ac:dyDescent="0.25">
      <c r="B49" s="23" t="s">
        <v>76</v>
      </c>
      <c r="C49" s="50">
        <v>61</v>
      </c>
      <c r="D49" s="50">
        <v>28</v>
      </c>
      <c r="E49" s="50">
        <v>8</v>
      </c>
      <c r="F49" s="50">
        <v>10</v>
      </c>
      <c r="G49" s="50">
        <v>0</v>
      </c>
      <c r="H49" s="50">
        <v>0</v>
      </c>
      <c r="I49" s="50">
        <v>0</v>
      </c>
      <c r="J49" s="50">
        <v>1</v>
      </c>
      <c r="K49" s="50">
        <v>1</v>
      </c>
      <c r="L49" s="50">
        <v>0</v>
      </c>
      <c r="M49" s="50">
        <v>39</v>
      </c>
      <c r="N49" s="50">
        <v>0</v>
      </c>
      <c r="O49" s="15">
        <f t="shared" si="0"/>
        <v>109</v>
      </c>
      <c r="P49" s="15">
        <f t="shared" si="1"/>
        <v>148</v>
      </c>
      <c r="R49" s="8"/>
      <c r="T49"/>
    </row>
    <row r="50" spans="2:20" ht="23.1" customHeight="1" x14ac:dyDescent="0.25">
      <c r="B50" s="24" t="s">
        <v>77</v>
      </c>
      <c r="C50" s="50">
        <v>67</v>
      </c>
      <c r="D50" s="50">
        <v>27</v>
      </c>
      <c r="E50" s="50">
        <v>7</v>
      </c>
      <c r="F50" s="50">
        <v>23</v>
      </c>
      <c r="G50" s="50">
        <v>0</v>
      </c>
      <c r="H50" s="50">
        <v>0</v>
      </c>
      <c r="I50" s="50">
        <v>0</v>
      </c>
      <c r="J50" s="50">
        <v>1</v>
      </c>
      <c r="K50" s="50">
        <v>1</v>
      </c>
      <c r="L50" s="50">
        <v>0</v>
      </c>
      <c r="M50" s="50">
        <v>81</v>
      </c>
      <c r="N50" s="50">
        <v>0</v>
      </c>
      <c r="O50" s="15">
        <f t="shared" si="0"/>
        <v>126</v>
      </c>
      <c r="P50" s="15">
        <f t="shared" si="1"/>
        <v>207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8</v>
      </c>
      <c r="E51" s="50">
        <v>1</v>
      </c>
      <c r="F51" s="50">
        <v>6</v>
      </c>
      <c r="G51" s="50">
        <v>0</v>
      </c>
      <c r="H51" s="50">
        <v>0</v>
      </c>
      <c r="I51" s="50">
        <v>0</v>
      </c>
      <c r="J51" s="50">
        <v>2</v>
      </c>
      <c r="K51" s="50">
        <v>0</v>
      </c>
      <c r="L51" s="50">
        <v>0</v>
      </c>
      <c r="M51" s="50">
        <v>71</v>
      </c>
      <c r="N51" s="50">
        <v>0</v>
      </c>
      <c r="O51" s="15">
        <f t="shared" si="0"/>
        <v>87</v>
      </c>
      <c r="P51" s="15">
        <f t="shared" si="1"/>
        <v>158</v>
      </c>
      <c r="R51" s="8"/>
      <c r="T51"/>
    </row>
    <row r="52" spans="2:20" ht="23.1" customHeight="1" x14ac:dyDescent="0.25">
      <c r="B52" s="24" t="s">
        <v>79</v>
      </c>
      <c r="C52" s="50">
        <v>58</v>
      </c>
      <c r="D52" s="50">
        <v>17</v>
      </c>
      <c r="E52" s="50">
        <v>1</v>
      </c>
      <c r="F52" s="50">
        <v>7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63</v>
      </c>
      <c r="N52" s="50">
        <v>0</v>
      </c>
      <c r="O52" s="15">
        <f t="shared" si="0"/>
        <v>83</v>
      </c>
      <c r="P52" s="15">
        <f t="shared" si="1"/>
        <v>146</v>
      </c>
      <c r="R52" s="8"/>
      <c r="T52"/>
    </row>
    <row r="53" spans="2:20" ht="23.1" customHeight="1" x14ac:dyDescent="0.25">
      <c r="B53" s="23" t="s">
        <v>80</v>
      </c>
      <c r="C53" s="50">
        <v>62</v>
      </c>
      <c r="D53" s="50">
        <v>22</v>
      </c>
      <c r="E53" s="50">
        <v>6</v>
      </c>
      <c r="F53" s="50">
        <v>11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52</v>
      </c>
      <c r="N53" s="50">
        <v>0</v>
      </c>
      <c r="O53" s="15">
        <f t="shared" si="0"/>
        <v>101</v>
      </c>
      <c r="P53" s="15">
        <f t="shared" si="1"/>
        <v>153</v>
      </c>
      <c r="R53" s="8"/>
      <c r="T53"/>
    </row>
    <row r="54" spans="2:20" ht="23.1" customHeight="1" x14ac:dyDescent="0.25">
      <c r="B54" s="23" t="s">
        <v>81</v>
      </c>
      <c r="C54" s="50">
        <v>52</v>
      </c>
      <c r="D54" s="50">
        <v>11</v>
      </c>
      <c r="E54" s="50">
        <v>3</v>
      </c>
      <c r="F54" s="50">
        <v>11</v>
      </c>
      <c r="G54" s="50">
        <v>1</v>
      </c>
      <c r="H54" s="50">
        <v>0</v>
      </c>
      <c r="I54" s="50">
        <v>2</v>
      </c>
      <c r="J54" s="50">
        <v>0</v>
      </c>
      <c r="K54" s="50">
        <v>0</v>
      </c>
      <c r="L54" s="50">
        <v>1</v>
      </c>
      <c r="M54" s="50">
        <v>72</v>
      </c>
      <c r="N54" s="50">
        <v>0</v>
      </c>
      <c r="O54" s="15">
        <f t="shared" si="0"/>
        <v>81</v>
      </c>
      <c r="P54" s="15">
        <f t="shared" si="1"/>
        <v>153</v>
      </c>
      <c r="R54" s="8"/>
      <c r="T54"/>
    </row>
    <row r="55" spans="2:20" ht="23.1" customHeight="1" x14ac:dyDescent="0.25">
      <c r="B55" s="23" t="s">
        <v>82</v>
      </c>
      <c r="C55" s="50">
        <v>61</v>
      </c>
      <c r="D55" s="50">
        <v>21</v>
      </c>
      <c r="E55" s="50">
        <v>2</v>
      </c>
      <c r="F55" s="50">
        <v>4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74</v>
      </c>
      <c r="N55" s="50">
        <v>0</v>
      </c>
      <c r="O55" s="15">
        <f t="shared" si="0"/>
        <v>92</v>
      </c>
      <c r="P55" s="15">
        <f t="shared" si="1"/>
        <v>166</v>
      </c>
      <c r="R55" s="8"/>
      <c r="T55"/>
    </row>
    <row r="56" spans="2:20" ht="23.1" customHeight="1" x14ac:dyDescent="0.25">
      <c r="B56" s="23" t="s">
        <v>83</v>
      </c>
      <c r="C56" s="50">
        <v>59</v>
      </c>
      <c r="D56" s="50">
        <v>19</v>
      </c>
      <c r="E56" s="50">
        <v>11</v>
      </c>
      <c r="F56" s="50">
        <v>8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64</v>
      </c>
      <c r="N56" s="50">
        <v>0</v>
      </c>
      <c r="O56" s="15">
        <f t="shared" si="0"/>
        <v>98</v>
      </c>
      <c r="P56" s="15">
        <f t="shared" si="1"/>
        <v>162</v>
      </c>
      <c r="R56" s="8"/>
      <c r="T56"/>
    </row>
    <row r="57" spans="2:20" ht="23.1" customHeight="1" x14ac:dyDescent="0.25">
      <c r="B57" s="23" t="s">
        <v>84</v>
      </c>
      <c r="C57" s="50">
        <v>61</v>
      </c>
      <c r="D57" s="50">
        <v>21</v>
      </c>
      <c r="E57" s="50">
        <v>7</v>
      </c>
      <c r="F57" s="50">
        <v>12</v>
      </c>
      <c r="G57" s="50">
        <v>0</v>
      </c>
      <c r="H57" s="50">
        <v>0</v>
      </c>
      <c r="I57" s="50">
        <v>2</v>
      </c>
      <c r="J57" s="50">
        <v>0</v>
      </c>
      <c r="K57" s="50">
        <v>1</v>
      </c>
      <c r="L57" s="50">
        <v>0</v>
      </c>
      <c r="M57" s="50">
        <v>72</v>
      </c>
      <c r="N57" s="50">
        <v>0</v>
      </c>
      <c r="O57" s="15">
        <f t="shared" si="0"/>
        <v>104</v>
      </c>
      <c r="P57" s="15">
        <f t="shared" si="1"/>
        <v>176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2219</v>
      </c>
      <c r="D58" s="16">
        <f t="shared" si="21"/>
        <v>590</v>
      </c>
      <c r="E58" s="16">
        <f t="shared" si="21"/>
        <v>303</v>
      </c>
      <c r="F58" s="16">
        <f t="shared" si="21"/>
        <v>572</v>
      </c>
      <c r="G58" s="16">
        <f t="shared" si="21"/>
        <v>21</v>
      </c>
      <c r="H58" s="16">
        <f t="shared" si="21"/>
        <v>6</v>
      </c>
      <c r="I58" s="16">
        <f t="shared" si="21"/>
        <v>51</v>
      </c>
      <c r="J58" s="16">
        <f t="shared" si="21"/>
        <v>30</v>
      </c>
      <c r="K58" s="16">
        <f t="shared" si="21"/>
        <v>15</v>
      </c>
      <c r="L58" s="16">
        <f t="shared" si="21"/>
        <v>9</v>
      </c>
      <c r="M58" s="16">
        <f t="shared" si="21"/>
        <v>2630</v>
      </c>
      <c r="N58" s="16">
        <f t="shared" si="21"/>
        <v>1</v>
      </c>
      <c r="O58" s="16">
        <f t="shared" si="21"/>
        <v>3817</v>
      </c>
      <c r="P58" s="16">
        <f t="shared" si="21"/>
        <v>6447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0.34419109663409336</v>
      </c>
      <c r="D59" s="43">
        <f t="shared" si="22"/>
        <v>9.1515433534977514E-2</v>
      </c>
      <c r="E59" s="43">
        <f t="shared" si="22"/>
        <v>4.699860400186133E-2</v>
      </c>
      <c r="F59" s="43">
        <f t="shared" si="22"/>
        <v>8.8723437257639218E-2</v>
      </c>
      <c r="G59" s="43">
        <f t="shared" si="22"/>
        <v>3.2573289902280132E-3</v>
      </c>
      <c r="H59" s="43">
        <f t="shared" si="22"/>
        <v>9.3066542577943234E-4</v>
      </c>
      <c r="I59" s="43">
        <f t="shared" si="22"/>
        <v>7.9106561191251753E-3</v>
      </c>
      <c r="J59" s="43">
        <f t="shared" si="22"/>
        <v>4.6533271288971617E-3</v>
      </c>
      <c r="K59" s="43">
        <f t="shared" si="22"/>
        <v>2.3266635644485808E-3</v>
      </c>
      <c r="L59" s="43">
        <f t="shared" si="22"/>
        <v>1.3959981386691485E-3</v>
      </c>
      <c r="M59" s="43">
        <f t="shared" si="22"/>
        <v>0.40794167829998451</v>
      </c>
      <c r="N59" s="43">
        <f t="shared" si="22"/>
        <v>1.5511090429657206E-4</v>
      </c>
      <c r="R59" s="8"/>
      <c r="T59"/>
    </row>
    <row r="60" spans="2:20" ht="23.1" customHeight="1" x14ac:dyDescent="0.25">
      <c r="B60" s="42" t="s">
        <v>94</v>
      </c>
      <c r="C60" s="44">
        <f>C58/$O$58</f>
        <v>0.58134660728320675</v>
      </c>
      <c r="D60" s="44">
        <f t="shared" ref="D60:N60" si="23">D58/$O$58</f>
        <v>0.15457165313073093</v>
      </c>
      <c r="E60" s="44">
        <f t="shared" si="23"/>
        <v>7.9381713387477071E-2</v>
      </c>
      <c r="F60" s="44">
        <f t="shared" si="23"/>
        <v>0.14985590778097982</v>
      </c>
      <c r="G60" s="44">
        <f t="shared" si="23"/>
        <v>5.5017029080429653E-3</v>
      </c>
      <c r="H60" s="44">
        <f t="shared" si="23"/>
        <v>1.5719151165837044E-3</v>
      </c>
      <c r="I60" s="44">
        <f t="shared" si="23"/>
        <v>1.3361278490961487E-2</v>
      </c>
      <c r="J60" s="44">
        <f t="shared" si="23"/>
        <v>7.8595755829185231E-3</v>
      </c>
      <c r="K60" s="44">
        <f t="shared" si="23"/>
        <v>3.9297877914592615E-3</v>
      </c>
      <c r="L60" s="44">
        <f t="shared" si="23"/>
        <v>2.3578726748755569E-3</v>
      </c>
      <c r="M60" s="44"/>
      <c r="N60" s="44">
        <f t="shared" si="23"/>
        <v>2.6198585276395077E-4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M85" zoomScale="60" workbookViewId="0">
      <selection activeCell="AC52" sqref="AC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Nakawa-Bugolobi'!C3:G3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Bugolobi-Nakawa'!G5:H5</f>
        <v>Business Park</v>
      </c>
      <c r="H5" s="64"/>
      <c r="I5" s="14"/>
      <c r="J5" s="2" t="s">
        <v>5</v>
      </c>
      <c r="K5" s="63" t="str">
        <f>'04.08 Bugolobi-Nakawa'!K5:L5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Bugolobi-Nakawa'!D6:E6</f>
        <v>Bugolobi</v>
      </c>
      <c r="E6" s="64"/>
      <c r="F6" s="2" t="s">
        <v>2</v>
      </c>
      <c r="G6" s="63" t="str">
        <f>'04.08 Bugolobi-Nakawa'!G6:H6</f>
        <v>Nakawa</v>
      </c>
      <c r="H6" s="64"/>
      <c r="J6" s="2" t="s">
        <v>21</v>
      </c>
      <c r="K6" s="63" t="str">
        <f>'04.08 Bugolobi-Nakawa'!K6:L6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Bugolobi-Nakawa'!C10,'30.07 Bugolobi-Nakawa'!C10,'31.07 Bugolobi-Nakawa'!C10,'02.08 Bugolobi-Nakawa'!C10,'01.08 Bugolobi-Nakawa-24h'!C10,'03.08 Bugolobi-Nakawa-24h'!C10,'04.08 Bugolobi-Nakawa'!C10)</f>
        <v>74.857142857142861</v>
      </c>
      <c r="D10" s="49">
        <f>AVERAGE('29.07 Bugolobi-Nakawa'!D10,'30.07 Bugolobi-Nakawa'!D10,'31.07 Bugolobi-Nakawa'!D10,'02.08 Bugolobi-Nakawa'!D10,'01.08 Bugolobi-Nakawa-24h'!D10,'03.08 Bugolobi-Nakawa-24h'!D10,'04.08 Bugolobi-Nakawa'!D10)</f>
        <v>26.285714285714285</v>
      </c>
      <c r="E10" s="49">
        <f>AVERAGE('29.07 Bugolobi-Nakawa'!E10,'30.07 Bugolobi-Nakawa'!E10,'31.07 Bugolobi-Nakawa'!E10,'02.08 Bugolobi-Nakawa'!E10,'01.08 Bugolobi-Nakawa-24h'!E10,'03.08 Bugolobi-Nakawa-24h'!E10,'04.08 Bugolobi-Nakawa'!E10)</f>
        <v>19.142857142857142</v>
      </c>
      <c r="F10" s="49">
        <f>AVERAGE('29.07 Bugolobi-Nakawa'!F10,'30.07 Bugolobi-Nakawa'!F10,'31.07 Bugolobi-Nakawa'!F10,'02.08 Bugolobi-Nakawa'!F10,'01.08 Bugolobi-Nakawa-24h'!F10,'03.08 Bugolobi-Nakawa-24h'!F10,'04.08 Bugolobi-Nakawa'!F10)</f>
        <v>37.714285714285715</v>
      </c>
      <c r="G10" s="49">
        <f>AVERAGE('29.07 Bugolobi-Nakawa'!G10,'30.07 Bugolobi-Nakawa'!G10,'31.07 Bugolobi-Nakawa'!G10,'02.08 Bugolobi-Nakawa'!G10,'01.08 Bugolobi-Nakawa-24h'!G10,'03.08 Bugolobi-Nakawa-24h'!G10,'04.08 Bugolobi-Nakawa'!G10)</f>
        <v>0.7142857142857143</v>
      </c>
      <c r="H10" s="49">
        <f>AVERAGE('29.07 Bugolobi-Nakawa'!H10,'30.07 Bugolobi-Nakawa'!H10,'31.07 Bugolobi-Nakawa'!H10,'02.08 Bugolobi-Nakawa'!H10,'01.08 Bugolobi-Nakawa-24h'!H10,'03.08 Bugolobi-Nakawa-24h'!H10,'04.08 Bugolobi-Nakawa'!H10)</f>
        <v>0</v>
      </c>
      <c r="I10" s="49">
        <f>AVERAGE('29.07 Bugolobi-Nakawa'!I10,'30.07 Bugolobi-Nakawa'!I10,'31.07 Bugolobi-Nakawa'!I10,'02.08 Bugolobi-Nakawa'!I10,'01.08 Bugolobi-Nakawa-24h'!I10,'03.08 Bugolobi-Nakawa-24h'!I10,'04.08 Bugolobi-Nakawa'!I10)</f>
        <v>3.5714285714285716</v>
      </c>
      <c r="J10" s="49">
        <f>AVERAGE('29.07 Bugolobi-Nakawa'!J10,'30.07 Bugolobi-Nakawa'!J10,'31.07 Bugolobi-Nakawa'!J10,'02.08 Bugolobi-Nakawa'!J10,'01.08 Bugolobi-Nakawa-24h'!J10,'03.08 Bugolobi-Nakawa-24h'!J10,'04.08 Bugolobi-Nakawa'!J10)</f>
        <v>0.42857142857142855</v>
      </c>
      <c r="K10" s="49">
        <f>AVERAGE('29.07 Bugolobi-Nakawa'!K10,'30.07 Bugolobi-Nakawa'!K10,'31.07 Bugolobi-Nakawa'!K10,'02.08 Bugolobi-Nakawa'!K10,'01.08 Bugolobi-Nakawa-24h'!K10,'03.08 Bugolobi-Nakawa-24h'!K10,'04.08 Bugolobi-Nakawa'!K10)</f>
        <v>0</v>
      </c>
      <c r="L10" s="49">
        <f>AVERAGE('29.07 Bugolobi-Nakawa'!L10,'30.07 Bugolobi-Nakawa'!L10,'31.07 Bugolobi-Nakawa'!L10,'02.08 Bugolobi-Nakawa'!L10,'01.08 Bugolobi-Nakawa-24h'!L10,'03.08 Bugolobi-Nakawa-24h'!L10,'04.08 Bugolobi-Nakawa'!L10)</f>
        <v>0.14285714285714285</v>
      </c>
      <c r="M10" s="49">
        <f>AVERAGE('29.07 Bugolobi-Nakawa'!M10,'30.07 Bugolobi-Nakawa'!M10,'31.07 Bugolobi-Nakawa'!M10,'02.08 Bugolobi-Nakawa'!M10,'01.08 Bugolobi-Nakawa-24h'!M10,'03.08 Bugolobi-Nakawa-24h'!M10,'04.08 Bugolobi-Nakawa'!M10)</f>
        <v>69.714285714285708</v>
      </c>
      <c r="N10" s="49">
        <f>AVERAGE('29.07 Bugolobi-Nakawa'!N10,'30.07 Bugolobi-Nakawa'!N10,'31.07 Bugolobi-Nakawa'!N10,'02.08 Bugolobi-Nakawa'!N10,'01.08 Bugolobi-Nakawa-24h'!N10,'03.08 Bugolobi-Nakawa-24h'!N10,'04.08 Bugolobi-Nakawa'!N10)</f>
        <v>0</v>
      </c>
      <c r="O10" s="15">
        <f t="shared" ref="O10:O73" si="0">SUM(C10:L10,N10)</f>
        <v>162.85714285714286</v>
      </c>
      <c r="P10" s="15">
        <f t="shared" ref="P10:P73" si="1">SUM(C10:N10)</f>
        <v>232.57142857142856</v>
      </c>
      <c r="R10" s="1" t="s">
        <v>6</v>
      </c>
      <c r="S10" s="17">
        <f t="shared" ref="S10:AF10" si="2">SUM(C10:C13)</f>
        <v>306.85714285714289</v>
      </c>
      <c r="T10" s="17">
        <f t="shared" si="2"/>
        <v>120.42857142857142</v>
      </c>
      <c r="U10" s="17">
        <f t="shared" si="2"/>
        <v>81</v>
      </c>
      <c r="V10" s="17">
        <f t="shared" si="2"/>
        <v>152</v>
      </c>
      <c r="W10" s="17">
        <f t="shared" si="2"/>
        <v>1.1428571428571428</v>
      </c>
      <c r="X10" s="17">
        <f t="shared" si="2"/>
        <v>0.42857142857142855</v>
      </c>
      <c r="Y10" s="17">
        <f t="shared" si="2"/>
        <v>8.5714285714285712</v>
      </c>
      <c r="Z10" s="17">
        <f t="shared" si="2"/>
        <v>3.4285714285714288</v>
      </c>
      <c r="AA10" s="17">
        <f t="shared" si="2"/>
        <v>0.42857142857142855</v>
      </c>
      <c r="AB10" s="17">
        <f t="shared" si="2"/>
        <v>0.8571428571428571</v>
      </c>
      <c r="AC10" s="17">
        <f t="shared" si="2"/>
        <v>269.85714285714289</v>
      </c>
      <c r="AD10" s="17">
        <f t="shared" si="2"/>
        <v>0</v>
      </c>
      <c r="AE10" s="31">
        <f t="shared" si="2"/>
        <v>675.142857142857</v>
      </c>
      <c r="AF10" s="31">
        <f t="shared" si="2"/>
        <v>944.99999999999989</v>
      </c>
    </row>
    <row r="11" spans="2:32" s="6" customFormat="1" ht="23.1" customHeight="1" x14ac:dyDescent="0.25">
      <c r="B11" s="23" t="s">
        <v>38</v>
      </c>
      <c r="C11" s="49">
        <f>AVERAGE('29.07 Bugolobi-Nakawa'!C11,'30.07 Bugolobi-Nakawa'!C11,'31.07 Bugolobi-Nakawa'!C11,'02.08 Bugolobi-Nakawa'!C11,'01.08 Bugolobi-Nakawa-24h'!C11,'03.08 Bugolobi-Nakawa-24h'!C11,'04.08 Bugolobi-Nakawa'!C11)</f>
        <v>69.571428571428569</v>
      </c>
      <c r="D11" s="49">
        <f>AVERAGE('29.07 Bugolobi-Nakawa'!D11,'30.07 Bugolobi-Nakawa'!D11,'31.07 Bugolobi-Nakawa'!D11,'02.08 Bugolobi-Nakawa'!D11,'01.08 Bugolobi-Nakawa-24h'!D11,'03.08 Bugolobi-Nakawa-24h'!D11,'04.08 Bugolobi-Nakawa'!D11)</f>
        <v>28.428571428571427</v>
      </c>
      <c r="E11" s="49">
        <f>AVERAGE('29.07 Bugolobi-Nakawa'!E11,'30.07 Bugolobi-Nakawa'!E11,'31.07 Bugolobi-Nakawa'!E11,'02.08 Bugolobi-Nakawa'!E11,'01.08 Bugolobi-Nakawa-24h'!E11,'03.08 Bugolobi-Nakawa-24h'!E11,'04.08 Bugolobi-Nakawa'!E11)</f>
        <v>15.714285714285714</v>
      </c>
      <c r="F11" s="49">
        <f>AVERAGE('29.07 Bugolobi-Nakawa'!F11,'30.07 Bugolobi-Nakawa'!F11,'31.07 Bugolobi-Nakawa'!F11,'02.08 Bugolobi-Nakawa'!F11,'01.08 Bugolobi-Nakawa-24h'!F11,'03.08 Bugolobi-Nakawa-24h'!F11,'04.08 Bugolobi-Nakawa'!F11)</f>
        <v>32</v>
      </c>
      <c r="G11" s="49">
        <f>AVERAGE('29.07 Bugolobi-Nakawa'!G11,'30.07 Bugolobi-Nakawa'!G11,'31.07 Bugolobi-Nakawa'!G11,'02.08 Bugolobi-Nakawa'!G11,'01.08 Bugolobi-Nakawa-24h'!G11,'03.08 Bugolobi-Nakawa-24h'!G11,'04.08 Bugolobi-Nakawa'!G11)</f>
        <v>0.14285714285714285</v>
      </c>
      <c r="H11" s="49">
        <f>AVERAGE('29.07 Bugolobi-Nakawa'!H11,'30.07 Bugolobi-Nakawa'!H11,'31.07 Bugolobi-Nakawa'!H11,'02.08 Bugolobi-Nakawa'!H11,'01.08 Bugolobi-Nakawa-24h'!H11,'03.08 Bugolobi-Nakawa-24h'!H11,'04.08 Bugolobi-Nakawa'!H11)</f>
        <v>0.14285714285714285</v>
      </c>
      <c r="I11" s="49">
        <f>AVERAGE('29.07 Bugolobi-Nakawa'!I11,'30.07 Bugolobi-Nakawa'!I11,'31.07 Bugolobi-Nakawa'!I11,'02.08 Bugolobi-Nakawa'!I11,'01.08 Bugolobi-Nakawa-24h'!I11,'03.08 Bugolobi-Nakawa-24h'!I11,'04.08 Bugolobi-Nakawa'!I11)</f>
        <v>1.2857142857142858</v>
      </c>
      <c r="J11" s="49">
        <f>AVERAGE('29.07 Bugolobi-Nakawa'!J11,'30.07 Bugolobi-Nakawa'!J11,'31.07 Bugolobi-Nakawa'!J11,'02.08 Bugolobi-Nakawa'!J11,'01.08 Bugolobi-Nakawa-24h'!J11,'03.08 Bugolobi-Nakawa-24h'!J11,'04.08 Bugolobi-Nakawa'!J11)</f>
        <v>1.1428571428571428</v>
      </c>
      <c r="K11" s="49">
        <f>AVERAGE('29.07 Bugolobi-Nakawa'!K11,'30.07 Bugolobi-Nakawa'!K11,'31.07 Bugolobi-Nakawa'!K11,'02.08 Bugolobi-Nakawa'!K11,'01.08 Bugolobi-Nakawa-24h'!K11,'03.08 Bugolobi-Nakawa-24h'!K11,'04.08 Bugolobi-Nakawa'!K11)</f>
        <v>0.14285714285714285</v>
      </c>
      <c r="L11" s="49">
        <f>AVERAGE('29.07 Bugolobi-Nakawa'!L11,'30.07 Bugolobi-Nakawa'!L11,'31.07 Bugolobi-Nakawa'!L11,'02.08 Bugolobi-Nakawa'!L11,'01.08 Bugolobi-Nakawa-24h'!L11,'03.08 Bugolobi-Nakawa-24h'!L11,'04.08 Bugolobi-Nakawa'!L11)</f>
        <v>0.2857142857142857</v>
      </c>
      <c r="M11" s="49">
        <f>AVERAGE('29.07 Bugolobi-Nakawa'!M11,'30.07 Bugolobi-Nakawa'!M11,'31.07 Bugolobi-Nakawa'!M11,'02.08 Bugolobi-Nakawa'!M11,'01.08 Bugolobi-Nakawa-24h'!M11,'03.08 Bugolobi-Nakawa-24h'!M11,'04.08 Bugolobi-Nakawa'!M11)</f>
        <v>63.285714285714285</v>
      </c>
      <c r="N11" s="49">
        <f>AVERAGE('29.07 Bugolobi-Nakawa'!N11,'30.07 Bugolobi-Nakawa'!N11,'31.07 Bugolobi-Nakawa'!N11,'02.08 Bugolobi-Nakawa'!N11,'01.08 Bugolobi-Nakawa-24h'!N11,'03.08 Bugolobi-Nakawa-24h'!N11,'04.08 Bugolobi-Nakawa'!N11)</f>
        <v>0</v>
      </c>
      <c r="O11" s="15">
        <f t="shared" si="0"/>
        <v>148.85714285714283</v>
      </c>
      <c r="P11" s="15">
        <f t="shared" si="1"/>
        <v>212.14285714285711</v>
      </c>
      <c r="R11" s="1" t="s">
        <v>7</v>
      </c>
      <c r="S11" s="17">
        <f t="shared" ref="S11:AF11" si="3">SUM(C14:C17)</f>
        <v>342.14285714285717</v>
      </c>
      <c r="T11" s="17">
        <f t="shared" si="3"/>
        <v>135.85714285714283</v>
      </c>
      <c r="U11" s="17">
        <f t="shared" si="3"/>
        <v>81.714285714285708</v>
      </c>
      <c r="V11" s="17">
        <f t="shared" si="3"/>
        <v>172.28571428571428</v>
      </c>
      <c r="W11" s="17">
        <f t="shared" si="3"/>
        <v>1</v>
      </c>
      <c r="X11" s="17">
        <f t="shared" si="3"/>
        <v>1.5714285714285714</v>
      </c>
      <c r="Y11" s="17">
        <f t="shared" si="3"/>
        <v>9.1428571428571423</v>
      </c>
      <c r="Z11" s="17">
        <f t="shared" si="3"/>
        <v>3.7142857142857144</v>
      </c>
      <c r="AA11" s="17">
        <f t="shared" si="3"/>
        <v>0.5714285714285714</v>
      </c>
      <c r="AB11" s="17">
        <f t="shared" si="3"/>
        <v>0.42857142857142855</v>
      </c>
      <c r="AC11" s="17">
        <f t="shared" si="3"/>
        <v>279.71428571428567</v>
      </c>
      <c r="AD11" s="17">
        <f t="shared" si="3"/>
        <v>0</v>
      </c>
      <c r="AE11" s="31">
        <f t="shared" si="3"/>
        <v>748.42857142857122</v>
      </c>
      <c r="AF11" s="31">
        <f t="shared" si="3"/>
        <v>1028.1428571428569</v>
      </c>
    </row>
    <row r="12" spans="2:32" ht="23.1" customHeight="1" x14ac:dyDescent="0.25">
      <c r="B12" s="23" t="s">
        <v>39</v>
      </c>
      <c r="C12" s="49">
        <f>AVERAGE('29.07 Bugolobi-Nakawa'!C12,'30.07 Bugolobi-Nakawa'!C12,'31.07 Bugolobi-Nakawa'!C12,'02.08 Bugolobi-Nakawa'!C12,'01.08 Bugolobi-Nakawa-24h'!C12,'03.08 Bugolobi-Nakawa-24h'!C12,'04.08 Bugolobi-Nakawa'!C12)</f>
        <v>63.142857142857146</v>
      </c>
      <c r="D12" s="49">
        <f>AVERAGE('29.07 Bugolobi-Nakawa'!D12,'30.07 Bugolobi-Nakawa'!D12,'31.07 Bugolobi-Nakawa'!D12,'02.08 Bugolobi-Nakawa'!D12,'01.08 Bugolobi-Nakawa-24h'!D12,'03.08 Bugolobi-Nakawa-24h'!D12,'04.08 Bugolobi-Nakawa'!D12)</f>
        <v>28</v>
      </c>
      <c r="E12" s="49">
        <f>AVERAGE('29.07 Bugolobi-Nakawa'!E12,'30.07 Bugolobi-Nakawa'!E12,'31.07 Bugolobi-Nakawa'!E12,'02.08 Bugolobi-Nakawa'!E12,'01.08 Bugolobi-Nakawa-24h'!E12,'03.08 Bugolobi-Nakawa-24h'!E12,'04.08 Bugolobi-Nakawa'!E12)</f>
        <v>24.428571428571427</v>
      </c>
      <c r="F12" s="49">
        <f>AVERAGE('29.07 Bugolobi-Nakawa'!F12,'30.07 Bugolobi-Nakawa'!F12,'31.07 Bugolobi-Nakawa'!F12,'02.08 Bugolobi-Nakawa'!F12,'01.08 Bugolobi-Nakawa-24h'!F12,'03.08 Bugolobi-Nakawa-24h'!F12,'04.08 Bugolobi-Nakawa'!F12)</f>
        <v>42.714285714285715</v>
      </c>
      <c r="G12" s="49">
        <f>AVERAGE('29.07 Bugolobi-Nakawa'!G12,'30.07 Bugolobi-Nakawa'!G12,'31.07 Bugolobi-Nakawa'!G12,'02.08 Bugolobi-Nakawa'!G12,'01.08 Bugolobi-Nakawa-24h'!G12,'03.08 Bugolobi-Nakawa-24h'!G12,'04.08 Bugolobi-Nakawa'!G12)</f>
        <v>0</v>
      </c>
      <c r="H12" s="49">
        <f>AVERAGE('29.07 Bugolobi-Nakawa'!H12,'30.07 Bugolobi-Nakawa'!H12,'31.07 Bugolobi-Nakawa'!H12,'02.08 Bugolobi-Nakawa'!H12,'01.08 Bugolobi-Nakawa-24h'!H12,'03.08 Bugolobi-Nakawa-24h'!H12,'04.08 Bugolobi-Nakawa'!H12)</f>
        <v>0.14285714285714285</v>
      </c>
      <c r="I12" s="49">
        <f>AVERAGE('29.07 Bugolobi-Nakawa'!I12,'30.07 Bugolobi-Nakawa'!I12,'31.07 Bugolobi-Nakawa'!I12,'02.08 Bugolobi-Nakawa'!I12,'01.08 Bugolobi-Nakawa-24h'!I12,'03.08 Bugolobi-Nakawa-24h'!I12,'04.08 Bugolobi-Nakawa'!I12)</f>
        <v>2.1428571428571428</v>
      </c>
      <c r="J12" s="49">
        <f>AVERAGE('29.07 Bugolobi-Nakawa'!J12,'30.07 Bugolobi-Nakawa'!J12,'31.07 Bugolobi-Nakawa'!J12,'02.08 Bugolobi-Nakawa'!J12,'01.08 Bugolobi-Nakawa-24h'!J12,'03.08 Bugolobi-Nakawa-24h'!J12,'04.08 Bugolobi-Nakawa'!J12)</f>
        <v>0.5714285714285714</v>
      </c>
      <c r="K12" s="49">
        <f>AVERAGE('29.07 Bugolobi-Nakawa'!K12,'30.07 Bugolobi-Nakawa'!K12,'31.07 Bugolobi-Nakawa'!K12,'02.08 Bugolobi-Nakawa'!K12,'01.08 Bugolobi-Nakawa-24h'!K12,'03.08 Bugolobi-Nakawa-24h'!K12,'04.08 Bugolobi-Nakawa'!K12)</f>
        <v>0</v>
      </c>
      <c r="L12" s="49">
        <f>AVERAGE('29.07 Bugolobi-Nakawa'!L12,'30.07 Bugolobi-Nakawa'!L12,'31.07 Bugolobi-Nakawa'!L12,'02.08 Bugolobi-Nakawa'!L12,'01.08 Bugolobi-Nakawa-24h'!L12,'03.08 Bugolobi-Nakawa-24h'!L12,'04.08 Bugolobi-Nakawa'!L12)</f>
        <v>0</v>
      </c>
      <c r="M12" s="49">
        <f>AVERAGE('29.07 Bugolobi-Nakawa'!M12,'30.07 Bugolobi-Nakawa'!M12,'31.07 Bugolobi-Nakawa'!M12,'02.08 Bugolobi-Nakawa'!M12,'01.08 Bugolobi-Nakawa-24h'!M12,'03.08 Bugolobi-Nakawa-24h'!M12,'04.08 Bugolobi-Nakawa'!M12)</f>
        <v>66.857142857142861</v>
      </c>
      <c r="N12" s="49">
        <f>AVERAGE('29.07 Bugolobi-Nakawa'!N12,'30.07 Bugolobi-Nakawa'!N12,'31.07 Bugolobi-Nakawa'!N12,'02.08 Bugolobi-Nakawa'!N12,'01.08 Bugolobi-Nakawa-24h'!N12,'03.08 Bugolobi-Nakawa-24h'!N12,'04.08 Bugolobi-Nakawa'!N12)</f>
        <v>0</v>
      </c>
      <c r="O12" s="15">
        <f t="shared" si="0"/>
        <v>161.14285714285714</v>
      </c>
      <c r="P12" s="15">
        <f t="shared" si="1"/>
        <v>228</v>
      </c>
      <c r="R12" s="1" t="s">
        <v>8</v>
      </c>
      <c r="S12" s="17">
        <f t="shared" ref="S12:AF12" si="4">SUM(C18:C21)</f>
        <v>324.85714285714289</v>
      </c>
      <c r="T12" s="17">
        <f t="shared" si="4"/>
        <v>123.57142857142858</v>
      </c>
      <c r="U12" s="17">
        <f t="shared" si="4"/>
        <v>90</v>
      </c>
      <c r="V12" s="17">
        <f t="shared" si="4"/>
        <v>135.57142857142856</v>
      </c>
      <c r="W12" s="17">
        <f t="shared" si="4"/>
        <v>0.99999999999999978</v>
      </c>
      <c r="X12" s="17">
        <f t="shared" si="4"/>
        <v>1.1428571428571428</v>
      </c>
      <c r="Y12" s="17">
        <f t="shared" si="4"/>
        <v>9.1428571428571423</v>
      </c>
      <c r="Z12" s="17">
        <f t="shared" si="4"/>
        <v>5.1428571428571423</v>
      </c>
      <c r="AA12" s="17">
        <f t="shared" si="4"/>
        <v>0.2857142857142857</v>
      </c>
      <c r="AB12" s="17">
        <f t="shared" si="4"/>
        <v>0.2857142857142857</v>
      </c>
      <c r="AC12" s="17">
        <f t="shared" si="4"/>
        <v>280.57142857142856</v>
      </c>
      <c r="AD12" s="17">
        <f t="shared" si="4"/>
        <v>0</v>
      </c>
      <c r="AE12" s="31">
        <f t="shared" si="4"/>
        <v>690.99999999999989</v>
      </c>
      <c r="AF12" s="31">
        <f t="shared" si="4"/>
        <v>971.57142857142844</v>
      </c>
    </row>
    <row r="13" spans="2:32" ht="23.1" customHeight="1" x14ac:dyDescent="0.25">
      <c r="B13" s="23" t="s">
        <v>40</v>
      </c>
      <c r="C13" s="49">
        <f>AVERAGE('29.07 Bugolobi-Nakawa'!C13,'30.07 Bugolobi-Nakawa'!C13,'31.07 Bugolobi-Nakawa'!C13,'02.08 Bugolobi-Nakawa'!C13,'01.08 Bugolobi-Nakawa-24h'!C13,'03.08 Bugolobi-Nakawa-24h'!C13,'04.08 Bugolobi-Nakawa'!C13)</f>
        <v>99.285714285714292</v>
      </c>
      <c r="D13" s="49">
        <f>AVERAGE('29.07 Bugolobi-Nakawa'!D13,'30.07 Bugolobi-Nakawa'!D13,'31.07 Bugolobi-Nakawa'!D13,'02.08 Bugolobi-Nakawa'!D13,'01.08 Bugolobi-Nakawa-24h'!D13,'03.08 Bugolobi-Nakawa-24h'!D13,'04.08 Bugolobi-Nakawa'!D13)</f>
        <v>37.714285714285715</v>
      </c>
      <c r="E13" s="49">
        <f>AVERAGE('29.07 Bugolobi-Nakawa'!E13,'30.07 Bugolobi-Nakawa'!E13,'31.07 Bugolobi-Nakawa'!E13,'02.08 Bugolobi-Nakawa'!E13,'01.08 Bugolobi-Nakawa-24h'!E13,'03.08 Bugolobi-Nakawa-24h'!E13,'04.08 Bugolobi-Nakawa'!E13)</f>
        <v>21.714285714285715</v>
      </c>
      <c r="F13" s="49">
        <f>AVERAGE('29.07 Bugolobi-Nakawa'!F13,'30.07 Bugolobi-Nakawa'!F13,'31.07 Bugolobi-Nakawa'!F13,'02.08 Bugolobi-Nakawa'!F13,'01.08 Bugolobi-Nakawa-24h'!F13,'03.08 Bugolobi-Nakawa-24h'!F13,'04.08 Bugolobi-Nakawa'!F13)</f>
        <v>39.571428571428569</v>
      </c>
      <c r="G13" s="49">
        <f>AVERAGE('29.07 Bugolobi-Nakawa'!G13,'30.07 Bugolobi-Nakawa'!G13,'31.07 Bugolobi-Nakawa'!G13,'02.08 Bugolobi-Nakawa'!G13,'01.08 Bugolobi-Nakawa-24h'!G13,'03.08 Bugolobi-Nakawa-24h'!G13,'04.08 Bugolobi-Nakawa'!G13)</f>
        <v>0.2857142857142857</v>
      </c>
      <c r="H13" s="49">
        <f>AVERAGE('29.07 Bugolobi-Nakawa'!H13,'30.07 Bugolobi-Nakawa'!H13,'31.07 Bugolobi-Nakawa'!H13,'02.08 Bugolobi-Nakawa'!H13,'01.08 Bugolobi-Nakawa-24h'!H13,'03.08 Bugolobi-Nakawa-24h'!H13,'04.08 Bugolobi-Nakawa'!H13)</f>
        <v>0.14285714285714285</v>
      </c>
      <c r="I13" s="49">
        <f>AVERAGE('29.07 Bugolobi-Nakawa'!I13,'30.07 Bugolobi-Nakawa'!I13,'31.07 Bugolobi-Nakawa'!I13,'02.08 Bugolobi-Nakawa'!I13,'01.08 Bugolobi-Nakawa-24h'!I13,'03.08 Bugolobi-Nakawa-24h'!I13,'04.08 Bugolobi-Nakawa'!I13)</f>
        <v>1.5714285714285714</v>
      </c>
      <c r="J13" s="49">
        <f>AVERAGE('29.07 Bugolobi-Nakawa'!J13,'30.07 Bugolobi-Nakawa'!J13,'31.07 Bugolobi-Nakawa'!J13,'02.08 Bugolobi-Nakawa'!J13,'01.08 Bugolobi-Nakawa-24h'!J13,'03.08 Bugolobi-Nakawa-24h'!J13,'04.08 Bugolobi-Nakawa'!J13)</f>
        <v>1.2857142857142858</v>
      </c>
      <c r="K13" s="49">
        <f>AVERAGE('29.07 Bugolobi-Nakawa'!K13,'30.07 Bugolobi-Nakawa'!K13,'31.07 Bugolobi-Nakawa'!K13,'02.08 Bugolobi-Nakawa'!K13,'01.08 Bugolobi-Nakawa-24h'!K13,'03.08 Bugolobi-Nakawa-24h'!K13,'04.08 Bugolobi-Nakawa'!K13)</f>
        <v>0.2857142857142857</v>
      </c>
      <c r="L13" s="49">
        <f>AVERAGE('29.07 Bugolobi-Nakawa'!L13,'30.07 Bugolobi-Nakawa'!L13,'31.07 Bugolobi-Nakawa'!L13,'02.08 Bugolobi-Nakawa'!L13,'01.08 Bugolobi-Nakawa-24h'!L13,'03.08 Bugolobi-Nakawa-24h'!L13,'04.08 Bugolobi-Nakawa'!L13)</f>
        <v>0.42857142857142855</v>
      </c>
      <c r="M13" s="49">
        <f>AVERAGE('29.07 Bugolobi-Nakawa'!M13,'30.07 Bugolobi-Nakawa'!M13,'31.07 Bugolobi-Nakawa'!M13,'02.08 Bugolobi-Nakawa'!M13,'01.08 Bugolobi-Nakawa-24h'!M13,'03.08 Bugolobi-Nakawa-24h'!M13,'04.08 Bugolobi-Nakawa'!M13)</f>
        <v>70</v>
      </c>
      <c r="N13" s="49">
        <f>AVERAGE('29.07 Bugolobi-Nakawa'!N13,'30.07 Bugolobi-Nakawa'!N13,'31.07 Bugolobi-Nakawa'!N13,'02.08 Bugolobi-Nakawa'!N13,'01.08 Bugolobi-Nakawa-24h'!N13,'03.08 Bugolobi-Nakawa-24h'!N13,'04.08 Bugolobi-Nakawa'!N13)</f>
        <v>0</v>
      </c>
      <c r="O13" s="15">
        <f t="shared" si="0"/>
        <v>202.28571428571425</v>
      </c>
      <c r="P13" s="15">
        <f t="shared" si="1"/>
        <v>272.28571428571422</v>
      </c>
      <c r="R13" s="1" t="s">
        <v>9</v>
      </c>
      <c r="S13" s="17">
        <f t="shared" ref="S13:AF13" si="5">SUM(C22:C25)</f>
        <v>283.85714285714283</v>
      </c>
      <c r="T13" s="17">
        <f t="shared" si="5"/>
        <v>114.28571428571428</v>
      </c>
      <c r="U13" s="17">
        <f t="shared" si="5"/>
        <v>74.857142857142861</v>
      </c>
      <c r="V13" s="17">
        <f t="shared" si="5"/>
        <v>119.28571428571428</v>
      </c>
      <c r="W13" s="17">
        <f t="shared" si="5"/>
        <v>0.85714285714285698</v>
      </c>
      <c r="X13" s="17">
        <f t="shared" si="5"/>
        <v>0.2857142857142857</v>
      </c>
      <c r="Y13" s="17">
        <f t="shared" si="5"/>
        <v>7</v>
      </c>
      <c r="Z13" s="17">
        <f t="shared" si="5"/>
        <v>8</v>
      </c>
      <c r="AA13" s="17">
        <f t="shared" si="5"/>
        <v>0.42857142857142855</v>
      </c>
      <c r="AB13" s="17">
        <f t="shared" si="5"/>
        <v>0.71428571428571419</v>
      </c>
      <c r="AC13" s="17">
        <f t="shared" si="5"/>
        <v>250.57142857142861</v>
      </c>
      <c r="AD13" s="17">
        <f t="shared" si="5"/>
        <v>0</v>
      </c>
      <c r="AE13" s="31">
        <f t="shared" si="5"/>
        <v>609.57142857142844</v>
      </c>
      <c r="AF13" s="31">
        <f t="shared" si="5"/>
        <v>860.14285714285711</v>
      </c>
    </row>
    <row r="14" spans="2:32" ht="23.1" customHeight="1" x14ac:dyDescent="0.25">
      <c r="B14" s="23" t="s">
        <v>41</v>
      </c>
      <c r="C14" s="49">
        <f>AVERAGE('29.07 Bugolobi-Nakawa'!C14,'30.07 Bugolobi-Nakawa'!C14,'31.07 Bugolobi-Nakawa'!C14,'02.08 Bugolobi-Nakawa'!C14,'01.08 Bugolobi-Nakawa-24h'!C14,'03.08 Bugolobi-Nakawa-24h'!C14,'04.08 Bugolobi-Nakawa'!C14)</f>
        <v>78.857142857142861</v>
      </c>
      <c r="D14" s="49">
        <f>AVERAGE('29.07 Bugolobi-Nakawa'!D14,'30.07 Bugolobi-Nakawa'!D14,'31.07 Bugolobi-Nakawa'!D14,'02.08 Bugolobi-Nakawa'!D14,'01.08 Bugolobi-Nakawa-24h'!D14,'03.08 Bugolobi-Nakawa-24h'!D14,'04.08 Bugolobi-Nakawa'!D14)</f>
        <v>34.285714285714285</v>
      </c>
      <c r="E14" s="49">
        <f>AVERAGE('29.07 Bugolobi-Nakawa'!E14,'30.07 Bugolobi-Nakawa'!E14,'31.07 Bugolobi-Nakawa'!E14,'02.08 Bugolobi-Nakawa'!E14,'01.08 Bugolobi-Nakawa-24h'!E14,'03.08 Bugolobi-Nakawa-24h'!E14,'04.08 Bugolobi-Nakawa'!E14)</f>
        <v>22.428571428571427</v>
      </c>
      <c r="F14" s="49">
        <f>AVERAGE('29.07 Bugolobi-Nakawa'!F14,'30.07 Bugolobi-Nakawa'!F14,'31.07 Bugolobi-Nakawa'!F14,'02.08 Bugolobi-Nakawa'!F14,'01.08 Bugolobi-Nakawa-24h'!F14,'03.08 Bugolobi-Nakawa-24h'!F14,'04.08 Bugolobi-Nakawa'!F14)</f>
        <v>52.285714285714285</v>
      </c>
      <c r="G14" s="49">
        <f>AVERAGE('29.07 Bugolobi-Nakawa'!G14,'30.07 Bugolobi-Nakawa'!G14,'31.07 Bugolobi-Nakawa'!G14,'02.08 Bugolobi-Nakawa'!G14,'01.08 Bugolobi-Nakawa-24h'!G14,'03.08 Bugolobi-Nakawa-24h'!G14,'04.08 Bugolobi-Nakawa'!G14)</f>
        <v>0.2857142857142857</v>
      </c>
      <c r="H14" s="49">
        <f>AVERAGE('29.07 Bugolobi-Nakawa'!H14,'30.07 Bugolobi-Nakawa'!H14,'31.07 Bugolobi-Nakawa'!H14,'02.08 Bugolobi-Nakawa'!H14,'01.08 Bugolobi-Nakawa-24h'!H14,'03.08 Bugolobi-Nakawa-24h'!H14,'04.08 Bugolobi-Nakawa'!H14)</f>
        <v>0</v>
      </c>
      <c r="I14" s="49">
        <f>AVERAGE('29.07 Bugolobi-Nakawa'!I14,'30.07 Bugolobi-Nakawa'!I14,'31.07 Bugolobi-Nakawa'!I14,'02.08 Bugolobi-Nakawa'!I14,'01.08 Bugolobi-Nakawa-24h'!I14,'03.08 Bugolobi-Nakawa-24h'!I14,'04.08 Bugolobi-Nakawa'!I14)</f>
        <v>2.4285714285714284</v>
      </c>
      <c r="J14" s="49">
        <f>AVERAGE('29.07 Bugolobi-Nakawa'!J14,'30.07 Bugolobi-Nakawa'!J14,'31.07 Bugolobi-Nakawa'!J14,'02.08 Bugolobi-Nakawa'!J14,'01.08 Bugolobi-Nakawa-24h'!J14,'03.08 Bugolobi-Nakawa-24h'!J14,'04.08 Bugolobi-Nakawa'!J14)</f>
        <v>0.8571428571428571</v>
      </c>
      <c r="K14" s="49">
        <f>AVERAGE('29.07 Bugolobi-Nakawa'!K14,'30.07 Bugolobi-Nakawa'!K14,'31.07 Bugolobi-Nakawa'!K14,'02.08 Bugolobi-Nakawa'!K14,'01.08 Bugolobi-Nakawa-24h'!K14,'03.08 Bugolobi-Nakawa-24h'!K14,'04.08 Bugolobi-Nakawa'!K14)</f>
        <v>0</v>
      </c>
      <c r="L14" s="49">
        <f>AVERAGE('29.07 Bugolobi-Nakawa'!L14,'30.07 Bugolobi-Nakawa'!L14,'31.07 Bugolobi-Nakawa'!L14,'02.08 Bugolobi-Nakawa'!L14,'01.08 Bugolobi-Nakawa-24h'!L14,'03.08 Bugolobi-Nakawa-24h'!L14,'04.08 Bugolobi-Nakawa'!L14)</f>
        <v>0.14285714285714285</v>
      </c>
      <c r="M14" s="49">
        <f>AVERAGE('29.07 Bugolobi-Nakawa'!M14,'30.07 Bugolobi-Nakawa'!M14,'31.07 Bugolobi-Nakawa'!M14,'02.08 Bugolobi-Nakawa'!M14,'01.08 Bugolobi-Nakawa-24h'!M14,'03.08 Bugolobi-Nakawa-24h'!M14,'04.08 Bugolobi-Nakawa'!M14)</f>
        <v>70.714285714285708</v>
      </c>
      <c r="N14" s="49">
        <f>AVERAGE('29.07 Bugolobi-Nakawa'!N14,'30.07 Bugolobi-Nakawa'!N14,'31.07 Bugolobi-Nakawa'!N14,'02.08 Bugolobi-Nakawa'!N14,'01.08 Bugolobi-Nakawa-24h'!N14,'03.08 Bugolobi-Nakawa-24h'!N14,'04.08 Bugolobi-Nakawa'!N14)</f>
        <v>0</v>
      </c>
      <c r="O14" s="15">
        <f t="shared" si="0"/>
        <v>191.57142857142853</v>
      </c>
      <c r="P14" s="15">
        <f t="shared" si="1"/>
        <v>262.28571428571422</v>
      </c>
      <c r="R14" s="1" t="s">
        <v>10</v>
      </c>
      <c r="S14" s="17">
        <f t="shared" ref="S14:AF14" si="6">SUM(C26:C29)</f>
        <v>265</v>
      </c>
      <c r="T14" s="17">
        <f t="shared" si="6"/>
        <v>107.28571428571429</v>
      </c>
      <c r="U14" s="17">
        <f t="shared" si="6"/>
        <v>71.285714285714278</v>
      </c>
      <c r="V14" s="17">
        <f t="shared" si="6"/>
        <v>127.42857142857143</v>
      </c>
      <c r="W14" s="17">
        <f t="shared" si="6"/>
        <v>0.99999999999999989</v>
      </c>
      <c r="X14" s="17">
        <f t="shared" si="6"/>
        <v>0.5714285714285714</v>
      </c>
      <c r="Y14" s="17">
        <f t="shared" si="6"/>
        <v>10.571428571428571</v>
      </c>
      <c r="Z14" s="17">
        <f t="shared" si="6"/>
        <v>6.5714285714285712</v>
      </c>
      <c r="AA14" s="17">
        <f t="shared" si="6"/>
        <v>0.8571428571428571</v>
      </c>
      <c r="AB14" s="17">
        <f t="shared" si="6"/>
        <v>0.5714285714285714</v>
      </c>
      <c r="AC14" s="17">
        <f t="shared" si="6"/>
        <v>238.42857142857144</v>
      </c>
      <c r="AD14" s="17">
        <f t="shared" si="6"/>
        <v>0.14285714285714285</v>
      </c>
      <c r="AE14" s="31">
        <f t="shared" si="6"/>
        <v>591.28571428571422</v>
      </c>
      <c r="AF14" s="31">
        <f t="shared" si="6"/>
        <v>829.71428571428578</v>
      </c>
    </row>
    <row r="15" spans="2:32" ht="23.1" customHeight="1" x14ac:dyDescent="0.25">
      <c r="B15" s="23" t="s">
        <v>42</v>
      </c>
      <c r="C15" s="49">
        <f>AVERAGE('29.07 Bugolobi-Nakawa'!C15,'30.07 Bugolobi-Nakawa'!C15,'31.07 Bugolobi-Nakawa'!C15,'02.08 Bugolobi-Nakawa'!C15,'01.08 Bugolobi-Nakawa-24h'!C15,'03.08 Bugolobi-Nakawa-24h'!C15,'04.08 Bugolobi-Nakawa'!C15)</f>
        <v>92</v>
      </c>
      <c r="D15" s="49">
        <f>AVERAGE('29.07 Bugolobi-Nakawa'!D15,'30.07 Bugolobi-Nakawa'!D15,'31.07 Bugolobi-Nakawa'!D15,'02.08 Bugolobi-Nakawa'!D15,'01.08 Bugolobi-Nakawa-24h'!D15,'03.08 Bugolobi-Nakawa-24h'!D15,'04.08 Bugolobi-Nakawa'!D15)</f>
        <v>33</v>
      </c>
      <c r="E15" s="49">
        <f>AVERAGE('29.07 Bugolobi-Nakawa'!E15,'30.07 Bugolobi-Nakawa'!E15,'31.07 Bugolobi-Nakawa'!E15,'02.08 Bugolobi-Nakawa'!E15,'01.08 Bugolobi-Nakawa-24h'!E15,'03.08 Bugolobi-Nakawa-24h'!E15,'04.08 Bugolobi-Nakawa'!E15)</f>
        <v>21.857142857142858</v>
      </c>
      <c r="F15" s="49">
        <f>AVERAGE('29.07 Bugolobi-Nakawa'!F15,'30.07 Bugolobi-Nakawa'!F15,'31.07 Bugolobi-Nakawa'!F15,'02.08 Bugolobi-Nakawa'!F15,'01.08 Bugolobi-Nakawa-24h'!F15,'03.08 Bugolobi-Nakawa-24h'!F15,'04.08 Bugolobi-Nakawa'!F15)</f>
        <v>38.714285714285715</v>
      </c>
      <c r="G15" s="49">
        <f>AVERAGE('29.07 Bugolobi-Nakawa'!G15,'30.07 Bugolobi-Nakawa'!G15,'31.07 Bugolobi-Nakawa'!G15,'02.08 Bugolobi-Nakawa'!G15,'01.08 Bugolobi-Nakawa-24h'!G15,'03.08 Bugolobi-Nakawa-24h'!G15,'04.08 Bugolobi-Nakawa'!G15)</f>
        <v>0.14285714285714285</v>
      </c>
      <c r="H15" s="49">
        <f>AVERAGE('29.07 Bugolobi-Nakawa'!H15,'30.07 Bugolobi-Nakawa'!H15,'31.07 Bugolobi-Nakawa'!H15,'02.08 Bugolobi-Nakawa'!H15,'01.08 Bugolobi-Nakawa-24h'!H15,'03.08 Bugolobi-Nakawa-24h'!H15,'04.08 Bugolobi-Nakawa'!H15)</f>
        <v>0.42857142857142855</v>
      </c>
      <c r="I15" s="49">
        <f>AVERAGE('29.07 Bugolobi-Nakawa'!I15,'30.07 Bugolobi-Nakawa'!I15,'31.07 Bugolobi-Nakawa'!I15,'02.08 Bugolobi-Nakawa'!I15,'01.08 Bugolobi-Nakawa-24h'!I15,'03.08 Bugolobi-Nakawa-24h'!I15,'04.08 Bugolobi-Nakawa'!I15)</f>
        <v>2.2857142857142856</v>
      </c>
      <c r="J15" s="49">
        <f>AVERAGE('29.07 Bugolobi-Nakawa'!J15,'30.07 Bugolobi-Nakawa'!J15,'31.07 Bugolobi-Nakawa'!J15,'02.08 Bugolobi-Nakawa'!J15,'01.08 Bugolobi-Nakawa-24h'!J15,'03.08 Bugolobi-Nakawa-24h'!J15,'04.08 Bugolobi-Nakawa'!J15)</f>
        <v>0.8571428571428571</v>
      </c>
      <c r="K15" s="49">
        <f>AVERAGE('29.07 Bugolobi-Nakawa'!K15,'30.07 Bugolobi-Nakawa'!K15,'31.07 Bugolobi-Nakawa'!K15,'02.08 Bugolobi-Nakawa'!K15,'01.08 Bugolobi-Nakawa-24h'!K15,'03.08 Bugolobi-Nakawa-24h'!K15,'04.08 Bugolobi-Nakawa'!K15)</f>
        <v>0.42857142857142855</v>
      </c>
      <c r="L15" s="49">
        <f>AVERAGE('29.07 Bugolobi-Nakawa'!L15,'30.07 Bugolobi-Nakawa'!L15,'31.07 Bugolobi-Nakawa'!L15,'02.08 Bugolobi-Nakawa'!L15,'01.08 Bugolobi-Nakawa-24h'!L15,'03.08 Bugolobi-Nakawa-24h'!L15,'04.08 Bugolobi-Nakawa'!L15)</f>
        <v>0.14285714285714285</v>
      </c>
      <c r="M15" s="49">
        <f>AVERAGE('29.07 Bugolobi-Nakawa'!M15,'30.07 Bugolobi-Nakawa'!M15,'31.07 Bugolobi-Nakawa'!M15,'02.08 Bugolobi-Nakawa'!M15,'01.08 Bugolobi-Nakawa-24h'!M15,'03.08 Bugolobi-Nakawa-24h'!M15,'04.08 Bugolobi-Nakawa'!M15)</f>
        <v>63.285714285714285</v>
      </c>
      <c r="N15" s="49">
        <f>AVERAGE('29.07 Bugolobi-Nakawa'!N15,'30.07 Bugolobi-Nakawa'!N15,'31.07 Bugolobi-Nakawa'!N15,'02.08 Bugolobi-Nakawa'!N15,'01.08 Bugolobi-Nakawa-24h'!N15,'03.08 Bugolobi-Nakawa-24h'!N15,'04.08 Bugolobi-Nakawa'!N15)</f>
        <v>0</v>
      </c>
      <c r="O15" s="15">
        <f t="shared" si="0"/>
        <v>189.85714285714283</v>
      </c>
      <c r="P15" s="15">
        <f t="shared" si="1"/>
        <v>253.14285714285711</v>
      </c>
      <c r="R15" s="1" t="s">
        <v>11</v>
      </c>
      <c r="S15" s="17">
        <f t="shared" ref="S15:AF15" si="7">SUM(C30:C33)</f>
        <v>274</v>
      </c>
      <c r="T15" s="17">
        <f t="shared" si="7"/>
        <v>98</v>
      </c>
      <c r="U15" s="17">
        <f t="shared" si="7"/>
        <v>65.714285714285708</v>
      </c>
      <c r="V15" s="17">
        <f t="shared" si="7"/>
        <v>110.71428571428571</v>
      </c>
      <c r="W15" s="17">
        <f t="shared" si="7"/>
        <v>1.2857142857142856</v>
      </c>
      <c r="X15" s="17">
        <f t="shared" si="7"/>
        <v>0.8571428571428571</v>
      </c>
      <c r="Y15" s="17">
        <f t="shared" si="7"/>
        <v>11.428571428571427</v>
      </c>
      <c r="Z15" s="17">
        <f t="shared" si="7"/>
        <v>4.4285714285714288</v>
      </c>
      <c r="AA15" s="17">
        <f t="shared" si="7"/>
        <v>0.71428571428571419</v>
      </c>
      <c r="AB15" s="17">
        <f t="shared" si="7"/>
        <v>1.2857142857142856</v>
      </c>
      <c r="AC15" s="17">
        <f t="shared" si="7"/>
        <v>252.85714285714289</v>
      </c>
      <c r="AD15" s="17">
        <f t="shared" si="7"/>
        <v>0</v>
      </c>
      <c r="AE15" s="31">
        <f t="shared" si="7"/>
        <v>568.42857142857133</v>
      </c>
      <c r="AF15" s="31">
        <f t="shared" si="7"/>
        <v>821.28571428571422</v>
      </c>
    </row>
    <row r="16" spans="2:32" ht="23.1" customHeight="1" x14ac:dyDescent="0.25">
      <c r="B16" s="23" t="s">
        <v>43</v>
      </c>
      <c r="C16" s="49">
        <f>AVERAGE('29.07 Bugolobi-Nakawa'!C16,'30.07 Bugolobi-Nakawa'!C16,'31.07 Bugolobi-Nakawa'!C16,'02.08 Bugolobi-Nakawa'!C16,'01.08 Bugolobi-Nakawa-24h'!C16,'03.08 Bugolobi-Nakawa-24h'!C16,'04.08 Bugolobi-Nakawa'!C16)</f>
        <v>82.857142857142861</v>
      </c>
      <c r="D16" s="49">
        <f>AVERAGE('29.07 Bugolobi-Nakawa'!D16,'30.07 Bugolobi-Nakawa'!D16,'31.07 Bugolobi-Nakawa'!D16,'02.08 Bugolobi-Nakawa'!D16,'01.08 Bugolobi-Nakawa-24h'!D16,'03.08 Bugolobi-Nakawa-24h'!D16,'04.08 Bugolobi-Nakawa'!D16)</f>
        <v>33</v>
      </c>
      <c r="E16" s="49">
        <f>AVERAGE('29.07 Bugolobi-Nakawa'!E16,'30.07 Bugolobi-Nakawa'!E16,'31.07 Bugolobi-Nakawa'!E16,'02.08 Bugolobi-Nakawa'!E16,'01.08 Bugolobi-Nakawa-24h'!E16,'03.08 Bugolobi-Nakawa-24h'!E16,'04.08 Bugolobi-Nakawa'!E16)</f>
        <v>21.428571428571427</v>
      </c>
      <c r="F16" s="49">
        <f>AVERAGE('29.07 Bugolobi-Nakawa'!F16,'30.07 Bugolobi-Nakawa'!F16,'31.07 Bugolobi-Nakawa'!F16,'02.08 Bugolobi-Nakawa'!F16,'01.08 Bugolobi-Nakawa-24h'!F16,'03.08 Bugolobi-Nakawa-24h'!F16,'04.08 Bugolobi-Nakawa'!F16)</f>
        <v>41.714285714285715</v>
      </c>
      <c r="G16" s="49">
        <f>AVERAGE('29.07 Bugolobi-Nakawa'!G16,'30.07 Bugolobi-Nakawa'!G16,'31.07 Bugolobi-Nakawa'!G16,'02.08 Bugolobi-Nakawa'!G16,'01.08 Bugolobi-Nakawa-24h'!G16,'03.08 Bugolobi-Nakawa-24h'!G16,'04.08 Bugolobi-Nakawa'!G16)</f>
        <v>0.14285714285714285</v>
      </c>
      <c r="H16" s="49">
        <f>AVERAGE('29.07 Bugolobi-Nakawa'!H16,'30.07 Bugolobi-Nakawa'!H16,'31.07 Bugolobi-Nakawa'!H16,'02.08 Bugolobi-Nakawa'!H16,'01.08 Bugolobi-Nakawa-24h'!H16,'03.08 Bugolobi-Nakawa-24h'!H16,'04.08 Bugolobi-Nakawa'!H16)</f>
        <v>0.7142857142857143</v>
      </c>
      <c r="I16" s="49">
        <f>AVERAGE('29.07 Bugolobi-Nakawa'!I16,'30.07 Bugolobi-Nakawa'!I16,'31.07 Bugolobi-Nakawa'!I16,'02.08 Bugolobi-Nakawa'!I16,'01.08 Bugolobi-Nakawa-24h'!I16,'03.08 Bugolobi-Nakawa-24h'!I16,'04.08 Bugolobi-Nakawa'!I16)</f>
        <v>2.2857142857142856</v>
      </c>
      <c r="J16" s="49">
        <f>AVERAGE('29.07 Bugolobi-Nakawa'!J16,'30.07 Bugolobi-Nakawa'!J16,'31.07 Bugolobi-Nakawa'!J16,'02.08 Bugolobi-Nakawa'!J16,'01.08 Bugolobi-Nakawa-24h'!J16,'03.08 Bugolobi-Nakawa-24h'!J16,'04.08 Bugolobi-Nakawa'!J16)</f>
        <v>1</v>
      </c>
      <c r="K16" s="49">
        <f>AVERAGE('29.07 Bugolobi-Nakawa'!K16,'30.07 Bugolobi-Nakawa'!K16,'31.07 Bugolobi-Nakawa'!K16,'02.08 Bugolobi-Nakawa'!K16,'01.08 Bugolobi-Nakawa-24h'!K16,'03.08 Bugolobi-Nakawa-24h'!K16,'04.08 Bugolobi-Nakawa'!K16)</f>
        <v>0.14285714285714285</v>
      </c>
      <c r="L16" s="49">
        <f>AVERAGE('29.07 Bugolobi-Nakawa'!L16,'30.07 Bugolobi-Nakawa'!L16,'31.07 Bugolobi-Nakawa'!L16,'02.08 Bugolobi-Nakawa'!L16,'01.08 Bugolobi-Nakawa-24h'!L16,'03.08 Bugolobi-Nakawa-24h'!L16,'04.08 Bugolobi-Nakawa'!L16)</f>
        <v>0</v>
      </c>
      <c r="M16" s="49">
        <f>AVERAGE('29.07 Bugolobi-Nakawa'!M16,'30.07 Bugolobi-Nakawa'!M16,'31.07 Bugolobi-Nakawa'!M16,'02.08 Bugolobi-Nakawa'!M16,'01.08 Bugolobi-Nakawa-24h'!M16,'03.08 Bugolobi-Nakawa-24h'!M16,'04.08 Bugolobi-Nakawa'!M16)</f>
        <v>72.571428571428569</v>
      </c>
      <c r="N16" s="49">
        <f>AVERAGE('29.07 Bugolobi-Nakawa'!N16,'30.07 Bugolobi-Nakawa'!N16,'31.07 Bugolobi-Nakawa'!N16,'02.08 Bugolobi-Nakawa'!N16,'01.08 Bugolobi-Nakawa-24h'!N16,'03.08 Bugolobi-Nakawa-24h'!N16,'04.08 Bugolobi-Nakawa'!N16)</f>
        <v>0</v>
      </c>
      <c r="O16" s="15">
        <f t="shared" si="0"/>
        <v>183.28571428571428</v>
      </c>
      <c r="P16" s="15">
        <f t="shared" si="1"/>
        <v>255.85714285714283</v>
      </c>
      <c r="R16" s="1" t="s">
        <v>12</v>
      </c>
      <c r="S16" s="17">
        <f t="shared" ref="S16:AF16" si="8">SUM(C34:C37)</f>
        <v>233.28571428571428</v>
      </c>
      <c r="T16" s="17">
        <f t="shared" si="8"/>
        <v>93</v>
      </c>
      <c r="U16" s="17">
        <f t="shared" si="8"/>
        <v>76</v>
      </c>
      <c r="V16" s="17">
        <f t="shared" si="8"/>
        <v>107.85714285714286</v>
      </c>
      <c r="W16" s="17">
        <f t="shared" si="8"/>
        <v>0.71428571428571419</v>
      </c>
      <c r="X16" s="17">
        <f t="shared" si="8"/>
        <v>0</v>
      </c>
      <c r="Y16" s="17">
        <f t="shared" si="8"/>
        <v>8.8571428571428577</v>
      </c>
      <c r="Z16" s="17">
        <f t="shared" si="8"/>
        <v>7</v>
      </c>
      <c r="AA16" s="17">
        <f t="shared" si="8"/>
        <v>0.71428571428571419</v>
      </c>
      <c r="AB16" s="17">
        <f t="shared" si="8"/>
        <v>0.8571428571428571</v>
      </c>
      <c r="AC16" s="17">
        <f t="shared" si="8"/>
        <v>222.28571428571428</v>
      </c>
      <c r="AD16" s="17">
        <f t="shared" si="8"/>
        <v>0</v>
      </c>
      <c r="AE16" s="31">
        <f t="shared" si="8"/>
        <v>528.28571428571422</v>
      </c>
      <c r="AF16" s="31">
        <f t="shared" si="8"/>
        <v>750.57142857142856</v>
      </c>
    </row>
    <row r="17" spans="2:32" ht="23.1" customHeight="1" x14ac:dyDescent="0.25">
      <c r="B17" s="23" t="s">
        <v>44</v>
      </c>
      <c r="C17" s="49">
        <f>AVERAGE('29.07 Bugolobi-Nakawa'!C17,'30.07 Bugolobi-Nakawa'!C17,'31.07 Bugolobi-Nakawa'!C17,'02.08 Bugolobi-Nakawa'!C17,'01.08 Bugolobi-Nakawa-24h'!C17,'03.08 Bugolobi-Nakawa-24h'!C17,'04.08 Bugolobi-Nakawa'!C17)</f>
        <v>88.428571428571431</v>
      </c>
      <c r="D17" s="49">
        <f>AVERAGE('29.07 Bugolobi-Nakawa'!D17,'30.07 Bugolobi-Nakawa'!D17,'31.07 Bugolobi-Nakawa'!D17,'02.08 Bugolobi-Nakawa'!D17,'01.08 Bugolobi-Nakawa-24h'!D17,'03.08 Bugolobi-Nakawa-24h'!D17,'04.08 Bugolobi-Nakawa'!D17)</f>
        <v>35.571428571428569</v>
      </c>
      <c r="E17" s="49">
        <f>AVERAGE('29.07 Bugolobi-Nakawa'!E17,'30.07 Bugolobi-Nakawa'!E17,'31.07 Bugolobi-Nakawa'!E17,'02.08 Bugolobi-Nakawa'!E17,'01.08 Bugolobi-Nakawa-24h'!E17,'03.08 Bugolobi-Nakawa-24h'!E17,'04.08 Bugolobi-Nakawa'!E17)</f>
        <v>16</v>
      </c>
      <c r="F17" s="49">
        <f>AVERAGE('29.07 Bugolobi-Nakawa'!F17,'30.07 Bugolobi-Nakawa'!F17,'31.07 Bugolobi-Nakawa'!F17,'02.08 Bugolobi-Nakawa'!F17,'01.08 Bugolobi-Nakawa-24h'!F17,'03.08 Bugolobi-Nakawa-24h'!F17,'04.08 Bugolobi-Nakawa'!F17)</f>
        <v>39.571428571428569</v>
      </c>
      <c r="G17" s="49">
        <f>AVERAGE('29.07 Bugolobi-Nakawa'!G17,'30.07 Bugolobi-Nakawa'!G17,'31.07 Bugolobi-Nakawa'!G17,'02.08 Bugolobi-Nakawa'!G17,'01.08 Bugolobi-Nakawa-24h'!G17,'03.08 Bugolobi-Nakawa-24h'!G17,'04.08 Bugolobi-Nakawa'!G17)</f>
        <v>0.42857142857142855</v>
      </c>
      <c r="H17" s="49">
        <f>AVERAGE('29.07 Bugolobi-Nakawa'!H17,'30.07 Bugolobi-Nakawa'!H17,'31.07 Bugolobi-Nakawa'!H17,'02.08 Bugolobi-Nakawa'!H17,'01.08 Bugolobi-Nakawa-24h'!H17,'03.08 Bugolobi-Nakawa-24h'!H17,'04.08 Bugolobi-Nakawa'!H17)</f>
        <v>0.42857142857142855</v>
      </c>
      <c r="I17" s="49">
        <f>AVERAGE('29.07 Bugolobi-Nakawa'!I17,'30.07 Bugolobi-Nakawa'!I17,'31.07 Bugolobi-Nakawa'!I17,'02.08 Bugolobi-Nakawa'!I17,'01.08 Bugolobi-Nakawa-24h'!I17,'03.08 Bugolobi-Nakawa-24h'!I17,'04.08 Bugolobi-Nakawa'!I17)</f>
        <v>2.1428571428571428</v>
      </c>
      <c r="J17" s="49">
        <f>AVERAGE('29.07 Bugolobi-Nakawa'!J17,'30.07 Bugolobi-Nakawa'!J17,'31.07 Bugolobi-Nakawa'!J17,'02.08 Bugolobi-Nakawa'!J17,'01.08 Bugolobi-Nakawa-24h'!J17,'03.08 Bugolobi-Nakawa-24h'!J17,'04.08 Bugolobi-Nakawa'!J17)</f>
        <v>1</v>
      </c>
      <c r="K17" s="49">
        <f>AVERAGE('29.07 Bugolobi-Nakawa'!K17,'30.07 Bugolobi-Nakawa'!K17,'31.07 Bugolobi-Nakawa'!K17,'02.08 Bugolobi-Nakawa'!K17,'01.08 Bugolobi-Nakawa-24h'!K17,'03.08 Bugolobi-Nakawa-24h'!K17,'04.08 Bugolobi-Nakawa'!K17)</f>
        <v>0</v>
      </c>
      <c r="L17" s="49">
        <f>AVERAGE('29.07 Bugolobi-Nakawa'!L17,'30.07 Bugolobi-Nakawa'!L17,'31.07 Bugolobi-Nakawa'!L17,'02.08 Bugolobi-Nakawa'!L17,'01.08 Bugolobi-Nakawa-24h'!L17,'03.08 Bugolobi-Nakawa-24h'!L17,'04.08 Bugolobi-Nakawa'!L17)</f>
        <v>0.14285714285714285</v>
      </c>
      <c r="M17" s="49">
        <f>AVERAGE('29.07 Bugolobi-Nakawa'!M17,'30.07 Bugolobi-Nakawa'!M17,'31.07 Bugolobi-Nakawa'!M17,'02.08 Bugolobi-Nakawa'!M17,'01.08 Bugolobi-Nakawa-24h'!M17,'03.08 Bugolobi-Nakawa-24h'!M17,'04.08 Bugolobi-Nakawa'!M17)</f>
        <v>73.142857142857139</v>
      </c>
      <c r="N17" s="49">
        <f>AVERAGE('29.07 Bugolobi-Nakawa'!N17,'30.07 Bugolobi-Nakawa'!N17,'31.07 Bugolobi-Nakawa'!N17,'02.08 Bugolobi-Nakawa'!N17,'01.08 Bugolobi-Nakawa-24h'!N17,'03.08 Bugolobi-Nakawa-24h'!N17,'04.08 Bugolobi-Nakawa'!N17)</f>
        <v>0</v>
      </c>
      <c r="O17" s="15">
        <f t="shared" si="0"/>
        <v>183.71428571428567</v>
      </c>
      <c r="P17" s="15">
        <f t="shared" si="1"/>
        <v>256.85714285714278</v>
      </c>
      <c r="R17" s="1" t="s">
        <v>13</v>
      </c>
      <c r="S17" s="17">
        <f t="shared" ref="S17:AF17" si="9">SUM(C38:C41)</f>
        <v>306.42857142857144</v>
      </c>
      <c r="T17" s="17">
        <f t="shared" si="9"/>
        <v>101.57142857142857</v>
      </c>
      <c r="U17" s="17">
        <f t="shared" si="9"/>
        <v>67.571428571428569</v>
      </c>
      <c r="V17" s="17">
        <f t="shared" si="9"/>
        <v>114</v>
      </c>
      <c r="W17" s="17">
        <f t="shared" si="9"/>
        <v>0.85714285714285698</v>
      </c>
      <c r="X17" s="17">
        <f t="shared" si="9"/>
        <v>0.71428571428571419</v>
      </c>
      <c r="Y17" s="17">
        <f t="shared" si="9"/>
        <v>11</v>
      </c>
      <c r="Z17" s="17">
        <f t="shared" si="9"/>
        <v>5.1428571428571423</v>
      </c>
      <c r="AA17" s="17">
        <f t="shared" si="9"/>
        <v>1.2857142857142856</v>
      </c>
      <c r="AB17" s="17">
        <f t="shared" si="9"/>
        <v>0.99999999999999989</v>
      </c>
      <c r="AC17" s="17">
        <f t="shared" si="9"/>
        <v>280.14285714285711</v>
      </c>
      <c r="AD17" s="17">
        <f t="shared" si="9"/>
        <v>0</v>
      </c>
      <c r="AE17" s="31">
        <f t="shared" si="9"/>
        <v>609.57142857142856</v>
      </c>
      <c r="AF17" s="31">
        <f t="shared" si="9"/>
        <v>889.71428571428555</v>
      </c>
    </row>
    <row r="18" spans="2:32" ht="23.1" customHeight="1" x14ac:dyDescent="0.25">
      <c r="B18" s="23" t="s">
        <v>45</v>
      </c>
      <c r="C18" s="49">
        <f>AVERAGE('29.07 Bugolobi-Nakawa'!C18,'30.07 Bugolobi-Nakawa'!C18,'31.07 Bugolobi-Nakawa'!C18,'02.08 Bugolobi-Nakawa'!C18,'01.08 Bugolobi-Nakawa-24h'!C18,'03.08 Bugolobi-Nakawa-24h'!C18,'04.08 Bugolobi-Nakawa'!C18)</f>
        <v>93.428571428571431</v>
      </c>
      <c r="D18" s="49">
        <f>AVERAGE('29.07 Bugolobi-Nakawa'!D18,'30.07 Bugolobi-Nakawa'!D18,'31.07 Bugolobi-Nakawa'!D18,'02.08 Bugolobi-Nakawa'!D18,'01.08 Bugolobi-Nakawa-24h'!D18,'03.08 Bugolobi-Nakawa-24h'!D18,'04.08 Bugolobi-Nakawa'!D18)</f>
        <v>38.714285714285715</v>
      </c>
      <c r="E18" s="49">
        <f>AVERAGE('29.07 Bugolobi-Nakawa'!E18,'30.07 Bugolobi-Nakawa'!E18,'31.07 Bugolobi-Nakawa'!E18,'02.08 Bugolobi-Nakawa'!E18,'01.08 Bugolobi-Nakawa-24h'!E18,'03.08 Bugolobi-Nakawa-24h'!E18,'04.08 Bugolobi-Nakawa'!E18)</f>
        <v>28.285714285714285</v>
      </c>
      <c r="F18" s="49">
        <f>AVERAGE('29.07 Bugolobi-Nakawa'!F18,'30.07 Bugolobi-Nakawa'!F18,'31.07 Bugolobi-Nakawa'!F18,'02.08 Bugolobi-Nakawa'!F18,'01.08 Bugolobi-Nakawa-24h'!F18,'03.08 Bugolobi-Nakawa-24h'!F18,'04.08 Bugolobi-Nakawa'!F18)</f>
        <v>39.714285714285715</v>
      </c>
      <c r="G18" s="49">
        <f>AVERAGE('29.07 Bugolobi-Nakawa'!G18,'30.07 Bugolobi-Nakawa'!G18,'31.07 Bugolobi-Nakawa'!G18,'02.08 Bugolobi-Nakawa'!G18,'01.08 Bugolobi-Nakawa-24h'!G18,'03.08 Bugolobi-Nakawa-24h'!G18,'04.08 Bugolobi-Nakawa'!G18)</f>
        <v>0.2857142857142857</v>
      </c>
      <c r="H18" s="49">
        <f>AVERAGE('29.07 Bugolobi-Nakawa'!H18,'30.07 Bugolobi-Nakawa'!H18,'31.07 Bugolobi-Nakawa'!H18,'02.08 Bugolobi-Nakawa'!H18,'01.08 Bugolobi-Nakawa-24h'!H18,'03.08 Bugolobi-Nakawa-24h'!H18,'04.08 Bugolobi-Nakawa'!H18)</f>
        <v>0.2857142857142857</v>
      </c>
      <c r="I18" s="49">
        <f>AVERAGE('29.07 Bugolobi-Nakawa'!I18,'30.07 Bugolobi-Nakawa'!I18,'31.07 Bugolobi-Nakawa'!I18,'02.08 Bugolobi-Nakawa'!I18,'01.08 Bugolobi-Nakawa-24h'!I18,'03.08 Bugolobi-Nakawa-24h'!I18,'04.08 Bugolobi-Nakawa'!I18)</f>
        <v>3.4285714285714284</v>
      </c>
      <c r="J18" s="49">
        <f>AVERAGE('29.07 Bugolobi-Nakawa'!J18,'30.07 Bugolobi-Nakawa'!J18,'31.07 Bugolobi-Nakawa'!J18,'02.08 Bugolobi-Nakawa'!J18,'01.08 Bugolobi-Nakawa-24h'!J18,'03.08 Bugolobi-Nakawa-24h'!J18,'04.08 Bugolobi-Nakawa'!J18)</f>
        <v>1</v>
      </c>
      <c r="K18" s="49">
        <f>AVERAGE('29.07 Bugolobi-Nakawa'!K18,'30.07 Bugolobi-Nakawa'!K18,'31.07 Bugolobi-Nakawa'!K18,'02.08 Bugolobi-Nakawa'!K18,'01.08 Bugolobi-Nakawa-24h'!K18,'03.08 Bugolobi-Nakawa-24h'!K18,'04.08 Bugolobi-Nakawa'!K18)</f>
        <v>0</v>
      </c>
      <c r="L18" s="49">
        <f>AVERAGE('29.07 Bugolobi-Nakawa'!L18,'30.07 Bugolobi-Nakawa'!L18,'31.07 Bugolobi-Nakawa'!L18,'02.08 Bugolobi-Nakawa'!L18,'01.08 Bugolobi-Nakawa-24h'!L18,'03.08 Bugolobi-Nakawa-24h'!L18,'04.08 Bugolobi-Nakawa'!L18)</f>
        <v>0</v>
      </c>
      <c r="M18" s="49">
        <f>AVERAGE('29.07 Bugolobi-Nakawa'!M18,'30.07 Bugolobi-Nakawa'!M18,'31.07 Bugolobi-Nakawa'!M18,'02.08 Bugolobi-Nakawa'!M18,'01.08 Bugolobi-Nakawa-24h'!M18,'03.08 Bugolobi-Nakawa-24h'!M18,'04.08 Bugolobi-Nakawa'!M18)</f>
        <v>72.571428571428569</v>
      </c>
      <c r="N18" s="49">
        <f>AVERAGE('29.07 Bugolobi-Nakawa'!N18,'30.07 Bugolobi-Nakawa'!N18,'31.07 Bugolobi-Nakawa'!N18,'02.08 Bugolobi-Nakawa'!N18,'01.08 Bugolobi-Nakawa-24h'!N18,'03.08 Bugolobi-Nakawa-24h'!N18,'04.08 Bugolobi-Nakawa'!N18)</f>
        <v>0</v>
      </c>
      <c r="O18" s="15">
        <f t="shared" si="0"/>
        <v>205.14285714285711</v>
      </c>
      <c r="P18" s="15">
        <f t="shared" si="1"/>
        <v>277.71428571428567</v>
      </c>
      <c r="R18" s="1" t="s">
        <v>14</v>
      </c>
      <c r="S18" s="17">
        <f t="shared" ref="S18:AF18" si="10">SUM(C42:C45)</f>
        <v>315.42857142857144</v>
      </c>
      <c r="T18" s="17">
        <f t="shared" si="10"/>
        <v>92.428571428571431</v>
      </c>
      <c r="U18" s="17">
        <f t="shared" si="10"/>
        <v>68.142857142857139</v>
      </c>
      <c r="V18" s="17">
        <f t="shared" si="10"/>
        <v>113.85714285714286</v>
      </c>
      <c r="W18" s="17">
        <f t="shared" si="10"/>
        <v>0</v>
      </c>
      <c r="X18" s="17">
        <f t="shared" si="10"/>
        <v>0.2857142857142857</v>
      </c>
      <c r="Y18" s="17">
        <f t="shared" si="10"/>
        <v>9.2857142857142865</v>
      </c>
      <c r="Z18" s="17">
        <f t="shared" si="10"/>
        <v>5.2857142857142856</v>
      </c>
      <c r="AA18" s="17">
        <f t="shared" si="10"/>
        <v>1.1428571428571428</v>
      </c>
      <c r="AB18" s="17">
        <f t="shared" si="10"/>
        <v>0.71428571428571419</v>
      </c>
      <c r="AC18" s="17">
        <f t="shared" si="10"/>
        <v>270.57142857142856</v>
      </c>
      <c r="AD18" s="17">
        <f t="shared" si="10"/>
        <v>0</v>
      </c>
      <c r="AE18" s="31">
        <f t="shared" si="10"/>
        <v>606.57142857142856</v>
      </c>
      <c r="AF18" s="31">
        <f t="shared" si="10"/>
        <v>877.14285714285711</v>
      </c>
    </row>
    <row r="19" spans="2:32" ht="23.1" customHeight="1" x14ac:dyDescent="0.25">
      <c r="B19" s="23" t="s">
        <v>46</v>
      </c>
      <c r="C19" s="49">
        <f>AVERAGE('29.07 Bugolobi-Nakawa'!C19,'30.07 Bugolobi-Nakawa'!C19,'31.07 Bugolobi-Nakawa'!C19,'02.08 Bugolobi-Nakawa'!C19,'01.08 Bugolobi-Nakawa-24h'!C19,'03.08 Bugolobi-Nakawa-24h'!C19,'04.08 Bugolobi-Nakawa'!C19)</f>
        <v>77.285714285714292</v>
      </c>
      <c r="D19" s="49">
        <f>AVERAGE('29.07 Bugolobi-Nakawa'!D19,'30.07 Bugolobi-Nakawa'!D19,'31.07 Bugolobi-Nakawa'!D19,'02.08 Bugolobi-Nakawa'!D19,'01.08 Bugolobi-Nakawa-24h'!D19,'03.08 Bugolobi-Nakawa-24h'!D19,'04.08 Bugolobi-Nakawa'!D19)</f>
        <v>31.571428571428573</v>
      </c>
      <c r="E19" s="49">
        <f>AVERAGE('29.07 Bugolobi-Nakawa'!E19,'30.07 Bugolobi-Nakawa'!E19,'31.07 Bugolobi-Nakawa'!E19,'02.08 Bugolobi-Nakawa'!E19,'01.08 Bugolobi-Nakawa-24h'!E19,'03.08 Bugolobi-Nakawa-24h'!E19,'04.08 Bugolobi-Nakawa'!E19)</f>
        <v>18.285714285714285</v>
      </c>
      <c r="F19" s="49">
        <f>AVERAGE('29.07 Bugolobi-Nakawa'!F19,'30.07 Bugolobi-Nakawa'!F19,'31.07 Bugolobi-Nakawa'!F19,'02.08 Bugolobi-Nakawa'!F19,'01.08 Bugolobi-Nakawa-24h'!F19,'03.08 Bugolobi-Nakawa-24h'!F19,'04.08 Bugolobi-Nakawa'!F19)</f>
        <v>32.857142857142854</v>
      </c>
      <c r="G19" s="49">
        <f>AVERAGE('29.07 Bugolobi-Nakawa'!G19,'30.07 Bugolobi-Nakawa'!G19,'31.07 Bugolobi-Nakawa'!G19,'02.08 Bugolobi-Nakawa'!G19,'01.08 Bugolobi-Nakawa-24h'!G19,'03.08 Bugolobi-Nakawa-24h'!G19,'04.08 Bugolobi-Nakawa'!G19)</f>
        <v>0.42857142857142855</v>
      </c>
      <c r="H19" s="49">
        <f>AVERAGE('29.07 Bugolobi-Nakawa'!H19,'30.07 Bugolobi-Nakawa'!H19,'31.07 Bugolobi-Nakawa'!H19,'02.08 Bugolobi-Nakawa'!H19,'01.08 Bugolobi-Nakawa-24h'!H19,'03.08 Bugolobi-Nakawa-24h'!H19,'04.08 Bugolobi-Nakawa'!H19)</f>
        <v>0.2857142857142857</v>
      </c>
      <c r="I19" s="49">
        <f>AVERAGE('29.07 Bugolobi-Nakawa'!I19,'30.07 Bugolobi-Nakawa'!I19,'31.07 Bugolobi-Nakawa'!I19,'02.08 Bugolobi-Nakawa'!I19,'01.08 Bugolobi-Nakawa-24h'!I19,'03.08 Bugolobi-Nakawa-24h'!I19,'04.08 Bugolobi-Nakawa'!I19)</f>
        <v>1.1428571428571428</v>
      </c>
      <c r="J19" s="49">
        <f>AVERAGE('29.07 Bugolobi-Nakawa'!J19,'30.07 Bugolobi-Nakawa'!J19,'31.07 Bugolobi-Nakawa'!J19,'02.08 Bugolobi-Nakawa'!J19,'01.08 Bugolobi-Nakawa-24h'!J19,'03.08 Bugolobi-Nakawa-24h'!J19,'04.08 Bugolobi-Nakawa'!J19)</f>
        <v>1.2857142857142858</v>
      </c>
      <c r="K19" s="49">
        <f>AVERAGE('29.07 Bugolobi-Nakawa'!K19,'30.07 Bugolobi-Nakawa'!K19,'31.07 Bugolobi-Nakawa'!K19,'02.08 Bugolobi-Nakawa'!K19,'01.08 Bugolobi-Nakawa-24h'!K19,'03.08 Bugolobi-Nakawa-24h'!K19,'04.08 Bugolobi-Nakawa'!K19)</f>
        <v>0</v>
      </c>
      <c r="L19" s="49">
        <f>AVERAGE('29.07 Bugolobi-Nakawa'!L19,'30.07 Bugolobi-Nakawa'!L19,'31.07 Bugolobi-Nakawa'!L19,'02.08 Bugolobi-Nakawa'!L19,'01.08 Bugolobi-Nakawa-24h'!L19,'03.08 Bugolobi-Nakawa-24h'!L19,'04.08 Bugolobi-Nakawa'!L19)</f>
        <v>0.14285714285714285</v>
      </c>
      <c r="M19" s="49">
        <f>AVERAGE('29.07 Bugolobi-Nakawa'!M19,'30.07 Bugolobi-Nakawa'!M19,'31.07 Bugolobi-Nakawa'!M19,'02.08 Bugolobi-Nakawa'!M19,'01.08 Bugolobi-Nakawa-24h'!M19,'03.08 Bugolobi-Nakawa-24h'!M19,'04.08 Bugolobi-Nakawa'!M19)</f>
        <v>69.571428571428569</v>
      </c>
      <c r="N19" s="49">
        <f>AVERAGE('29.07 Bugolobi-Nakawa'!N19,'30.07 Bugolobi-Nakawa'!N19,'31.07 Bugolobi-Nakawa'!N19,'02.08 Bugolobi-Nakawa'!N19,'01.08 Bugolobi-Nakawa-24h'!N19,'03.08 Bugolobi-Nakawa-24h'!N19,'04.08 Bugolobi-Nakawa'!N19)</f>
        <v>0</v>
      </c>
      <c r="O19" s="15">
        <f t="shared" si="0"/>
        <v>163.28571428571425</v>
      </c>
      <c r="P19" s="15">
        <f t="shared" si="1"/>
        <v>232.85714285714283</v>
      </c>
      <c r="R19" s="1" t="s">
        <v>15</v>
      </c>
      <c r="S19" s="17">
        <f t="shared" ref="S19:AF19" si="11">SUM(C46:C49)</f>
        <v>350.42857142857144</v>
      </c>
      <c r="T19" s="17">
        <f t="shared" si="11"/>
        <v>121.28571428571429</v>
      </c>
      <c r="U19" s="17">
        <f t="shared" si="11"/>
        <v>76.714285714285708</v>
      </c>
      <c r="V19" s="17">
        <f t="shared" si="11"/>
        <v>126.71428571428572</v>
      </c>
      <c r="W19" s="17">
        <f t="shared" si="11"/>
        <v>0.8571428571428571</v>
      </c>
      <c r="X19" s="17">
        <f t="shared" si="11"/>
        <v>0.8571428571428571</v>
      </c>
      <c r="Y19" s="17">
        <f t="shared" si="11"/>
        <v>9</v>
      </c>
      <c r="Z19" s="17">
        <f t="shared" si="11"/>
        <v>7.5714285714285712</v>
      </c>
      <c r="AA19" s="17">
        <f t="shared" si="11"/>
        <v>1.1428571428571428</v>
      </c>
      <c r="AB19" s="17">
        <f t="shared" si="11"/>
        <v>0.71428571428571419</v>
      </c>
      <c r="AC19" s="17">
        <f t="shared" si="11"/>
        <v>285.85714285714283</v>
      </c>
      <c r="AD19" s="17">
        <f t="shared" si="11"/>
        <v>0.14285714285714285</v>
      </c>
      <c r="AE19" s="31">
        <f t="shared" si="11"/>
        <v>695.42857142857133</v>
      </c>
      <c r="AF19" s="31">
        <f t="shared" si="11"/>
        <v>981.28571428571422</v>
      </c>
    </row>
    <row r="20" spans="2:32" ht="23.1" customHeight="1" x14ac:dyDescent="0.25">
      <c r="B20" s="23" t="s">
        <v>47</v>
      </c>
      <c r="C20" s="49">
        <f>AVERAGE('29.07 Bugolobi-Nakawa'!C20,'30.07 Bugolobi-Nakawa'!C20,'31.07 Bugolobi-Nakawa'!C20,'02.08 Bugolobi-Nakawa'!C20,'01.08 Bugolobi-Nakawa-24h'!C20,'03.08 Bugolobi-Nakawa-24h'!C20,'04.08 Bugolobi-Nakawa'!C20)</f>
        <v>84.714285714285708</v>
      </c>
      <c r="D20" s="49">
        <f>AVERAGE('29.07 Bugolobi-Nakawa'!D20,'30.07 Bugolobi-Nakawa'!D20,'31.07 Bugolobi-Nakawa'!D20,'02.08 Bugolobi-Nakawa'!D20,'01.08 Bugolobi-Nakawa-24h'!D20,'03.08 Bugolobi-Nakawa-24h'!D20,'04.08 Bugolobi-Nakawa'!D20)</f>
        <v>28.857142857142858</v>
      </c>
      <c r="E20" s="49">
        <f>AVERAGE('29.07 Bugolobi-Nakawa'!E20,'30.07 Bugolobi-Nakawa'!E20,'31.07 Bugolobi-Nakawa'!E20,'02.08 Bugolobi-Nakawa'!E20,'01.08 Bugolobi-Nakawa-24h'!E20,'03.08 Bugolobi-Nakawa-24h'!E20,'04.08 Bugolobi-Nakawa'!E20)</f>
        <v>22.428571428571427</v>
      </c>
      <c r="F20" s="49">
        <f>AVERAGE('29.07 Bugolobi-Nakawa'!F20,'30.07 Bugolobi-Nakawa'!F20,'31.07 Bugolobi-Nakawa'!F20,'02.08 Bugolobi-Nakawa'!F20,'01.08 Bugolobi-Nakawa-24h'!F20,'03.08 Bugolobi-Nakawa-24h'!F20,'04.08 Bugolobi-Nakawa'!F20)</f>
        <v>30.571428571428573</v>
      </c>
      <c r="G20" s="49">
        <f>AVERAGE('29.07 Bugolobi-Nakawa'!G20,'30.07 Bugolobi-Nakawa'!G20,'31.07 Bugolobi-Nakawa'!G20,'02.08 Bugolobi-Nakawa'!G20,'01.08 Bugolobi-Nakawa-24h'!G20,'03.08 Bugolobi-Nakawa-24h'!G20,'04.08 Bugolobi-Nakawa'!G20)</f>
        <v>0.14285714285714285</v>
      </c>
      <c r="H20" s="49">
        <f>AVERAGE('29.07 Bugolobi-Nakawa'!H20,'30.07 Bugolobi-Nakawa'!H20,'31.07 Bugolobi-Nakawa'!H20,'02.08 Bugolobi-Nakawa'!H20,'01.08 Bugolobi-Nakawa-24h'!H20,'03.08 Bugolobi-Nakawa-24h'!H20,'04.08 Bugolobi-Nakawa'!H20)</f>
        <v>0.2857142857142857</v>
      </c>
      <c r="I20" s="49">
        <f>AVERAGE('29.07 Bugolobi-Nakawa'!I20,'30.07 Bugolobi-Nakawa'!I20,'31.07 Bugolobi-Nakawa'!I20,'02.08 Bugolobi-Nakawa'!I20,'01.08 Bugolobi-Nakawa-24h'!I20,'03.08 Bugolobi-Nakawa-24h'!I20,'04.08 Bugolobi-Nakawa'!I20)</f>
        <v>1.1428571428571428</v>
      </c>
      <c r="J20" s="49">
        <f>AVERAGE('29.07 Bugolobi-Nakawa'!J20,'30.07 Bugolobi-Nakawa'!J20,'31.07 Bugolobi-Nakawa'!J20,'02.08 Bugolobi-Nakawa'!J20,'01.08 Bugolobi-Nakawa-24h'!J20,'03.08 Bugolobi-Nakawa-24h'!J20,'04.08 Bugolobi-Nakawa'!J20)</f>
        <v>1.5714285714285714</v>
      </c>
      <c r="K20" s="49">
        <f>AVERAGE('29.07 Bugolobi-Nakawa'!K20,'30.07 Bugolobi-Nakawa'!K20,'31.07 Bugolobi-Nakawa'!K20,'02.08 Bugolobi-Nakawa'!K20,'01.08 Bugolobi-Nakawa-24h'!K20,'03.08 Bugolobi-Nakawa-24h'!K20,'04.08 Bugolobi-Nakawa'!K20)</f>
        <v>0.14285714285714285</v>
      </c>
      <c r="L20" s="49">
        <f>AVERAGE('29.07 Bugolobi-Nakawa'!L20,'30.07 Bugolobi-Nakawa'!L20,'31.07 Bugolobi-Nakawa'!L20,'02.08 Bugolobi-Nakawa'!L20,'01.08 Bugolobi-Nakawa-24h'!L20,'03.08 Bugolobi-Nakawa-24h'!L20,'04.08 Bugolobi-Nakawa'!L20)</f>
        <v>0</v>
      </c>
      <c r="M20" s="49">
        <f>AVERAGE('29.07 Bugolobi-Nakawa'!M20,'30.07 Bugolobi-Nakawa'!M20,'31.07 Bugolobi-Nakawa'!M20,'02.08 Bugolobi-Nakawa'!M20,'01.08 Bugolobi-Nakawa-24h'!M20,'03.08 Bugolobi-Nakawa-24h'!M20,'04.08 Bugolobi-Nakawa'!M20)</f>
        <v>67.285714285714292</v>
      </c>
      <c r="N20" s="49">
        <f>AVERAGE('29.07 Bugolobi-Nakawa'!N20,'30.07 Bugolobi-Nakawa'!N20,'31.07 Bugolobi-Nakawa'!N20,'02.08 Bugolobi-Nakawa'!N20,'01.08 Bugolobi-Nakawa-24h'!N20,'03.08 Bugolobi-Nakawa-24h'!N20,'04.08 Bugolobi-Nakawa'!N20)</f>
        <v>0</v>
      </c>
      <c r="O20" s="15">
        <f t="shared" si="0"/>
        <v>169.85714285714286</v>
      </c>
      <c r="P20" s="15">
        <f t="shared" si="1"/>
        <v>237.14285714285717</v>
      </c>
      <c r="R20" s="1" t="s">
        <v>16</v>
      </c>
      <c r="S20" s="17">
        <f t="shared" ref="S20:AF20" si="12">SUM(C50:C53)</f>
        <v>502</v>
      </c>
      <c r="T20" s="17">
        <f t="shared" si="12"/>
        <v>200.71428571428572</v>
      </c>
      <c r="U20" s="17">
        <f t="shared" si="12"/>
        <v>108.71428571428572</v>
      </c>
      <c r="V20" s="17">
        <f t="shared" si="12"/>
        <v>146.85714285714286</v>
      </c>
      <c r="W20" s="17">
        <f t="shared" si="12"/>
        <v>1.2857142857142856</v>
      </c>
      <c r="X20" s="17">
        <f t="shared" si="12"/>
        <v>0.85714285714285698</v>
      </c>
      <c r="Y20" s="17">
        <f t="shared" si="12"/>
        <v>10.142857142857142</v>
      </c>
      <c r="Z20" s="17">
        <f t="shared" si="12"/>
        <v>4.5714285714285712</v>
      </c>
      <c r="AA20" s="17">
        <f t="shared" si="12"/>
        <v>0.99999999999999989</v>
      </c>
      <c r="AB20" s="17">
        <f t="shared" si="12"/>
        <v>0.2857142857142857</v>
      </c>
      <c r="AC20" s="17">
        <f t="shared" si="12"/>
        <v>315.28571428571428</v>
      </c>
      <c r="AD20" s="17">
        <f t="shared" si="12"/>
        <v>0</v>
      </c>
      <c r="AE20" s="31">
        <f t="shared" si="12"/>
        <v>976.42857142857133</v>
      </c>
      <c r="AF20" s="31">
        <f t="shared" si="12"/>
        <v>1291.7142857142856</v>
      </c>
    </row>
    <row r="21" spans="2:32" ht="23.1" customHeight="1" x14ac:dyDescent="0.25">
      <c r="B21" s="23" t="s">
        <v>48</v>
      </c>
      <c r="C21" s="49">
        <f>AVERAGE('29.07 Bugolobi-Nakawa'!C21,'30.07 Bugolobi-Nakawa'!C21,'31.07 Bugolobi-Nakawa'!C21,'02.08 Bugolobi-Nakawa'!C21,'01.08 Bugolobi-Nakawa-24h'!C21,'03.08 Bugolobi-Nakawa-24h'!C21,'04.08 Bugolobi-Nakawa'!C21)</f>
        <v>69.428571428571431</v>
      </c>
      <c r="D21" s="49">
        <f>AVERAGE('29.07 Bugolobi-Nakawa'!D21,'30.07 Bugolobi-Nakawa'!D21,'31.07 Bugolobi-Nakawa'!D21,'02.08 Bugolobi-Nakawa'!D21,'01.08 Bugolobi-Nakawa-24h'!D21,'03.08 Bugolobi-Nakawa-24h'!D21,'04.08 Bugolobi-Nakawa'!D21)</f>
        <v>24.428571428571427</v>
      </c>
      <c r="E21" s="49">
        <f>AVERAGE('29.07 Bugolobi-Nakawa'!E21,'30.07 Bugolobi-Nakawa'!E21,'31.07 Bugolobi-Nakawa'!E21,'02.08 Bugolobi-Nakawa'!E21,'01.08 Bugolobi-Nakawa-24h'!E21,'03.08 Bugolobi-Nakawa-24h'!E21,'04.08 Bugolobi-Nakawa'!E21)</f>
        <v>21</v>
      </c>
      <c r="F21" s="49">
        <f>AVERAGE('29.07 Bugolobi-Nakawa'!F21,'30.07 Bugolobi-Nakawa'!F21,'31.07 Bugolobi-Nakawa'!F21,'02.08 Bugolobi-Nakawa'!F21,'01.08 Bugolobi-Nakawa-24h'!F21,'03.08 Bugolobi-Nakawa-24h'!F21,'04.08 Bugolobi-Nakawa'!F21)</f>
        <v>32.428571428571431</v>
      </c>
      <c r="G21" s="49">
        <f>AVERAGE('29.07 Bugolobi-Nakawa'!G21,'30.07 Bugolobi-Nakawa'!G21,'31.07 Bugolobi-Nakawa'!G21,'02.08 Bugolobi-Nakawa'!G21,'01.08 Bugolobi-Nakawa-24h'!G21,'03.08 Bugolobi-Nakawa-24h'!G21,'04.08 Bugolobi-Nakawa'!G21)</f>
        <v>0.14285714285714285</v>
      </c>
      <c r="H21" s="49">
        <f>AVERAGE('29.07 Bugolobi-Nakawa'!H21,'30.07 Bugolobi-Nakawa'!H21,'31.07 Bugolobi-Nakawa'!H21,'02.08 Bugolobi-Nakawa'!H21,'01.08 Bugolobi-Nakawa-24h'!H21,'03.08 Bugolobi-Nakawa-24h'!H21,'04.08 Bugolobi-Nakawa'!H21)</f>
        <v>0.2857142857142857</v>
      </c>
      <c r="I21" s="49">
        <f>AVERAGE('29.07 Bugolobi-Nakawa'!I21,'30.07 Bugolobi-Nakawa'!I21,'31.07 Bugolobi-Nakawa'!I21,'02.08 Bugolobi-Nakawa'!I21,'01.08 Bugolobi-Nakawa-24h'!I21,'03.08 Bugolobi-Nakawa-24h'!I21,'04.08 Bugolobi-Nakawa'!I21)</f>
        <v>3.4285714285714284</v>
      </c>
      <c r="J21" s="49">
        <f>AVERAGE('29.07 Bugolobi-Nakawa'!J21,'30.07 Bugolobi-Nakawa'!J21,'31.07 Bugolobi-Nakawa'!J21,'02.08 Bugolobi-Nakawa'!J21,'01.08 Bugolobi-Nakawa-24h'!J21,'03.08 Bugolobi-Nakawa-24h'!J21,'04.08 Bugolobi-Nakawa'!J21)</f>
        <v>1.2857142857142858</v>
      </c>
      <c r="K21" s="49">
        <f>AVERAGE('29.07 Bugolobi-Nakawa'!K21,'30.07 Bugolobi-Nakawa'!K21,'31.07 Bugolobi-Nakawa'!K21,'02.08 Bugolobi-Nakawa'!K21,'01.08 Bugolobi-Nakawa-24h'!K21,'03.08 Bugolobi-Nakawa-24h'!K21,'04.08 Bugolobi-Nakawa'!K21)</f>
        <v>0.14285714285714285</v>
      </c>
      <c r="L21" s="49">
        <f>AVERAGE('29.07 Bugolobi-Nakawa'!L21,'30.07 Bugolobi-Nakawa'!L21,'31.07 Bugolobi-Nakawa'!L21,'02.08 Bugolobi-Nakawa'!L21,'01.08 Bugolobi-Nakawa-24h'!L21,'03.08 Bugolobi-Nakawa-24h'!L21,'04.08 Bugolobi-Nakawa'!L21)</f>
        <v>0.14285714285714285</v>
      </c>
      <c r="M21" s="49">
        <f>AVERAGE('29.07 Bugolobi-Nakawa'!M21,'30.07 Bugolobi-Nakawa'!M21,'31.07 Bugolobi-Nakawa'!M21,'02.08 Bugolobi-Nakawa'!M21,'01.08 Bugolobi-Nakawa-24h'!M21,'03.08 Bugolobi-Nakawa-24h'!M21,'04.08 Bugolobi-Nakawa'!M21)</f>
        <v>71.142857142857139</v>
      </c>
      <c r="N21" s="49">
        <f>AVERAGE('29.07 Bugolobi-Nakawa'!N21,'30.07 Bugolobi-Nakawa'!N21,'31.07 Bugolobi-Nakawa'!N21,'02.08 Bugolobi-Nakawa'!N21,'01.08 Bugolobi-Nakawa-24h'!N21,'03.08 Bugolobi-Nakawa-24h'!N21,'04.08 Bugolobi-Nakawa'!N21)</f>
        <v>0</v>
      </c>
      <c r="O21" s="15">
        <f t="shared" si="0"/>
        <v>152.71428571428567</v>
      </c>
      <c r="P21" s="15">
        <f t="shared" si="1"/>
        <v>223.8571428571428</v>
      </c>
      <c r="R21" s="1" t="s">
        <v>146</v>
      </c>
      <c r="S21" s="34">
        <f>SUM(C57:C60)</f>
        <v>269.92857142857144</v>
      </c>
      <c r="T21" s="17">
        <f t="shared" ref="T21:AF21" si="13">SUM(D54:D57)</f>
        <v>203</v>
      </c>
      <c r="U21" s="17">
        <f t="shared" si="13"/>
        <v>151.28571428571431</v>
      </c>
      <c r="V21" s="17">
        <f t="shared" si="13"/>
        <v>110.71428571428571</v>
      </c>
      <c r="W21" s="17">
        <f t="shared" si="13"/>
        <v>1.5714285714285714</v>
      </c>
      <c r="X21" s="17">
        <f t="shared" si="13"/>
        <v>0.2857142857142857</v>
      </c>
      <c r="Y21" s="17">
        <f t="shared" si="13"/>
        <v>14.857142857142858</v>
      </c>
      <c r="Z21" s="17">
        <f t="shared" si="13"/>
        <v>5.7142857142857144</v>
      </c>
      <c r="AA21" s="17">
        <f t="shared" si="13"/>
        <v>0.5714285714285714</v>
      </c>
      <c r="AB21" s="17">
        <f t="shared" si="13"/>
        <v>0.2857142857142857</v>
      </c>
      <c r="AC21" s="17">
        <f t="shared" si="13"/>
        <v>306</v>
      </c>
      <c r="AD21" s="17">
        <f t="shared" si="13"/>
        <v>0</v>
      </c>
      <c r="AE21" s="31">
        <f t="shared" si="13"/>
        <v>1051.5714285714284</v>
      </c>
      <c r="AF21" s="31">
        <f t="shared" si="13"/>
        <v>1357.5714285714287</v>
      </c>
    </row>
    <row r="22" spans="2:32" ht="23.1" customHeight="1" x14ac:dyDescent="0.25">
      <c r="B22" s="23" t="s">
        <v>49</v>
      </c>
      <c r="C22" s="49">
        <f>AVERAGE('29.07 Bugolobi-Nakawa'!C22,'30.07 Bugolobi-Nakawa'!C22,'31.07 Bugolobi-Nakawa'!C22,'02.08 Bugolobi-Nakawa'!C22,'01.08 Bugolobi-Nakawa-24h'!C22,'03.08 Bugolobi-Nakawa-24h'!C22,'04.08 Bugolobi-Nakawa'!C22)</f>
        <v>72.714285714285708</v>
      </c>
      <c r="D22" s="49">
        <f>AVERAGE('29.07 Bugolobi-Nakawa'!D22,'30.07 Bugolobi-Nakawa'!D22,'31.07 Bugolobi-Nakawa'!D22,'02.08 Bugolobi-Nakawa'!D22,'01.08 Bugolobi-Nakawa-24h'!D22,'03.08 Bugolobi-Nakawa-24h'!D22,'04.08 Bugolobi-Nakawa'!D22)</f>
        <v>27.714285714285715</v>
      </c>
      <c r="E22" s="49">
        <f>AVERAGE('29.07 Bugolobi-Nakawa'!E22,'30.07 Bugolobi-Nakawa'!E22,'31.07 Bugolobi-Nakawa'!E22,'02.08 Bugolobi-Nakawa'!E22,'01.08 Bugolobi-Nakawa-24h'!E22,'03.08 Bugolobi-Nakawa-24h'!E22,'04.08 Bugolobi-Nakawa'!E22)</f>
        <v>18.142857142857142</v>
      </c>
      <c r="F22" s="49">
        <f>AVERAGE('29.07 Bugolobi-Nakawa'!F22,'30.07 Bugolobi-Nakawa'!F22,'31.07 Bugolobi-Nakawa'!F22,'02.08 Bugolobi-Nakawa'!F22,'01.08 Bugolobi-Nakawa-24h'!F22,'03.08 Bugolobi-Nakawa-24h'!F22,'04.08 Bugolobi-Nakawa'!F22)</f>
        <v>28</v>
      </c>
      <c r="G22" s="49">
        <f>AVERAGE('29.07 Bugolobi-Nakawa'!G22,'30.07 Bugolobi-Nakawa'!G22,'31.07 Bugolobi-Nakawa'!G22,'02.08 Bugolobi-Nakawa'!G22,'01.08 Bugolobi-Nakawa-24h'!G22,'03.08 Bugolobi-Nakawa-24h'!G22,'04.08 Bugolobi-Nakawa'!G22)</f>
        <v>0.14285714285714285</v>
      </c>
      <c r="H22" s="49">
        <f>AVERAGE('29.07 Bugolobi-Nakawa'!H22,'30.07 Bugolobi-Nakawa'!H22,'31.07 Bugolobi-Nakawa'!H22,'02.08 Bugolobi-Nakawa'!H22,'01.08 Bugolobi-Nakawa-24h'!H22,'03.08 Bugolobi-Nakawa-24h'!H22,'04.08 Bugolobi-Nakawa'!H22)</f>
        <v>0</v>
      </c>
      <c r="I22" s="49">
        <f>AVERAGE('29.07 Bugolobi-Nakawa'!I22,'30.07 Bugolobi-Nakawa'!I22,'31.07 Bugolobi-Nakawa'!I22,'02.08 Bugolobi-Nakawa'!I22,'01.08 Bugolobi-Nakawa-24h'!I22,'03.08 Bugolobi-Nakawa-24h'!I22,'04.08 Bugolobi-Nakawa'!I22)</f>
        <v>2</v>
      </c>
      <c r="J22" s="49">
        <f>AVERAGE('29.07 Bugolobi-Nakawa'!J22,'30.07 Bugolobi-Nakawa'!J22,'31.07 Bugolobi-Nakawa'!J22,'02.08 Bugolobi-Nakawa'!J22,'01.08 Bugolobi-Nakawa-24h'!J22,'03.08 Bugolobi-Nakawa-24h'!J22,'04.08 Bugolobi-Nakawa'!J22)</f>
        <v>1.7142857142857142</v>
      </c>
      <c r="K22" s="49">
        <f>AVERAGE('29.07 Bugolobi-Nakawa'!K22,'30.07 Bugolobi-Nakawa'!K22,'31.07 Bugolobi-Nakawa'!K22,'02.08 Bugolobi-Nakawa'!K22,'01.08 Bugolobi-Nakawa-24h'!K22,'03.08 Bugolobi-Nakawa-24h'!K22,'04.08 Bugolobi-Nakawa'!K22)</f>
        <v>0.14285714285714285</v>
      </c>
      <c r="L22" s="49">
        <f>AVERAGE('29.07 Bugolobi-Nakawa'!L22,'30.07 Bugolobi-Nakawa'!L22,'31.07 Bugolobi-Nakawa'!L22,'02.08 Bugolobi-Nakawa'!L22,'01.08 Bugolobi-Nakawa-24h'!L22,'03.08 Bugolobi-Nakawa-24h'!L22,'04.08 Bugolobi-Nakawa'!L22)</f>
        <v>0.14285714285714285</v>
      </c>
      <c r="M22" s="49">
        <f>AVERAGE('29.07 Bugolobi-Nakawa'!M22,'30.07 Bugolobi-Nakawa'!M22,'31.07 Bugolobi-Nakawa'!M22,'02.08 Bugolobi-Nakawa'!M22,'01.08 Bugolobi-Nakawa-24h'!M22,'03.08 Bugolobi-Nakawa-24h'!M22,'04.08 Bugolobi-Nakawa'!M22)</f>
        <v>60.142857142857146</v>
      </c>
      <c r="N22" s="49">
        <f>AVERAGE('29.07 Bugolobi-Nakawa'!N22,'30.07 Bugolobi-Nakawa'!N22,'31.07 Bugolobi-Nakawa'!N22,'02.08 Bugolobi-Nakawa'!N22,'01.08 Bugolobi-Nakawa-24h'!N22,'03.08 Bugolobi-Nakawa-24h'!N22,'04.08 Bugolobi-Nakawa'!N22)</f>
        <v>0</v>
      </c>
      <c r="O22" s="15">
        <f t="shared" si="0"/>
        <v>150.71428571428569</v>
      </c>
      <c r="P22" s="15">
        <f t="shared" si="1"/>
        <v>210.85714285714283</v>
      </c>
      <c r="R22" s="1" t="s">
        <v>147</v>
      </c>
      <c r="S22" s="34">
        <f>SUM(C61:C64)</f>
        <v>178</v>
      </c>
      <c r="T22" s="34">
        <f t="shared" ref="T22:AF22" si="14">SUM(D61:D64)</f>
        <v>66</v>
      </c>
      <c r="U22" s="34">
        <f t="shared" si="14"/>
        <v>46.5</v>
      </c>
      <c r="V22" s="34">
        <f t="shared" si="14"/>
        <v>83</v>
      </c>
      <c r="W22" s="34">
        <f t="shared" si="14"/>
        <v>1</v>
      </c>
      <c r="X22" s="34">
        <f t="shared" si="14"/>
        <v>0</v>
      </c>
      <c r="Y22" s="34">
        <f t="shared" si="14"/>
        <v>13.5</v>
      </c>
      <c r="Z22" s="34">
        <f t="shared" si="14"/>
        <v>2</v>
      </c>
      <c r="AA22" s="34">
        <f t="shared" si="14"/>
        <v>0.5</v>
      </c>
      <c r="AB22" s="34">
        <f t="shared" si="14"/>
        <v>1</v>
      </c>
      <c r="AC22" s="34">
        <f t="shared" si="14"/>
        <v>217.5</v>
      </c>
      <c r="AD22" s="34">
        <f t="shared" si="14"/>
        <v>0</v>
      </c>
      <c r="AE22" s="31">
        <f t="shared" si="14"/>
        <v>391.5</v>
      </c>
      <c r="AF22" s="31">
        <f t="shared" si="14"/>
        <v>609</v>
      </c>
    </row>
    <row r="23" spans="2:32" ht="23.1" customHeight="1" x14ac:dyDescent="0.25">
      <c r="B23" s="23" t="s">
        <v>50</v>
      </c>
      <c r="C23" s="49">
        <f>AVERAGE('29.07 Bugolobi-Nakawa'!C23,'30.07 Bugolobi-Nakawa'!C23,'31.07 Bugolobi-Nakawa'!C23,'02.08 Bugolobi-Nakawa'!C23,'01.08 Bugolobi-Nakawa-24h'!C23,'03.08 Bugolobi-Nakawa-24h'!C23,'04.08 Bugolobi-Nakawa'!C23)</f>
        <v>75.428571428571431</v>
      </c>
      <c r="D23" s="49">
        <f>AVERAGE('29.07 Bugolobi-Nakawa'!D23,'30.07 Bugolobi-Nakawa'!D23,'31.07 Bugolobi-Nakawa'!D23,'02.08 Bugolobi-Nakawa'!D23,'01.08 Bugolobi-Nakawa-24h'!D23,'03.08 Bugolobi-Nakawa-24h'!D23,'04.08 Bugolobi-Nakawa'!D23)</f>
        <v>29.857142857142858</v>
      </c>
      <c r="E23" s="49">
        <f>AVERAGE('29.07 Bugolobi-Nakawa'!E23,'30.07 Bugolobi-Nakawa'!E23,'31.07 Bugolobi-Nakawa'!E23,'02.08 Bugolobi-Nakawa'!E23,'01.08 Bugolobi-Nakawa-24h'!E23,'03.08 Bugolobi-Nakawa-24h'!E23,'04.08 Bugolobi-Nakawa'!E23)</f>
        <v>17.571428571428573</v>
      </c>
      <c r="F23" s="49">
        <f>AVERAGE('29.07 Bugolobi-Nakawa'!F23,'30.07 Bugolobi-Nakawa'!F23,'31.07 Bugolobi-Nakawa'!F23,'02.08 Bugolobi-Nakawa'!F23,'01.08 Bugolobi-Nakawa-24h'!F23,'03.08 Bugolobi-Nakawa-24h'!F23,'04.08 Bugolobi-Nakawa'!F23)</f>
        <v>30.571428571428573</v>
      </c>
      <c r="G23" s="49">
        <f>AVERAGE('29.07 Bugolobi-Nakawa'!G23,'30.07 Bugolobi-Nakawa'!G23,'31.07 Bugolobi-Nakawa'!G23,'02.08 Bugolobi-Nakawa'!G23,'01.08 Bugolobi-Nakawa-24h'!G23,'03.08 Bugolobi-Nakawa-24h'!G23,'04.08 Bugolobi-Nakawa'!G23)</f>
        <v>0.42857142857142855</v>
      </c>
      <c r="H23" s="49">
        <f>AVERAGE('29.07 Bugolobi-Nakawa'!H23,'30.07 Bugolobi-Nakawa'!H23,'31.07 Bugolobi-Nakawa'!H23,'02.08 Bugolobi-Nakawa'!H23,'01.08 Bugolobi-Nakawa-24h'!H23,'03.08 Bugolobi-Nakawa-24h'!H23,'04.08 Bugolobi-Nakawa'!H23)</f>
        <v>0.14285714285714285</v>
      </c>
      <c r="I23" s="49">
        <f>AVERAGE('29.07 Bugolobi-Nakawa'!I23,'30.07 Bugolobi-Nakawa'!I23,'31.07 Bugolobi-Nakawa'!I23,'02.08 Bugolobi-Nakawa'!I23,'01.08 Bugolobi-Nakawa-24h'!I23,'03.08 Bugolobi-Nakawa-24h'!I23,'04.08 Bugolobi-Nakawa'!I23)</f>
        <v>2.1428571428571428</v>
      </c>
      <c r="J23" s="49">
        <f>AVERAGE('29.07 Bugolobi-Nakawa'!J23,'30.07 Bugolobi-Nakawa'!J23,'31.07 Bugolobi-Nakawa'!J23,'02.08 Bugolobi-Nakawa'!J23,'01.08 Bugolobi-Nakawa-24h'!J23,'03.08 Bugolobi-Nakawa-24h'!J23,'04.08 Bugolobi-Nakawa'!J23)</f>
        <v>2</v>
      </c>
      <c r="K23" s="49">
        <f>AVERAGE('29.07 Bugolobi-Nakawa'!K23,'30.07 Bugolobi-Nakawa'!K23,'31.07 Bugolobi-Nakawa'!K23,'02.08 Bugolobi-Nakawa'!K23,'01.08 Bugolobi-Nakawa-24h'!K23,'03.08 Bugolobi-Nakawa-24h'!K23,'04.08 Bugolobi-Nakawa'!K23)</f>
        <v>0.14285714285714285</v>
      </c>
      <c r="L23" s="49">
        <f>AVERAGE('29.07 Bugolobi-Nakawa'!L23,'30.07 Bugolobi-Nakawa'!L23,'31.07 Bugolobi-Nakawa'!L23,'02.08 Bugolobi-Nakawa'!L23,'01.08 Bugolobi-Nakawa-24h'!L23,'03.08 Bugolobi-Nakawa-24h'!L23,'04.08 Bugolobi-Nakawa'!L23)</f>
        <v>0.2857142857142857</v>
      </c>
      <c r="M23" s="49">
        <f>AVERAGE('29.07 Bugolobi-Nakawa'!M23,'30.07 Bugolobi-Nakawa'!M23,'31.07 Bugolobi-Nakawa'!M23,'02.08 Bugolobi-Nakawa'!M23,'01.08 Bugolobi-Nakawa-24h'!M23,'03.08 Bugolobi-Nakawa-24h'!M23,'04.08 Bugolobi-Nakawa'!M23)</f>
        <v>66.428571428571431</v>
      </c>
      <c r="N23" s="49">
        <f>AVERAGE('29.07 Bugolobi-Nakawa'!N23,'30.07 Bugolobi-Nakawa'!N23,'31.07 Bugolobi-Nakawa'!N23,'02.08 Bugolobi-Nakawa'!N23,'01.08 Bugolobi-Nakawa-24h'!N23,'03.08 Bugolobi-Nakawa-24h'!N23,'04.08 Bugolobi-Nakawa'!N23)</f>
        <v>0</v>
      </c>
      <c r="O23" s="15">
        <f t="shared" si="0"/>
        <v>158.57142857142856</v>
      </c>
      <c r="P23" s="15">
        <f t="shared" si="1"/>
        <v>225</v>
      </c>
      <c r="R23" s="1" t="s">
        <v>148</v>
      </c>
      <c r="S23" s="34">
        <f>SUM(C65:C68)</f>
        <v>185.5</v>
      </c>
      <c r="T23" s="34">
        <f t="shared" ref="T23:AF23" si="15">SUM(D65:D68)</f>
        <v>72.5</v>
      </c>
      <c r="U23" s="34">
        <f t="shared" si="15"/>
        <v>40</v>
      </c>
      <c r="V23" s="34">
        <f t="shared" si="15"/>
        <v>88</v>
      </c>
      <c r="W23" s="34">
        <f t="shared" si="15"/>
        <v>1.5</v>
      </c>
      <c r="X23" s="34">
        <f t="shared" si="15"/>
        <v>0.5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182</v>
      </c>
      <c r="AD23" s="34">
        <f t="shared" si="15"/>
        <v>0</v>
      </c>
      <c r="AE23" s="31">
        <f t="shared" si="15"/>
        <v>391</v>
      </c>
      <c r="AF23" s="31">
        <f t="shared" si="15"/>
        <v>573</v>
      </c>
    </row>
    <row r="24" spans="2:32" ht="23.1" customHeight="1" x14ac:dyDescent="0.25">
      <c r="B24" s="23" t="s">
        <v>51</v>
      </c>
      <c r="C24" s="49">
        <f>AVERAGE('29.07 Bugolobi-Nakawa'!C24,'30.07 Bugolobi-Nakawa'!C24,'31.07 Bugolobi-Nakawa'!C24,'02.08 Bugolobi-Nakawa'!C24,'01.08 Bugolobi-Nakawa-24h'!C24,'03.08 Bugolobi-Nakawa-24h'!C24,'04.08 Bugolobi-Nakawa'!C24)</f>
        <v>66.142857142857139</v>
      </c>
      <c r="D24" s="49">
        <f>AVERAGE('29.07 Bugolobi-Nakawa'!D24,'30.07 Bugolobi-Nakawa'!D24,'31.07 Bugolobi-Nakawa'!D24,'02.08 Bugolobi-Nakawa'!D24,'01.08 Bugolobi-Nakawa-24h'!D24,'03.08 Bugolobi-Nakawa-24h'!D24,'04.08 Bugolobi-Nakawa'!D24)</f>
        <v>27.142857142857142</v>
      </c>
      <c r="E24" s="49">
        <f>AVERAGE('29.07 Bugolobi-Nakawa'!E24,'30.07 Bugolobi-Nakawa'!E24,'31.07 Bugolobi-Nakawa'!E24,'02.08 Bugolobi-Nakawa'!E24,'01.08 Bugolobi-Nakawa-24h'!E24,'03.08 Bugolobi-Nakawa-24h'!E24,'04.08 Bugolobi-Nakawa'!E24)</f>
        <v>17.714285714285715</v>
      </c>
      <c r="F24" s="49">
        <f>AVERAGE('29.07 Bugolobi-Nakawa'!F24,'30.07 Bugolobi-Nakawa'!F24,'31.07 Bugolobi-Nakawa'!F24,'02.08 Bugolobi-Nakawa'!F24,'01.08 Bugolobi-Nakawa-24h'!F24,'03.08 Bugolobi-Nakawa-24h'!F24,'04.08 Bugolobi-Nakawa'!F24)</f>
        <v>31.714285714285715</v>
      </c>
      <c r="G24" s="49">
        <f>AVERAGE('29.07 Bugolobi-Nakawa'!G24,'30.07 Bugolobi-Nakawa'!G24,'31.07 Bugolobi-Nakawa'!G24,'02.08 Bugolobi-Nakawa'!G24,'01.08 Bugolobi-Nakawa-24h'!G24,'03.08 Bugolobi-Nakawa-24h'!G24,'04.08 Bugolobi-Nakawa'!G24)</f>
        <v>0.14285714285714285</v>
      </c>
      <c r="H24" s="49">
        <f>AVERAGE('29.07 Bugolobi-Nakawa'!H24,'30.07 Bugolobi-Nakawa'!H24,'31.07 Bugolobi-Nakawa'!H24,'02.08 Bugolobi-Nakawa'!H24,'01.08 Bugolobi-Nakawa-24h'!H24,'03.08 Bugolobi-Nakawa-24h'!H24,'04.08 Bugolobi-Nakawa'!H24)</f>
        <v>0.14285714285714285</v>
      </c>
      <c r="I24" s="49">
        <f>AVERAGE('29.07 Bugolobi-Nakawa'!I24,'30.07 Bugolobi-Nakawa'!I24,'31.07 Bugolobi-Nakawa'!I24,'02.08 Bugolobi-Nakawa'!I24,'01.08 Bugolobi-Nakawa-24h'!I24,'03.08 Bugolobi-Nakawa-24h'!I24,'04.08 Bugolobi-Nakawa'!I24)</f>
        <v>1</v>
      </c>
      <c r="J24" s="49">
        <f>AVERAGE('29.07 Bugolobi-Nakawa'!J24,'30.07 Bugolobi-Nakawa'!J24,'31.07 Bugolobi-Nakawa'!J24,'02.08 Bugolobi-Nakawa'!J24,'01.08 Bugolobi-Nakawa-24h'!J24,'03.08 Bugolobi-Nakawa-24h'!J24,'04.08 Bugolobi-Nakawa'!J24)</f>
        <v>2.8571428571428572</v>
      </c>
      <c r="K24" s="49">
        <f>AVERAGE('29.07 Bugolobi-Nakawa'!K24,'30.07 Bugolobi-Nakawa'!K24,'31.07 Bugolobi-Nakawa'!K24,'02.08 Bugolobi-Nakawa'!K24,'01.08 Bugolobi-Nakawa-24h'!K24,'03.08 Bugolobi-Nakawa-24h'!K24,'04.08 Bugolobi-Nakawa'!K24)</f>
        <v>0</v>
      </c>
      <c r="L24" s="49">
        <f>AVERAGE('29.07 Bugolobi-Nakawa'!L24,'30.07 Bugolobi-Nakawa'!L24,'31.07 Bugolobi-Nakawa'!L24,'02.08 Bugolobi-Nakawa'!L24,'01.08 Bugolobi-Nakawa-24h'!L24,'03.08 Bugolobi-Nakawa-24h'!L24,'04.08 Bugolobi-Nakawa'!L24)</f>
        <v>0.14285714285714285</v>
      </c>
      <c r="M24" s="49">
        <f>AVERAGE('29.07 Bugolobi-Nakawa'!M24,'30.07 Bugolobi-Nakawa'!M24,'31.07 Bugolobi-Nakawa'!M24,'02.08 Bugolobi-Nakawa'!M24,'01.08 Bugolobi-Nakawa-24h'!M24,'03.08 Bugolobi-Nakawa-24h'!M24,'04.08 Bugolobi-Nakawa'!M24)</f>
        <v>59.714285714285715</v>
      </c>
      <c r="N24" s="49">
        <f>AVERAGE('29.07 Bugolobi-Nakawa'!N24,'30.07 Bugolobi-Nakawa'!N24,'31.07 Bugolobi-Nakawa'!N24,'02.08 Bugolobi-Nakawa'!N24,'01.08 Bugolobi-Nakawa-24h'!N24,'03.08 Bugolobi-Nakawa-24h'!N24,'04.08 Bugolobi-Nakawa'!N24)</f>
        <v>0</v>
      </c>
      <c r="O24" s="15">
        <f t="shared" si="0"/>
        <v>147</v>
      </c>
      <c r="P24" s="15">
        <f t="shared" si="1"/>
        <v>206.71428571428572</v>
      </c>
      <c r="R24" s="1" t="s">
        <v>149</v>
      </c>
      <c r="S24" s="34">
        <f>SUM(C69:C72)</f>
        <v>121.5</v>
      </c>
      <c r="T24" s="34">
        <f t="shared" ref="T24:AF24" si="16">SUM(D69:D72)</f>
        <v>55</v>
      </c>
      <c r="U24" s="34">
        <f t="shared" si="16"/>
        <v>20.5</v>
      </c>
      <c r="V24" s="34">
        <f t="shared" si="16"/>
        <v>62</v>
      </c>
      <c r="W24" s="34">
        <f t="shared" si="16"/>
        <v>0</v>
      </c>
      <c r="X24" s="34">
        <f t="shared" si="16"/>
        <v>1</v>
      </c>
      <c r="Y24" s="34">
        <f t="shared" si="16"/>
        <v>0.5</v>
      </c>
      <c r="Z24" s="34">
        <f t="shared" si="16"/>
        <v>0.5</v>
      </c>
      <c r="AA24" s="34">
        <f t="shared" si="16"/>
        <v>0.5</v>
      </c>
      <c r="AB24" s="34">
        <f t="shared" si="16"/>
        <v>1</v>
      </c>
      <c r="AC24" s="34">
        <f t="shared" si="16"/>
        <v>136.5</v>
      </c>
      <c r="AD24" s="34">
        <f t="shared" si="16"/>
        <v>0</v>
      </c>
      <c r="AE24" s="31">
        <f t="shared" si="16"/>
        <v>262.5</v>
      </c>
      <c r="AF24" s="31">
        <f t="shared" si="16"/>
        <v>399</v>
      </c>
    </row>
    <row r="25" spans="2:32" ht="23.1" customHeight="1" x14ac:dyDescent="0.25">
      <c r="B25" s="23" t="s">
        <v>52</v>
      </c>
      <c r="C25" s="49">
        <f>AVERAGE('29.07 Bugolobi-Nakawa'!C25,'30.07 Bugolobi-Nakawa'!C25,'31.07 Bugolobi-Nakawa'!C25,'02.08 Bugolobi-Nakawa'!C25,'01.08 Bugolobi-Nakawa-24h'!C25,'03.08 Bugolobi-Nakawa-24h'!C25,'04.08 Bugolobi-Nakawa'!C25)</f>
        <v>69.571428571428569</v>
      </c>
      <c r="D25" s="49">
        <f>AVERAGE('29.07 Bugolobi-Nakawa'!D25,'30.07 Bugolobi-Nakawa'!D25,'31.07 Bugolobi-Nakawa'!D25,'02.08 Bugolobi-Nakawa'!D25,'01.08 Bugolobi-Nakawa-24h'!D25,'03.08 Bugolobi-Nakawa-24h'!D25,'04.08 Bugolobi-Nakawa'!D25)</f>
        <v>29.571428571428573</v>
      </c>
      <c r="E25" s="49">
        <f>AVERAGE('29.07 Bugolobi-Nakawa'!E25,'30.07 Bugolobi-Nakawa'!E25,'31.07 Bugolobi-Nakawa'!E25,'02.08 Bugolobi-Nakawa'!E25,'01.08 Bugolobi-Nakawa-24h'!E25,'03.08 Bugolobi-Nakawa-24h'!E25,'04.08 Bugolobi-Nakawa'!E25)</f>
        <v>21.428571428571427</v>
      </c>
      <c r="F25" s="49">
        <f>AVERAGE('29.07 Bugolobi-Nakawa'!F25,'30.07 Bugolobi-Nakawa'!F25,'31.07 Bugolobi-Nakawa'!F25,'02.08 Bugolobi-Nakawa'!F25,'01.08 Bugolobi-Nakawa-24h'!F25,'03.08 Bugolobi-Nakawa-24h'!F25,'04.08 Bugolobi-Nakawa'!F25)</f>
        <v>29</v>
      </c>
      <c r="G25" s="49">
        <f>AVERAGE('29.07 Bugolobi-Nakawa'!G25,'30.07 Bugolobi-Nakawa'!G25,'31.07 Bugolobi-Nakawa'!G25,'02.08 Bugolobi-Nakawa'!G25,'01.08 Bugolobi-Nakawa-24h'!G25,'03.08 Bugolobi-Nakawa-24h'!G25,'04.08 Bugolobi-Nakawa'!G25)</f>
        <v>0.14285714285714285</v>
      </c>
      <c r="H25" s="49">
        <f>AVERAGE('29.07 Bugolobi-Nakawa'!H25,'30.07 Bugolobi-Nakawa'!H25,'31.07 Bugolobi-Nakawa'!H25,'02.08 Bugolobi-Nakawa'!H25,'01.08 Bugolobi-Nakawa-24h'!H25,'03.08 Bugolobi-Nakawa-24h'!H25,'04.08 Bugolobi-Nakawa'!H25)</f>
        <v>0</v>
      </c>
      <c r="I25" s="49">
        <f>AVERAGE('29.07 Bugolobi-Nakawa'!I25,'30.07 Bugolobi-Nakawa'!I25,'31.07 Bugolobi-Nakawa'!I25,'02.08 Bugolobi-Nakawa'!I25,'01.08 Bugolobi-Nakawa-24h'!I25,'03.08 Bugolobi-Nakawa-24h'!I25,'04.08 Bugolobi-Nakawa'!I25)</f>
        <v>1.8571428571428572</v>
      </c>
      <c r="J25" s="49">
        <f>AVERAGE('29.07 Bugolobi-Nakawa'!J25,'30.07 Bugolobi-Nakawa'!J25,'31.07 Bugolobi-Nakawa'!J25,'02.08 Bugolobi-Nakawa'!J25,'01.08 Bugolobi-Nakawa-24h'!J25,'03.08 Bugolobi-Nakawa-24h'!J25,'04.08 Bugolobi-Nakawa'!J25)</f>
        <v>1.4285714285714286</v>
      </c>
      <c r="K25" s="49">
        <f>AVERAGE('29.07 Bugolobi-Nakawa'!K25,'30.07 Bugolobi-Nakawa'!K25,'31.07 Bugolobi-Nakawa'!K25,'02.08 Bugolobi-Nakawa'!K25,'01.08 Bugolobi-Nakawa-24h'!K25,'03.08 Bugolobi-Nakawa-24h'!K25,'04.08 Bugolobi-Nakawa'!K25)</f>
        <v>0.14285714285714285</v>
      </c>
      <c r="L25" s="49">
        <f>AVERAGE('29.07 Bugolobi-Nakawa'!L25,'30.07 Bugolobi-Nakawa'!L25,'31.07 Bugolobi-Nakawa'!L25,'02.08 Bugolobi-Nakawa'!L25,'01.08 Bugolobi-Nakawa-24h'!L25,'03.08 Bugolobi-Nakawa-24h'!L25,'04.08 Bugolobi-Nakawa'!L25)</f>
        <v>0.14285714285714285</v>
      </c>
      <c r="M25" s="49">
        <f>AVERAGE('29.07 Bugolobi-Nakawa'!M25,'30.07 Bugolobi-Nakawa'!M25,'31.07 Bugolobi-Nakawa'!M25,'02.08 Bugolobi-Nakawa'!M25,'01.08 Bugolobi-Nakawa-24h'!M25,'03.08 Bugolobi-Nakawa-24h'!M25,'04.08 Bugolobi-Nakawa'!M25)</f>
        <v>64.285714285714292</v>
      </c>
      <c r="N25" s="49">
        <f>AVERAGE('29.07 Bugolobi-Nakawa'!N25,'30.07 Bugolobi-Nakawa'!N25,'31.07 Bugolobi-Nakawa'!N25,'02.08 Bugolobi-Nakawa'!N25,'01.08 Bugolobi-Nakawa-24h'!N25,'03.08 Bugolobi-Nakawa-24h'!N25,'04.08 Bugolobi-Nakawa'!N25)</f>
        <v>0</v>
      </c>
      <c r="O25" s="15">
        <f t="shared" si="0"/>
        <v>153.28571428571425</v>
      </c>
      <c r="P25" s="15">
        <f t="shared" si="1"/>
        <v>217.57142857142856</v>
      </c>
      <c r="R25" s="1" t="s">
        <v>150</v>
      </c>
      <c r="S25" s="34">
        <f>SUM(C73:C76)</f>
        <v>132.5</v>
      </c>
      <c r="T25" s="34">
        <f t="shared" ref="T25:AF25" si="17">SUM(D73:D76)</f>
        <v>23.5</v>
      </c>
      <c r="U25" s="34">
        <f t="shared" si="17"/>
        <v>22</v>
      </c>
      <c r="V25" s="34">
        <f t="shared" si="17"/>
        <v>46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1.5</v>
      </c>
      <c r="AA25" s="34">
        <f t="shared" si="17"/>
        <v>1</v>
      </c>
      <c r="AB25" s="34">
        <f t="shared" si="17"/>
        <v>0.5</v>
      </c>
      <c r="AC25" s="34">
        <f t="shared" si="17"/>
        <v>139.5</v>
      </c>
      <c r="AD25" s="34">
        <f t="shared" si="17"/>
        <v>0</v>
      </c>
      <c r="AE25" s="31">
        <f t="shared" si="17"/>
        <v>231</v>
      </c>
      <c r="AF25" s="31">
        <f t="shared" si="17"/>
        <v>370.5</v>
      </c>
    </row>
    <row r="26" spans="2:32" ht="23.1" customHeight="1" x14ac:dyDescent="0.25">
      <c r="B26" s="23" t="s">
        <v>53</v>
      </c>
      <c r="C26" s="49">
        <f>AVERAGE('29.07 Bugolobi-Nakawa'!C26,'30.07 Bugolobi-Nakawa'!C26,'31.07 Bugolobi-Nakawa'!C26,'02.08 Bugolobi-Nakawa'!C26,'01.08 Bugolobi-Nakawa-24h'!C26,'03.08 Bugolobi-Nakawa-24h'!C26,'04.08 Bugolobi-Nakawa'!C26)</f>
        <v>67.857142857142861</v>
      </c>
      <c r="D26" s="49">
        <f>AVERAGE('29.07 Bugolobi-Nakawa'!D26,'30.07 Bugolobi-Nakawa'!D26,'31.07 Bugolobi-Nakawa'!D26,'02.08 Bugolobi-Nakawa'!D26,'01.08 Bugolobi-Nakawa-24h'!D26,'03.08 Bugolobi-Nakawa-24h'!D26,'04.08 Bugolobi-Nakawa'!D26)</f>
        <v>29.285714285714285</v>
      </c>
      <c r="E26" s="49">
        <f>AVERAGE('29.07 Bugolobi-Nakawa'!E26,'30.07 Bugolobi-Nakawa'!E26,'31.07 Bugolobi-Nakawa'!E26,'02.08 Bugolobi-Nakawa'!E26,'01.08 Bugolobi-Nakawa-24h'!E26,'03.08 Bugolobi-Nakawa-24h'!E26,'04.08 Bugolobi-Nakawa'!E26)</f>
        <v>20</v>
      </c>
      <c r="F26" s="49">
        <f>AVERAGE('29.07 Bugolobi-Nakawa'!F26,'30.07 Bugolobi-Nakawa'!F26,'31.07 Bugolobi-Nakawa'!F26,'02.08 Bugolobi-Nakawa'!F26,'01.08 Bugolobi-Nakawa-24h'!F26,'03.08 Bugolobi-Nakawa-24h'!F26,'04.08 Bugolobi-Nakawa'!F26)</f>
        <v>33.571428571428569</v>
      </c>
      <c r="G26" s="49">
        <f>AVERAGE('29.07 Bugolobi-Nakawa'!G26,'30.07 Bugolobi-Nakawa'!G26,'31.07 Bugolobi-Nakawa'!G26,'02.08 Bugolobi-Nakawa'!G26,'01.08 Bugolobi-Nakawa-24h'!G26,'03.08 Bugolobi-Nakawa-24h'!G26,'04.08 Bugolobi-Nakawa'!G26)</f>
        <v>0.2857142857142857</v>
      </c>
      <c r="H26" s="49">
        <f>AVERAGE('29.07 Bugolobi-Nakawa'!H26,'30.07 Bugolobi-Nakawa'!H26,'31.07 Bugolobi-Nakawa'!H26,'02.08 Bugolobi-Nakawa'!H26,'01.08 Bugolobi-Nakawa-24h'!H26,'03.08 Bugolobi-Nakawa-24h'!H26,'04.08 Bugolobi-Nakawa'!H26)</f>
        <v>0.42857142857142855</v>
      </c>
      <c r="I26" s="49">
        <f>AVERAGE('29.07 Bugolobi-Nakawa'!I26,'30.07 Bugolobi-Nakawa'!I26,'31.07 Bugolobi-Nakawa'!I26,'02.08 Bugolobi-Nakawa'!I26,'01.08 Bugolobi-Nakawa-24h'!I26,'03.08 Bugolobi-Nakawa-24h'!I26,'04.08 Bugolobi-Nakawa'!I26)</f>
        <v>2.5714285714285716</v>
      </c>
      <c r="J26" s="49">
        <f>AVERAGE('29.07 Bugolobi-Nakawa'!J26,'30.07 Bugolobi-Nakawa'!J26,'31.07 Bugolobi-Nakawa'!J26,'02.08 Bugolobi-Nakawa'!J26,'01.08 Bugolobi-Nakawa-24h'!J26,'03.08 Bugolobi-Nakawa-24h'!J26,'04.08 Bugolobi-Nakawa'!J26)</f>
        <v>2.4285714285714284</v>
      </c>
      <c r="K26" s="49">
        <f>AVERAGE('29.07 Bugolobi-Nakawa'!K26,'30.07 Bugolobi-Nakawa'!K26,'31.07 Bugolobi-Nakawa'!K26,'02.08 Bugolobi-Nakawa'!K26,'01.08 Bugolobi-Nakawa-24h'!K26,'03.08 Bugolobi-Nakawa-24h'!K26,'04.08 Bugolobi-Nakawa'!K26)</f>
        <v>0.2857142857142857</v>
      </c>
      <c r="L26" s="49">
        <f>AVERAGE('29.07 Bugolobi-Nakawa'!L26,'30.07 Bugolobi-Nakawa'!L26,'31.07 Bugolobi-Nakawa'!L26,'02.08 Bugolobi-Nakawa'!L26,'01.08 Bugolobi-Nakawa-24h'!L26,'03.08 Bugolobi-Nakawa-24h'!L26,'04.08 Bugolobi-Nakawa'!L26)</f>
        <v>0.42857142857142855</v>
      </c>
      <c r="M26" s="49">
        <f>AVERAGE('29.07 Bugolobi-Nakawa'!M26,'30.07 Bugolobi-Nakawa'!M26,'31.07 Bugolobi-Nakawa'!M26,'02.08 Bugolobi-Nakawa'!M26,'01.08 Bugolobi-Nakawa-24h'!M26,'03.08 Bugolobi-Nakawa-24h'!M26,'04.08 Bugolobi-Nakawa'!M26)</f>
        <v>63.857142857142854</v>
      </c>
      <c r="N26" s="49">
        <f>AVERAGE('29.07 Bugolobi-Nakawa'!N26,'30.07 Bugolobi-Nakawa'!N26,'31.07 Bugolobi-Nakawa'!N26,'02.08 Bugolobi-Nakawa'!N26,'01.08 Bugolobi-Nakawa-24h'!N26,'03.08 Bugolobi-Nakawa-24h'!N26,'04.08 Bugolobi-Nakawa'!N26)</f>
        <v>0</v>
      </c>
      <c r="O26" s="15">
        <f t="shared" si="0"/>
        <v>157.14285714285711</v>
      </c>
      <c r="P26" s="15">
        <f t="shared" si="1"/>
        <v>220.99999999999997</v>
      </c>
      <c r="R26" s="1" t="s">
        <v>151</v>
      </c>
      <c r="S26" s="34">
        <f>SUM(C77:C80)</f>
        <v>86</v>
      </c>
      <c r="T26" s="34">
        <f t="shared" ref="T26:AF26" si="18">SUM(D77:D80)</f>
        <v>23</v>
      </c>
      <c r="U26" s="34">
        <f t="shared" si="18"/>
        <v>17</v>
      </c>
      <c r="V26" s="34">
        <f t="shared" si="18"/>
        <v>20.5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0.5</v>
      </c>
      <c r="AA26" s="34">
        <f t="shared" si="18"/>
        <v>1</v>
      </c>
      <c r="AB26" s="34">
        <f t="shared" si="18"/>
        <v>0.5</v>
      </c>
      <c r="AC26" s="34">
        <f t="shared" si="18"/>
        <v>108</v>
      </c>
      <c r="AD26" s="34">
        <f t="shared" si="18"/>
        <v>0</v>
      </c>
      <c r="AE26" s="31">
        <f t="shared" si="18"/>
        <v>150.5</v>
      </c>
      <c r="AF26" s="31">
        <f t="shared" si="18"/>
        <v>258.5</v>
      </c>
    </row>
    <row r="27" spans="2:32" ht="23.1" customHeight="1" x14ac:dyDescent="0.25">
      <c r="B27" s="23" t="s">
        <v>54</v>
      </c>
      <c r="C27" s="49">
        <f>AVERAGE('29.07 Bugolobi-Nakawa'!C27,'30.07 Bugolobi-Nakawa'!C27,'31.07 Bugolobi-Nakawa'!C27,'02.08 Bugolobi-Nakawa'!C27,'01.08 Bugolobi-Nakawa-24h'!C27,'03.08 Bugolobi-Nakawa-24h'!C27,'04.08 Bugolobi-Nakawa'!C27)</f>
        <v>66.714285714285708</v>
      </c>
      <c r="D27" s="49">
        <f>AVERAGE('29.07 Bugolobi-Nakawa'!D27,'30.07 Bugolobi-Nakawa'!D27,'31.07 Bugolobi-Nakawa'!D27,'02.08 Bugolobi-Nakawa'!D27,'01.08 Bugolobi-Nakawa-24h'!D27,'03.08 Bugolobi-Nakawa-24h'!D27,'04.08 Bugolobi-Nakawa'!D27)</f>
        <v>25.714285714285715</v>
      </c>
      <c r="E27" s="49">
        <f>AVERAGE('29.07 Bugolobi-Nakawa'!E27,'30.07 Bugolobi-Nakawa'!E27,'31.07 Bugolobi-Nakawa'!E27,'02.08 Bugolobi-Nakawa'!E27,'01.08 Bugolobi-Nakawa-24h'!E27,'03.08 Bugolobi-Nakawa-24h'!E27,'04.08 Bugolobi-Nakawa'!E27)</f>
        <v>16.285714285714285</v>
      </c>
      <c r="F27" s="49">
        <f>AVERAGE('29.07 Bugolobi-Nakawa'!F27,'30.07 Bugolobi-Nakawa'!F27,'31.07 Bugolobi-Nakawa'!F27,'02.08 Bugolobi-Nakawa'!F27,'01.08 Bugolobi-Nakawa-24h'!F27,'03.08 Bugolobi-Nakawa-24h'!F27,'04.08 Bugolobi-Nakawa'!F27)</f>
        <v>32</v>
      </c>
      <c r="G27" s="49">
        <f>AVERAGE('29.07 Bugolobi-Nakawa'!G27,'30.07 Bugolobi-Nakawa'!G27,'31.07 Bugolobi-Nakawa'!G27,'02.08 Bugolobi-Nakawa'!G27,'01.08 Bugolobi-Nakawa-24h'!G27,'03.08 Bugolobi-Nakawa-24h'!G27,'04.08 Bugolobi-Nakawa'!G27)</f>
        <v>0.14285714285714285</v>
      </c>
      <c r="H27" s="49">
        <f>AVERAGE('29.07 Bugolobi-Nakawa'!H27,'30.07 Bugolobi-Nakawa'!H27,'31.07 Bugolobi-Nakawa'!H27,'02.08 Bugolobi-Nakawa'!H27,'01.08 Bugolobi-Nakawa-24h'!H27,'03.08 Bugolobi-Nakawa-24h'!H27,'04.08 Bugolobi-Nakawa'!H27)</f>
        <v>0.14285714285714285</v>
      </c>
      <c r="I27" s="49">
        <f>AVERAGE('29.07 Bugolobi-Nakawa'!I27,'30.07 Bugolobi-Nakawa'!I27,'31.07 Bugolobi-Nakawa'!I27,'02.08 Bugolobi-Nakawa'!I27,'01.08 Bugolobi-Nakawa-24h'!I27,'03.08 Bugolobi-Nakawa-24h'!I27,'04.08 Bugolobi-Nakawa'!I27)</f>
        <v>1.5714285714285714</v>
      </c>
      <c r="J27" s="49">
        <f>AVERAGE('29.07 Bugolobi-Nakawa'!J27,'30.07 Bugolobi-Nakawa'!J27,'31.07 Bugolobi-Nakawa'!J27,'02.08 Bugolobi-Nakawa'!J27,'01.08 Bugolobi-Nakawa-24h'!J27,'03.08 Bugolobi-Nakawa-24h'!J27,'04.08 Bugolobi-Nakawa'!J27)</f>
        <v>1.1428571428571428</v>
      </c>
      <c r="K27" s="49">
        <f>AVERAGE('29.07 Bugolobi-Nakawa'!K27,'30.07 Bugolobi-Nakawa'!K27,'31.07 Bugolobi-Nakawa'!K27,'02.08 Bugolobi-Nakawa'!K27,'01.08 Bugolobi-Nakawa-24h'!K27,'03.08 Bugolobi-Nakawa-24h'!K27,'04.08 Bugolobi-Nakawa'!K27)</f>
        <v>0.2857142857142857</v>
      </c>
      <c r="L27" s="49">
        <f>AVERAGE('29.07 Bugolobi-Nakawa'!L27,'30.07 Bugolobi-Nakawa'!L27,'31.07 Bugolobi-Nakawa'!L27,'02.08 Bugolobi-Nakawa'!L27,'01.08 Bugolobi-Nakawa-24h'!L27,'03.08 Bugolobi-Nakawa-24h'!L27,'04.08 Bugolobi-Nakawa'!L27)</f>
        <v>0</v>
      </c>
      <c r="M27" s="49">
        <f>AVERAGE('29.07 Bugolobi-Nakawa'!M27,'30.07 Bugolobi-Nakawa'!M27,'31.07 Bugolobi-Nakawa'!M27,'02.08 Bugolobi-Nakawa'!M27,'01.08 Bugolobi-Nakawa-24h'!M27,'03.08 Bugolobi-Nakawa-24h'!M27,'04.08 Bugolobi-Nakawa'!M27)</f>
        <v>60.571428571428569</v>
      </c>
      <c r="N27" s="49">
        <f>AVERAGE('29.07 Bugolobi-Nakawa'!N27,'30.07 Bugolobi-Nakawa'!N27,'31.07 Bugolobi-Nakawa'!N27,'02.08 Bugolobi-Nakawa'!N27,'01.08 Bugolobi-Nakawa-24h'!N27,'03.08 Bugolobi-Nakawa-24h'!N27,'04.08 Bugolobi-Nakawa'!N27)</f>
        <v>0.14285714285714285</v>
      </c>
      <c r="O27" s="15">
        <f t="shared" si="0"/>
        <v>144.14285714285711</v>
      </c>
      <c r="P27" s="15">
        <f t="shared" si="1"/>
        <v>204.71428571428569</v>
      </c>
      <c r="R27" s="1" t="s">
        <v>152</v>
      </c>
      <c r="S27" s="34">
        <f>SUM(C81:C84)</f>
        <v>54</v>
      </c>
      <c r="T27" s="34">
        <f t="shared" ref="T27:AF27" si="19">SUM(D81:D84)</f>
        <v>12</v>
      </c>
      <c r="U27" s="34">
        <f t="shared" si="19"/>
        <v>6</v>
      </c>
      <c r="V27" s="34">
        <f t="shared" si="19"/>
        <v>13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0.5</v>
      </c>
      <c r="AA27" s="34">
        <f t="shared" si="19"/>
        <v>0</v>
      </c>
      <c r="AB27" s="34">
        <f t="shared" si="19"/>
        <v>0.5</v>
      </c>
      <c r="AC27" s="34">
        <f t="shared" si="19"/>
        <v>52.5</v>
      </c>
      <c r="AD27" s="34">
        <f t="shared" si="19"/>
        <v>0</v>
      </c>
      <c r="AE27" s="31">
        <f t="shared" si="19"/>
        <v>87</v>
      </c>
      <c r="AF27" s="31">
        <f t="shared" si="19"/>
        <v>139.5</v>
      </c>
    </row>
    <row r="28" spans="2:32" ht="23.1" customHeight="1" x14ac:dyDescent="0.25">
      <c r="B28" s="23" t="s">
        <v>55</v>
      </c>
      <c r="C28" s="49">
        <f>AVERAGE('29.07 Bugolobi-Nakawa'!C28,'30.07 Bugolobi-Nakawa'!C28,'31.07 Bugolobi-Nakawa'!C28,'02.08 Bugolobi-Nakawa'!C28,'01.08 Bugolobi-Nakawa-24h'!C28,'03.08 Bugolobi-Nakawa-24h'!C28,'04.08 Bugolobi-Nakawa'!C28)</f>
        <v>60</v>
      </c>
      <c r="D28" s="49">
        <f>AVERAGE('29.07 Bugolobi-Nakawa'!D28,'30.07 Bugolobi-Nakawa'!D28,'31.07 Bugolobi-Nakawa'!D28,'02.08 Bugolobi-Nakawa'!D28,'01.08 Bugolobi-Nakawa-24h'!D28,'03.08 Bugolobi-Nakawa-24h'!D28,'04.08 Bugolobi-Nakawa'!D28)</f>
        <v>27.857142857142858</v>
      </c>
      <c r="E28" s="49">
        <f>AVERAGE('29.07 Bugolobi-Nakawa'!E28,'30.07 Bugolobi-Nakawa'!E28,'31.07 Bugolobi-Nakawa'!E28,'02.08 Bugolobi-Nakawa'!E28,'01.08 Bugolobi-Nakawa-24h'!E28,'03.08 Bugolobi-Nakawa-24h'!E28,'04.08 Bugolobi-Nakawa'!E28)</f>
        <v>15.571428571428571</v>
      </c>
      <c r="F28" s="49">
        <f>AVERAGE('29.07 Bugolobi-Nakawa'!F28,'30.07 Bugolobi-Nakawa'!F28,'31.07 Bugolobi-Nakawa'!F28,'02.08 Bugolobi-Nakawa'!F28,'01.08 Bugolobi-Nakawa-24h'!F28,'03.08 Bugolobi-Nakawa-24h'!F28,'04.08 Bugolobi-Nakawa'!F28)</f>
        <v>27.285714285714285</v>
      </c>
      <c r="G28" s="49">
        <f>AVERAGE('29.07 Bugolobi-Nakawa'!G28,'30.07 Bugolobi-Nakawa'!G28,'31.07 Bugolobi-Nakawa'!G28,'02.08 Bugolobi-Nakawa'!G28,'01.08 Bugolobi-Nakawa-24h'!G28,'03.08 Bugolobi-Nakawa-24h'!G28,'04.08 Bugolobi-Nakawa'!G28)</f>
        <v>0.2857142857142857</v>
      </c>
      <c r="H28" s="49">
        <f>AVERAGE('29.07 Bugolobi-Nakawa'!H28,'30.07 Bugolobi-Nakawa'!H28,'31.07 Bugolobi-Nakawa'!H28,'02.08 Bugolobi-Nakawa'!H28,'01.08 Bugolobi-Nakawa-24h'!H28,'03.08 Bugolobi-Nakawa-24h'!H28,'04.08 Bugolobi-Nakawa'!H28)</f>
        <v>0</v>
      </c>
      <c r="I28" s="49">
        <f>AVERAGE('29.07 Bugolobi-Nakawa'!I28,'30.07 Bugolobi-Nakawa'!I28,'31.07 Bugolobi-Nakawa'!I28,'02.08 Bugolobi-Nakawa'!I28,'01.08 Bugolobi-Nakawa-24h'!I28,'03.08 Bugolobi-Nakawa-24h'!I28,'04.08 Bugolobi-Nakawa'!I28)</f>
        <v>2.8571428571428572</v>
      </c>
      <c r="J28" s="49">
        <f>AVERAGE('29.07 Bugolobi-Nakawa'!J28,'30.07 Bugolobi-Nakawa'!J28,'31.07 Bugolobi-Nakawa'!J28,'02.08 Bugolobi-Nakawa'!J28,'01.08 Bugolobi-Nakawa-24h'!J28,'03.08 Bugolobi-Nakawa-24h'!J28,'04.08 Bugolobi-Nakawa'!J28)</f>
        <v>0.8571428571428571</v>
      </c>
      <c r="K28" s="49">
        <f>AVERAGE('29.07 Bugolobi-Nakawa'!K28,'30.07 Bugolobi-Nakawa'!K28,'31.07 Bugolobi-Nakawa'!K28,'02.08 Bugolobi-Nakawa'!K28,'01.08 Bugolobi-Nakawa-24h'!K28,'03.08 Bugolobi-Nakawa-24h'!K28,'04.08 Bugolobi-Nakawa'!K28)</f>
        <v>0</v>
      </c>
      <c r="L28" s="49">
        <f>AVERAGE('29.07 Bugolobi-Nakawa'!L28,'30.07 Bugolobi-Nakawa'!L28,'31.07 Bugolobi-Nakawa'!L28,'02.08 Bugolobi-Nakawa'!L28,'01.08 Bugolobi-Nakawa-24h'!L28,'03.08 Bugolobi-Nakawa-24h'!L28,'04.08 Bugolobi-Nakawa'!L28)</f>
        <v>0</v>
      </c>
      <c r="M28" s="49">
        <f>AVERAGE('29.07 Bugolobi-Nakawa'!M28,'30.07 Bugolobi-Nakawa'!M28,'31.07 Bugolobi-Nakawa'!M28,'02.08 Bugolobi-Nakawa'!M28,'01.08 Bugolobi-Nakawa-24h'!M28,'03.08 Bugolobi-Nakawa-24h'!M28,'04.08 Bugolobi-Nakawa'!M28)</f>
        <v>55.571428571428569</v>
      </c>
      <c r="N28" s="49">
        <f>AVERAGE('29.07 Bugolobi-Nakawa'!N28,'30.07 Bugolobi-Nakawa'!N28,'31.07 Bugolobi-Nakawa'!N28,'02.08 Bugolobi-Nakawa'!N28,'01.08 Bugolobi-Nakawa-24h'!N28,'03.08 Bugolobi-Nakawa-24h'!N28,'04.08 Bugolobi-Nakawa'!N28)</f>
        <v>0</v>
      </c>
      <c r="O28" s="15">
        <f t="shared" si="0"/>
        <v>134.71428571428572</v>
      </c>
      <c r="P28" s="15">
        <f t="shared" si="1"/>
        <v>190.28571428571428</v>
      </c>
      <c r="R28" s="1" t="s">
        <v>153</v>
      </c>
      <c r="S28" s="34">
        <f>SUM(C85:C88)</f>
        <v>44.5</v>
      </c>
      <c r="T28" s="34">
        <f t="shared" ref="T28:AF28" si="20">SUM(D85:D88)</f>
        <v>6.5</v>
      </c>
      <c r="U28" s="34">
        <f t="shared" si="20"/>
        <v>3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0.5</v>
      </c>
      <c r="AC28" s="34">
        <f t="shared" si="20"/>
        <v>44</v>
      </c>
      <c r="AD28" s="34">
        <f t="shared" si="20"/>
        <v>0</v>
      </c>
      <c r="AE28" s="31">
        <f t="shared" si="20"/>
        <v>54.5</v>
      </c>
      <c r="AF28" s="31">
        <f t="shared" si="20"/>
        <v>98.5</v>
      </c>
    </row>
    <row r="29" spans="2:32" ht="23.1" customHeight="1" x14ac:dyDescent="0.25">
      <c r="B29" s="23" t="s">
        <v>56</v>
      </c>
      <c r="C29" s="49">
        <f>AVERAGE('29.07 Bugolobi-Nakawa'!C29,'30.07 Bugolobi-Nakawa'!C29,'31.07 Bugolobi-Nakawa'!C29,'02.08 Bugolobi-Nakawa'!C29,'01.08 Bugolobi-Nakawa-24h'!C29,'03.08 Bugolobi-Nakawa-24h'!C29,'04.08 Bugolobi-Nakawa'!C29)</f>
        <v>70.428571428571431</v>
      </c>
      <c r="D29" s="49">
        <f>AVERAGE('29.07 Bugolobi-Nakawa'!D29,'30.07 Bugolobi-Nakawa'!D29,'31.07 Bugolobi-Nakawa'!D29,'02.08 Bugolobi-Nakawa'!D29,'01.08 Bugolobi-Nakawa-24h'!D29,'03.08 Bugolobi-Nakawa-24h'!D29,'04.08 Bugolobi-Nakawa'!D29)</f>
        <v>24.428571428571427</v>
      </c>
      <c r="E29" s="49">
        <f>AVERAGE('29.07 Bugolobi-Nakawa'!E29,'30.07 Bugolobi-Nakawa'!E29,'31.07 Bugolobi-Nakawa'!E29,'02.08 Bugolobi-Nakawa'!E29,'01.08 Bugolobi-Nakawa-24h'!E29,'03.08 Bugolobi-Nakawa-24h'!E29,'04.08 Bugolobi-Nakawa'!E29)</f>
        <v>19.428571428571427</v>
      </c>
      <c r="F29" s="49">
        <f>AVERAGE('29.07 Bugolobi-Nakawa'!F29,'30.07 Bugolobi-Nakawa'!F29,'31.07 Bugolobi-Nakawa'!F29,'02.08 Bugolobi-Nakawa'!F29,'01.08 Bugolobi-Nakawa-24h'!F29,'03.08 Bugolobi-Nakawa-24h'!F29,'04.08 Bugolobi-Nakawa'!F29)</f>
        <v>34.571428571428569</v>
      </c>
      <c r="G29" s="49">
        <f>AVERAGE('29.07 Bugolobi-Nakawa'!G29,'30.07 Bugolobi-Nakawa'!G29,'31.07 Bugolobi-Nakawa'!G29,'02.08 Bugolobi-Nakawa'!G29,'01.08 Bugolobi-Nakawa-24h'!G29,'03.08 Bugolobi-Nakawa-24h'!G29,'04.08 Bugolobi-Nakawa'!G29)</f>
        <v>0.2857142857142857</v>
      </c>
      <c r="H29" s="49">
        <f>AVERAGE('29.07 Bugolobi-Nakawa'!H29,'30.07 Bugolobi-Nakawa'!H29,'31.07 Bugolobi-Nakawa'!H29,'02.08 Bugolobi-Nakawa'!H29,'01.08 Bugolobi-Nakawa-24h'!H29,'03.08 Bugolobi-Nakawa-24h'!H29,'04.08 Bugolobi-Nakawa'!H29)</f>
        <v>0</v>
      </c>
      <c r="I29" s="49">
        <f>AVERAGE('29.07 Bugolobi-Nakawa'!I29,'30.07 Bugolobi-Nakawa'!I29,'31.07 Bugolobi-Nakawa'!I29,'02.08 Bugolobi-Nakawa'!I29,'01.08 Bugolobi-Nakawa-24h'!I29,'03.08 Bugolobi-Nakawa-24h'!I29,'04.08 Bugolobi-Nakawa'!I29)</f>
        <v>3.5714285714285716</v>
      </c>
      <c r="J29" s="49">
        <f>AVERAGE('29.07 Bugolobi-Nakawa'!J29,'30.07 Bugolobi-Nakawa'!J29,'31.07 Bugolobi-Nakawa'!J29,'02.08 Bugolobi-Nakawa'!J29,'01.08 Bugolobi-Nakawa-24h'!J29,'03.08 Bugolobi-Nakawa-24h'!J29,'04.08 Bugolobi-Nakawa'!J29)</f>
        <v>2.1428571428571428</v>
      </c>
      <c r="K29" s="49">
        <f>AVERAGE('29.07 Bugolobi-Nakawa'!K29,'30.07 Bugolobi-Nakawa'!K29,'31.07 Bugolobi-Nakawa'!K29,'02.08 Bugolobi-Nakawa'!K29,'01.08 Bugolobi-Nakawa-24h'!K29,'03.08 Bugolobi-Nakawa-24h'!K29,'04.08 Bugolobi-Nakawa'!K29)</f>
        <v>0.2857142857142857</v>
      </c>
      <c r="L29" s="49">
        <f>AVERAGE('29.07 Bugolobi-Nakawa'!L29,'30.07 Bugolobi-Nakawa'!L29,'31.07 Bugolobi-Nakawa'!L29,'02.08 Bugolobi-Nakawa'!L29,'01.08 Bugolobi-Nakawa-24h'!L29,'03.08 Bugolobi-Nakawa-24h'!L29,'04.08 Bugolobi-Nakawa'!L29)</f>
        <v>0.14285714285714285</v>
      </c>
      <c r="M29" s="49">
        <f>AVERAGE('29.07 Bugolobi-Nakawa'!M29,'30.07 Bugolobi-Nakawa'!M29,'31.07 Bugolobi-Nakawa'!M29,'02.08 Bugolobi-Nakawa'!M29,'01.08 Bugolobi-Nakawa-24h'!M29,'03.08 Bugolobi-Nakawa-24h'!M29,'04.08 Bugolobi-Nakawa'!M29)</f>
        <v>58.428571428571431</v>
      </c>
      <c r="N29" s="49">
        <f>AVERAGE('29.07 Bugolobi-Nakawa'!N29,'30.07 Bugolobi-Nakawa'!N29,'31.07 Bugolobi-Nakawa'!N29,'02.08 Bugolobi-Nakawa'!N29,'01.08 Bugolobi-Nakawa-24h'!N29,'03.08 Bugolobi-Nakawa-24h'!N29,'04.08 Bugolobi-Nakawa'!N29)</f>
        <v>0</v>
      </c>
      <c r="O29" s="15">
        <f t="shared" si="0"/>
        <v>155.28571428571428</v>
      </c>
      <c r="P29" s="15">
        <f t="shared" si="1"/>
        <v>213.71428571428572</v>
      </c>
      <c r="R29" s="1" t="s">
        <v>154</v>
      </c>
      <c r="S29" s="34">
        <f>SUM(C89:C92)</f>
        <v>36.5</v>
      </c>
      <c r="T29" s="34">
        <f t="shared" ref="T29:AF29" si="21">SUM(D89:D92)</f>
        <v>1.5</v>
      </c>
      <c r="U29" s="34">
        <f t="shared" si="21"/>
        <v>1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0.5</v>
      </c>
      <c r="AB29" s="34">
        <f t="shared" si="21"/>
        <v>1</v>
      </c>
      <c r="AC29" s="34">
        <f t="shared" si="21"/>
        <v>32.5</v>
      </c>
      <c r="AD29" s="34">
        <f t="shared" si="21"/>
        <v>0</v>
      </c>
      <c r="AE29" s="31">
        <f t="shared" si="21"/>
        <v>42.5</v>
      </c>
      <c r="AF29" s="31">
        <f t="shared" si="21"/>
        <v>75</v>
      </c>
    </row>
    <row r="30" spans="2:32" ht="23.1" customHeight="1" x14ac:dyDescent="0.25">
      <c r="B30" s="23" t="s">
        <v>57</v>
      </c>
      <c r="C30" s="49">
        <f>AVERAGE('29.07 Bugolobi-Nakawa'!C30,'30.07 Bugolobi-Nakawa'!C30,'31.07 Bugolobi-Nakawa'!C30,'02.08 Bugolobi-Nakawa'!C30,'01.08 Bugolobi-Nakawa-24h'!C30,'03.08 Bugolobi-Nakawa-24h'!C30,'04.08 Bugolobi-Nakawa'!C30)</f>
        <v>69.714285714285708</v>
      </c>
      <c r="D30" s="49">
        <f>AVERAGE('29.07 Bugolobi-Nakawa'!D30,'30.07 Bugolobi-Nakawa'!D30,'31.07 Bugolobi-Nakawa'!D30,'02.08 Bugolobi-Nakawa'!D30,'01.08 Bugolobi-Nakawa-24h'!D30,'03.08 Bugolobi-Nakawa-24h'!D30,'04.08 Bugolobi-Nakawa'!D30)</f>
        <v>25.857142857142858</v>
      </c>
      <c r="E30" s="49">
        <f>AVERAGE('29.07 Bugolobi-Nakawa'!E30,'30.07 Bugolobi-Nakawa'!E30,'31.07 Bugolobi-Nakawa'!E30,'02.08 Bugolobi-Nakawa'!E30,'01.08 Bugolobi-Nakawa-24h'!E30,'03.08 Bugolobi-Nakawa-24h'!E30,'04.08 Bugolobi-Nakawa'!E30)</f>
        <v>16.285714285714285</v>
      </c>
      <c r="F30" s="49">
        <f>AVERAGE('29.07 Bugolobi-Nakawa'!F30,'30.07 Bugolobi-Nakawa'!F30,'31.07 Bugolobi-Nakawa'!F30,'02.08 Bugolobi-Nakawa'!F30,'01.08 Bugolobi-Nakawa-24h'!F30,'03.08 Bugolobi-Nakawa-24h'!F30,'04.08 Bugolobi-Nakawa'!F30)</f>
        <v>26.714285714285715</v>
      </c>
      <c r="G30" s="49">
        <f>AVERAGE('29.07 Bugolobi-Nakawa'!G30,'30.07 Bugolobi-Nakawa'!G30,'31.07 Bugolobi-Nakawa'!G30,'02.08 Bugolobi-Nakawa'!G30,'01.08 Bugolobi-Nakawa-24h'!G30,'03.08 Bugolobi-Nakawa-24h'!G30,'04.08 Bugolobi-Nakawa'!G30)</f>
        <v>0.14285714285714285</v>
      </c>
      <c r="H30" s="49">
        <f>AVERAGE('29.07 Bugolobi-Nakawa'!H30,'30.07 Bugolobi-Nakawa'!H30,'31.07 Bugolobi-Nakawa'!H30,'02.08 Bugolobi-Nakawa'!H30,'01.08 Bugolobi-Nakawa-24h'!H30,'03.08 Bugolobi-Nakawa-24h'!H30,'04.08 Bugolobi-Nakawa'!H30)</f>
        <v>0</v>
      </c>
      <c r="I30" s="49">
        <f>AVERAGE('29.07 Bugolobi-Nakawa'!I30,'30.07 Bugolobi-Nakawa'!I30,'31.07 Bugolobi-Nakawa'!I30,'02.08 Bugolobi-Nakawa'!I30,'01.08 Bugolobi-Nakawa-24h'!I30,'03.08 Bugolobi-Nakawa-24h'!I30,'04.08 Bugolobi-Nakawa'!I30)</f>
        <v>3.7142857142857144</v>
      </c>
      <c r="J30" s="49">
        <f>AVERAGE('29.07 Bugolobi-Nakawa'!J30,'30.07 Bugolobi-Nakawa'!J30,'31.07 Bugolobi-Nakawa'!J30,'02.08 Bugolobi-Nakawa'!J30,'01.08 Bugolobi-Nakawa-24h'!J30,'03.08 Bugolobi-Nakawa-24h'!J30,'04.08 Bugolobi-Nakawa'!J30)</f>
        <v>1.7142857142857142</v>
      </c>
      <c r="K30" s="49">
        <f>AVERAGE('29.07 Bugolobi-Nakawa'!K30,'30.07 Bugolobi-Nakawa'!K30,'31.07 Bugolobi-Nakawa'!K30,'02.08 Bugolobi-Nakawa'!K30,'01.08 Bugolobi-Nakawa-24h'!K30,'03.08 Bugolobi-Nakawa-24h'!K30,'04.08 Bugolobi-Nakawa'!K30)</f>
        <v>0.14285714285714285</v>
      </c>
      <c r="L30" s="49">
        <f>AVERAGE('29.07 Bugolobi-Nakawa'!L30,'30.07 Bugolobi-Nakawa'!L30,'31.07 Bugolobi-Nakawa'!L30,'02.08 Bugolobi-Nakawa'!L30,'01.08 Bugolobi-Nakawa-24h'!L30,'03.08 Bugolobi-Nakawa-24h'!L30,'04.08 Bugolobi-Nakawa'!L30)</f>
        <v>0.14285714285714285</v>
      </c>
      <c r="M30" s="49">
        <f>AVERAGE('29.07 Bugolobi-Nakawa'!M30,'30.07 Bugolobi-Nakawa'!M30,'31.07 Bugolobi-Nakawa'!M30,'02.08 Bugolobi-Nakawa'!M30,'01.08 Bugolobi-Nakawa-24h'!M30,'03.08 Bugolobi-Nakawa-24h'!M30,'04.08 Bugolobi-Nakawa'!M30)</f>
        <v>64.285714285714292</v>
      </c>
      <c r="N30" s="49">
        <f>AVERAGE('29.07 Bugolobi-Nakawa'!N30,'30.07 Bugolobi-Nakawa'!N30,'31.07 Bugolobi-Nakawa'!N30,'02.08 Bugolobi-Nakawa'!N30,'01.08 Bugolobi-Nakawa-24h'!N30,'03.08 Bugolobi-Nakawa-24h'!N30,'04.08 Bugolobi-Nakawa'!N30)</f>
        <v>0</v>
      </c>
      <c r="O30" s="15">
        <f t="shared" si="0"/>
        <v>144.42857142857144</v>
      </c>
      <c r="P30" s="15">
        <f t="shared" si="1"/>
        <v>208.71428571428572</v>
      </c>
      <c r="R30" s="1" t="s">
        <v>155</v>
      </c>
      <c r="S30" s="34">
        <f>SUM(C93:C96)</f>
        <v>32.5</v>
      </c>
      <c r="T30" s="34">
        <f t="shared" ref="T30:AF30" si="22">SUM(D93:D96)</f>
        <v>5</v>
      </c>
      <c r="U30" s="34">
        <f t="shared" si="22"/>
        <v>6</v>
      </c>
      <c r="V30" s="34">
        <f t="shared" si="22"/>
        <v>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0.5</v>
      </c>
      <c r="AA30" s="34">
        <f t="shared" si="22"/>
        <v>0.5</v>
      </c>
      <c r="AB30" s="34">
        <f t="shared" si="22"/>
        <v>1</v>
      </c>
      <c r="AC30" s="34">
        <f t="shared" si="22"/>
        <v>42</v>
      </c>
      <c r="AD30" s="34">
        <f t="shared" si="22"/>
        <v>0</v>
      </c>
      <c r="AE30" s="31">
        <f t="shared" si="22"/>
        <v>51.5</v>
      </c>
      <c r="AF30" s="31">
        <f t="shared" si="22"/>
        <v>93.5</v>
      </c>
    </row>
    <row r="31" spans="2:32" ht="23.1" customHeight="1" x14ac:dyDescent="0.25">
      <c r="B31" s="24" t="s">
        <v>58</v>
      </c>
      <c r="C31" s="49">
        <f>AVERAGE('29.07 Bugolobi-Nakawa'!C31,'30.07 Bugolobi-Nakawa'!C31,'31.07 Bugolobi-Nakawa'!C31,'02.08 Bugolobi-Nakawa'!C31,'01.08 Bugolobi-Nakawa-24h'!C31,'03.08 Bugolobi-Nakawa-24h'!C31,'04.08 Bugolobi-Nakawa'!C31)</f>
        <v>70.142857142857139</v>
      </c>
      <c r="D31" s="49">
        <f>AVERAGE('29.07 Bugolobi-Nakawa'!D31,'30.07 Bugolobi-Nakawa'!D31,'31.07 Bugolobi-Nakawa'!D31,'02.08 Bugolobi-Nakawa'!D31,'01.08 Bugolobi-Nakawa-24h'!D31,'03.08 Bugolobi-Nakawa-24h'!D31,'04.08 Bugolobi-Nakawa'!D31)</f>
        <v>24.857142857142858</v>
      </c>
      <c r="E31" s="49">
        <f>AVERAGE('29.07 Bugolobi-Nakawa'!E31,'30.07 Bugolobi-Nakawa'!E31,'31.07 Bugolobi-Nakawa'!E31,'02.08 Bugolobi-Nakawa'!E31,'01.08 Bugolobi-Nakawa-24h'!E31,'03.08 Bugolobi-Nakawa-24h'!E31,'04.08 Bugolobi-Nakawa'!E31)</f>
        <v>15.142857142857142</v>
      </c>
      <c r="F31" s="49">
        <f>AVERAGE('29.07 Bugolobi-Nakawa'!F31,'30.07 Bugolobi-Nakawa'!F31,'31.07 Bugolobi-Nakawa'!F31,'02.08 Bugolobi-Nakawa'!F31,'01.08 Bugolobi-Nakawa-24h'!F31,'03.08 Bugolobi-Nakawa-24h'!F31,'04.08 Bugolobi-Nakawa'!F31)</f>
        <v>26.428571428571427</v>
      </c>
      <c r="G31" s="49">
        <f>AVERAGE('29.07 Bugolobi-Nakawa'!G31,'30.07 Bugolobi-Nakawa'!G31,'31.07 Bugolobi-Nakawa'!G31,'02.08 Bugolobi-Nakawa'!G31,'01.08 Bugolobi-Nakawa-24h'!G31,'03.08 Bugolobi-Nakawa-24h'!G31,'04.08 Bugolobi-Nakawa'!G31)</f>
        <v>0.2857142857142857</v>
      </c>
      <c r="H31" s="49">
        <f>AVERAGE('29.07 Bugolobi-Nakawa'!H31,'30.07 Bugolobi-Nakawa'!H31,'31.07 Bugolobi-Nakawa'!H31,'02.08 Bugolobi-Nakawa'!H31,'01.08 Bugolobi-Nakawa-24h'!H31,'03.08 Bugolobi-Nakawa-24h'!H31,'04.08 Bugolobi-Nakawa'!H31)</f>
        <v>0.2857142857142857</v>
      </c>
      <c r="I31" s="49">
        <f>AVERAGE('29.07 Bugolobi-Nakawa'!I31,'30.07 Bugolobi-Nakawa'!I31,'31.07 Bugolobi-Nakawa'!I31,'02.08 Bugolobi-Nakawa'!I31,'01.08 Bugolobi-Nakawa-24h'!I31,'03.08 Bugolobi-Nakawa-24h'!I31,'04.08 Bugolobi-Nakawa'!I31)</f>
        <v>2.7142857142857144</v>
      </c>
      <c r="J31" s="49">
        <f>AVERAGE('29.07 Bugolobi-Nakawa'!J31,'30.07 Bugolobi-Nakawa'!J31,'31.07 Bugolobi-Nakawa'!J31,'02.08 Bugolobi-Nakawa'!J31,'01.08 Bugolobi-Nakawa-24h'!J31,'03.08 Bugolobi-Nakawa-24h'!J31,'04.08 Bugolobi-Nakawa'!J31)</f>
        <v>1</v>
      </c>
      <c r="K31" s="49">
        <f>AVERAGE('29.07 Bugolobi-Nakawa'!K31,'30.07 Bugolobi-Nakawa'!K31,'31.07 Bugolobi-Nakawa'!K31,'02.08 Bugolobi-Nakawa'!K31,'01.08 Bugolobi-Nakawa-24h'!K31,'03.08 Bugolobi-Nakawa-24h'!K31,'04.08 Bugolobi-Nakawa'!K31)</f>
        <v>0.2857142857142857</v>
      </c>
      <c r="L31" s="49">
        <f>AVERAGE('29.07 Bugolobi-Nakawa'!L31,'30.07 Bugolobi-Nakawa'!L31,'31.07 Bugolobi-Nakawa'!L31,'02.08 Bugolobi-Nakawa'!L31,'01.08 Bugolobi-Nakawa-24h'!L31,'03.08 Bugolobi-Nakawa-24h'!L31,'04.08 Bugolobi-Nakawa'!L31)</f>
        <v>0.14285714285714285</v>
      </c>
      <c r="M31" s="49">
        <f>AVERAGE('29.07 Bugolobi-Nakawa'!M31,'30.07 Bugolobi-Nakawa'!M31,'31.07 Bugolobi-Nakawa'!M31,'02.08 Bugolobi-Nakawa'!M31,'01.08 Bugolobi-Nakawa-24h'!M31,'03.08 Bugolobi-Nakawa-24h'!M31,'04.08 Bugolobi-Nakawa'!M31)</f>
        <v>62.285714285714285</v>
      </c>
      <c r="N31" s="49">
        <f>AVERAGE('29.07 Bugolobi-Nakawa'!N31,'30.07 Bugolobi-Nakawa'!N31,'31.07 Bugolobi-Nakawa'!N31,'02.08 Bugolobi-Nakawa'!N31,'01.08 Bugolobi-Nakawa-24h'!N31,'03.08 Bugolobi-Nakawa-24h'!N31,'04.08 Bugolobi-Nakawa'!N31)</f>
        <v>0</v>
      </c>
      <c r="O31" s="15">
        <f t="shared" si="0"/>
        <v>141.28571428571425</v>
      </c>
      <c r="P31" s="15">
        <f t="shared" si="1"/>
        <v>203.57142857142853</v>
      </c>
      <c r="R31" s="1" t="s">
        <v>156</v>
      </c>
      <c r="S31" s="34">
        <f>SUM(C97:C100)</f>
        <v>20</v>
      </c>
      <c r="T31" s="34">
        <f t="shared" ref="T31:AF31" si="23">SUM(D97:D100)</f>
        <v>6.5</v>
      </c>
      <c r="U31" s="34">
        <f t="shared" si="23"/>
        <v>2.5</v>
      </c>
      <c r="V31" s="34">
        <f t="shared" si="23"/>
        <v>6.5</v>
      </c>
      <c r="W31" s="34">
        <f t="shared" si="23"/>
        <v>1.5</v>
      </c>
      <c r="X31" s="34">
        <f t="shared" si="23"/>
        <v>0</v>
      </c>
      <c r="Y31" s="34">
        <f t="shared" si="23"/>
        <v>0</v>
      </c>
      <c r="Z31" s="34">
        <f t="shared" si="23"/>
        <v>0.5</v>
      </c>
      <c r="AA31" s="34">
        <f t="shared" si="23"/>
        <v>0</v>
      </c>
      <c r="AB31" s="34">
        <f t="shared" si="23"/>
        <v>1</v>
      </c>
      <c r="AC31" s="34">
        <f t="shared" si="23"/>
        <v>54</v>
      </c>
      <c r="AD31" s="34">
        <f t="shared" si="23"/>
        <v>0</v>
      </c>
      <c r="AE31" s="31">
        <f t="shared" si="23"/>
        <v>38.5</v>
      </c>
      <c r="AF31" s="31">
        <f t="shared" si="23"/>
        <v>92.5</v>
      </c>
    </row>
    <row r="32" spans="2:32" ht="23.1" customHeight="1" x14ac:dyDescent="0.25">
      <c r="B32" s="24" t="s">
        <v>59</v>
      </c>
      <c r="C32" s="49">
        <f>AVERAGE('29.07 Bugolobi-Nakawa'!C32,'30.07 Bugolobi-Nakawa'!C32,'31.07 Bugolobi-Nakawa'!C32,'02.08 Bugolobi-Nakawa'!C32,'01.08 Bugolobi-Nakawa-24h'!C32,'03.08 Bugolobi-Nakawa-24h'!C32,'04.08 Bugolobi-Nakawa'!C32)</f>
        <v>66.714285714285708</v>
      </c>
      <c r="D32" s="49">
        <f>AVERAGE('29.07 Bugolobi-Nakawa'!D32,'30.07 Bugolobi-Nakawa'!D32,'31.07 Bugolobi-Nakawa'!D32,'02.08 Bugolobi-Nakawa'!D32,'01.08 Bugolobi-Nakawa-24h'!D32,'03.08 Bugolobi-Nakawa-24h'!D32,'04.08 Bugolobi-Nakawa'!D32)</f>
        <v>24.857142857142858</v>
      </c>
      <c r="E32" s="49">
        <f>AVERAGE('29.07 Bugolobi-Nakawa'!E32,'30.07 Bugolobi-Nakawa'!E32,'31.07 Bugolobi-Nakawa'!E32,'02.08 Bugolobi-Nakawa'!E32,'01.08 Bugolobi-Nakawa-24h'!E32,'03.08 Bugolobi-Nakawa-24h'!E32,'04.08 Bugolobi-Nakawa'!E32)</f>
        <v>17.857142857142858</v>
      </c>
      <c r="F32" s="49">
        <f>AVERAGE('29.07 Bugolobi-Nakawa'!F32,'30.07 Bugolobi-Nakawa'!F32,'31.07 Bugolobi-Nakawa'!F32,'02.08 Bugolobi-Nakawa'!F32,'01.08 Bugolobi-Nakawa-24h'!F32,'03.08 Bugolobi-Nakawa-24h'!F32,'04.08 Bugolobi-Nakawa'!F32)</f>
        <v>28.428571428571427</v>
      </c>
      <c r="G32" s="49">
        <f>AVERAGE('29.07 Bugolobi-Nakawa'!G32,'30.07 Bugolobi-Nakawa'!G32,'31.07 Bugolobi-Nakawa'!G32,'02.08 Bugolobi-Nakawa'!G32,'01.08 Bugolobi-Nakawa-24h'!G32,'03.08 Bugolobi-Nakawa-24h'!G32,'04.08 Bugolobi-Nakawa'!G32)</f>
        <v>0.42857142857142855</v>
      </c>
      <c r="H32" s="49">
        <f>AVERAGE('29.07 Bugolobi-Nakawa'!H32,'30.07 Bugolobi-Nakawa'!H32,'31.07 Bugolobi-Nakawa'!H32,'02.08 Bugolobi-Nakawa'!H32,'01.08 Bugolobi-Nakawa-24h'!H32,'03.08 Bugolobi-Nakawa-24h'!H32,'04.08 Bugolobi-Nakawa'!H32)</f>
        <v>0.5714285714285714</v>
      </c>
      <c r="I32" s="49">
        <f>AVERAGE('29.07 Bugolobi-Nakawa'!I32,'30.07 Bugolobi-Nakawa'!I32,'31.07 Bugolobi-Nakawa'!I32,'02.08 Bugolobi-Nakawa'!I32,'01.08 Bugolobi-Nakawa-24h'!I32,'03.08 Bugolobi-Nakawa-24h'!I32,'04.08 Bugolobi-Nakawa'!I32)</f>
        <v>1.7142857142857142</v>
      </c>
      <c r="J32" s="49">
        <f>AVERAGE('29.07 Bugolobi-Nakawa'!J32,'30.07 Bugolobi-Nakawa'!J32,'31.07 Bugolobi-Nakawa'!J32,'02.08 Bugolobi-Nakawa'!J32,'01.08 Bugolobi-Nakawa-24h'!J32,'03.08 Bugolobi-Nakawa-24h'!J32,'04.08 Bugolobi-Nakawa'!J32)</f>
        <v>0.8571428571428571</v>
      </c>
      <c r="K32" s="49">
        <f>AVERAGE('29.07 Bugolobi-Nakawa'!K32,'30.07 Bugolobi-Nakawa'!K32,'31.07 Bugolobi-Nakawa'!K32,'02.08 Bugolobi-Nakawa'!K32,'01.08 Bugolobi-Nakawa-24h'!K32,'03.08 Bugolobi-Nakawa-24h'!K32,'04.08 Bugolobi-Nakawa'!K32)</f>
        <v>0.14285714285714285</v>
      </c>
      <c r="L32" s="49">
        <f>AVERAGE('29.07 Bugolobi-Nakawa'!L32,'30.07 Bugolobi-Nakawa'!L32,'31.07 Bugolobi-Nakawa'!L32,'02.08 Bugolobi-Nakawa'!L32,'01.08 Bugolobi-Nakawa-24h'!L32,'03.08 Bugolobi-Nakawa-24h'!L32,'04.08 Bugolobi-Nakawa'!L32)</f>
        <v>0.8571428571428571</v>
      </c>
      <c r="M32" s="49">
        <f>AVERAGE('29.07 Bugolobi-Nakawa'!M32,'30.07 Bugolobi-Nakawa'!M32,'31.07 Bugolobi-Nakawa'!M32,'02.08 Bugolobi-Nakawa'!M32,'01.08 Bugolobi-Nakawa-24h'!M32,'03.08 Bugolobi-Nakawa-24h'!M32,'04.08 Bugolobi-Nakawa'!M32)</f>
        <v>62.571428571428569</v>
      </c>
      <c r="N32" s="49">
        <f>AVERAGE('29.07 Bugolobi-Nakawa'!N32,'30.07 Bugolobi-Nakawa'!N32,'31.07 Bugolobi-Nakawa'!N32,'02.08 Bugolobi-Nakawa'!N32,'01.08 Bugolobi-Nakawa-24h'!N32,'03.08 Bugolobi-Nakawa-24h'!N32,'04.08 Bugolobi-Nakawa'!N32)</f>
        <v>0</v>
      </c>
      <c r="O32" s="15">
        <f t="shared" si="0"/>
        <v>142.42857142857144</v>
      </c>
      <c r="P32" s="15">
        <f t="shared" si="1"/>
        <v>205</v>
      </c>
      <c r="R32" s="1" t="s">
        <v>157</v>
      </c>
      <c r="S32" s="34">
        <f>SUM(C101:C104)</f>
        <v>109.5</v>
      </c>
      <c r="T32" s="34">
        <f t="shared" ref="T32:AF32" si="24">SUM(D101:D104)</f>
        <v>27</v>
      </c>
      <c r="U32" s="34">
        <f t="shared" si="24"/>
        <v>10.5</v>
      </c>
      <c r="V32" s="34">
        <f t="shared" si="24"/>
        <v>47</v>
      </c>
      <c r="W32" s="34">
        <f t="shared" si="24"/>
        <v>0.5</v>
      </c>
      <c r="X32" s="34">
        <f t="shared" si="24"/>
        <v>0</v>
      </c>
      <c r="Y32" s="34">
        <f t="shared" si="24"/>
        <v>2.5</v>
      </c>
      <c r="Z32" s="34">
        <f t="shared" si="24"/>
        <v>0</v>
      </c>
      <c r="AA32" s="34">
        <f t="shared" si="24"/>
        <v>0</v>
      </c>
      <c r="AB32" s="34">
        <f t="shared" si="24"/>
        <v>1</v>
      </c>
      <c r="AC32" s="34">
        <f t="shared" si="24"/>
        <v>143</v>
      </c>
      <c r="AD32" s="34">
        <f t="shared" si="24"/>
        <v>0</v>
      </c>
      <c r="AE32" s="31">
        <f t="shared" si="24"/>
        <v>198</v>
      </c>
      <c r="AF32" s="31">
        <f t="shared" si="24"/>
        <v>341</v>
      </c>
    </row>
    <row r="33" spans="2:32" ht="23.1" customHeight="1" x14ac:dyDescent="0.25">
      <c r="B33" s="23" t="s">
        <v>60</v>
      </c>
      <c r="C33" s="49">
        <f>AVERAGE('29.07 Bugolobi-Nakawa'!C33,'30.07 Bugolobi-Nakawa'!C33,'31.07 Bugolobi-Nakawa'!C33,'02.08 Bugolobi-Nakawa'!C33,'01.08 Bugolobi-Nakawa-24h'!C33,'03.08 Bugolobi-Nakawa-24h'!C33,'04.08 Bugolobi-Nakawa'!C33)</f>
        <v>67.428571428571431</v>
      </c>
      <c r="D33" s="49">
        <f>AVERAGE('29.07 Bugolobi-Nakawa'!D33,'30.07 Bugolobi-Nakawa'!D33,'31.07 Bugolobi-Nakawa'!D33,'02.08 Bugolobi-Nakawa'!D33,'01.08 Bugolobi-Nakawa-24h'!D33,'03.08 Bugolobi-Nakawa-24h'!D33,'04.08 Bugolobi-Nakawa'!D33)</f>
        <v>22.428571428571427</v>
      </c>
      <c r="E33" s="49">
        <f>AVERAGE('29.07 Bugolobi-Nakawa'!E33,'30.07 Bugolobi-Nakawa'!E33,'31.07 Bugolobi-Nakawa'!E33,'02.08 Bugolobi-Nakawa'!E33,'01.08 Bugolobi-Nakawa-24h'!E33,'03.08 Bugolobi-Nakawa-24h'!E33,'04.08 Bugolobi-Nakawa'!E33)</f>
        <v>16.428571428571427</v>
      </c>
      <c r="F33" s="49">
        <f>AVERAGE('29.07 Bugolobi-Nakawa'!F33,'30.07 Bugolobi-Nakawa'!F33,'31.07 Bugolobi-Nakawa'!F33,'02.08 Bugolobi-Nakawa'!F33,'01.08 Bugolobi-Nakawa-24h'!F33,'03.08 Bugolobi-Nakawa-24h'!F33,'04.08 Bugolobi-Nakawa'!F33)</f>
        <v>29.142857142857142</v>
      </c>
      <c r="G33" s="49">
        <f>AVERAGE('29.07 Bugolobi-Nakawa'!G33,'30.07 Bugolobi-Nakawa'!G33,'31.07 Bugolobi-Nakawa'!G33,'02.08 Bugolobi-Nakawa'!G33,'01.08 Bugolobi-Nakawa-24h'!G33,'03.08 Bugolobi-Nakawa-24h'!G33,'04.08 Bugolobi-Nakawa'!G33)</f>
        <v>0.42857142857142855</v>
      </c>
      <c r="H33" s="49">
        <f>AVERAGE('29.07 Bugolobi-Nakawa'!H33,'30.07 Bugolobi-Nakawa'!H33,'31.07 Bugolobi-Nakawa'!H33,'02.08 Bugolobi-Nakawa'!H33,'01.08 Bugolobi-Nakawa-24h'!H33,'03.08 Bugolobi-Nakawa-24h'!H33,'04.08 Bugolobi-Nakawa'!H33)</f>
        <v>0</v>
      </c>
      <c r="I33" s="49">
        <f>AVERAGE('29.07 Bugolobi-Nakawa'!I33,'30.07 Bugolobi-Nakawa'!I33,'31.07 Bugolobi-Nakawa'!I33,'02.08 Bugolobi-Nakawa'!I33,'01.08 Bugolobi-Nakawa-24h'!I33,'03.08 Bugolobi-Nakawa-24h'!I33,'04.08 Bugolobi-Nakawa'!I33)</f>
        <v>3.2857142857142856</v>
      </c>
      <c r="J33" s="49">
        <f>AVERAGE('29.07 Bugolobi-Nakawa'!J33,'30.07 Bugolobi-Nakawa'!J33,'31.07 Bugolobi-Nakawa'!J33,'02.08 Bugolobi-Nakawa'!J33,'01.08 Bugolobi-Nakawa-24h'!J33,'03.08 Bugolobi-Nakawa-24h'!J33,'04.08 Bugolobi-Nakawa'!J33)</f>
        <v>0.8571428571428571</v>
      </c>
      <c r="K33" s="49">
        <f>AVERAGE('29.07 Bugolobi-Nakawa'!K33,'30.07 Bugolobi-Nakawa'!K33,'31.07 Bugolobi-Nakawa'!K33,'02.08 Bugolobi-Nakawa'!K33,'01.08 Bugolobi-Nakawa-24h'!K33,'03.08 Bugolobi-Nakawa-24h'!K33,'04.08 Bugolobi-Nakawa'!K33)</f>
        <v>0.14285714285714285</v>
      </c>
      <c r="L33" s="49">
        <f>AVERAGE('29.07 Bugolobi-Nakawa'!L33,'30.07 Bugolobi-Nakawa'!L33,'31.07 Bugolobi-Nakawa'!L33,'02.08 Bugolobi-Nakawa'!L33,'01.08 Bugolobi-Nakawa-24h'!L33,'03.08 Bugolobi-Nakawa-24h'!L33,'04.08 Bugolobi-Nakawa'!L33)</f>
        <v>0.14285714285714285</v>
      </c>
      <c r="M33" s="49">
        <f>AVERAGE('29.07 Bugolobi-Nakawa'!M33,'30.07 Bugolobi-Nakawa'!M33,'31.07 Bugolobi-Nakawa'!M33,'02.08 Bugolobi-Nakawa'!M33,'01.08 Bugolobi-Nakawa-24h'!M33,'03.08 Bugolobi-Nakawa-24h'!M33,'04.08 Bugolobi-Nakawa'!M33)</f>
        <v>63.714285714285715</v>
      </c>
      <c r="N33" s="49">
        <f>AVERAGE('29.07 Bugolobi-Nakawa'!N33,'30.07 Bugolobi-Nakawa'!N33,'31.07 Bugolobi-Nakawa'!N33,'02.08 Bugolobi-Nakawa'!N33,'01.08 Bugolobi-Nakawa-24h'!N33,'03.08 Bugolobi-Nakawa-24h'!N33,'04.08 Bugolobi-Nakawa'!N33)</f>
        <v>0</v>
      </c>
      <c r="O33" s="15">
        <f t="shared" si="0"/>
        <v>140.28571428571428</v>
      </c>
      <c r="P33" s="15">
        <f t="shared" si="1"/>
        <v>204</v>
      </c>
      <c r="R33" s="38" t="s">
        <v>90</v>
      </c>
      <c r="S33" s="39">
        <f t="shared" ref="S33:AF33" si="25">MAX(S10:S12)</f>
        <v>342.14285714285717</v>
      </c>
      <c r="T33" s="39">
        <f t="shared" si="25"/>
        <v>135.85714285714283</v>
      </c>
      <c r="U33" s="39">
        <f t="shared" si="25"/>
        <v>90</v>
      </c>
      <c r="V33" s="39">
        <f t="shared" si="25"/>
        <v>172.28571428571428</v>
      </c>
      <c r="W33" s="39">
        <f t="shared" si="25"/>
        <v>1.1428571428571428</v>
      </c>
      <c r="X33" s="39">
        <f t="shared" si="25"/>
        <v>1.5714285714285714</v>
      </c>
      <c r="Y33" s="39">
        <f t="shared" si="25"/>
        <v>9.1428571428571423</v>
      </c>
      <c r="Z33" s="39">
        <f t="shared" si="25"/>
        <v>5.1428571428571423</v>
      </c>
      <c r="AA33" s="39">
        <f t="shared" si="25"/>
        <v>0.5714285714285714</v>
      </c>
      <c r="AB33" s="39">
        <f t="shared" si="25"/>
        <v>0.8571428571428571</v>
      </c>
      <c r="AC33" s="39">
        <f t="shared" si="25"/>
        <v>280.57142857142856</v>
      </c>
      <c r="AD33" s="39">
        <f t="shared" si="25"/>
        <v>0</v>
      </c>
      <c r="AE33" s="40">
        <f t="shared" si="25"/>
        <v>748.42857142857122</v>
      </c>
      <c r="AF33" s="40">
        <f t="shared" si="25"/>
        <v>1028.1428571428569</v>
      </c>
    </row>
    <row r="34" spans="2:32" ht="23.1" customHeight="1" x14ac:dyDescent="0.25">
      <c r="B34" s="24" t="s">
        <v>61</v>
      </c>
      <c r="C34" s="49">
        <f>AVERAGE('29.07 Bugolobi-Nakawa'!C34,'30.07 Bugolobi-Nakawa'!C34,'31.07 Bugolobi-Nakawa'!C34,'02.08 Bugolobi-Nakawa'!C34,'01.08 Bugolobi-Nakawa-24h'!C34,'03.08 Bugolobi-Nakawa-24h'!C34,'04.08 Bugolobi-Nakawa'!C34)</f>
        <v>70.857142857142861</v>
      </c>
      <c r="D34" s="49">
        <f>AVERAGE('29.07 Bugolobi-Nakawa'!D34,'30.07 Bugolobi-Nakawa'!D34,'31.07 Bugolobi-Nakawa'!D34,'02.08 Bugolobi-Nakawa'!D34,'01.08 Bugolobi-Nakawa-24h'!D34,'03.08 Bugolobi-Nakawa-24h'!D34,'04.08 Bugolobi-Nakawa'!D34)</f>
        <v>26.285714285714285</v>
      </c>
      <c r="E34" s="49">
        <f>AVERAGE('29.07 Bugolobi-Nakawa'!E34,'30.07 Bugolobi-Nakawa'!E34,'31.07 Bugolobi-Nakawa'!E34,'02.08 Bugolobi-Nakawa'!E34,'01.08 Bugolobi-Nakawa-24h'!E34,'03.08 Bugolobi-Nakawa-24h'!E34,'04.08 Bugolobi-Nakawa'!E34)</f>
        <v>23</v>
      </c>
      <c r="F34" s="49">
        <f>AVERAGE('29.07 Bugolobi-Nakawa'!F34,'30.07 Bugolobi-Nakawa'!F34,'31.07 Bugolobi-Nakawa'!F34,'02.08 Bugolobi-Nakawa'!F34,'01.08 Bugolobi-Nakawa-24h'!F34,'03.08 Bugolobi-Nakawa-24h'!F34,'04.08 Bugolobi-Nakawa'!F34)</f>
        <v>31.857142857142858</v>
      </c>
      <c r="G34" s="49">
        <f>AVERAGE('29.07 Bugolobi-Nakawa'!G34,'30.07 Bugolobi-Nakawa'!G34,'31.07 Bugolobi-Nakawa'!G34,'02.08 Bugolobi-Nakawa'!G34,'01.08 Bugolobi-Nakawa-24h'!G34,'03.08 Bugolobi-Nakawa-24h'!G34,'04.08 Bugolobi-Nakawa'!G34)</f>
        <v>0.14285714285714285</v>
      </c>
      <c r="H34" s="49">
        <f>AVERAGE('29.07 Bugolobi-Nakawa'!H34,'30.07 Bugolobi-Nakawa'!H34,'31.07 Bugolobi-Nakawa'!H34,'02.08 Bugolobi-Nakawa'!H34,'01.08 Bugolobi-Nakawa-24h'!H34,'03.08 Bugolobi-Nakawa-24h'!H34,'04.08 Bugolobi-Nakawa'!H34)</f>
        <v>0</v>
      </c>
      <c r="I34" s="49">
        <f>AVERAGE('29.07 Bugolobi-Nakawa'!I34,'30.07 Bugolobi-Nakawa'!I34,'31.07 Bugolobi-Nakawa'!I34,'02.08 Bugolobi-Nakawa'!I34,'01.08 Bugolobi-Nakawa-24h'!I34,'03.08 Bugolobi-Nakawa-24h'!I34,'04.08 Bugolobi-Nakawa'!I34)</f>
        <v>2.2857142857142856</v>
      </c>
      <c r="J34" s="49">
        <f>AVERAGE('29.07 Bugolobi-Nakawa'!J34,'30.07 Bugolobi-Nakawa'!J34,'31.07 Bugolobi-Nakawa'!J34,'02.08 Bugolobi-Nakawa'!J34,'01.08 Bugolobi-Nakawa-24h'!J34,'03.08 Bugolobi-Nakawa-24h'!J34,'04.08 Bugolobi-Nakawa'!J34)</f>
        <v>1.7142857142857142</v>
      </c>
      <c r="K34" s="49">
        <f>AVERAGE('29.07 Bugolobi-Nakawa'!K34,'30.07 Bugolobi-Nakawa'!K34,'31.07 Bugolobi-Nakawa'!K34,'02.08 Bugolobi-Nakawa'!K34,'01.08 Bugolobi-Nakawa-24h'!K34,'03.08 Bugolobi-Nakawa-24h'!K34,'04.08 Bugolobi-Nakawa'!K34)</f>
        <v>0.2857142857142857</v>
      </c>
      <c r="L34" s="49">
        <f>AVERAGE('29.07 Bugolobi-Nakawa'!L34,'30.07 Bugolobi-Nakawa'!L34,'31.07 Bugolobi-Nakawa'!L34,'02.08 Bugolobi-Nakawa'!L34,'01.08 Bugolobi-Nakawa-24h'!L34,'03.08 Bugolobi-Nakawa-24h'!L34,'04.08 Bugolobi-Nakawa'!L34)</f>
        <v>0.42857142857142855</v>
      </c>
      <c r="M34" s="49">
        <f>AVERAGE('29.07 Bugolobi-Nakawa'!M34,'30.07 Bugolobi-Nakawa'!M34,'31.07 Bugolobi-Nakawa'!M34,'02.08 Bugolobi-Nakawa'!M34,'01.08 Bugolobi-Nakawa-24h'!M34,'03.08 Bugolobi-Nakawa-24h'!M34,'04.08 Bugolobi-Nakawa'!M34)</f>
        <v>64.714285714285708</v>
      </c>
      <c r="N34" s="49">
        <f>AVERAGE('29.07 Bugolobi-Nakawa'!N34,'30.07 Bugolobi-Nakawa'!N34,'31.07 Bugolobi-Nakawa'!N34,'02.08 Bugolobi-Nakawa'!N34,'01.08 Bugolobi-Nakawa-24h'!N34,'03.08 Bugolobi-Nakawa-24h'!N34,'04.08 Bugolobi-Nakawa'!N34)</f>
        <v>0</v>
      </c>
      <c r="O34" s="15">
        <f t="shared" si="0"/>
        <v>156.85714285714283</v>
      </c>
      <c r="P34" s="15">
        <f t="shared" si="1"/>
        <v>221.57142857142856</v>
      </c>
      <c r="R34" s="38" t="s">
        <v>91</v>
      </c>
      <c r="S34" s="39">
        <f t="shared" ref="S34:AF34" si="26">MAX(S13:S18)</f>
        <v>315.42857142857144</v>
      </c>
      <c r="T34" s="39">
        <f t="shared" si="26"/>
        <v>114.28571428571428</v>
      </c>
      <c r="U34" s="39">
        <f t="shared" si="26"/>
        <v>76</v>
      </c>
      <c r="V34" s="39">
        <f t="shared" si="26"/>
        <v>127.42857142857143</v>
      </c>
      <c r="W34" s="39">
        <f t="shared" si="26"/>
        <v>1.2857142857142856</v>
      </c>
      <c r="X34" s="39">
        <f t="shared" si="26"/>
        <v>0.8571428571428571</v>
      </c>
      <c r="Y34" s="39">
        <f t="shared" si="26"/>
        <v>11.428571428571427</v>
      </c>
      <c r="Z34" s="39">
        <f t="shared" si="26"/>
        <v>8</v>
      </c>
      <c r="AA34" s="39">
        <f t="shared" si="26"/>
        <v>1.2857142857142856</v>
      </c>
      <c r="AB34" s="39">
        <f t="shared" si="26"/>
        <v>1.2857142857142856</v>
      </c>
      <c r="AC34" s="39">
        <f t="shared" si="26"/>
        <v>280.14285714285711</v>
      </c>
      <c r="AD34" s="39">
        <f t="shared" si="26"/>
        <v>0.14285714285714285</v>
      </c>
      <c r="AE34" s="40">
        <f t="shared" si="26"/>
        <v>609.57142857142856</v>
      </c>
      <c r="AF34" s="40">
        <f t="shared" si="26"/>
        <v>889.71428571428555</v>
      </c>
    </row>
    <row r="35" spans="2:32" ht="23.1" customHeight="1" x14ac:dyDescent="0.25">
      <c r="B35" s="24" t="s">
        <v>62</v>
      </c>
      <c r="C35" s="49">
        <f>AVERAGE('29.07 Bugolobi-Nakawa'!C35,'30.07 Bugolobi-Nakawa'!C35,'31.07 Bugolobi-Nakawa'!C35,'02.08 Bugolobi-Nakawa'!C35,'01.08 Bugolobi-Nakawa-24h'!C35,'03.08 Bugolobi-Nakawa-24h'!C35,'04.08 Bugolobi-Nakawa'!C35)</f>
        <v>55.428571428571431</v>
      </c>
      <c r="D35" s="49">
        <f>AVERAGE('29.07 Bugolobi-Nakawa'!D35,'30.07 Bugolobi-Nakawa'!D35,'31.07 Bugolobi-Nakawa'!D35,'02.08 Bugolobi-Nakawa'!D35,'01.08 Bugolobi-Nakawa-24h'!D35,'03.08 Bugolobi-Nakawa-24h'!D35,'04.08 Bugolobi-Nakawa'!D35)</f>
        <v>17.714285714285715</v>
      </c>
      <c r="E35" s="49">
        <f>AVERAGE('29.07 Bugolobi-Nakawa'!E35,'30.07 Bugolobi-Nakawa'!E35,'31.07 Bugolobi-Nakawa'!E35,'02.08 Bugolobi-Nakawa'!E35,'01.08 Bugolobi-Nakawa-24h'!E35,'03.08 Bugolobi-Nakawa-24h'!E35,'04.08 Bugolobi-Nakawa'!E35)</f>
        <v>18.571428571428573</v>
      </c>
      <c r="F35" s="49">
        <f>AVERAGE('29.07 Bugolobi-Nakawa'!F35,'30.07 Bugolobi-Nakawa'!F35,'31.07 Bugolobi-Nakawa'!F35,'02.08 Bugolobi-Nakawa'!F35,'01.08 Bugolobi-Nakawa-24h'!F35,'03.08 Bugolobi-Nakawa-24h'!F35,'04.08 Bugolobi-Nakawa'!F35)</f>
        <v>23</v>
      </c>
      <c r="G35" s="49">
        <f>AVERAGE('29.07 Bugolobi-Nakawa'!G35,'30.07 Bugolobi-Nakawa'!G35,'31.07 Bugolobi-Nakawa'!G35,'02.08 Bugolobi-Nakawa'!G35,'01.08 Bugolobi-Nakawa-24h'!G35,'03.08 Bugolobi-Nakawa-24h'!G35,'04.08 Bugolobi-Nakawa'!G35)</f>
        <v>0.2857142857142857</v>
      </c>
      <c r="H35" s="49">
        <f>AVERAGE('29.07 Bugolobi-Nakawa'!H35,'30.07 Bugolobi-Nakawa'!H35,'31.07 Bugolobi-Nakawa'!H35,'02.08 Bugolobi-Nakawa'!H35,'01.08 Bugolobi-Nakawa-24h'!H35,'03.08 Bugolobi-Nakawa-24h'!H35,'04.08 Bugolobi-Nakawa'!H35)</f>
        <v>0</v>
      </c>
      <c r="I35" s="49">
        <f>AVERAGE('29.07 Bugolobi-Nakawa'!I35,'30.07 Bugolobi-Nakawa'!I35,'31.07 Bugolobi-Nakawa'!I35,'02.08 Bugolobi-Nakawa'!I35,'01.08 Bugolobi-Nakawa-24h'!I35,'03.08 Bugolobi-Nakawa-24h'!I35,'04.08 Bugolobi-Nakawa'!I35)</f>
        <v>1.4285714285714286</v>
      </c>
      <c r="J35" s="49">
        <f>AVERAGE('29.07 Bugolobi-Nakawa'!J35,'30.07 Bugolobi-Nakawa'!J35,'31.07 Bugolobi-Nakawa'!J35,'02.08 Bugolobi-Nakawa'!J35,'01.08 Bugolobi-Nakawa-24h'!J35,'03.08 Bugolobi-Nakawa-24h'!J35,'04.08 Bugolobi-Nakawa'!J35)</f>
        <v>1.2857142857142858</v>
      </c>
      <c r="K35" s="49">
        <f>AVERAGE('29.07 Bugolobi-Nakawa'!K35,'30.07 Bugolobi-Nakawa'!K35,'31.07 Bugolobi-Nakawa'!K35,'02.08 Bugolobi-Nakawa'!K35,'01.08 Bugolobi-Nakawa-24h'!K35,'03.08 Bugolobi-Nakawa-24h'!K35,'04.08 Bugolobi-Nakawa'!K35)</f>
        <v>0.2857142857142857</v>
      </c>
      <c r="L35" s="49">
        <f>AVERAGE('29.07 Bugolobi-Nakawa'!L35,'30.07 Bugolobi-Nakawa'!L35,'31.07 Bugolobi-Nakawa'!L35,'02.08 Bugolobi-Nakawa'!L35,'01.08 Bugolobi-Nakawa-24h'!L35,'03.08 Bugolobi-Nakawa-24h'!L35,'04.08 Bugolobi-Nakawa'!L35)</f>
        <v>0</v>
      </c>
      <c r="M35" s="49">
        <f>AVERAGE('29.07 Bugolobi-Nakawa'!M35,'30.07 Bugolobi-Nakawa'!M35,'31.07 Bugolobi-Nakawa'!M35,'02.08 Bugolobi-Nakawa'!M35,'01.08 Bugolobi-Nakawa-24h'!M35,'03.08 Bugolobi-Nakawa-24h'!M35,'04.08 Bugolobi-Nakawa'!M35)</f>
        <v>57</v>
      </c>
      <c r="N35" s="49">
        <f>AVERAGE('29.07 Bugolobi-Nakawa'!N35,'30.07 Bugolobi-Nakawa'!N35,'31.07 Bugolobi-Nakawa'!N35,'02.08 Bugolobi-Nakawa'!N35,'01.08 Bugolobi-Nakawa-24h'!N35,'03.08 Bugolobi-Nakawa-24h'!N35,'04.08 Bugolobi-Nakawa'!N35)</f>
        <v>0</v>
      </c>
      <c r="O35" s="15">
        <f t="shared" si="0"/>
        <v>118.00000000000001</v>
      </c>
      <c r="P35" s="15">
        <f t="shared" si="1"/>
        <v>175</v>
      </c>
      <c r="R35" s="38" t="s">
        <v>92</v>
      </c>
      <c r="S35" s="39">
        <f t="shared" ref="S35:AF35" si="27">MAX(S19:S21)</f>
        <v>502</v>
      </c>
      <c r="T35" s="39">
        <f t="shared" si="27"/>
        <v>203</v>
      </c>
      <c r="U35" s="39">
        <f t="shared" si="27"/>
        <v>151.28571428571431</v>
      </c>
      <c r="V35" s="39">
        <f t="shared" si="27"/>
        <v>146.85714285714286</v>
      </c>
      <c r="W35" s="39">
        <f t="shared" si="27"/>
        <v>1.5714285714285714</v>
      </c>
      <c r="X35" s="39">
        <f t="shared" si="27"/>
        <v>0.8571428571428571</v>
      </c>
      <c r="Y35" s="39">
        <f t="shared" si="27"/>
        <v>14.857142857142858</v>
      </c>
      <c r="Z35" s="39">
        <f t="shared" si="27"/>
        <v>7.5714285714285712</v>
      </c>
      <c r="AA35" s="39">
        <f t="shared" si="27"/>
        <v>1.1428571428571428</v>
      </c>
      <c r="AB35" s="39">
        <f t="shared" si="27"/>
        <v>0.71428571428571419</v>
      </c>
      <c r="AC35" s="39">
        <f t="shared" si="27"/>
        <v>315.28571428571428</v>
      </c>
      <c r="AD35" s="39">
        <f t="shared" si="27"/>
        <v>0.14285714285714285</v>
      </c>
      <c r="AE35" s="40">
        <f t="shared" si="27"/>
        <v>1051.5714285714284</v>
      </c>
      <c r="AF35" s="40">
        <f t="shared" si="27"/>
        <v>1357.5714285714287</v>
      </c>
    </row>
    <row r="36" spans="2:32" ht="23.1" customHeight="1" x14ac:dyDescent="0.25">
      <c r="B36" s="24" t="s">
        <v>63</v>
      </c>
      <c r="C36" s="49">
        <f>AVERAGE('29.07 Bugolobi-Nakawa'!C36,'30.07 Bugolobi-Nakawa'!C36,'31.07 Bugolobi-Nakawa'!C36,'02.08 Bugolobi-Nakawa'!C36,'01.08 Bugolobi-Nakawa-24h'!C36,'03.08 Bugolobi-Nakawa-24h'!C36,'04.08 Bugolobi-Nakawa'!C36)</f>
        <v>54</v>
      </c>
      <c r="D36" s="49">
        <f>AVERAGE('29.07 Bugolobi-Nakawa'!D36,'30.07 Bugolobi-Nakawa'!D36,'31.07 Bugolobi-Nakawa'!D36,'02.08 Bugolobi-Nakawa'!D36,'01.08 Bugolobi-Nakawa-24h'!D36,'03.08 Bugolobi-Nakawa-24h'!D36,'04.08 Bugolobi-Nakawa'!D36)</f>
        <v>23.142857142857142</v>
      </c>
      <c r="E36" s="49">
        <f>AVERAGE('29.07 Bugolobi-Nakawa'!E36,'30.07 Bugolobi-Nakawa'!E36,'31.07 Bugolobi-Nakawa'!E36,'02.08 Bugolobi-Nakawa'!E36,'01.08 Bugolobi-Nakawa-24h'!E36,'03.08 Bugolobi-Nakawa-24h'!E36,'04.08 Bugolobi-Nakawa'!E36)</f>
        <v>17.857142857142858</v>
      </c>
      <c r="F36" s="49">
        <f>AVERAGE('29.07 Bugolobi-Nakawa'!F36,'30.07 Bugolobi-Nakawa'!F36,'31.07 Bugolobi-Nakawa'!F36,'02.08 Bugolobi-Nakawa'!F36,'01.08 Bugolobi-Nakawa-24h'!F36,'03.08 Bugolobi-Nakawa-24h'!F36,'04.08 Bugolobi-Nakawa'!F36)</f>
        <v>27</v>
      </c>
      <c r="G36" s="49">
        <f>AVERAGE('29.07 Bugolobi-Nakawa'!G36,'30.07 Bugolobi-Nakawa'!G36,'31.07 Bugolobi-Nakawa'!G36,'02.08 Bugolobi-Nakawa'!G36,'01.08 Bugolobi-Nakawa-24h'!G36,'03.08 Bugolobi-Nakawa-24h'!G36,'04.08 Bugolobi-Nakawa'!G36)</f>
        <v>0.14285714285714285</v>
      </c>
      <c r="H36" s="49">
        <f>AVERAGE('29.07 Bugolobi-Nakawa'!H36,'30.07 Bugolobi-Nakawa'!H36,'31.07 Bugolobi-Nakawa'!H36,'02.08 Bugolobi-Nakawa'!H36,'01.08 Bugolobi-Nakawa-24h'!H36,'03.08 Bugolobi-Nakawa-24h'!H36,'04.08 Bugolobi-Nakawa'!H36)</f>
        <v>0</v>
      </c>
      <c r="I36" s="49">
        <f>AVERAGE('29.07 Bugolobi-Nakawa'!I36,'30.07 Bugolobi-Nakawa'!I36,'31.07 Bugolobi-Nakawa'!I36,'02.08 Bugolobi-Nakawa'!I36,'01.08 Bugolobi-Nakawa-24h'!I36,'03.08 Bugolobi-Nakawa-24h'!I36,'04.08 Bugolobi-Nakawa'!I36)</f>
        <v>3.1428571428571428</v>
      </c>
      <c r="J36" s="49">
        <f>AVERAGE('29.07 Bugolobi-Nakawa'!J36,'30.07 Bugolobi-Nakawa'!J36,'31.07 Bugolobi-Nakawa'!J36,'02.08 Bugolobi-Nakawa'!J36,'01.08 Bugolobi-Nakawa-24h'!J36,'03.08 Bugolobi-Nakawa-24h'!J36,'04.08 Bugolobi-Nakawa'!J36)</f>
        <v>1.8571428571428572</v>
      </c>
      <c r="K36" s="49">
        <f>AVERAGE('29.07 Bugolobi-Nakawa'!K36,'30.07 Bugolobi-Nakawa'!K36,'31.07 Bugolobi-Nakawa'!K36,'02.08 Bugolobi-Nakawa'!K36,'01.08 Bugolobi-Nakawa-24h'!K36,'03.08 Bugolobi-Nakawa-24h'!K36,'04.08 Bugolobi-Nakawa'!K36)</f>
        <v>0</v>
      </c>
      <c r="L36" s="49">
        <f>AVERAGE('29.07 Bugolobi-Nakawa'!L36,'30.07 Bugolobi-Nakawa'!L36,'31.07 Bugolobi-Nakawa'!L36,'02.08 Bugolobi-Nakawa'!L36,'01.08 Bugolobi-Nakawa-24h'!L36,'03.08 Bugolobi-Nakawa-24h'!L36,'04.08 Bugolobi-Nakawa'!L36)</f>
        <v>0.14285714285714285</v>
      </c>
      <c r="M36" s="49">
        <f>AVERAGE('29.07 Bugolobi-Nakawa'!M36,'30.07 Bugolobi-Nakawa'!M36,'31.07 Bugolobi-Nakawa'!M36,'02.08 Bugolobi-Nakawa'!M36,'01.08 Bugolobi-Nakawa-24h'!M36,'03.08 Bugolobi-Nakawa-24h'!M36,'04.08 Bugolobi-Nakawa'!M36)</f>
        <v>53.714285714285715</v>
      </c>
      <c r="N36" s="49">
        <f>AVERAGE('29.07 Bugolobi-Nakawa'!N36,'30.07 Bugolobi-Nakawa'!N36,'31.07 Bugolobi-Nakawa'!N36,'02.08 Bugolobi-Nakawa'!N36,'01.08 Bugolobi-Nakawa-24h'!N36,'03.08 Bugolobi-Nakawa-24h'!N36,'04.08 Bugolobi-Nakawa'!N36)</f>
        <v>0</v>
      </c>
      <c r="O36" s="15">
        <f t="shared" si="0"/>
        <v>127.28571428571428</v>
      </c>
      <c r="P36" s="15">
        <f t="shared" si="1"/>
        <v>181</v>
      </c>
      <c r="R36" s="37" t="s">
        <v>85</v>
      </c>
      <c r="S36" s="35">
        <f t="shared" ref="S36:AF36" si="28">SUM(S10:S12)</f>
        <v>973.85714285714289</v>
      </c>
      <c r="T36" s="16">
        <f t="shared" si="28"/>
        <v>379.85714285714278</v>
      </c>
      <c r="U36" s="16">
        <f t="shared" si="28"/>
        <v>252.71428571428572</v>
      </c>
      <c r="V36" s="16">
        <f t="shared" si="28"/>
        <v>459.85714285714283</v>
      </c>
      <c r="W36" s="16">
        <f t="shared" si="28"/>
        <v>3.1428571428571423</v>
      </c>
      <c r="X36" s="16">
        <f t="shared" si="28"/>
        <v>3.1428571428571428</v>
      </c>
      <c r="Y36" s="16">
        <f t="shared" si="28"/>
        <v>26.857142857142858</v>
      </c>
      <c r="Z36" s="16">
        <f t="shared" si="28"/>
        <v>12.285714285714285</v>
      </c>
      <c r="AA36" s="16">
        <f t="shared" si="28"/>
        <v>1.2857142857142856</v>
      </c>
      <c r="AB36" s="16">
        <f t="shared" si="28"/>
        <v>1.5714285714285712</v>
      </c>
      <c r="AC36" s="16">
        <f t="shared" si="28"/>
        <v>830.14285714285711</v>
      </c>
      <c r="AD36" s="16">
        <f t="shared" si="28"/>
        <v>0</v>
      </c>
      <c r="AE36" s="32">
        <f t="shared" si="28"/>
        <v>2114.571428571428</v>
      </c>
      <c r="AF36" s="32">
        <f t="shared" si="28"/>
        <v>2944.7142857142853</v>
      </c>
    </row>
    <row r="37" spans="2:32" ht="23.1" customHeight="1" x14ac:dyDescent="0.25">
      <c r="B37" s="23" t="s">
        <v>64</v>
      </c>
      <c r="C37" s="49">
        <f>AVERAGE('29.07 Bugolobi-Nakawa'!C37,'30.07 Bugolobi-Nakawa'!C37,'31.07 Bugolobi-Nakawa'!C37,'02.08 Bugolobi-Nakawa'!C37,'01.08 Bugolobi-Nakawa-24h'!C37,'03.08 Bugolobi-Nakawa-24h'!C37,'04.08 Bugolobi-Nakawa'!C37)</f>
        <v>53</v>
      </c>
      <c r="D37" s="49">
        <f>AVERAGE('29.07 Bugolobi-Nakawa'!D37,'30.07 Bugolobi-Nakawa'!D37,'31.07 Bugolobi-Nakawa'!D37,'02.08 Bugolobi-Nakawa'!D37,'01.08 Bugolobi-Nakawa-24h'!D37,'03.08 Bugolobi-Nakawa-24h'!D37,'04.08 Bugolobi-Nakawa'!D37)</f>
        <v>25.857142857142858</v>
      </c>
      <c r="E37" s="49">
        <f>AVERAGE('29.07 Bugolobi-Nakawa'!E37,'30.07 Bugolobi-Nakawa'!E37,'31.07 Bugolobi-Nakawa'!E37,'02.08 Bugolobi-Nakawa'!E37,'01.08 Bugolobi-Nakawa-24h'!E37,'03.08 Bugolobi-Nakawa-24h'!E37,'04.08 Bugolobi-Nakawa'!E37)</f>
        <v>16.571428571428573</v>
      </c>
      <c r="F37" s="49">
        <f>AVERAGE('29.07 Bugolobi-Nakawa'!F37,'30.07 Bugolobi-Nakawa'!F37,'31.07 Bugolobi-Nakawa'!F37,'02.08 Bugolobi-Nakawa'!F37,'01.08 Bugolobi-Nakawa-24h'!F37,'03.08 Bugolobi-Nakawa-24h'!F37,'04.08 Bugolobi-Nakawa'!F37)</f>
        <v>26</v>
      </c>
      <c r="G37" s="49">
        <f>AVERAGE('29.07 Bugolobi-Nakawa'!G37,'30.07 Bugolobi-Nakawa'!G37,'31.07 Bugolobi-Nakawa'!G37,'02.08 Bugolobi-Nakawa'!G37,'01.08 Bugolobi-Nakawa-24h'!G37,'03.08 Bugolobi-Nakawa-24h'!G37,'04.08 Bugolobi-Nakawa'!G37)</f>
        <v>0.14285714285714285</v>
      </c>
      <c r="H37" s="49">
        <f>AVERAGE('29.07 Bugolobi-Nakawa'!H37,'30.07 Bugolobi-Nakawa'!H37,'31.07 Bugolobi-Nakawa'!H37,'02.08 Bugolobi-Nakawa'!H37,'01.08 Bugolobi-Nakawa-24h'!H37,'03.08 Bugolobi-Nakawa-24h'!H37,'04.08 Bugolobi-Nakawa'!H37)</f>
        <v>0</v>
      </c>
      <c r="I37" s="49">
        <f>AVERAGE('29.07 Bugolobi-Nakawa'!I37,'30.07 Bugolobi-Nakawa'!I37,'31.07 Bugolobi-Nakawa'!I37,'02.08 Bugolobi-Nakawa'!I37,'01.08 Bugolobi-Nakawa-24h'!I37,'03.08 Bugolobi-Nakawa-24h'!I37,'04.08 Bugolobi-Nakawa'!I37)</f>
        <v>2</v>
      </c>
      <c r="J37" s="49">
        <f>AVERAGE('29.07 Bugolobi-Nakawa'!J37,'30.07 Bugolobi-Nakawa'!J37,'31.07 Bugolobi-Nakawa'!J37,'02.08 Bugolobi-Nakawa'!J37,'01.08 Bugolobi-Nakawa-24h'!J37,'03.08 Bugolobi-Nakawa-24h'!J37,'04.08 Bugolobi-Nakawa'!J37)</f>
        <v>2.1428571428571428</v>
      </c>
      <c r="K37" s="49">
        <f>AVERAGE('29.07 Bugolobi-Nakawa'!K37,'30.07 Bugolobi-Nakawa'!K37,'31.07 Bugolobi-Nakawa'!K37,'02.08 Bugolobi-Nakawa'!K37,'01.08 Bugolobi-Nakawa-24h'!K37,'03.08 Bugolobi-Nakawa-24h'!K37,'04.08 Bugolobi-Nakawa'!K37)</f>
        <v>0.14285714285714285</v>
      </c>
      <c r="L37" s="49">
        <f>AVERAGE('29.07 Bugolobi-Nakawa'!L37,'30.07 Bugolobi-Nakawa'!L37,'31.07 Bugolobi-Nakawa'!L37,'02.08 Bugolobi-Nakawa'!L37,'01.08 Bugolobi-Nakawa-24h'!L37,'03.08 Bugolobi-Nakawa-24h'!L37,'04.08 Bugolobi-Nakawa'!L37)</f>
        <v>0.2857142857142857</v>
      </c>
      <c r="M37" s="49">
        <f>AVERAGE('29.07 Bugolobi-Nakawa'!M37,'30.07 Bugolobi-Nakawa'!M37,'31.07 Bugolobi-Nakawa'!M37,'02.08 Bugolobi-Nakawa'!M37,'01.08 Bugolobi-Nakawa-24h'!M37,'03.08 Bugolobi-Nakawa-24h'!M37,'04.08 Bugolobi-Nakawa'!M37)</f>
        <v>46.857142857142854</v>
      </c>
      <c r="N37" s="49">
        <f>AVERAGE('29.07 Bugolobi-Nakawa'!N37,'30.07 Bugolobi-Nakawa'!N37,'31.07 Bugolobi-Nakawa'!N37,'02.08 Bugolobi-Nakawa'!N37,'01.08 Bugolobi-Nakawa-24h'!N37,'03.08 Bugolobi-Nakawa-24h'!N37,'04.08 Bugolobi-Nakawa'!N37)</f>
        <v>0</v>
      </c>
      <c r="O37" s="15">
        <f t="shared" si="0"/>
        <v>126.14285714285714</v>
      </c>
      <c r="P37" s="15">
        <f t="shared" si="1"/>
        <v>173</v>
      </c>
      <c r="R37" s="28" t="s">
        <v>86</v>
      </c>
      <c r="S37" s="16">
        <f t="shared" ref="S37:AF37" si="29">SUM(S13:S18)</f>
        <v>1678</v>
      </c>
      <c r="T37" s="16">
        <f t="shared" si="29"/>
        <v>606.57142857142856</v>
      </c>
      <c r="U37" s="16">
        <f t="shared" si="29"/>
        <v>423.57142857142856</v>
      </c>
      <c r="V37" s="16">
        <f t="shared" si="29"/>
        <v>693.14285714285722</v>
      </c>
      <c r="W37" s="16">
        <f t="shared" si="29"/>
        <v>4.7142857142857135</v>
      </c>
      <c r="X37" s="16">
        <f t="shared" si="29"/>
        <v>2.714285714285714</v>
      </c>
      <c r="Y37" s="16">
        <f t="shared" si="29"/>
        <v>58.142857142857139</v>
      </c>
      <c r="Z37" s="16">
        <f t="shared" si="29"/>
        <v>36.428571428571431</v>
      </c>
      <c r="AA37" s="16">
        <f t="shared" si="29"/>
        <v>5.1428571428571423</v>
      </c>
      <c r="AB37" s="16">
        <f t="shared" si="29"/>
        <v>5.1428571428571423</v>
      </c>
      <c r="AC37" s="16">
        <f t="shared" si="29"/>
        <v>1514.8571428571427</v>
      </c>
      <c r="AD37" s="16">
        <f t="shared" si="29"/>
        <v>0.14285714285714285</v>
      </c>
      <c r="AE37" s="32">
        <f t="shared" si="29"/>
        <v>3513.7142857142853</v>
      </c>
      <c r="AF37" s="32">
        <f t="shared" si="29"/>
        <v>5028.5714285714275</v>
      </c>
    </row>
    <row r="38" spans="2:32" ht="23.1" customHeight="1" x14ac:dyDescent="0.25">
      <c r="B38" s="24" t="s">
        <v>65</v>
      </c>
      <c r="C38" s="49">
        <f>AVERAGE('29.07 Bugolobi-Nakawa'!C38,'30.07 Bugolobi-Nakawa'!C38,'31.07 Bugolobi-Nakawa'!C38,'02.08 Bugolobi-Nakawa'!C38,'01.08 Bugolobi-Nakawa-24h'!C38,'03.08 Bugolobi-Nakawa-24h'!C38,'04.08 Bugolobi-Nakawa'!C38)</f>
        <v>75.285714285714292</v>
      </c>
      <c r="D38" s="49">
        <f>AVERAGE('29.07 Bugolobi-Nakawa'!D38,'30.07 Bugolobi-Nakawa'!D38,'31.07 Bugolobi-Nakawa'!D38,'02.08 Bugolobi-Nakawa'!D38,'01.08 Bugolobi-Nakawa-24h'!D38,'03.08 Bugolobi-Nakawa-24h'!D38,'04.08 Bugolobi-Nakawa'!D38)</f>
        <v>32.285714285714285</v>
      </c>
      <c r="E38" s="49">
        <f>AVERAGE('29.07 Bugolobi-Nakawa'!E38,'30.07 Bugolobi-Nakawa'!E38,'31.07 Bugolobi-Nakawa'!E38,'02.08 Bugolobi-Nakawa'!E38,'01.08 Bugolobi-Nakawa-24h'!E38,'03.08 Bugolobi-Nakawa-24h'!E38,'04.08 Bugolobi-Nakawa'!E38)</f>
        <v>15.571428571428571</v>
      </c>
      <c r="F38" s="49">
        <f>AVERAGE('29.07 Bugolobi-Nakawa'!F38,'30.07 Bugolobi-Nakawa'!F38,'31.07 Bugolobi-Nakawa'!F38,'02.08 Bugolobi-Nakawa'!F38,'01.08 Bugolobi-Nakawa-24h'!F38,'03.08 Bugolobi-Nakawa-24h'!F38,'04.08 Bugolobi-Nakawa'!F38)</f>
        <v>30.714285714285715</v>
      </c>
      <c r="G38" s="49">
        <f>AVERAGE('29.07 Bugolobi-Nakawa'!G38,'30.07 Bugolobi-Nakawa'!G38,'31.07 Bugolobi-Nakawa'!G38,'02.08 Bugolobi-Nakawa'!G38,'01.08 Bugolobi-Nakawa-24h'!G38,'03.08 Bugolobi-Nakawa-24h'!G38,'04.08 Bugolobi-Nakawa'!G38)</f>
        <v>0.14285714285714285</v>
      </c>
      <c r="H38" s="49">
        <f>AVERAGE('29.07 Bugolobi-Nakawa'!H38,'30.07 Bugolobi-Nakawa'!H38,'31.07 Bugolobi-Nakawa'!H38,'02.08 Bugolobi-Nakawa'!H38,'01.08 Bugolobi-Nakawa-24h'!H38,'03.08 Bugolobi-Nakawa-24h'!H38,'04.08 Bugolobi-Nakawa'!H38)</f>
        <v>0.2857142857142857</v>
      </c>
      <c r="I38" s="49">
        <f>AVERAGE('29.07 Bugolobi-Nakawa'!I38,'30.07 Bugolobi-Nakawa'!I38,'31.07 Bugolobi-Nakawa'!I38,'02.08 Bugolobi-Nakawa'!I38,'01.08 Bugolobi-Nakawa-24h'!I38,'03.08 Bugolobi-Nakawa-24h'!I38,'04.08 Bugolobi-Nakawa'!I38)</f>
        <v>1.7142857142857142</v>
      </c>
      <c r="J38" s="49">
        <f>AVERAGE('29.07 Bugolobi-Nakawa'!J38,'30.07 Bugolobi-Nakawa'!J38,'31.07 Bugolobi-Nakawa'!J38,'02.08 Bugolobi-Nakawa'!J38,'01.08 Bugolobi-Nakawa-24h'!J38,'03.08 Bugolobi-Nakawa-24h'!J38,'04.08 Bugolobi-Nakawa'!J38)</f>
        <v>1.2857142857142858</v>
      </c>
      <c r="K38" s="49">
        <f>AVERAGE('29.07 Bugolobi-Nakawa'!K38,'30.07 Bugolobi-Nakawa'!K38,'31.07 Bugolobi-Nakawa'!K38,'02.08 Bugolobi-Nakawa'!K38,'01.08 Bugolobi-Nakawa-24h'!K38,'03.08 Bugolobi-Nakawa-24h'!K38,'04.08 Bugolobi-Nakawa'!K38)</f>
        <v>0.2857142857142857</v>
      </c>
      <c r="L38" s="49">
        <f>AVERAGE('29.07 Bugolobi-Nakawa'!L38,'30.07 Bugolobi-Nakawa'!L38,'31.07 Bugolobi-Nakawa'!L38,'02.08 Bugolobi-Nakawa'!L38,'01.08 Bugolobi-Nakawa-24h'!L38,'03.08 Bugolobi-Nakawa-24h'!L38,'04.08 Bugolobi-Nakawa'!L38)</f>
        <v>0.14285714285714285</v>
      </c>
      <c r="M38" s="49">
        <f>AVERAGE('29.07 Bugolobi-Nakawa'!M38,'30.07 Bugolobi-Nakawa'!M38,'31.07 Bugolobi-Nakawa'!M38,'02.08 Bugolobi-Nakawa'!M38,'01.08 Bugolobi-Nakawa-24h'!M38,'03.08 Bugolobi-Nakawa-24h'!M38,'04.08 Bugolobi-Nakawa'!M38)</f>
        <v>60.428571428571431</v>
      </c>
      <c r="N38" s="49">
        <f>AVERAGE('29.07 Bugolobi-Nakawa'!N38,'30.07 Bugolobi-Nakawa'!N38,'31.07 Bugolobi-Nakawa'!N38,'02.08 Bugolobi-Nakawa'!N38,'01.08 Bugolobi-Nakawa-24h'!N38,'03.08 Bugolobi-Nakawa-24h'!N38,'04.08 Bugolobi-Nakawa'!N38)</f>
        <v>0</v>
      </c>
      <c r="O38" s="15">
        <f t="shared" si="0"/>
        <v>157.71428571428569</v>
      </c>
      <c r="P38" s="15">
        <f t="shared" si="1"/>
        <v>218.14285714285711</v>
      </c>
      <c r="R38" s="29" t="s">
        <v>87</v>
      </c>
      <c r="S38" s="16">
        <f t="shared" ref="S38:AF38" si="30">SUM(S19:S21)</f>
        <v>1122.3571428571429</v>
      </c>
      <c r="T38" s="16">
        <f t="shared" si="30"/>
        <v>525</v>
      </c>
      <c r="U38" s="16">
        <f t="shared" si="30"/>
        <v>336.71428571428578</v>
      </c>
      <c r="V38" s="16">
        <f t="shared" si="30"/>
        <v>384.28571428571428</v>
      </c>
      <c r="W38" s="16">
        <f t="shared" si="30"/>
        <v>3.7142857142857144</v>
      </c>
      <c r="X38" s="16">
        <f t="shared" si="30"/>
        <v>1.9999999999999996</v>
      </c>
      <c r="Y38" s="16">
        <f t="shared" si="30"/>
        <v>34</v>
      </c>
      <c r="Z38" s="16">
        <f t="shared" si="30"/>
        <v>17.857142857142858</v>
      </c>
      <c r="AA38" s="16">
        <f t="shared" si="30"/>
        <v>2.7142857142857144</v>
      </c>
      <c r="AB38" s="16">
        <f t="shared" si="30"/>
        <v>1.2857142857142856</v>
      </c>
      <c r="AC38" s="16">
        <f t="shared" si="30"/>
        <v>907.14285714285711</v>
      </c>
      <c r="AD38" s="16">
        <f t="shared" si="30"/>
        <v>0.14285714285714285</v>
      </c>
      <c r="AE38" s="32">
        <f t="shared" si="30"/>
        <v>2723.4285714285711</v>
      </c>
      <c r="AF38" s="32">
        <f t="shared" si="30"/>
        <v>3630.5714285714284</v>
      </c>
    </row>
    <row r="39" spans="2:32" ht="23.1" customHeight="1" x14ac:dyDescent="0.25">
      <c r="B39" s="24" t="s">
        <v>66</v>
      </c>
      <c r="C39" s="49">
        <f>AVERAGE('29.07 Bugolobi-Nakawa'!C39,'30.07 Bugolobi-Nakawa'!C39,'31.07 Bugolobi-Nakawa'!C39,'02.08 Bugolobi-Nakawa'!C39,'01.08 Bugolobi-Nakawa-24h'!C39,'03.08 Bugolobi-Nakawa-24h'!C39,'04.08 Bugolobi-Nakawa'!C39)</f>
        <v>68.285714285714292</v>
      </c>
      <c r="D39" s="49">
        <f>AVERAGE('29.07 Bugolobi-Nakawa'!D39,'30.07 Bugolobi-Nakawa'!D39,'31.07 Bugolobi-Nakawa'!D39,'02.08 Bugolobi-Nakawa'!D39,'01.08 Bugolobi-Nakawa-24h'!D39,'03.08 Bugolobi-Nakawa-24h'!D39,'04.08 Bugolobi-Nakawa'!D39)</f>
        <v>20</v>
      </c>
      <c r="E39" s="49">
        <f>AVERAGE('29.07 Bugolobi-Nakawa'!E39,'30.07 Bugolobi-Nakawa'!E39,'31.07 Bugolobi-Nakawa'!E39,'02.08 Bugolobi-Nakawa'!E39,'01.08 Bugolobi-Nakawa-24h'!E39,'03.08 Bugolobi-Nakawa-24h'!E39,'04.08 Bugolobi-Nakawa'!E39)</f>
        <v>18</v>
      </c>
      <c r="F39" s="49">
        <f>AVERAGE('29.07 Bugolobi-Nakawa'!F39,'30.07 Bugolobi-Nakawa'!F39,'31.07 Bugolobi-Nakawa'!F39,'02.08 Bugolobi-Nakawa'!F39,'01.08 Bugolobi-Nakawa-24h'!F39,'03.08 Bugolobi-Nakawa-24h'!F39,'04.08 Bugolobi-Nakawa'!F39)</f>
        <v>28.714285714285715</v>
      </c>
      <c r="G39" s="49">
        <f>AVERAGE('29.07 Bugolobi-Nakawa'!G39,'30.07 Bugolobi-Nakawa'!G39,'31.07 Bugolobi-Nakawa'!G39,'02.08 Bugolobi-Nakawa'!G39,'01.08 Bugolobi-Nakawa-24h'!G39,'03.08 Bugolobi-Nakawa-24h'!G39,'04.08 Bugolobi-Nakawa'!G39)</f>
        <v>0.14285714285714285</v>
      </c>
      <c r="H39" s="49">
        <f>AVERAGE('29.07 Bugolobi-Nakawa'!H39,'30.07 Bugolobi-Nakawa'!H39,'31.07 Bugolobi-Nakawa'!H39,'02.08 Bugolobi-Nakawa'!H39,'01.08 Bugolobi-Nakawa-24h'!H39,'03.08 Bugolobi-Nakawa-24h'!H39,'04.08 Bugolobi-Nakawa'!H39)</f>
        <v>0.42857142857142855</v>
      </c>
      <c r="I39" s="49">
        <f>AVERAGE('29.07 Bugolobi-Nakawa'!I39,'30.07 Bugolobi-Nakawa'!I39,'31.07 Bugolobi-Nakawa'!I39,'02.08 Bugolobi-Nakawa'!I39,'01.08 Bugolobi-Nakawa-24h'!I39,'03.08 Bugolobi-Nakawa-24h'!I39,'04.08 Bugolobi-Nakawa'!I39)</f>
        <v>3.8571428571428572</v>
      </c>
      <c r="J39" s="49">
        <f>AVERAGE('29.07 Bugolobi-Nakawa'!J39,'30.07 Bugolobi-Nakawa'!J39,'31.07 Bugolobi-Nakawa'!J39,'02.08 Bugolobi-Nakawa'!J39,'01.08 Bugolobi-Nakawa-24h'!J39,'03.08 Bugolobi-Nakawa-24h'!J39,'04.08 Bugolobi-Nakawa'!J39)</f>
        <v>1</v>
      </c>
      <c r="K39" s="49">
        <f>AVERAGE('29.07 Bugolobi-Nakawa'!K39,'30.07 Bugolobi-Nakawa'!K39,'31.07 Bugolobi-Nakawa'!K39,'02.08 Bugolobi-Nakawa'!K39,'01.08 Bugolobi-Nakawa-24h'!K39,'03.08 Bugolobi-Nakawa-24h'!K39,'04.08 Bugolobi-Nakawa'!K39)</f>
        <v>0.2857142857142857</v>
      </c>
      <c r="L39" s="49">
        <f>AVERAGE('29.07 Bugolobi-Nakawa'!L39,'30.07 Bugolobi-Nakawa'!L39,'31.07 Bugolobi-Nakawa'!L39,'02.08 Bugolobi-Nakawa'!L39,'01.08 Bugolobi-Nakawa-24h'!L39,'03.08 Bugolobi-Nakawa-24h'!L39,'04.08 Bugolobi-Nakawa'!L39)</f>
        <v>0.14285714285714285</v>
      </c>
      <c r="M39" s="49">
        <f>AVERAGE('29.07 Bugolobi-Nakawa'!M39,'30.07 Bugolobi-Nakawa'!M39,'31.07 Bugolobi-Nakawa'!M39,'02.08 Bugolobi-Nakawa'!M39,'01.08 Bugolobi-Nakawa-24h'!M39,'03.08 Bugolobi-Nakawa-24h'!M39,'04.08 Bugolobi-Nakawa'!M39)</f>
        <v>62.857142857142854</v>
      </c>
      <c r="N39" s="49">
        <f>AVERAGE('29.07 Bugolobi-Nakawa'!N39,'30.07 Bugolobi-Nakawa'!N39,'31.07 Bugolobi-Nakawa'!N39,'02.08 Bugolobi-Nakawa'!N39,'01.08 Bugolobi-Nakawa-24h'!N39,'03.08 Bugolobi-Nakawa-24h'!N39,'04.08 Bugolobi-Nakawa'!N39)</f>
        <v>0</v>
      </c>
      <c r="O39" s="15">
        <f t="shared" si="0"/>
        <v>140.85714285714283</v>
      </c>
      <c r="P39" s="15">
        <f t="shared" si="1"/>
        <v>203.71428571428569</v>
      </c>
      <c r="R39" s="5" t="s">
        <v>17</v>
      </c>
      <c r="S39" s="16">
        <f t="shared" ref="S39:AF39" si="31">SUM(S10:S21)</f>
        <v>3774.2142857142862</v>
      </c>
      <c r="T39" s="16">
        <f t="shared" si="31"/>
        <v>1511.4285714285713</v>
      </c>
      <c r="U39" s="16">
        <f t="shared" si="31"/>
        <v>1012.9999999999999</v>
      </c>
      <c r="V39" s="16">
        <f t="shared" si="31"/>
        <v>1537.2857142857144</v>
      </c>
      <c r="W39" s="16">
        <f t="shared" si="31"/>
        <v>11.571428571428571</v>
      </c>
      <c r="X39" s="16">
        <f t="shared" si="31"/>
        <v>7.8571428571428559</v>
      </c>
      <c r="Y39" s="16">
        <f t="shared" si="31"/>
        <v>119.00000000000001</v>
      </c>
      <c r="Z39" s="16">
        <f t="shared" si="31"/>
        <v>66.571428571428569</v>
      </c>
      <c r="AA39" s="16">
        <f t="shared" si="31"/>
        <v>9.1428571428571423</v>
      </c>
      <c r="AB39" s="16">
        <f t="shared" si="31"/>
        <v>7.9999999999999991</v>
      </c>
      <c r="AC39" s="16">
        <f t="shared" si="31"/>
        <v>3252.1428571428569</v>
      </c>
      <c r="AD39" s="16">
        <f t="shared" si="31"/>
        <v>0.2857142857142857</v>
      </c>
      <c r="AE39" s="32">
        <f t="shared" si="31"/>
        <v>8351.7142857142862</v>
      </c>
      <c r="AF39" s="32">
        <f t="shared" si="31"/>
        <v>11603.857142857141</v>
      </c>
    </row>
    <row r="40" spans="2:32" ht="23.1" customHeight="1" x14ac:dyDescent="0.25">
      <c r="B40" s="24" t="s">
        <v>67</v>
      </c>
      <c r="C40" s="49">
        <f>AVERAGE('29.07 Bugolobi-Nakawa'!C40,'30.07 Bugolobi-Nakawa'!C40,'31.07 Bugolobi-Nakawa'!C40,'02.08 Bugolobi-Nakawa'!C40,'01.08 Bugolobi-Nakawa-24h'!C40,'03.08 Bugolobi-Nakawa-24h'!C40,'04.08 Bugolobi-Nakawa'!C40)</f>
        <v>74.857142857142861</v>
      </c>
      <c r="D40" s="49">
        <f>AVERAGE('29.07 Bugolobi-Nakawa'!D40,'30.07 Bugolobi-Nakawa'!D40,'31.07 Bugolobi-Nakawa'!D40,'02.08 Bugolobi-Nakawa'!D40,'01.08 Bugolobi-Nakawa-24h'!D40,'03.08 Bugolobi-Nakawa-24h'!D40,'04.08 Bugolobi-Nakawa'!D40)</f>
        <v>22.142857142857142</v>
      </c>
      <c r="E40" s="49">
        <f>AVERAGE('29.07 Bugolobi-Nakawa'!E40,'30.07 Bugolobi-Nakawa'!E40,'31.07 Bugolobi-Nakawa'!E40,'02.08 Bugolobi-Nakawa'!E40,'01.08 Bugolobi-Nakawa-24h'!E40,'03.08 Bugolobi-Nakawa-24h'!E40,'04.08 Bugolobi-Nakawa'!E40)</f>
        <v>14.285714285714286</v>
      </c>
      <c r="F40" s="49">
        <f>AVERAGE('29.07 Bugolobi-Nakawa'!F40,'30.07 Bugolobi-Nakawa'!F40,'31.07 Bugolobi-Nakawa'!F40,'02.08 Bugolobi-Nakawa'!F40,'01.08 Bugolobi-Nakawa-24h'!F40,'03.08 Bugolobi-Nakawa-24h'!F40,'04.08 Bugolobi-Nakawa'!F40)</f>
        <v>27.714285714285715</v>
      </c>
      <c r="G40" s="49">
        <f>AVERAGE('29.07 Bugolobi-Nakawa'!G40,'30.07 Bugolobi-Nakawa'!G40,'31.07 Bugolobi-Nakawa'!G40,'02.08 Bugolobi-Nakawa'!G40,'01.08 Bugolobi-Nakawa-24h'!G40,'03.08 Bugolobi-Nakawa-24h'!G40,'04.08 Bugolobi-Nakawa'!G40)</f>
        <v>0.42857142857142855</v>
      </c>
      <c r="H40" s="49">
        <f>AVERAGE('29.07 Bugolobi-Nakawa'!H40,'30.07 Bugolobi-Nakawa'!H40,'31.07 Bugolobi-Nakawa'!H40,'02.08 Bugolobi-Nakawa'!H40,'01.08 Bugolobi-Nakawa-24h'!H40,'03.08 Bugolobi-Nakawa-24h'!H40,'04.08 Bugolobi-Nakawa'!H40)</f>
        <v>0</v>
      </c>
      <c r="I40" s="49">
        <f>AVERAGE('29.07 Bugolobi-Nakawa'!I40,'30.07 Bugolobi-Nakawa'!I40,'31.07 Bugolobi-Nakawa'!I40,'02.08 Bugolobi-Nakawa'!I40,'01.08 Bugolobi-Nakawa-24h'!I40,'03.08 Bugolobi-Nakawa-24h'!I40,'04.08 Bugolobi-Nakawa'!I40)</f>
        <v>2.7142857142857144</v>
      </c>
      <c r="J40" s="49">
        <f>AVERAGE('29.07 Bugolobi-Nakawa'!J40,'30.07 Bugolobi-Nakawa'!J40,'31.07 Bugolobi-Nakawa'!J40,'02.08 Bugolobi-Nakawa'!J40,'01.08 Bugolobi-Nakawa-24h'!J40,'03.08 Bugolobi-Nakawa-24h'!J40,'04.08 Bugolobi-Nakawa'!J40)</f>
        <v>1</v>
      </c>
      <c r="K40" s="49">
        <f>AVERAGE('29.07 Bugolobi-Nakawa'!K40,'30.07 Bugolobi-Nakawa'!K40,'31.07 Bugolobi-Nakawa'!K40,'02.08 Bugolobi-Nakawa'!K40,'01.08 Bugolobi-Nakawa-24h'!K40,'03.08 Bugolobi-Nakawa-24h'!K40,'04.08 Bugolobi-Nakawa'!K40)</f>
        <v>0.42857142857142855</v>
      </c>
      <c r="L40" s="49">
        <f>AVERAGE('29.07 Bugolobi-Nakawa'!L40,'30.07 Bugolobi-Nakawa'!L40,'31.07 Bugolobi-Nakawa'!L40,'02.08 Bugolobi-Nakawa'!L40,'01.08 Bugolobi-Nakawa-24h'!L40,'03.08 Bugolobi-Nakawa-24h'!L40,'04.08 Bugolobi-Nakawa'!L40)</f>
        <v>0.42857142857142855</v>
      </c>
      <c r="M40" s="49">
        <f>AVERAGE('29.07 Bugolobi-Nakawa'!M40,'30.07 Bugolobi-Nakawa'!M40,'31.07 Bugolobi-Nakawa'!M40,'02.08 Bugolobi-Nakawa'!M40,'01.08 Bugolobi-Nakawa-24h'!M40,'03.08 Bugolobi-Nakawa-24h'!M40,'04.08 Bugolobi-Nakawa'!M40)</f>
        <v>78.857142857142861</v>
      </c>
      <c r="N40" s="49">
        <f>AVERAGE('29.07 Bugolobi-Nakawa'!N40,'30.07 Bugolobi-Nakawa'!N40,'31.07 Bugolobi-Nakawa'!N40,'02.08 Bugolobi-Nakawa'!N40,'01.08 Bugolobi-Nakawa-24h'!N40,'03.08 Bugolobi-Nakawa-24h'!N40,'04.08 Bugolobi-Nakawa'!N40)</f>
        <v>0</v>
      </c>
      <c r="O40" s="15">
        <f t="shared" si="0"/>
        <v>143.99999999999997</v>
      </c>
      <c r="P40" s="15">
        <f t="shared" si="1"/>
        <v>222.85714285714283</v>
      </c>
      <c r="R40" s="5" t="s">
        <v>176</v>
      </c>
      <c r="S40" s="16">
        <f>SUM(S9:S32)</f>
        <v>4774.7142857142862</v>
      </c>
      <c r="T40" s="16">
        <f t="shared" ref="T40:AD40" si="32">SUM(T9:T32)</f>
        <v>1809.9285714285713</v>
      </c>
      <c r="U40" s="16">
        <f t="shared" si="32"/>
        <v>1188</v>
      </c>
      <c r="V40" s="16">
        <f t="shared" si="32"/>
        <v>1909.7857142857144</v>
      </c>
      <c r="W40" s="16">
        <f t="shared" si="32"/>
        <v>16.071428571428569</v>
      </c>
      <c r="X40" s="16">
        <f t="shared" si="32"/>
        <v>9.3571428571428559</v>
      </c>
      <c r="Y40" s="16">
        <f t="shared" si="32"/>
        <v>147</v>
      </c>
      <c r="Z40" s="16">
        <f t="shared" si="32"/>
        <v>72.571428571428569</v>
      </c>
      <c r="AA40" s="16">
        <f t="shared" si="32"/>
        <v>13.142857142857142</v>
      </c>
      <c r="AB40" s="16">
        <f t="shared" si="32"/>
        <v>16</v>
      </c>
      <c r="AC40" s="16">
        <f t="shared" si="32"/>
        <v>4403.6428571428569</v>
      </c>
      <c r="AD40" s="16">
        <f t="shared" si="32"/>
        <v>0.2857142857142857</v>
      </c>
      <c r="AE40" s="32">
        <f>SUM(AE9:AE32)</f>
        <v>10250.214285714286</v>
      </c>
      <c r="AF40" s="32">
        <f>SUM(AF9:AF32)</f>
        <v>14653.857142857141</v>
      </c>
    </row>
    <row r="41" spans="2:32" ht="23.1" customHeight="1" x14ac:dyDescent="0.25">
      <c r="B41" s="23" t="s">
        <v>68</v>
      </c>
      <c r="C41" s="49">
        <f>AVERAGE('29.07 Bugolobi-Nakawa'!C41,'30.07 Bugolobi-Nakawa'!C41,'31.07 Bugolobi-Nakawa'!C41,'02.08 Bugolobi-Nakawa'!C41,'01.08 Bugolobi-Nakawa-24h'!C41,'03.08 Bugolobi-Nakawa-24h'!C41,'04.08 Bugolobi-Nakawa'!C41)</f>
        <v>88</v>
      </c>
      <c r="D41" s="49">
        <f>AVERAGE('29.07 Bugolobi-Nakawa'!D41,'30.07 Bugolobi-Nakawa'!D41,'31.07 Bugolobi-Nakawa'!D41,'02.08 Bugolobi-Nakawa'!D41,'01.08 Bugolobi-Nakawa-24h'!D41,'03.08 Bugolobi-Nakawa-24h'!D41,'04.08 Bugolobi-Nakawa'!D41)</f>
        <v>27.142857142857142</v>
      </c>
      <c r="E41" s="49">
        <f>AVERAGE('29.07 Bugolobi-Nakawa'!E41,'30.07 Bugolobi-Nakawa'!E41,'31.07 Bugolobi-Nakawa'!E41,'02.08 Bugolobi-Nakawa'!E41,'01.08 Bugolobi-Nakawa-24h'!E41,'03.08 Bugolobi-Nakawa-24h'!E41,'04.08 Bugolobi-Nakawa'!E41)</f>
        <v>19.714285714285715</v>
      </c>
      <c r="F41" s="49">
        <f>AVERAGE('29.07 Bugolobi-Nakawa'!F41,'30.07 Bugolobi-Nakawa'!F41,'31.07 Bugolobi-Nakawa'!F41,'02.08 Bugolobi-Nakawa'!F41,'01.08 Bugolobi-Nakawa-24h'!F41,'03.08 Bugolobi-Nakawa-24h'!F41,'04.08 Bugolobi-Nakawa'!F41)</f>
        <v>26.857142857142858</v>
      </c>
      <c r="G41" s="49">
        <f>AVERAGE('29.07 Bugolobi-Nakawa'!G41,'30.07 Bugolobi-Nakawa'!G41,'31.07 Bugolobi-Nakawa'!G41,'02.08 Bugolobi-Nakawa'!G41,'01.08 Bugolobi-Nakawa-24h'!G41,'03.08 Bugolobi-Nakawa-24h'!G41,'04.08 Bugolobi-Nakawa'!G41)</f>
        <v>0.14285714285714285</v>
      </c>
      <c r="H41" s="49">
        <f>AVERAGE('29.07 Bugolobi-Nakawa'!H41,'30.07 Bugolobi-Nakawa'!H41,'31.07 Bugolobi-Nakawa'!H41,'02.08 Bugolobi-Nakawa'!H41,'01.08 Bugolobi-Nakawa-24h'!H41,'03.08 Bugolobi-Nakawa-24h'!H41,'04.08 Bugolobi-Nakawa'!H41)</f>
        <v>0</v>
      </c>
      <c r="I41" s="49">
        <f>AVERAGE('29.07 Bugolobi-Nakawa'!I41,'30.07 Bugolobi-Nakawa'!I41,'31.07 Bugolobi-Nakawa'!I41,'02.08 Bugolobi-Nakawa'!I41,'01.08 Bugolobi-Nakawa-24h'!I41,'03.08 Bugolobi-Nakawa-24h'!I41,'04.08 Bugolobi-Nakawa'!I41)</f>
        <v>2.7142857142857144</v>
      </c>
      <c r="J41" s="49">
        <f>AVERAGE('29.07 Bugolobi-Nakawa'!J41,'30.07 Bugolobi-Nakawa'!J41,'31.07 Bugolobi-Nakawa'!J41,'02.08 Bugolobi-Nakawa'!J41,'01.08 Bugolobi-Nakawa-24h'!J41,'03.08 Bugolobi-Nakawa-24h'!J41,'04.08 Bugolobi-Nakawa'!J41)</f>
        <v>1.8571428571428572</v>
      </c>
      <c r="K41" s="49">
        <f>AVERAGE('29.07 Bugolobi-Nakawa'!K41,'30.07 Bugolobi-Nakawa'!K41,'31.07 Bugolobi-Nakawa'!K41,'02.08 Bugolobi-Nakawa'!K41,'01.08 Bugolobi-Nakawa-24h'!K41,'03.08 Bugolobi-Nakawa-24h'!K41,'04.08 Bugolobi-Nakawa'!K41)</f>
        <v>0.2857142857142857</v>
      </c>
      <c r="L41" s="49">
        <f>AVERAGE('29.07 Bugolobi-Nakawa'!L41,'30.07 Bugolobi-Nakawa'!L41,'31.07 Bugolobi-Nakawa'!L41,'02.08 Bugolobi-Nakawa'!L41,'01.08 Bugolobi-Nakawa-24h'!L41,'03.08 Bugolobi-Nakawa-24h'!L41,'04.08 Bugolobi-Nakawa'!L41)</f>
        <v>0.2857142857142857</v>
      </c>
      <c r="M41" s="49">
        <f>AVERAGE('29.07 Bugolobi-Nakawa'!M41,'30.07 Bugolobi-Nakawa'!M41,'31.07 Bugolobi-Nakawa'!M41,'02.08 Bugolobi-Nakawa'!M41,'01.08 Bugolobi-Nakawa-24h'!M41,'03.08 Bugolobi-Nakawa-24h'!M41,'04.08 Bugolobi-Nakawa'!M41)</f>
        <v>78</v>
      </c>
      <c r="N41" s="49">
        <f>AVERAGE('29.07 Bugolobi-Nakawa'!N41,'30.07 Bugolobi-Nakawa'!N41,'31.07 Bugolobi-Nakawa'!N41,'02.08 Bugolobi-Nakawa'!N41,'01.08 Bugolobi-Nakawa-24h'!N41,'03.08 Bugolobi-Nakawa-24h'!N41,'04.08 Bugolobi-Nakawa'!N41)</f>
        <v>0</v>
      </c>
      <c r="O41" s="15">
        <f t="shared" si="0"/>
        <v>167</v>
      </c>
      <c r="P41" s="15">
        <f t="shared" si="1"/>
        <v>245</v>
      </c>
      <c r="R41" s="5" t="s">
        <v>160</v>
      </c>
      <c r="S41" s="48">
        <f>S40/S39</f>
        <v>1.2650882870606939</v>
      </c>
      <c r="T41" s="48">
        <f t="shared" ref="T41:AF41" si="33">T40/T39</f>
        <v>1.1974952741020795</v>
      </c>
      <c r="U41" s="48">
        <f t="shared" si="33"/>
        <v>1.1727541954590328</v>
      </c>
      <c r="V41" s="48">
        <f t="shared" si="33"/>
        <v>1.242310194219868</v>
      </c>
      <c r="W41" s="48">
        <f t="shared" si="33"/>
        <v>1.3888888888888888</v>
      </c>
      <c r="X41" s="48">
        <f t="shared" si="33"/>
        <v>1.1909090909090909</v>
      </c>
      <c r="Y41" s="48">
        <f t="shared" si="33"/>
        <v>1.2352941176470587</v>
      </c>
      <c r="Z41" s="48">
        <f t="shared" si="33"/>
        <v>1.0901287553648069</v>
      </c>
      <c r="AA41" s="48">
        <f t="shared" si="33"/>
        <v>1.4375</v>
      </c>
      <c r="AB41" s="48">
        <f t="shared" si="33"/>
        <v>2.0000000000000004</v>
      </c>
      <c r="AC41" s="48">
        <f t="shared" si="33"/>
        <v>1.3540742367669669</v>
      </c>
      <c r="AD41" s="48">
        <f t="shared" si="33"/>
        <v>1</v>
      </c>
      <c r="AE41" s="53">
        <f t="shared" si="33"/>
        <v>1.2273186001163148</v>
      </c>
      <c r="AF41" s="53">
        <f t="shared" si="33"/>
        <v>1.2628436357368855</v>
      </c>
    </row>
    <row r="42" spans="2:32" ht="23.1" customHeight="1" x14ac:dyDescent="0.25">
      <c r="B42" s="24" t="s">
        <v>69</v>
      </c>
      <c r="C42" s="49">
        <f>AVERAGE('29.07 Bugolobi-Nakawa'!C42,'30.07 Bugolobi-Nakawa'!C42,'31.07 Bugolobi-Nakawa'!C42,'02.08 Bugolobi-Nakawa'!C42,'01.08 Bugolobi-Nakawa-24h'!C42,'03.08 Bugolobi-Nakawa-24h'!C42,'04.08 Bugolobi-Nakawa'!C42)</f>
        <v>73.571428571428569</v>
      </c>
      <c r="D42" s="49">
        <f>AVERAGE('29.07 Bugolobi-Nakawa'!D42,'30.07 Bugolobi-Nakawa'!D42,'31.07 Bugolobi-Nakawa'!D42,'02.08 Bugolobi-Nakawa'!D42,'01.08 Bugolobi-Nakawa-24h'!D42,'03.08 Bugolobi-Nakawa-24h'!D42,'04.08 Bugolobi-Nakawa'!D42)</f>
        <v>17.714285714285715</v>
      </c>
      <c r="E42" s="49">
        <f>AVERAGE('29.07 Bugolobi-Nakawa'!E42,'30.07 Bugolobi-Nakawa'!E42,'31.07 Bugolobi-Nakawa'!E42,'02.08 Bugolobi-Nakawa'!E42,'01.08 Bugolobi-Nakawa-24h'!E42,'03.08 Bugolobi-Nakawa-24h'!E42,'04.08 Bugolobi-Nakawa'!E42)</f>
        <v>16</v>
      </c>
      <c r="F42" s="49">
        <f>AVERAGE('29.07 Bugolobi-Nakawa'!F42,'30.07 Bugolobi-Nakawa'!F42,'31.07 Bugolobi-Nakawa'!F42,'02.08 Bugolobi-Nakawa'!F42,'01.08 Bugolobi-Nakawa-24h'!F42,'03.08 Bugolobi-Nakawa-24h'!F42,'04.08 Bugolobi-Nakawa'!F42)</f>
        <v>30.714285714285715</v>
      </c>
      <c r="G42" s="49">
        <f>AVERAGE('29.07 Bugolobi-Nakawa'!G42,'30.07 Bugolobi-Nakawa'!G42,'31.07 Bugolobi-Nakawa'!G42,'02.08 Bugolobi-Nakawa'!G42,'01.08 Bugolobi-Nakawa-24h'!G42,'03.08 Bugolobi-Nakawa-24h'!G42,'04.08 Bugolobi-Nakawa'!G42)</f>
        <v>0</v>
      </c>
      <c r="H42" s="49">
        <f>AVERAGE('29.07 Bugolobi-Nakawa'!H42,'30.07 Bugolobi-Nakawa'!H42,'31.07 Bugolobi-Nakawa'!H42,'02.08 Bugolobi-Nakawa'!H42,'01.08 Bugolobi-Nakawa-24h'!H42,'03.08 Bugolobi-Nakawa-24h'!H42,'04.08 Bugolobi-Nakawa'!H42)</f>
        <v>0</v>
      </c>
      <c r="I42" s="49">
        <f>AVERAGE('29.07 Bugolobi-Nakawa'!I42,'30.07 Bugolobi-Nakawa'!I42,'31.07 Bugolobi-Nakawa'!I42,'02.08 Bugolobi-Nakawa'!I42,'01.08 Bugolobi-Nakawa-24h'!I42,'03.08 Bugolobi-Nakawa-24h'!I42,'04.08 Bugolobi-Nakawa'!I42)</f>
        <v>1.7142857142857142</v>
      </c>
      <c r="J42" s="49">
        <f>AVERAGE('29.07 Bugolobi-Nakawa'!J42,'30.07 Bugolobi-Nakawa'!J42,'31.07 Bugolobi-Nakawa'!J42,'02.08 Bugolobi-Nakawa'!J42,'01.08 Bugolobi-Nakawa-24h'!J42,'03.08 Bugolobi-Nakawa-24h'!J42,'04.08 Bugolobi-Nakawa'!J42)</f>
        <v>0.7142857142857143</v>
      </c>
      <c r="K42" s="49">
        <f>AVERAGE('29.07 Bugolobi-Nakawa'!K42,'30.07 Bugolobi-Nakawa'!K42,'31.07 Bugolobi-Nakawa'!K42,'02.08 Bugolobi-Nakawa'!K42,'01.08 Bugolobi-Nakawa-24h'!K42,'03.08 Bugolobi-Nakawa-24h'!K42,'04.08 Bugolobi-Nakawa'!K42)</f>
        <v>0.2857142857142857</v>
      </c>
      <c r="L42" s="49">
        <f>AVERAGE('29.07 Bugolobi-Nakawa'!L42,'30.07 Bugolobi-Nakawa'!L42,'31.07 Bugolobi-Nakawa'!L42,'02.08 Bugolobi-Nakawa'!L42,'01.08 Bugolobi-Nakawa-24h'!L42,'03.08 Bugolobi-Nakawa-24h'!L42,'04.08 Bugolobi-Nakawa'!L42)</f>
        <v>0.14285714285714285</v>
      </c>
      <c r="M42" s="49">
        <f>AVERAGE('29.07 Bugolobi-Nakawa'!M42,'30.07 Bugolobi-Nakawa'!M42,'31.07 Bugolobi-Nakawa'!M42,'02.08 Bugolobi-Nakawa'!M42,'01.08 Bugolobi-Nakawa-24h'!M42,'03.08 Bugolobi-Nakawa-24h'!M42,'04.08 Bugolobi-Nakawa'!M42)</f>
        <v>68.285714285714292</v>
      </c>
      <c r="N42" s="49">
        <f>AVERAGE('29.07 Bugolobi-Nakawa'!N42,'30.07 Bugolobi-Nakawa'!N42,'31.07 Bugolobi-Nakawa'!N42,'02.08 Bugolobi-Nakawa'!N42,'01.08 Bugolobi-Nakawa-24h'!N42,'03.08 Bugolobi-Nakawa-24h'!N42,'04.08 Bugolobi-Nakawa'!N42)</f>
        <v>0</v>
      </c>
      <c r="O42" s="15">
        <f t="shared" si="0"/>
        <v>140.85714285714286</v>
      </c>
      <c r="P42" s="15">
        <f t="shared" si="1"/>
        <v>209.14285714285717</v>
      </c>
    </row>
    <row r="43" spans="2:32" ht="23.1" customHeight="1" x14ac:dyDescent="0.25">
      <c r="B43" s="23" t="s">
        <v>70</v>
      </c>
      <c r="C43" s="49">
        <f>AVERAGE('29.07 Bugolobi-Nakawa'!C43,'30.07 Bugolobi-Nakawa'!C43,'31.07 Bugolobi-Nakawa'!C43,'02.08 Bugolobi-Nakawa'!C43,'01.08 Bugolobi-Nakawa-24h'!C43,'03.08 Bugolobi-Nakawa-24h'!C43,'04.08 Bugolobi-Nakawa'!C43)</f>
        <v>73.857142857142861</v>
      </c>
      <c r="D43" s="49">
        <f>AVERAGE('29.07 Bugolobi-Nakawa'!D43,'30.07 Bugolobi-Nakawa'!D43,'31.07 Bugolobi-Nakawa'!D43,'02.08 Bugolobi-Nakawa'!D43,'01.08 Bugolobi-Nakawa-24h'!D43,'03.08 Bugolobi-Nakawa-24h'!D43,'04.08 Bugolobi-Nakawa'!D43)</f>
        <v>22</v>
      </c>
      <c r="E43" s="49">
        <f>AVERAGE('29.07 Bugolobi-Nakawa'!E43,'30.07 Bugolobi-Nakawa'!E43,'31.07 Bugolobi-Nakawa'!E43,'02.08 Bugolobi-Nakawa'!E43,'01.08 Bugolobi-Nakawa-24h'!E43,'03.08 Bugolobi-Nakawa-24h'!E43,'04.08 Bugolobi-Nakawa'!E43)</f>
        <v>15.571428571428571</v>
      </c>
      <c r="F43" s="49">
        <f>AVERAGE('29.07 Bugolobi-Nakawa'!F43,'30.07 Bugolobi-Nakawa'!F43,'31.07 Bugolobi-Nakawa'!F43,'02.08 Bugolobi-Nakawa'!F43,'01.08 Bugolobi-Nakawa-24h'!F43,'03.08 Bugolobi-Nakawa-24h'!F43,'04.08 Bugolobi-Nakawa'!F43)</f>
        <v>26.714285714285715</v>
      </c>
      <c r="G43" s="49">
        <f>AVERAGE('29.07 Bugolobi-Nakawa'!G43,'30.07 Bugolobi-Nakawa'!G43,'31.07 Bugolobi-Nakawa'!G43,'02.08 Bugolobi-Nakawa'!G43,'01.08 Bugolobi-Nakawa-24h'!G43,'03.08 Bugolobi-Nakawa-24h'!G43,'04.08 Bugolobi-Nakawa'!G43)</f>
        <v>0</v>
      </c>
      <c r="H43" s="49">
        <f>AVERAGE('29.07 Bugolobi-Nakawa'!H43,'30.07 Bugolobi-Nakawa'!H43,'31.07 Bugolobi-Nakawa'!H43,'02.08 Bugolobi-Nakawa'!H43,'01.08 Bugolobi-Nakawa-24h'!H43,'03.08 Bugolobi-Nakawa-24h'!H43,'04.08 Bugolobi-Nakawa'!H43)</f>
        <v>0</v>
      </c>
      <c r="I43" s="49">
        <f>AVERAGE('29.07 Bugolobi-Nakawa'!I43,'30.07 Bugolobi-Nakawa'!I43,'31.07 Bugolobi-Nakawa'!I43,'02.08 Bugolobi-Nakawa'!I43,'01.08 Bugolobi-Nakawa-24h'!I43,'03.08 Bugolobi-Nakawa-24h'!I43,'04.08 Bugolobi-Nakawa'!I43)</f>
        <v>2</v>
      </c>
      <c r="J43" s="49">
        <f>AVERAGE('29.07 Bugolobi-Nakawa'!J43,'30.07 Bugolobi-Nakawa'!J43,'31.07 Bugolobi-Nakawa'!J43,'02.08 Bugolobi-Nakawa'!J43,'01.08 Bugolobi-Nakawa-24h'!J43,'03.08 Bugolobi-Nakawa-24h'!J43,'04.08 Bugolobi-Nakawa'!J43)</f>
        <v>1.5714285714285714</v>
      </c>
      <c r="K43" s="49">
        <f>AVERAGE('29.07 Bugolobi-Nakawa'!K43,'30.07 Bugolobi-Nakawa'!K43,'31.07 Bugolobi-Nakawa'!K43,'02.08 Bugolobi-Nakawa'!K43,'01.08 Bugolobi-Nakawa-24h'!K43,'03.08 Bugolobi-Nakawa-24h'!K43,'04.08 Bugolobi-Nakawa'!K43)</f>
        <v>0.14285714285714285</v>
      </c>
      <c r="L43" s="49">
        <f>AVERAGE('29.07 Bugolobi-Nakawa'!L43,'30.07 Bugolobi-Nakawa'!L43,'31.07 Bugolobi-Nakawa'!L43,'02.08 Bugolobi-Nakawa'!L43,'01.08 Bugolobi-Nakawa-24h'!L43,'03.08 Bugolobi-Nakawa-24h'!L43,'04.08 Bugolobi-Nakawa'!L43)</f>
        <v>0.2857142857142857</v>
      </c>
      <c r="M43" s="49">
        <f>AVERAGE('29.07 Bugolobi-Nakawa'!M43,'30.07 Bugolobi-Nakawa'!M43,'31.07 Bugolobi-Nakawa'!M43,'02.08 Bugolobi-Nakawa'!M43,'01.08 Bugolobi-Nakawa-24h'!M43,'03.08 Bugolobi-Nakawa-24h'!M43,'04.08 Bugolobi-Nakawa'!M43)</f>
        <v>64.714285714285708</v>
      </c>
      <c r="N43" s="49">
        <f>AVERAGE('29.07 Bugolobi-Nakawa'!N43,'30.07 Bugolobi-Nakawa'!N43,'31.07 Bugolobi-Nakawa'!N43,'02.08 Bugolobi-Nakawa'!N43,'01.08 Bugolobi-Nakawa-24h'!N43,'03.08 Bugolobi-Nakawa-24h'!N43,'04.08 Bugolobi-Nakawa'!N43)</f>
        <v>0</v>
      </c>
      <c r="O43" s="15">
        <f t="shared" si="0"/>
        <v>142.14285714285714</v>
      </c>
      <c r="P43" s="15">
        <f t="shared" si="1"/>
        <v>206.85714285714283</v>
      </c>
    </row>
    <row r="44" spans="2:32" ht="23.1" customHeight="1" x14ac:dyDescent="0.25">
      <c r="B44" s="25" t="s">
        <v>71</v>
      </c>
      <c r="C44" s="49">
        <f>AVERAGE('29.07 Bugolobi-Nakawa'!C44,'30.07 Bugolobi-Nakawa'!C44,'31.07 Bugolobi-Nakawa'!C44,'02.08 Bugolobi-Nakawa'!C44,'01.08 Bugolobi-Nakawa-24h'!C44,'03.08 Bugolobi-Nakawa-24h'!C44,'04.08 Bugolobi-Nakawa'!C44)</f>
        <v>82.428571428571431</v>
      </c>
      <c r="D44" s="49">
        <f>AVERAGE('29.07 Bugolobi-Nakawa'!D44,'30.07 Bugolobi-Nakawa'!D44,'31.07 Bugolobi-Nakawa'!D44,'02.08 Bugolobi-Nakawa'!D44,'01.08 Bugolobi-Nakawa-24h'!D44,'03.08 Bugolobi-Nakawa-24h'!D44,'04.08 Bugolobi-Nakawa'!D44)</f>
        <v>26.857142857142858</v>
      </c>
      <c r="E44" s="49">
        <f>AVERAGE('29.07 Bugolobi-Nakawa'!E44,'30.07 Bugolobi-Nakawa'!E44,'31.07 Bugolobi-Nakawa'!E44,'02.08 Bugolobi-Nakawa'!E44,'01.08 Bugolobi-Nakawa-24h'!E44,'03.08 Bugolobi-Nakawa-24h'!E44,'04.08 Bugolobi-Nakawa'!E44)</f>
        <v>16.714285714285715</v>
      </c>
      <c r="F44" s="49">
        <f>AVERAGE('29.07 Bugolobi-Nakawa'!F44,'30.07 Bugolobi-Nakawa'!F44,'31.07 Bugolobi-Nakawa'!F44,'02.08 Bugolobi-Nakawa'!F44,'01.08 Bugolobi-Nakawa-24h'!F44,'03.08 Bugolobi-Nakawa-24h'!F44,'04.08 Bugolobi-Nakawa'!F44)</f>
        <v>27.857142857142858</v>
      </c>
      <c r="G44" s="49">
        <f>AVERAGE('29.07 Bugolobi-Nakawa'!G44,'30.07 Bugolobi-Nakawa'!G44,'31.07 Bugolobi-Nakawa'!G44,'02.08 Bugolobi-Nakawa'!G44,'01.08 Bugolobi-Nakawa-24h'!G44,'03.08 Bugolobi-Nakawa-24h'!G44,'04.08 Bugolobi-Nakawa'!G44)</f>
        <v>0</v>
      </c>
      <c r="H44" s="49">
        <f>AVERAGE('29.07 Bugolobi-Nakawa'!H44,'30.07 Bugolobi-Nakawa'!H44,'31.07 Bugolobi-Nakawa'!H44,'02.08 Bugolobi-Nakawa'!H44,'01.08 Bugolobi-Nakawa-24h'!H44,'03.08 Bugolobi-Nakawa-24h'!H44,'04.08 Bugolobi-Nakawa'!H44)</f>
        <v>0.2857142857142857</v>
      </c>
      <c r="I44" s="49">
        <f>AVERAGE('29.07 Bugolobi-Nakawa'!I44,'30.07 Bugolobi-Nakawa'!I44,'31.07 Bugolobi-Nakawa'!I44,'02.08 Bugolobi-Nakawa'!I44,'01.08 Bugolobi-Nakawa-24h'!I44,'03.08 Bugolobi-Nakawa-24h'!I44,'04.08 Bugolobi-Nakawa'!I44)</f>
        <v>3.5714285714285716</v>
      </c>
      <c r="J44" s="49">
        <f>AVERAGE('29.07 Bugolobi-Nakawa'!J44,'30.07 Bugolobi-Nakawa'!J44,'31.07 Bugolobi-Nakawa'!J44,'02.08 Bugolobi-Nakawa'!J44,'01.08 Bugolobi-Nakawa-24h'!J44,'03.08 Bugolobi-Nakawa-24h'!J44,'04.08 Bugolobi-Nakawa'!J44)</f>
        <v>1.7142857142857142</v>
      </c>
      <c r="K44" s="49">
        <f>AVERAGE('29.07 Bugolobi-Nakawa'!K44,'30.07 Bugolobi-Nakawa'!K44,'31.07 Bugolobi-Nakawa'!K44,'02.08 Bugolobi-Nakawa'!K44,'01.08 Bugolobi-Nakawa-24h'!K44,'03.08 Bugolobi-Nakawa-24h'!K44,'04.08 Bugolobi-Nakawa'!K44)</f>
        <v>0.2857142857142857</v>
      </c>
      <c r="L44" s="49">
        <f>AVERAGE('29.07 Bugolobi-Nakawa'!L44,'30.07 Bugolobi-Nakawa'!L44,'31.07 Bugolobi-Nakawa'!L44,'02.08 Bugolobi-Nakawa'!L44,'01.08 Bugolobi-Nakawa-24h'!L44,'03.08 Bugolobi-Nakawa-24h'!L44,'04.08 Bugolobi-Nakawa'!L44)</f>
        <v>0.14285714285714285</v>
      </c>
      <c r="M44" s="49">
        <f>AVERAGE('29.07 Bugolobi-Nakawa'!M44,'30.07 Bugolobi-Nakawa'!M44,'31.07 Bugolobi-Nakawa'!M44,'02.08 Bugolobi-Nakawa'!M44,'01.08 Bugolobi-Nakawa-24h'!M44,'03.08 Bugolobi-Nakawa-24h'!M44,'04.08 Bugolobi-Nakawa'!M44)</f>
        <v>68.857142857142861</v>
      </c>
      <c r="N44" s="49">
        <f>AVERAGE('29.07 Bugolobi-Nakawa'!N44,'30.07 Bugolobi-Nakawa'!N44,'31.07 Bugolobi-Nakawa'!N44,'02.08 Bugolobi-Nakawa'!N44,'01.08 Bugolobi-Nakawa-24h'!N44,'03.08 Bugolobi-Nakawa-24h'!N44,'04.08 Bugolobi-Nakawa'!N44)</f>
        <v>0</v>
      </c>
      <c r="O44" s="15">
        <f t="shared" si="0"/>
        <v>159.85714285714286</v>
      </c>
      <c r="P44" s="15">
        <f t="shared" si="1"/>
        <v>228.71428571428572</v>
      </c>
    </row>
    <row r="45" spans="2:32" ht="23.1" customHeight="1" x14ac:dyDescent="0.25">
      <c r="B45" s="23" t="s">
        <v>72</v>
      </c>
      <c r="C45" s="49">
        <f>AVERAGE('29.07 Bugolobi-Nakawa'!C45,'30.07 Bugolobi-Nakawa'!C45,'31.07 Bugolobi-Nakawa'!C45,'02.08 Bugolobi-Nakawa'!C45,'01.08 Bugolobi-Nakawa-24h'!C45,'03.08 Bugolobi-Nakawa-24h'!C45,'04.08 Bugolobi-Nakawa'!C45)</f>
        <v>85.571428571428569</v>
      </c>
      <c r="D45" s="49">
        <f>AVERAGE('29.07 Bugolobi-Nakawa'!D45,'30.07 Bugolobi-Nakawa'!D45,'31.07 Bugolobi-Nakawa'!D45,'02.08 Bugolobi-Nakawa'!D45,'01.08 Bugolobi-Nakawa-24h'!D45,'03.08 Bugolobi-Nakawa-24h'!D45,'04.08 Bugolobi-Nakawa'!D45)</f>
        <v>25.857142857142858</v>
      </c>
      <c r="E45" s="49">
        <f>AVERAGE('29.07 Bugolobi-Nakawa'!E45,'30.07 Bugolobi-Nakawa'!E45,'31.07 Bugolobi-Nakawa'!E45,'02.08 Bugolobi-Nakawa'!E45,'01.08 Bugolobi-Nakawa-24h'!E45,'03.08 Bugolobi-Nakawa-24h'!E45,'04.08 Bugolobi-Nakawa'!E45)</f>
        <v>19.857142857142858</v>
      </c>
      <c r="F45" s="49">
        <f>AVERAGE('29.07 Bugolobi-Nakawa'!F45,'30.07 Bugolobi-Nakawa'!F45,'31.07 Bugolobi-Nakawa'!F45,'02.08 Bugolobi-Nakawa'!F45,'01.08 Bugolobi-Nakawa-24h'!F45,'03.08 Bugolobi-Nakawa-24h'!F45,'04.08 Bugolobi-Nakawa'!F45)</f>
        <v>28.571428571428573</v>
      </c>
      <c r="G45" s="49">
        <f>AVERAGE('29.07 Bugolobi-Nakawa'!G45,'30.07 Bugolobi-Nakawa'!G45,'31.07 Bugolobi-Nakawa'!G45,'02.08 Bugolobi-Nakawa'!G45,'01.08 Bugolobi-Nakawa-24h'!G45,'03.08 Bugolobi-Nakawa-24h'!G45,'04.08 Bugolobi-Nakawa'!G45)</f>
        <v>0</v>
      </c>
      <c r="H45" s="49">
        <f>AVERAGE('29.07 Bugolobi-Nakawa'!H45,'30.07 Bugolobi-Nakawa'!H45,'31.07 Bugolobi-Nakawa'!H45,'02.08 Bugolobi-Nakawa'!H45,'01.08 Bugolobi-Nakawa-24h'!H45,'03.08 Bugolobi-Nakawa-24h'!H45,'04.08 Bugolobi-Nakawa'!H45)</f>
        <v>0</v>
      </c>
      <c r="I45" s="49">
        <f>AVERAGE('29.07 Bugolobi-Nakawa'!I45,'30.07 Bugolobi-Nakawa'!I45,'31.07 Bugolobi-Nakawa'!I45,'02.08 Bugolobi-Nakawa'!I45,'01.08 Bugolobi-Nakawa-24h'!I45,'03.08 Bugolobi-Nakawa-24h'!I45,'04.08 Bugolobi-Nakawa'!I45)</f>
        <v>2</v>
      </c>
      <c r="J45" s="49">
        <f>AVERAGE('29.07 Bugolobi-Nakawa'!J45,'30.07 Bugolobi-Nakawa'!J45,'31.07 Bugolobi-Nakawa'!J45,'02.08 Bugolobi-Nakawa'!J45,'01.08 Bugolobi-Nakawa-24h'!J45,'03.08 Bugolobi-Nakawa-24h'!J45,'04.08 Bugolobi-Nakawa'!J45)</f>
        <v>1.2857142857142858</v>
      </c>
      <c r="K45" s="49">
        <f>AVERAGE('29.07 Bugolobi-Nakawa'!K45,'30.07 Bugolobi-Nakawa'!K45,'31.07 Bugolobi-Nakawa'!K45,'02.08 Bugolobi-Nakawa'!K45,'01.08 Bugolobi-Nakawa-24h'!K45,'03.08 Bugolobi-Nakawa-24h'!K45,'04.08 Bugolobi-Nakawa'!K45)</f>
        <v>0.42857142857142855</v>
      </c>
      <c r="L45" s="49">
        <f>AVERAGE('29.07 Bugolobi-Nakawa'!L45,'30.07 Bugolobi-Nakawa'!L45,'31.07 Bugolobi-Nakawa'!L45,'02.08 Bugolobi-Nakawa'!L45,'01.08 Bugolobi-Nakawa-24h'!L45,'03.08 Bugolobi-Nakawa-24h'!L45,'04.08 Bugolobi-Nakawa'!L45)</f>
        <v>0.14285714285714285</v>
      </c>
      <c r="M45" s="49">
        <f>AVERAGE('29.07 Bugolobi-Nakawa'!M45,'30.07 Bugolobi-Nakawa'!M45,'31.07 Bugolobi-Nakawa'!M45,'02.08 Bugolobi-Nakawa'!M45,'01.08 Bugolobi-Nakawa-24h'!M45,'03.08 Bugolobi-Nakawa-24h'!M45,'04.08 Bugolobi-Nakawa'!M45)</f>
        <v>68.714285714285708</v>
      </c>
      <c r="N45" s="49">
        <f>AVERAGE('29.07 Bugolobi-Nakawa'!N45,'30.07 Bugolobi-Nakawa'!N45,'31.07 Bugolobi-Nakawa'!N45,'02.08 Bugolobi-Nakawa'!N45,'01.08 Bugolobi-Nakawa-24h'!N45,'03.08 Bugolobi-Nakawa-24h'!N45,'04.08 Bugolobi-Nakawa'!N45)</f>
        <v>0</v>
      </c>
      <c r="O45" s="15">
        <f t="shared" si="0"/>
        <v>163.71428571428569</v>
      </c>
      <c r="P45" s="15">
        <f t="shared" si="1"/>
        <v>232.42857142857139</v>
      </c>
    </row>
    <row r="46" spans="2:32" ht="23.1" customHeight="1" x14ac:dyDescent="0.25">
      <c r="B46" s="24" t="s">
        <v>73</v>
      </c>
      <c r="C46" s="49">
        <f>AVERAGE('29.07 Bugolobi-Nakawa'!C46,'30.07 Bugolobi-Nakawa'!C46,'31.07 Bugolobi-Nakawa'!C46,'02.08 Bugolobi-Nakawa'!C46,'01.08 Bugolobi-Nakawa-24h'!C46,'03.08 Bugolobi-Nakawa-24h'!C46,'04.08 Bugolobi-Nakawa'!C46)</f>
        <v>81.142857142857139</v>
      </c>
      <c r="D46" s="49">
        <f>AVERAGE('29.07 Bugolobi-Nakawa'!D46,'30.07 Bugolobi-Nakawa'!D46,'31.07 Bugolobi-Nakawa'!D46,'02.08 Bugolobi-Nakawa'!D46,'01.08 Bugolobi-Nakawa-24h'!D46,'03.08 Bugolobi-Nakawa-24h'!D46,'04.08 Bugolobi-Nakawa'!D46)</f>
        <v>22.142857142857142</v>
      </c>
      <c r="E46" s="49">
        <f>AVERAGE('29.07 Bugolobi-Nakawa'!E46,'30.07 Bugolobi-Nakawa'!E46,'31.07 Bugolobi-Nakawa'!E46,'02.08 Bugolobi-Nakawa'!E46,'01.08 Bugolobi-Nakawa-24h'!E46,'03.08 Bugolobi-Nakawa-24h'!E46,'04.08 Bugolobi-Nakawa'!E46)</f>
        <v>19.285714285714285</v>
      </c>
      <c r="F46" s="49">
        <f>AVERAGE('29.07 Bugolobi-Nakawa'!F46,'30.07 Bugolobi-Nakawa'!F46,'31.07 Bugolobi-Nakawa'!F46,'02.08 Bugolobi-Nakawa'!F46,'01.08 Bugolobi-Nakawa-24h'!F46,'03.08 Bugolobi-Nakawa-24h'!F46,'04.08 Bugolobi-Nakawa'!F46)</f>
        <v>29.714285714285715</v>
      </c>
      <c r="G46" s="49">
        <f>AVERAGE('29.07 Bugolobi-Nakawa'!G46,'30.07 Bugolobi-Nakawa'!G46,'31.07 Bugolobi-Nakawa'!G46,'02.08 Bugolobi-Nakawa'!G46,'01.08 Bugolobi-Nakawa-24h'!G46,'03.08 Bugolobi-Nakawa-24h'!G46,'04.08 Bugolobi-Nakawa'!G46)</f>
        <v>0.2857142857142857</v>
      </c>
      <c r="H46" s="49">
        <f>AVERAGE('29.07 Bugolobi-Nakawa'!H46,'30.07 Bugolobi-Nakawa'!H46,'31.07 Bugolobi-Nakawa'!H46,'02.08 Bugolobi-Nakawa'!H46,'01.08 Bugolobi-Nakawa-24h'!H46,'03.08 Bugolobi-Nakawa-24h'!H46,'04.08 Bugolobi-Nakawa'!H46)</f>
        <v>0.14285714285714285</v>
      </c>
      <c r="I46" s="49">
        <f>AVERAGE('29.07 Bugolobi-Nakawa'!I46,'30.07 Bugolobi-Nakawa'!I46,'31.07 Bugolobi-Nakawa'!I46,'02.08 Bugolobi-Nakawa'!I46,'01.08 Bugolobi-Nakawa-24h'!I46,'03.08 Bugolobi-Nakawa-24h'!I46,'04.08 Bugolobi-Nakawa'!I46)</f>
        <v>2.7142857142857144</v>
      </c>
      <c r="J46" s="49">
        <f>AVERAGE('29.07 Bugolobi-Nakawa'!J46,'30.07 Bugolobi-Nakawa'!J46,'31.07 Bugolobi-Nakawa'!J46,'02.08 Bugolobi-Nakawa'!J46,'01.08 Bugolobi-Nakawa-24h'!J46,'03.08 Bugolobi-Nakawa-24h'!J46,'04.08 Bugolobi-Nakawa'!J46)</f>
        <v>1.5714285714285714</v>
      </c>
      <c r="K46" s="49">
        <f>AVERAGE('29.07 Bugolobi-Nakawa'!K46,'30.07 Bugolobi-Nakawa'!K46,'31.07 Bugolobi-Nakawa'!K46,'02.08 Bugolobi-Nakawa'!K46,'01.08 Bugolobi-Nakawa-24h'!K46,'03.08 Bugolobi-Nakawa-24h'!K46,'04.08 Bugolobi-Nakawa'!K46)</f>
        <v>0.42857142857142855</v>
      </c>
      <c r="L46" s="49">
        <f>AVERAGE('29.07 Bugolobi-Nakawa'!L46,'30.07 Bugolobi-Nakawa'!L46,'31.07 Bugolobi-Nakawa'!L46,'02.08 Bugolobi-Nakawa'!L46,'01.08 Bugolobi-Nakawa-24h'!L46,'03.08 Bugolobi-Nakawa-24h'!L46,'04.08 Bugolobi-Nakawa'!L46)</f>
        <v>0.2857142857142857</v>
      </c>
      <c r="M46" s="49">
        <f>AVERAGE('29.07 Bugolobi-Nakawa'!M46,'30.07 Bugolobi-Nakawa'!M46,'31.07 Bugolobi-Nakawa'!M46,'02.08 Bugolobi-Nakawa'!M46,'01.08 Bugolobi-Nakawa-24h'!M46,'03.08 Bugolobi-Nakawa-24h'!M46,'04.08 Bugolobi-Nakawa'!M46)</f>
        <v>68.142857142857139</v>
      </c>
      <c r="N46" s="49">
        <f>AVERAGE('29.07 Bugolobi-Nakawa'!N46,'30.07 Bugolobi-Nakawa'!N46,'31.07 Bugolobi-Nakawa'!N46,'02.08 Bugolobi-Nakawa'!N46,'01.08 Bugolobi-Nakawa-24h'!N46,'03.08 Bugolobi-Nakawa-24h'!N46,'04.08 Bugolobi-Nakawa'!N46)</f>
        <v>0</v>
      </c>
      <c r="O46" s="15">
        <f t="shared" si="0"/>
        <v>157.71428571428569</v>
      </c>
      <c r="P46" s="15">
        <f t="shared" si="1"/>
        <v>225.85714285714283</v>
      </c>
      <c r="R46" s="8"/>
      <c r="T46"/>
    </row>
    <row r="47" spans="2:32" ht="23.1" customHeight="1" x14ac:dyDescent="0.25">
      <c r="B47" s="24" t="s">
        <v>74</v>
      </c>
      <c r="C47" s="49">
        <f>AVERAGE('29.07 Bugolobi-Nakawa'!C47,'30.07 Bugolobi-Nakawa'!C47,'31.07 Bugolobi-Nakawa'!C47,'02.08 Bugolobi-Nakawa'!C47,'01.08 Bugolobi-Nakawa-24h'!C47,'03.08 Bugolobi-Nakawa-24h'!C47,'04.08 Bugolobi-Nakawa'!C47)</f>
        <v>78.142857142857139</v>
      </c>
      <c r="D47" s="49">
        <f>AVERAGE('29.07 Bugolobi-Nakawa'!D47,'30.07 Bugolobi-Nakawa'!D47,'31.07 Bugolobi-Nakawa'!D47,'02.08 Bugolobi-Nakawa'!D47,'01.08 Bugolobi-Nakawa-24h'!D47,'03.08 Bugolobi-Nakawa-24h'!D47,'04.08 Bugolobi-Nakawa'!D47)</f>
        <v>31.714285714285715</v>
      </c>
      <c r="E47" s="49">
        <f>AVERAGE('29.07 Bugolobi-Nakawa'!E47,'30.07 Bugolobi-Nakawa'!E47,'31.07 Bugolobi-Nakawa'!E47,'02.08 Bugolobi-Nakawa'!E47,'01.08 Bugolobi-Nakawa-24h'!E47,'03.08 Bugolobi-Nakawa-24h'!E47,'04.08 Bugolobi-Nakawa'!E47)</f>
        <v>18.857142857142858</v>
      </c>
      <c r="F47" s="49">
        <f>AVERAGE('29.07 Bugolobi-Nakawa'!F47,'30.07 Bugolobi-Nakawa'!F47,'31.07 Bugolobi-Nakawa'!F47,'02.08 Bugolobi-Nakawa'!F47,'01.08 Bugolobi-Nakawa-24h'!F47,'03.08 Bugolobi-Nakawa-24h'!F47,'04.08 Bugolobi-Nakawa'!F47)</f>
        <v>34</v>
      </c>
      <c r="G47" s="49">
        <f>AVERAGE('29.07 Bugolobi-Nakawa'!G47,'30.07 Bugolobi-Nakawa'!G47,'31.07 Bugolobi-Nakawa'!G47,'02.08 Bugolobi-Nakawa'!G47,'01.08 Bugolobi-Nakawa-24h'!G47,'03.08 Bugolobi-Nakawa-24h'!G47,'04.08 Bugolobi-Nakawa'!G47)</f>
        <v>0.14285714285714285</v>
      </c>
      <c r="H47" s="49">
        <f>AVERAGE('29.07 Bugolobi-Nakawa'!H47,'30.07 Bugolobi-Nakawa'!H47,'31.07 Bugolobi-Nakawa'!H47,'02.08 Bugolobi-Nakawa'!H47,'01.08 Bugolobi-Nakawa-24h'!H47,'03.08 Bugolobi-Nakawa-24h'!H47,'04.08 Bugolobi-Nakawa'!H47)</f>
        <v>0.2857142857142857</v>
      </c>
      <c r="I47" s="49">
        <f>AVERAGE('29.07 Bugolobi-Nakawa'!I47,'30.07 Bugolobi-Nakawa'!I47,'31.07 Bugolobi-Nakawa'!I47,'02.08 Bugolobi-Nakawa'!I47,'01.08 Bugolobi-Nakawa-24h'!I47,'03.08 Bugolobi-Nakawa-24h'!I47,'04.08 Bugolobi-Nakawa'!I47)</f>
        <v>1.8571428571428572</v>
      </c>
      <c r="J47" s="49">
        <f>AVERAGE('29.07 Bugolobi-Nakawa'!J47,'30.07 Bugolobi-Nakawa'!J47,'31.07 Bugolobi-Nakawa'!J47,'02.08 Bugolobi-Nakawa'!J47,'01.08 Bugolobi-Nakawa-24h'!J47,'03.08 Bugolobi-Nakawa-24h'!J47,'04.08 Bugolobi-Nakawa'!J47)</f>
        <v>1.8571428571428572</v>
      </c>
      <c r="K47" s="49">
        <f>AVERAGE('29.07 Bugolobi-Nakawa'!K47,'30.07 Bugolobi-Nakawa'!K47,'31.07 Bugolobi-Nakawa'!K47,'02.08 Bugolobi-Nakawa'!K47,'01.08 Bugolobi-Nakawa-24h'!K47,'03.08 Bugolobi-Nakawa-24h'!K47,'04.08 Bugolobi-Nakawa'!K47)</f>
        <v>0.2857142857142857</v>
      </c>
      <c r="L47" s="49">
        <f>AVERAGE('29.07 Bugolobi-Nakawa'!L47,'30.07 Bugolobi-Nakawa'!L47,'31.07 Bugolobi-Nakawa'!L47,'02.08 Bugolobi-Nakawa'!L47,'01.08 Bugolobi-Nakawa-24h'!L47,'03.08 Bugolobi-Nakawa-24h'!L47,'04.08 Bugolobi-Nakawa'!L47)</f>
        <v>0.2857142857142857</v>
      </c>
      <c r="M47" s="49">
        <f>AVERAGE('29.07 Bugolobi-Nakawa'!M47,'30.07 Bugolobi-Nakawa'!M47,'31.07 Bugolobi-Nakawa'!M47,'02.08 Bugolobi-Nakawa'!M47,'01.08 Bugolobi-Nakawa-24h'!M47,'03.08 Bugolobi-Nakawa-24h'!M47,'04.08 Bugolobi-Nakawa'!M47)</f>
        <v>70.714285714285708</v>
      </c>
      <c r="N47" s="49">
        <f>AVERAGE('29.07 Bugolobi-Nakawa'!N47,'30.07 Bugolobi-Nakawa'!N47,'31.07 Bugolobi-Nakawa'!N47,'02.08 Bugolobi-Nakawa'!N47,'01.08 Bugolobi-Nakawa-24h'!N47,'03.08 Bugolobi-Nakawa-24h'!N47,'04.08 Bugolobi-Nakawa'!N47)</f>
        <v>0</v>
      </c>
      <c r="O47" s="15">
        <f t="shared" si="0"/>
        <v>167.42857142857142</v>
      </c>
      <c r="P47" s="15">
        <f t="shared" si="1"/>
        <v>238.14285714285711</v>
      </c>
      <c r="R47" s="8"/>
      <c r="T47"/>
    </row>
    <row r="48" spans="2:32" ht="23.1" customHeight="1" x14ac:dyDescent="0.25">
      <c r="B48" s="24" t="s">
        <v>75</v>
      </c>
      <c r="C48" s="49">
        <f>AVERAGE('29.07 Bugolobi-Nakawa'!C48,'30.07 Bugolobi-Nakawa'!C48,'31.07 Bugolobi-Nakawa'!C48,'02.08 Bugolobi-Nakawa'!C48,'01.08 Bugolobi-Nakawa-24h'!C48,'03.08 Bugolobi-Nakawa-24h'!C48,'04.08 Bugolobi-Nakawa'!C48)</f>
        <v>91</v>
      </c>
      <c r="D48" s="49">
        <f>AVERAGE('29.07 Bugolobi-Nakawa'!D48,'30.07 Bugolobi-Nakawa'!D48,'31.07 Bugolobi-Nakawa'!D48,'02.08 Bugolobi-Nakawa'!D48,'01.08 Bugolobi-Nakawa-24h'!D48,'03.08 Bugolobi-Nakawa-24h'!D48,'04.08 Bugolobi-Nakawa'!D48)</f>
        <v>29.857142857142858</v>
      </c>
      <c r="E48" s="49">
        <f>AVERAGE('29.07 Bugolobi-Nakawa'!E48,'30.07 Bugolobi-Nakawa'!E48,'31.07 Bugolobi-Nakawa'!E48,'02.08 Bugolobi-Nakawa'!E48,'01.08 Bugolobi-Nakawa-24h'!E48,'03.08 Bugolobi-Nakawa-24h'!E48,'04.08 Bugolobi-Nakawa'!E48)</f>
        <v>18.142857142857142</v>
      </c>
      <c r="F48" s="49">
        <f>AVERAGE('29.07 Bugolobi-Nakawa'!F48,'30.07 Bugolobi-Nakawa'!F48,'31.07 Bugolobi-Nakawa'!F48,'02.08 Bugolobi-Nakawa'!F48,'01.08 Bugolobi-Nakawa-24h'!F48,'03.08 Bugolobi-Nakawa-24h'!F48,'04.08 Bugolobi-Nakawa'!F48)</f>
        <v>32</v>
      </c>
      <c r="G48" s="49">
        <f>AVERAGE('29.07 Bugolobi-Nakawa'!G48,'30.07 Bugolobi-Nakawa'!G48,'31.07 Bugolobi-Nakawa'!G48,'02.08 Bugolobi-Nakawa'!G48,'01.08 Bugolobi-Nakawa-24h'!G48,'03.08 Bugolobi-Nakawa-24h'!G48,'04.08 Bugolobi-Nakawa'!G48)</f>
        <v>0</v>
      </c>
      <c r="H48" s="49">
        <f>AVERAGE('29.07 Bugolobi-Nakawa'!H48,'30.07 Bugolobi-Nakawa'!H48,'31.07 Bugolobi-Nakawa'!H48,'02.08 Bugolobi-Nakawa'!H48,'01.08 Bugolobi-Nakawa-24h'!H48,'03.08 Bugolobi-Nakawa-24h'!H48,'04.08 Bugolobi-Nakawa'!H48)</f>
        <v>0</v>
      </c>
      <c r="I48" s="49">
        <f>AVERAGE('29.07 Bugolobi-Nakawa'!I48,'30.07 Bugolobi-Nakawa'!I48,'31.07 Bugolobi-Nakawa'!I48,'02.08 Bugolobi-Nakawa'!I48,'01.08 Bugolobi-Nakawa-24h'!I48,'03.08 Bugolobi-Nakawa-24h'!I48,'04.08 Bugolobi-Nakawa'!I48)</f>
        <v>1.5714285714285714</v>
      </c>
      <c r="J48" s="49">
        <f>AVERAGE('29.07 Bugolobi-Nakawa'!J48,'30.07 Bugolobi-Nakawa'!J48,'31.07 Bugolobi-Nakawa'!J48,'02.08 Bugolobi-Nakawa'!J48,'01.08 Bugolobi-Nakawa-24h'!J48,'03.08 Bugolobi-Nakawa-24h'!J48,'04.08 Bugolobi-Nakawa'!J48)</f>
        <v>2</v>
      </c>
      <c r="K48" s="49">
        <f>AVERAGE('29.07 Bugolobi-Nakawa'!K48,'30.07 Bugolobi-Nakawa'!K48,'31.07 Bugolobi-Nakawa'!K48,'02.08 Bugolobi-Nakawa'!K48,'01.08 Bugolobi-Nakawa-24h'!K48,'03.08 Bugolobi-Nakawa-24h'!K48,'04.08 Bugolobi-Nakawa'!K48)</f>
        <v>0.2857142857142857</v>
      </c>
      <c r="L48" s="49">
        <f>AVERAGE('29.07 Bugolobi-Nakawa'!L48,'30.07 Bugolobi-Nakawa'!L48,'31.07 Bugolobi-Nakawa'!L48,'02.08 Bugolobi-Nakawa'!L48,'01.08 Bugolobi-Nakawa-24h'!L48,'03.08 Bugolobi-Nakawa-24h'!L48,'04.08 Bugolobi-Nakawa'!L48)</f>
        <v>0</v>
      </c>
      <c r="M48" s="49">
        <f>AVERAGE('29.07 Bugolobi-Nakawa'!M48,'30.07 Bugolobi-Nakawa'!M48,'31.07 Bugolobi-Nakawa'!M48,'02.08 Bugolobi-Nakawa'!M48,'01.08 Bugolobi-Nakawa-24h'!M48,'03.08 Bugolobi-Nakawa-24h'!M48,'04.08 Bugolobi-Nakawa'!M48)</f>
        <v>77.714285714285708</v>
      </c>
      <c r="N48" s="49">
        <f>AVERAGE('29.07 Bugolobi-Nakawa'!N48,'30.07 Bugolobi-Nakawa'!N48,'31.07 Bugolobi-Nakawa'!N48,'02.08 Bugolobi-Nakawa'!N48,'01.08 Bugolobi-Nakawa-24h'!N48,'03.08 Bugolobi-Nakawa-24h'!N48,'04.08 Bugolobi-Nakawa'!N48)</f>
        <v>0.14285714285714285</v>
      </c>
      <c r="O48" s="15">
        <f t="shared" si="0"/>
        <v>175</v>
      </c>
      <c r="P48" s="15">
        <f t="shared" si="1"/>
        <v>252.71428571428569</v>
      </c>
      <c r="R48" s="8"/>
      <c r="T48"/>
    </row>
    <row r="49" spans="2:20" ht="23.1" customHeight="1" x14ac:dyDescent="0.25">
      <c r="B49" s="23" t="s">
        <v>76</v>
      </c>
      <c r="C49" s="49">
        <f>AVERAGE('29.07 Bugolobi-Nakawa'!C49,'30.07 Bugolobi-Nakawa'!C49,'31.07 Bugolobi-Nakawa'!C49,'02.08 Bugolobi-Nakawa'!C49,'01.08 Bugolobi-Nakawa-24h'!C49,'03.08 Bugolobi-Nakawa-24h'!C49,'04.08 Bugolobi-Nakawa'!C49)</f>
        <v>100.14285714285714</v>
      </c>
      <c r="D49" s="49">
        <f>AVERAGE('29.07 Bugolobi-Nakawa'!D49,'30.07 Bugolobi-Nakawa'!D49,'31.07 Bugolobi-Nakawa'!D49,'02.08 Bugolobi-Nakawa'!D49,'01.08 Bugolobi-Nakawa-24h'!D49,'03.08 Bugolobi-Nakawa-24h'!D49,'04.08 Bugolobi-Nakawa'!D49)</f>
        <v>37.571428571428569</v>
      </c>
      <c r="E49" s="49">
        <f>AVERAGE('29.07 Bugolobi-Nakawa'!E49,'30.07 Bugolobi-Nakawa'!E49,'31.07 Bugolobi-Nakawa'!E49,'02.08 Bugolobi-Nakawa'!E49,'01.08 Bugolobi-Nakawa-24h'!E49,'03.08 Bugolobi-Nakawa-24h'!E49,'04.08 Bugolobi-Nakawa'!E49)</f>
        <v>20.428571428571427</v>
      </c>
      <c r="F49" s="49">
        <f>AVERAGE('29.07 Bugolobi-Nakawa'!F49,'30.07 Bugolobi-Nakawa'!F49,'31.07 Bugolobi-Nakawa'!F49,'02.08 Bugolobi-Nakawa'!F49,'01.08 Bugolobi-Nakawa-24h'!F49,'03.08 Bugolobi-Nakawa-24h'!F49,'04.08 Bugolobi-Nakawa'!F49)</f>
        <v>31</v>
      </c>
      <c r="G49" s="49">
        <f>AVERAGE('29.07 Bugolobi-Nakawa'!G49,'30.07 Bugolobi-Nakawa'!G49,'31.07 Bugolobi-Nakawa'!G49,'02.08 Bugolobi-Nakawa'!G49,'01.08 Bugolobi-Nakawa-24h'!G49,'03.08 Bugolobi-Nakawa-24h'!G49,'04.08 Bugolobi-Nakawa'!G49)</f>
        <v>0.42857142857142855</v>
      </c>
      <c r="H49" s="49">
        <f>AVERAGE('29.07 Bugolobi-Nakawa'!H49,'30.07 Bugolobi-Nakawa'!H49,'31.07 Bugolobi-Nakawa'!H49,'02.08 Bugolobi-Nakawa'!H49,'01.08 Bugolobi-Nakawa-24h'!H49,'03.08 Bugolobi-Nakawa-24h'!H49,'04.08 Bugolobi-Nakawa'!H49)</f>
        <v>0.42857142857142855</v>
      </c>
      <c r="I49" s="49">
        <f>AVERAGE('29.07 Bugolobi-Nakawa'!I49,'30.07 Bugolobi-Nakawa'!I49,'31.07 Bugolobi-Nakawa'!I49,'02.08 Bugolobi-Nakawa'!I49,'01.08 Bugolobi-Nakawa-24h'!I49,'03.08 Bugolobi-Nakawa-24h'!I49,'04.08 Bugolobi-Nakawa'!I49)</f>
        <v>2.8571428571428572</v>
      </c>
      <c r="J49" s="49">
        <f>AVERAGE('29.07 Bugolobi-Nakawa'!J49,'30.07 Bugolobi-Nakawa'!J49,'31.07 Bugolobi-Nakawa'!J49,'02.08 Bugolobi-Nakawa'!J49,'01.08 Bugolobi-Nakawa-24h'!J49,'03.08 Bugolobi-Nakawa-24h'!J49,'04.08 Bugolobi-Nakawa'!J49)</f>
        <v>2.1428571428571428</v>
      </c>
      <c r="K49" s="49">
        <f>AVERAGE('29.07 Bugolobi-Nakawa'!K49,'30.07 Bugolobi-Nakawa'!K49,'31.07 Bugolobi-Nakawa'!K49,'02.08 Bugolobi-Nakawa'!K49,'01.08 Bugolobi-Nakawa-24h'!K49,'03.08 Bugolobi-Nakawa-24h'!K49,'04.08 Bugolobi-Nakawa'!K49)</f>
        <v>0.14285714285714285</v>
      </c>
      <c r="L49" s="49">
        <f>AVERAGE('29.07 Bugolobi-Nakawa'!L49,'30.07 Bugolobi-Nakawa'!L49,'31.07 Bugolobi-Nakawa'!L49,'02.08 Bugolobi-Nakawa'!L49,'01.08 Bugolobi-Nakawa-24h'!L49,'03.08 Bugolobi-Nakawa-24h'!L49,'04.08 Bugolobi-Nakawa'!L49)</f>
        <v>0.14285714285714285</v>
      </c>
      <c r="M49" s="49">
        <f>AVERAGE('29.07 Bugolobi-Nakawa'!M49,'30.07 Bugolobi-Nakawa'!M49,'31.07 Bugolobi-Nakawa'!M49,'02.08 Bugolobi-Nakawa'!M49,'01.08 Bugolobi-Nakawa-24h'!M49,'03.08 Bugolobi-Nakawa-24h'!M49,'04.08 Bugolobi-Nakawa'!M49)</f>
        <v>69.285714285714292</v>
      </c>
      <c r="N49" s="49">
        <f>AVERAGE('29.07 Bugolobi-Nakawa'!N49,'30.07 Bugolobi-Nakawa'!N49,'31.07 Bugolobi-Nakawa'!N49,'02.08 Bugolobi-Nakawa'!N49,'01.08 Bugolobi-Nakawa-24h'!N49,'03.08 Bugolobi-Nakawa-24h'!N49,'04.08 Bugolobi-Nakawa'!N49)</f>
        <v>0</v>
      </c>
      <c r="O49" s="15">
        <f t="shared" si="0"/>
        <v>195.28571428571425</v>
      </c>
      <c r="P49" s="15">
        <f t="shared" si="1"/>
        <v>264.57142857142856</v>
      </c>
      <c r="R49" s="8"/>
      <c r="T49"/>
    </row>
    <row r="50" spans="2:20" ht="23.1" customHeight="1" x14ac:dyDescent="0.25">
      <c r="B50" s="24" t="s">
        <v>77</v>
      </c>
      <c r="C50" s="49">
        <f>AVERAGE('29.07 Bugolobi-Nakawa'!C50,'30.07 Bugolobi-Nakawa'!C50,'31.07 Bugolobi-Nakawa'!C50,'02.08 Bugolobi-Nakawa'!C50,'01.08 Bugolobi-Nakawa-24h'!C50,'03.08 Bugolobi-Nakawa-24h'!C50,'04.08 Bugolobi-Nakawa'!C50)</f>
        <v>121.42857142857143</v>
      </c>
      <c r="D50" s="49">
        <f>AVERAGE('29.07 Bugolobi-Nakawa'!D50,'30.07 Bugolobi-Nakawa'!D50,'31.07 Bugolobi-Nakawa'!D50,'02.08 Bugolobi-Nakawa'!D50,'01.08 Bugolobi-Nakawa-24h'!D50,'03.08 Bugolobi-Nakawa-24h'!D50,'04.08 Bugolobi-Nakawa'!D50)</f>
        <v>45.285714285714285</v>
      </c>
      <c r="E50" s="49">
        <f>AVERAGE('29.07 Bugolobi-Nakawa'!E50,'30.07 Bugolobi-Nakawa'!E50,'31.07 Bugolobi-Nakawa'!E50,'02.08 Bugolobi-Nakawa'!E50,'01.08 Bugolobi-Nakawa-24h'!E50,'03.08 Bugolobi-Nakawa-24h'!E50,'04.08 Bugolobi-Nakawa'!E50)</f>
        <v>25.571428571428573</v>
      </c>
      <c r="F50" s="49">
        <f>AVERAGE('29.07 Bugolobi-Nakawa'!F50,'30.07 Bugolobi-Nakawa'!F50,'31.07 Bugolobi-Nakawa'!F50,'02.08 Bugolobi-Nakawa'!F50,'01.08 Bugolobi-Nakawa-24h'!F50,'03.08 Bugolobi-Nakawa-24h'!F50,'04.08 Bugolobi-Nakawa'!F50)</f>
        <v>38.142857142857146</v>
      </c>
      <c r="G50" s="49">
        <f>AVERAGE('29.07 Bugolobi-Nakawa'!G50,'30.07 Bugolobi-Nakawa'!G50,'31.07 Bugolobi-Nakawa'!G50,'02.08 Bugolobi-Nakawa'!G50,'01.08 Bugolobi-Nakawa-24h'!G50,'03.08 Bugolobi-Nakawa-24h'!G50,'04.08 Bugolobi-Nakawa'!G50)</f>
        <v>0.14285714285714285</v>
      </c>
      <c r="H50" s="49">
        <f>AVERAGE('29.07 Bugolobi-Nakawa'!H50,'30.07 Bugolobi-Nakawa'!H50,'31.07 Bugolobi-Nakawa'!H50,'02.08 Bugolobi-Nakawa'!H50,'01.08 Bugolobi-Nakawa-24h'!H50,'03.08 Bugolobi-Nakawa-24h'!H50,'04.08 Bugolobi-Nakawa'!H50)</f>
        <v>0</v>
      </c>
      <c r="I50" s="49">
        <f>AVERAGE('29.07 Bugolobi-Nakawa'!I50,'30.07 Bugolobi-Nakawa'!I50,'31.07 Bugolobi-Nakawa'!I50,'02.08 Bugolobi-Nakawa'!I50,'01.08 Bugolobi-Nakawa-24h'!I50,'03.08 Bugolobi-Nakawa-24h'!I50,'04.08 Bugolobi-Nakawa'!I50)</f>
        <v>3.8571428571428572</v>
      </c>
      <c r="J50" s="49">
        <f>AVERAGE('29.07 Bugolobi-Nakawa'!J50,'30.07 Bugolobi-Nakawa'!J50,'31.07 Bugolobi-Nakawa'!J50,'02.08 Bugolobi-Nakawa'!J50,'01.08 Bugolobi-Nakawa-24h'!J50,'03.08 Bugolobi-Nakawa-24h'!J50,'04.08 Bugolobi-Nakawa'!J50)</f>
        <v>1.2857142857142858</v>
      </c>
      <c r="K50" s="49">
        <f>AVERAGE('29.07 Bugolobi-Nakawa'!K50,'30.07 Bugolobi-Nakawa'!K50,'31.07 Bugolobi-Nakawa'!K50,'02.08 Bugolobi-Nakawa'!K50,'01.08 Bugolobi-Nakawa-24h'!K50,'03.08 Bugolobi-Nakawa-24h'!K50,'04.08 Bugolobi-Nakawa'!K50)</f>
        <v>0</v>
      </c>
      <c r="L50" s="49">
        <f>AVERAGE('29.07 Bugolobi-Nakawa'!L50,'30.07 Bugolobi-Nakawa'!L50,'31.07 Bugolobi-Nakawa'!L50,'02.08 Bugolobi-Nakawa'!L50,'01.08 Bugolobi-Nakawa-24h'!L50,'03.08 Bugolobi-Nakawa-24h'!L50,'04.08 Bugolobi-Nakawa'!L50)</f>
        <v>0</v>
      </c>
      <c r="M50" s="49">
        <f>AVERAGE('29.07 Bugolobi-Nakawa'!M50,'30.07 Bugolobi-Nakawa'!M50,'31.07 Bugolobi-Nakawa'!M50,'02.08 Bugolobi-Nakawa'!M50,'01.08 Bugolobi-Nakawa-24h'!M50,'03.08 Bugolobi-Nakawa-24h'!M50,'04.08 Bugolobi-Nakawa'!M50)</f>
        <v>73.714285714285708</v>
      </c>
      <c r="N50" s="49">
        <f>AVERAGE('29.07 Bugolobi-Nakawa'!N50,'30.07 Bugolobi-Nakawa'!N50,'31.07 Bugolobi-Nakawa'!N50,'02.08 Bugolobi-Nakawa'!N50,'01.08 Bugolobi-Nakawa-24h'!N50,'03.08 Bugolobi-Nakawa-24h'!N50,'04.08 Bugolobi-Nakawa'!N50)</f>
        <v>0</v>
      </c>
      <c r="O50" s="15">
        <f t="shared" si="0"/>
        <v>235.71428571428572</v>
      </c>
      <c r="P50" s="15">
        <f t="shared" si="1"/>
        <v>309.42857142857144</v>
      </c>
      <c r="R50" s="8"/>
      <c r="T50"/>
    </row>
    <row r="51" spans="2:20" ht="23.1" customHeight="1" x14ac:dyDescent="0.25">
      <c r="B51" s="24" t="s">
        <v>78</v>
      </c>
      <c r="C51" s="49">
        <f>AVERAGE('29.07 Bugolobi-Nakawa'!C51,'30.07 Bugolobi-Nakawa'!C51,'31.07 Bugolobi-Nakawa'!C51,'02.08 Bugolobi-Nakawa'!C51,'01.08 Bugolobi-Nakawa-24h'!C51,'03.08 Bugolobi-Nakawa-24h'!C51,'04.08 Bugolobi-Nakawa'!C51)</f>
        <v>113.57142857142857</v>
      </c>
      <c r="D51" s="49">
        <f>AVERAGE('29.07 Bugolobi-Nakawa'!D51,'30.07 Bugolobi-Nakawa'!D51,'31.07 Bugolobi-Nakawa'!D51,'02.08 Bugolobi-Nakawa'!D51,'01.08 Bugolobi-Nakawa-24h'!D51,'03.08 Bugolobi-Nakawa-24h'!D51,'04.08 Bugolobi-Nakawa'!D51)</f>
        <v>46.285714285714285</v>
      </c>
      <c r="E51" s="49">
        <f>AVERAGE('29.07 Bugolobi-Nakawa'!E51,'30.07 Bugolobi-Nakawa'!E51,'31.07 Bugolobi-Nakawa'!E51,'02.08 Bugolobi-Nakawa'!E51,'01.08 Bugolobi-Nakawa-24h'!E51,'03.08 Bugolobi-Nakawa-24h'!E51,'04.08 Bugolobi-Nakawa'!E51)</f>
        <v>27.142857142857142</v>
      </c>
      <c r="F51" s="49">
        <f>AVERAGE('29.07 Bugolobi-Nakawa'!F51,'30.07 Bugolobi-Nakawa'!F51,'31.07 Bugolobi-Nakawa'!F51,'02.08 Bugolobi-Nakawa'!F51,'01.08 Bugolobi-Nakawa-24h'!F51,'03.08 Bugolobi-Nakawa-24h'!F51,'04.08 Bugolobi-Nakawa'!F51)</f>
        <v>32.571428571428569</v>
      </c>
      <c r="G51" s="49">
        <f>AVERAGE('29.07 Bugolobi-Nakawa'!G51,'30.07 Bugolobi-Nakawa'!G51,'31.07 Bugolobi-Nakawa'!G51,'02.08 Bugolobi-Nakawa'!G51,'01.08 Bugolobi-Nakawa-24h'!G51,'03.08 Bugolobi-Nakawa-24h'!G51,'04.08 Bugolobi-Nakawa'!G51)</f>
        <v>0.14285714285714285</v>
      </c>
      <c r="H51" s="49">
        <f>AVERAGE('29.07 Bugolobi-Nakawa'!H51,'30.07 Bugolobi-Nakawa'!H51,'31.07 Bugolobi-Nakawa'!H51,'02.08 Bugolobi-Nakawa'!H51,'01.08 Bugolobi-Nakawa-24h'!H51,'03.08 Bugolobi-Nakawa-24h'!H51,'04.08 Bugolobi-Nakawa'!H51)</f>
        <v>0.5714285714285714</v>
      </c>
      <c r="I51" s="49">
        <f>AVERAGE('29.07 Bugolobi-Nakawa'!I51,'30.07 Bugolobi-Nakawa'!I51,'31.07 Bugolobi-Nakawa'!I51,'02.08 Bugolobi-Nakawa'!I51,'01.08 Bugolobi-Nakawa-24h'!I51,'03.08 Bugolobi-Nakawa-24h'!I51,'04.08 Bugolobi-Nakawa'!I51)</f>
        <v>1.4285714285714286</v>
      </c>
      <c r="J51" s="49">
        <f>AVERAGE('29.07 Bugolobi-Nakawa'!J51,'30.07 Bugolobi-Nakawa'!J51,'31.07 Bugolobi-Nakawa'!J51,'02.08 Bugolobi-Nakawa'!J51,'01.08 Bugolobi-Nakawa-24h'!J51,'03.08 Bugolobi-Nakawa-24h'!J51,'04.08 Bugolobi-Nakawa'!J51)</f>
        <v>0.8571428571428571</v>
      </c>
      <c r="K51" s="49">
        <f>AVERAGE('29.07 Bugolobi-Nakawa'!K51,'30.07 Bugolobi-Nakawa'!K51,'31.07 Bugolobi-Nakawa'!K51,'02.08 Bugolobi-Nakawa'!K51,'01.08 Bugolobi-Nakawa-24h'!K51,'03.08 Bugolobi-Nakawa-24h'!K51,'04.08 Bugolobi-Nakawa'!K51)</f>
        <v>0.42857142857142855</v>
      </c>
      <c r="L51" s="49">
        <f>AVERAGE('29.07 Bugolobi-Nakawa'!L51,'30.07 Bugolobi-Nakawa'!L51,'31.07 Bugolobi-Nakawa'!L51,'02.08 Bugolobi-Nakawa'!L51,'01.08 Bugolobi-Nakawa-24h'!L51,'03.08 Bugolobi-Nakawa-24h'!L51,'04.08 Bugolobi-Nakawa'!L51)</f>
        <v>0</v>
      </c>
      <c r="M51" s="49">
        <f>AVERAGE('29.07 Bugolobi-Nakawa'!M51,'30.07 Bugolobi-Nakawa'!M51,'31.07 Bugolobi-Nakawa'!M51,'02.08 Bugolobi-Nakawa'!M51,'01.08 Bugolobi-Nakawa-24h'!M51,'03.08 Bugolobi-Nakawa-24h'!M51,'04.08 Bugolobi-Nakawa'!M51)</f>
        <v>74.857142857142861</v>
      </c>
      <c r="N51" s="49">
        <f>AVERAGE('29.07 Bugolobi-Nakawa'!N51,'30.07 Bugolobi-Nakawa'!N51,'31.07 Bugolobi-Nakawa'!N51,'02.08 Bugolobi-Nakawa'!N51,'01.08 Bugolobi-Nakawa-24h'!N51,'03.08 Bugolobi-Nakawa-24h'!N51,'04.08 Bugolobi-Nakawa'!N51)</f>
        <v>0</v>
      </c>
      <c r="O51" s="15">
        <f t="shared" si="0"/>
        <v>222.99999999999997</v>
      </c>
      <c r="P51" s="15">
        <f t="shared" si="1"/>
        <v>297.85714285714283</v>
      </c>
      <c r="R51" s="8"/>
      <c r="T51"/>
    </row>
    <row r="52" spans="2:20" ht="23.1" customHeight="1" x14ac:dyDescent="0.25">
      <c r="B52" s="24" t="s">
        <v>79</v>
      </c>
      <c r="C52" s="49">
        <f>AVERAGE('29.07 Bugolobi-Nakawa'!C52,'30.07 Bugolobi-Nakawa'!C52,'31.07 Bugolobi-Nakawa'!C52,'02.08 Bugolobi-Nakawa'!C52,'01.08 Bugolobi-Nakawa-24h'!C52,'03.08 Bugolobi-Nakawa-24h'!C52,'04.08 Bugolobi-Nakawa'!C52)</f>
        <v>145</v>
      </c>
      <c r="D52" s="49">
        <f>AVERAGE('29.07 Bugolobi-Nakawa'!D52,'30.07 Bugolobi-Nakawa'!D52,'31.07 Bugolobi-Nakawa'!D52,'02.08 Bugolobi-Nakawa'!D52,'01.08 Bugolobi-Nakawa-24h'!D52,'03.08 Bugolobi-Nakawa-24h'!D52,'04.08 Bugolobi-Nakawa'!D52)</f>
        <v>57.571428571428569</v>
      </c>
      <c r="E52" s="49">
        <f>AVERAGE('29.07 Bugolobi-Nakawa'!E52,'30.07 Bugolobi-Nakawa'!E52,'31.07 Bugolobi-Nakawa'!E52,'02.08 Bugolobi-Nakawa'!E52,'01.08 Bugolobi-Nakawa-24h'!E52,'03.08 Bugolobi-Nakawa-24h'!E52,'04.08 Bugolobi-Nakawa'!E52)</f>
        <v>34.714285714285715</v>
      </c>
      <c r="F52" s="49">
        <f>AVERAGE('29.07 Bugolobi-Nakawa'!F52,'30.07 Bugolobi-Nakawa'!F52,'31.07 Bugolobi-Nakawa'!F52,'02.08 Bugolobi-Nakawa'!F52,'01.08 Bugolobi-Nakawa-24h'!F52,'03.08 Bugolobi-Nakawa-24h'!F52,'04.08 Bugolobi-Nakawa'!F52)</f>
        <v>39.285714285714285</v>
      </c>
      <c r="G52" s="49">
        <f>AVERAGE('29.07 Bugolobi-Nakawa'!G52,'30.07 Bugolobi-Nakawa'!G52,'31.07 Bugolobi-Nakawa'!G52,'02.08 Bugolobi-Nakawa'!G52,'01.08 Bugolobi-Nakawa-24h'!G52,'03.08 Bugolobi-Nakawa-24h'!G52,'04.08 Bugolobi-Nakawa'!G52)</f>
        <v>0.8571428571428571</v>
      </c>
      <c r="H52" s="49">
        <f>AVERAGE('29.07 Bugolobi-Nakawa'!H52,'30.07 Bugolobi-Nakawa'!H52,'31.07 Bugolobi-Nakawa'!H52,'02.08 Bugolobi-Nakawa'!H52,'01.08 Bugolobi-Nakawa-24h'!H52,'03.08 Bugolobi-Nakawa-24h'!H52,'04.08 Bugolobi-Nakawa'!H52)</f>
        <v>0.14285714285714285</v>
      </c>
      <c r="I52" s="49">
        <f>AVERAGE('29.07 Bugolobi-Nakawa'!I52,'30.07 Bugolobi-Nakawa'!I52,'31.07 Bugolobi-Nakawa'!I52,'02.08 Bugolobi-Nakawa'!I52,'01.08 Bugolobi-Nakawa-24h'!I52,'03.08 Bugolobi-Nakawa-24h'!I52,'04.08 Bugolobi-Nakawa'!I52)</f>
        <v>3.4285714285714284</v>
      </c>
      <c r="J52" s="49">
        <f>AVERAGE('29.07 Bugolobi-Nakawa'!J52,'30.07 Bugolobi-Nakawa'!J52,'31.07 Bugolobi-Nakawa'!J52,'02.08 Bugolobi-Nakawa'!J52,'01.08 Bugolobi-Nakawa-24h'!J52,'03.08 Bugolobi-Nakawa-24h'!J52,'04.08 Bugolobi-Nakawa'!J52)</f>
        <v>1.4285714285714286</v>
      </c>
      <c r="K52" s="49">
        <f>AVERAGE('29.07 Bugolobi-Nakawa'!K52,'30.07 Bugolobi-Nakawa'!K52,'31.07 Bugolobi-Nakawa'!K52,'02.08 Bugolobi-Nakawa'!K52,'01.08 Bugolobi-Nakawa-24h'!K52,'03.08 Bugolobi-Nakawa-24h'!K52,'04.08 Bugolobi-Nakawa'!K52)</f>
        <v>0.2857142857142857</v>
      </c>
      <c r="L52" s="49">
        <f>AVERAGE('29.07 Bugolobi-Nakawa'!L52,'30.07 Bugolobi-Nakawa'!L52,'31.07 Bugolobi-Nakawa'!L52,'02.08 Bugolobi-Nakawa'!L52,'01.08 Bugolobi-Nakawa-24h'!L52,'03.08 Bugolobi-Nakawa-24h'!L52,'04.08 Bugolobi-Nakawa'!L52)</f>
        <v>0.2857142857142857</v>
      </c>
      <c r="M52" s="49">
        <f>AVERAGE('29.07 Bugolobi-Nakawa'!M52,'30.07 Bugolobi-Nakawa'!M52,'31.07 Bugolobi-Nakawa'!M52,'02.08 Bugolobi-Nakawa'!M52,'01.08 Bugolobi-Nakawa-24h'!M52,'03.08 Bugolobi-Nakawa-24h'!M52,'04.08 Bugolobi-Nakawa'!M52)</f>
        <v>79.428571428571431</v>
      </c>
      <c r="N52" s="49">
        <f>AVERAGE('29.07 Bugolobi-Nakawa'!N52,'30.07 Bugolobi-Nakawa'!N52,'31.07 Bugolobi-Nakawa'!N52,'02.08 Bugolobi-Nakawa'!N52,'01.08 Bugolobi-Nakawa-24h'!N52,'03.08 Bugolobi-Nakawa-24h'!N52,'04.08 Bugolobi-Nakawa'!N52)</f>
        <v>0</v>
      </c>
      <c r="O52" s="15">
        <f t="shared" si="0"/>
        <v>283</v>
      </c>
      <c r="P52" s="15">
        <f t="shared" si="1"/>
        <v>362.42857142857144</v>
      </c>
      <c r="R52" s="8"/>
      <c r="T52"/>
    </row>
    <row r="53" spans="2:20" ht="23.1" customHeight="1" x14ac:dyDescent="0.25">
      <c r="B53" s="23" t="s">
        <v>80</v>
      </c>
      <c r="C53" s="49">
        <f>AVERAGE('29.07 Bugolobi-Nakawa'!C53,'30.07 Bugolobi-Nakawa'!C53,'31.07 Bugolobi-Nakawa'!C53,'02.08 Bugolobi-Nakawa'!C53,'01.08 Bugolobi-Nakawa-24h'!C53,'03.08 Bugolobi-Nakawa-24h'!C53,'04.08 Bugolobi-Nakawa'!C53)</f>
        <v>122</v>
      </c>
      <c r="D53" s="49">
        <f>AVERAGE('29.07 Bugolobi-Nakawa'!D53,'30.07 Bugolobi-Nakawa'!D53,'31.07 Bugolobi-Nakawa'!D53,'02.08 Bugolobi-Nakawa'!D53,'01.08 Bugolobi-Nakawa-24h'!D53,'03.08 Bugolobi-Nakawa-24h'!D53,'04.08 Bugolobi-Nakawa'!D53)</f>
        <v>51.571428571428569</v>
      </c>
      <c r="E53" s="49">
        <f>AVERAGE('29.07 Bugolobi-Nakawa'!E53,'30.07 Bugolobi-Nakawa'!E53,'31.07 Bugolobi-Nakawa'!E53,'02.08 Bugolobi-Nakawa'!E53,'01.08 Bugolobi-Nakawa-24h'!E53,'03.08 Bugolobi-Nakawa-24h'!E53,'04.08 Bugolobi-Nakawa'!E53)</f>
        <v>21.285714285714285</v>
      </c>
      <c r="F53" s="49">
        <f>AVERAGE('29.07 Bugolobi-Nakawa'!F53,'30.07 Bugolobi-Nakawa'!F53,'31.07 Bugolobi-Nakawa'!F53,'02.08 Bugolobi-Nakawa'!F53,'01.08 Bugolobi-Nakawa-24h'!F53,'03.08 Bugolobi-Nakawa-24h'!F53,'04.08 Bugolobi-Nakawa'!F53)</f>
        <v>36.857142857142854</v>
      </c>
      <c r="G53" s="49">
        <f>AVERAGE('29.07 Bugolobi-Nakawa'!G53,'30.07 Bugolobi-Nakawa'!G53,'31.07 Bugolobi-Nakawa'!G53,'02.08 Bugolobi-Nakawa'!G53,'01.08 Bugolobi-Nakawa-24h'!G53,'03.08 Bugolobi-Nakawa-24h'!G53,'04.08 Bugolobi-Nakawa'!G53)</f>
        <v>0.14285714285714285</v>
      </c>
      <c r="H53" s="49">
        <f>AVERAGE('29.07 Bugolobi-Nakawa'!H53,'30.07 Bugolobi-Nakawa'!H53,'31.07 Bugolobi-Nakawa'!H53,'02.08 Bugolobi-Nakawa'!H53,'01.08 Bugolobi-Nakawa-24h'!H53,'03.08 Bugolobi-Nakawa-24h'!H53,'04.08 Bugolobi-Nakawa'!H53)</f>
        <v>0.14285714285714285</v>
      </c>
      <c r="I53" s="49">
        <f>AVERAGE('29.07 Bugolobi-Nakawa'!I53,'30.07 Bugolobi-Nakawa'!I53,'31.07 Bugolobi-Nakawa'!I53,'02.08 Bugolobi-Nakawa'!I53,'01.08 Bugolobi-Nakawa-24h'!I53,'03.08 Bugolobi-Nakawa-24h'!I53,'04.08 Bugolobi-Nakawa'!I53)</f>
        <v>1.4285714285714286</v>
      </c>
      <c r="J53" s="49">
        <f>AVERAGE('29.07 Bugolobi-Nakawa'!J53,'30.07 Bugolobi-Nakawa'!J53,'31.07 Bugolobi-Nakawa'!J53,'02.08 Bugolobi-Nakawa'!J53,'01.08 Bugolobi-Nakawa-24h'!J53,'03.08 Bugolobi-Nakawa-24h'!J53,'04.08 Bugolobi-Nakawa'!J53)</f>
        <v>1</v>
      </c>
      <c r="K53" s="49">
        <f>AVERAGE('29.07 Bugolobi-Nakawa'!K53,'30.07 Bugolobi-Nakawa'!K53,'31.07 Bugolobi-Nakawa'!K53,'02.08 Bugolobi-Nakawa'!K53,'01.08 Bugolobi-Nakawa-24h'!K53,'03.08 Bugolobi-Nakawa-24h'!K53,'04.08 Bugolobi-Nakawa'!K53)</f>
        <v>0.2857142857142857</v>
      </c>
      <c r="L53" s="49">
        <f>AVERAGE('29.07 Bugolobi-Nakawa'!L53,'30.07 Bugolobi-Nakawa'!L53,'31.07 Bugolobi-Nakawa'!L53,'02.08 Bugolobi-Nakawa'!L53,'01.08 Bugolobi-Nakawa-24h'!L53,'03.08 Bugolobi-Nakawa-24h'!L53,'04.08 Bugolobi-Nakawa'!L53)</f>
        <v>0</v>
      </c>
      <c r="M53" s="49">
        <f>AVERAGE('29.07 Bugolobi-Nakawa'!M53,'30.07 Bugolobi-Nakawa'!M53,'31.07 Bugolobi-Nakawa'!M53,'02.08 Bugolobi-Nakawa'!M53,'01.08 Bugolobi-Nakawa-24h'!M53,'03.08 Bugolobi-Nakawa-24h'!M53,'04.08 Bugolobi-Nakawa'!M53)</f>
        <v>87.285714285714292</v>
      </c>
      <c r="N53" s="49">
        <f>AVERAGE('29.07 Bugolobi-Nakawa'!N53,'30.07 Bugolobi-Nakawa'!N53,'31.07 Bugolobi-Nakawa'!N53,'02.08 Bugolobi-Nakawa'!N53,'01.08 Bugolobi-Nakawa-24h'!N53,'03.08 Bugolobi-Nakawa-24h'!N53,'04.08 Bugolobi-Nakawa'!N53)</f>
        <v>0</v>
      </c>
      <c r="O53" s="15">
        <f t="shared" si="0"/>
        <v>234.71428571428567</v>
      </c>
      <c r="P53" s="15">
        <f t="shared" si="1"/>
        <v>321.99999999999994</v>
      </c>
      <c r="R53" s="8"/>
      <c r="T53"/>
    </row>
    <row r="54" spans="2:20" ht="23.1" customHeight="1" x14ac:dyDescent="0.25">
      <c r="B54" s="23" t="s">
        <v>81</v>
      </c>
      <c r="C54" s="49">
        <f>AVERAGE('29.07 Bugolobi-Nakawa'!C54,'30.07 Bugolobi-Nakawa'!C54,'31.07 Bugolobi-Nakawa'!C54,'02.08 Bugolobi-Nakawa'!C54,'01.08 Bugolobi-Nakawa-24h'!C54,'03.08 Bugolobi-Nakawa-24h'!C54,'04.08 Bugolobi-Nakawa'!C54)</f>
        <v>150.57142857142858</v>
      </c>
      <c r="D54" s="49">
        <f>AVERAGE('29.07 Bugolobi-Nakawa'!D54,'30.07 Bugolobi-Nakawa'!D54,'31.07 Bugolobi-Nakawa'!D54,'02.08 Bugolobi-Nakawa'!D54,'01.08 Bugolobi-Nakawa-24h'!D54,'03.08 Bugolobi-Nakawa-24h'!D54,'04.08 Bugolobi-Nakawa'!D54)</f>
        <v>51.142857142857146</v>
      </c>
      <c r="E54" s="49">
        <f>AVERAGE('29.07 Bugolobi-Nakawa'!E54,'30.07 Bugolobi-Nakawa'!E54,'31.07 Bugolobi-Nakawa'!E54,'02.08 Bugolobi-Nakawa'!E54,'01.08 Bugolobi-Nakawa-24h'!E54,'03.08 Bugolobi-Nakawa-24h'!E54,'04.08 Bugolobi-Nakawa'!E54)</f>
        <v>31.428571428571427</v>
      </c>
      <c r="F54" s="49">
        <f>AVERAGE('29.07 Bugolobi-Nakawa'!F54,'30.07 Bugolobi-Nakawa'!F54,'31.07 Bugolobi-Nakawa'!F54,'02.08 Bugolobi-Nakawa'!F54,'01.08 Bugolobi-Nakawa-24h'!F54,'03.08 Bugolobi-Nakawa-24h'!F54,'04.08 Bugolobi-Nakawa'!F54)</f>
        <v>32.857142857142854</v>
      </c>
      <c r="G54" s="49">
        <f>AVERAGE('29.07 Bugolobi-Nakawa'!G54,'30.07 Bugolobi-Nakawa'!G54,'31.07 Bugolobi-Nakawa'!G54,'02.08 Bugolobi-Nakawa'!G54,'01.08 Bugolobi-Nakawa-24h'!G54,'03.08 Bugolobi-Nakawa-24h'!G54,'04.08 Bugolobi-Nakawa'!G54)</f>
        <v>0.42857142857142855</v>
      </c>
      <c r="H54" s="49">
        <f>AVERAGE('29.07 Bugolobi-Nakawa'!H54,'30.07 Bugolobi-Nakawa'!H54,'31.07 Bugolobi-Nakawa'!H54,'02.08 Bugolobi-Nakawa'!H54,'01.08 Bugolobi-Nakawa-24h'!H54,'03.08 Bugolobi-Nakawa-24h'!H54,'04.08 Bugolobi-Nakawa'!H54)</f>
        <v>0</v>
      </c>
      <c r="I54" s="49">
        <f>AVERAGE('29.07 Bugolobi-Nakawa'!I54,'30.07 Bugolobi-Nakawa'!I54,'31.07 Bugolobi-Nakawa'!I54,'02.08 Bugolobi-Nakawa'!I54,'01.08 Bugolobi-Nakawa-24h'!I54,'03.08 Bugolobi-Nakawa-24h'!I54,'04.08 Bugolobi-Nakawa'!I54)</f>
        <v>5.2857142857142856</v>
      </c>
      <c r="J54" s="49">
        <f>AVERAGE('29.07 Bugolobi-Nakawa'!J54,'30.07 Bugolobi-Nakawa'!J54,'31.07 Bugolobi-Nakawa'!J54,'02.08 Bugolobi-Nakawa'!J54,'01.08 Bugolobi-Nakawa-24h'!J54,'03.08 Bugolobi-Nakawa-24h'!J54,'04.08 Bugolobi-Nakawa'!J54)</f>
        <v>2</v>
      </c>
      <c r="K54" s="49">
        <f>AVERAGE('29.07 Bugolobi-Nakawa'!K54,'30.07 Bugolobi-Nakawa'!K54,'31.07 Bugolobi-Nakawa'!K54,'02.08 Bugolobi-Nakawa'!K54,'01.08 Bugolobi-Nakawa-24h'!K54,'03.08 Bugolobi-Nakawa-24h'!K54,'04.08 Bugolobi-Nakawa'!K54)</f>
        <v>0</v>
      </c>
      <c r="L54" s="49">
        <f>AVERAGE('29.07 Bugolobi-Nakawa'!L54,'30.07 Bugolobi-Nakawa'!L54,'31.07 Bugolobi-Nakawa'!L54,'02.08 Bugolobi-Nakawa'!L54,'01.08 Bugolobi-Nakawa-24h'!L54,'03.08 Bugolobi-Nakawa-24h'!L54,'04.08 Bugolobi-Nakawa'!L54)</f>
        <v>0.14285714285714285</v>
      </c>
      <c r="M54" s="49">
        <f>AVERAGE('29.07 Bugolobi-Nakawa'!M54,'30.07 Bugolobi-Nakawa'!M54,'31.07 Bugolobi-Nakawa'!M54,'02.08 Bugolobi-Nakawa'!M54,'01.08 Bugolobi-Nakawa-24h'!M54,'03.08 Bugolobi-Nakawa-24h'!M54,'04.08 Bugolobi-Nakawa'!M54)</f>
        <v>75.428571428571431</v>
      </c>
      <c r="N54" s="49">
        <f>AVERAGE('29.07 Bugolobi-Nakawa'!N54,'30.07 Bugolobi-Nakawa'!N54,'31.07 Bugolobi-Nakawa'!N54,'02.08 Bugolobi-Nakawa'!N54,'01.08 Bugolobi-Nakawa-24h'!N54,'03.08 Bugolobi-Nakawa-24h'!N54,'04.08 Bugolobi-Nakawa'!N54)</f>
        <v>0</v>
      </c>
      <c r="O54" s="15">
        <f t="shared" si="0"/>
        <v>273.85714285714289</v>
      </c>
      <c r="P54" s="15">
        <f t="shared" si="1"/>
        <v>349.28571428571433</v>
      </c>
      <c r="R54" s="8"/>
      <c r="T54"/>
    </row>
    <row r="55" spans="2:20" ht="23.1" customHeight="1" x14ac:dyDescent="0.25">
      <c r="B55" s="23" t="s">
        <v>82</v>
      </c>
      <c r="C55" s="49">
        <f>AVERAGE('29.07 Bugolobi-Nakawa'!C55,'30.07 Bugolobi-Nakawa'!C55,'31.07 Bugolobi-Nakawa'!C55,'02.08 Bugolobi-Nakawa'!C55,'01.08 Bugolobi-Nakawa-24h'!C55,'03.08 Bugolobi-Nakawa-24h'!C55,'04.08 Bugolobi-Nakawa'!C55)</f>
        <v>149.28571428571428</v>
      </c>
      <c r="D55" s="49">
        <f>AVERAGE('29.07 Bugolobi-Nakawa'!D55,'30.07 Bugolobi-Nakawa'!D55,'31.07 Bugolobi-Nakawa'!D55,'02.08 Bugolobi-Nakawa'!D55,'01.08 Bugolobi-Nakawa-24h'!D55,'03.08 Bugolobi-Nakawa-24h'!D55,'04.08 Bugolobi-Nakawa'!D55)</f>
        <v>62.285714285714285</v>
      </c>
      <c r="E55" s="49">
        <f>AVERAGE('29.07 Bugolobi-Nakawa'!E55,'30.07 Bugolobi-Nakawa'!E55,'31.07 Bugolobi-Nakawa'!E55,'02.08 Bugolobi-Nakawa'!E55,'01.08 Bugolobi-Nakawa-24h'!E55,'03.08 Bugolobi-Nakawa-24h'!E55,'04.08 Bugolobi-Nakawa'!E55)</f>
        <v>35.428571428571431</v>
      </c>
      <c r="F55" s="49">
        <f>AVERAGE('29.07 Bugolobi-Nakawa'!F55,'30.07 Bugolobi-Nakawa'!F55,'31.07 Bugolobi-Nakawa'!F55,'02.08 Bugolobi-Nakawa'!F55,'01.08 Bugolobi-Nakawa-24h'!F55,'03.08 Bugolobi-Nakawa-24h'!F55,'04.08 Bugolobi-Nakawa'!F55)</f>
        <v>24.285714285714285</v>
      </c>
      <c r="G55" s="49">
        <f>AVERAGE('29.07 Bugolobi-Nakawa'!G55,'30.07 Bugolobi-Nakawa'!G55,'31.07 Bugolobi-Nakawa'!G55,'02.08 Bugolobi-Nakawa'!G55,'01.08 Bugolobi-Nakawa-24h'!G55,'03.08 Bugolobi-Nakawa-24h'!G55,'04.08 Bugolobi-Nakawa'!G55)</f>
        <v>0.42857142857142855</v>
      </c>
      <c r="H55" s="49">
        <f>AVERAGE('29.07 Bugolobi-Nakawa'!H55,'30.07 Bugolobi-Nakawa'!H55,'31.07 Bugolobi-Nakawa'!H55,'02.08 Bugolobi-Nakawa'!H55,'01.08 Bugolobi-Nakawa-24h'!H55,'03.08 Bugolobi-Nakawa-24h'!H55,'04.08 Bugolobi-Nakawa'!H55)</f>
        <v>0</v>
      </c>
      <c r="I55" s="49">
        <f>AVERAGE('29.07 Bugolobi-Nakawa'!I55,'30.07 Bugolobi-Nakawa'!I55,'31.07 Bugolobi-Nakawa'!I55,'02.08 Bugolobi-Nakawa'!I55,'01.08 Bugolobi-Nakawa-24h'!I55,'03.08 Bugolobi-Nakawa-24h'!I55,'04.08 Bugolobi-Nakawa'!I55)</f>
        <v>6.7142857142857144</v>
      </c>
      <c r="J55" s="49">
        <f>AVERAGE('29.07 Bugolobi-Nakawa'!J55,'30.07 Bugolobi-Nakawa'!J55,'31.07 Bugolobi-Nakawa'!J55,'02.08 Bugolobi-Nakawa'!J55,'01.08 Bugolobi-Nakawa-24h'!J55,'03.08 Bugolobi-Nakawa-24h'!J55,'04.08 Bugolobi-Nakawa'!J55)</f>
        <v>1.8571428571428572</v>
      </c>
      <c r="K55" s="49">
        <f>AVERAGE('29.07 Bugolobi-Nakawa'!K55,'30.07 Bugolobi-Nakawa'!K55,'31.07 Bugolobi-Nakawa'!K55,'02.08 Bugolobi-Nakawa'!K55,'01.08 Bugolobi-Nakawa-24h'!K55,'03.08 Bugolobi-Nakawa-24h'!K55,'04.08 Bugolobi-Nakawa'!K55)</f>
        <v>0</v>
      </c>
      <c r="L55" s="49">
        <f>AVERAGE('29.07 Bugolobi-Nakawa'!L55,'30.07 Bugolobi-Nakawa'!L55,'31.07 Bugolobi-Nakawa'!L55,'02.08 Bugolobi-Nakawa'!L55,'01.08 Bugolobi-Nakawa-24h'!L55,'03.08 Bugolobi-Nakawa-24h'!L55,'04.08 Bugolobi-Nakawa'!L55)</f>
        <v>0</v>
      </c>
      <c r="M55" s="49">
        <f>AVERAGE('29.07 Bugolobi-Nakawa'!M55,'30.07 Bugolobi-Nakawa'!M55,'31.07 Bugolobi-Nakawa'!M55,'02.08 Bugolobi-Nakawa'!M55,'01.08 Bugolobi-Nakawa-24h'!M55,'03.08 Bugolobi-Nakawa-24h'!M55,'04.08 Bugolobi-Nakawa'!M55)</f>
        <v>76.142857142857139</v>
      </c>
      <c r="N55" s="49">
        <f>AVERAGE('29.07 Bugolobi-Nakawa'!N55,'30.07 Bugolobi-Nakawa'!N55,'31.07 Bugolobi-Nakawa'!N55,'02.08 Bugolobi-Nakawa'!N55,'01.08 Bugolobi-Nakawa-24h'!N55,'03.08 Bugolobi-Nakawa-24h'!N55,'04.08 Bugolobi-Nakawa'!N55)</f>
        <v>0</v>
      </c>
      <c r="O55" s="15">
        <f t="shared" si="0"/>
        <v>280.28571428571428</v>
      </c>
      <c r="P55" s="15">
        <f t="shared" si="1"/>
        <v>356.42857142857144</v>
      </c>
      <c r="R55" s="8"/>
      <c r="T55"/>
    </row>
    <row r="56" spans="2:20" ht="23.1" customHeight="1" x14ac:dyDescent="0.25">
      <c r="B56" s="23" t="s">
        <v>83</v>
      </c>
      <c r="C56" s="49">
        <f>AVERAGE('29.07 Bugolobi-Nakawa'!C56,'30.07 Bugolobi-Nakawa'!C56,'31.07 Bugolobi-Nakawa'!C56,'02.08 Bugolobi-Nakawa'!C56,'01.08 Bugolobi-Nakawa-24h'!C56,'03.08 Bugolobi-Nakawa-24h'!C56,'04.08 Bugolobi-Nakawa'!C56)</f>
        <v>135</v>
      </c>
      <c r="D56" s="49">
        <f>AVERAGE('29.07 Bugolobi-Nakawa'!D56,'30.07 Bugolobi-Nakawa'!D56,'31.07 Bugolobi-Nakawa'!D56,'02.08 Bugolobi-Nakawa'!D56,'01.08 Bugolobi-Nakawa-24h'!D56,'03.08 Bugolobi-Nakawa-24h'!D56,'04.08 Bugolobi-Nakawa'!D56)</f>
        <v>53.571428571428569</v>
      </c>
      <c r="E56" s="49">
        <f>AVERAGE('29.07 Bugolobi-Nakawa'!E56,'30.07 Bugolobi-Nakawa'!E56,'31.07 Bugolobi-Nakawa'!E56,'02.08 Bugolobi-Nakawa'!E56,'01.08 Bugolobi-Nakawa-24h'!E56,'03.08 Bugolobi-Nakawa-24h'!E56,'04.08 Bugolobi-Nakawa'!E56)</f>
        <v>47.714285714285715</v>
      </c>
      <c r="F56" s="49">
        <f>AVERAGE('29.07 Bugolobi-Nakawa'!F56,'30.07 Bugolobi-Nakawa'!F56,'31.07 Bugolobi-Nakawa'!F56,'02.08 Bugolobi-Nakawa'!F56,'01.08 Bugolobi-Nakawa-24h'!F56,'03.08 Bugolobi-Nakawa-24h'!F56,'04.08 Bugolobi-Nakawa'!F56)</f>
        <v>25.142857142857142</v>
      </c>
      <c r="G56" s="49">
        <f>AVERAGE('29.07 Bugolobi-Nakawa'!G56,'30.07 Bugolobi-Nakawa'!G56,'31.07 Bugolobi-Nakawa'!G56,'02.08 Bugolobi-Nakawa'!G56,'01.08 Bugolobi-Nakawa-24h'!G56,'03.08 Bugolobi-Nakawa-24h'!G56,'04.08 Bugolobi-Nakawa'!G56)</f>
        <v>0.14285714285714285</v>
      </c>
      <c r="H56" s="49">
        <f>AVERAGE('29.07 Bugolobi-Nakawa'!H56,'30.07 Bugolobi-Nakawa'!H56,'31.07 Bugolobi-Nakawa'!H56,'02.08 Bugolobi-Nakawa'!H56,'01.08 Bugolobi-Nakawa-24h'!H56,'03.08 Bugolobi-Nakawa-24h'!H56,'04.08 Bugolobi-Nakawa'!H56)</f>
        <v>0</v>
      </c>
      <c r="I56" s="49">
        <f>AVERAGE('29.07 Bugolobi-Nakawa'!I56,'30.07 Bugolobi-Nakawa'!I56,'31.07 Bugolobi-Nakawa'!I56,'02.08 Bugolobi-Nakawa'!I56,'01.08 Bugolobi-Nakawa-24h'!I56,'03.08 Bugolobi-Nakawa-24h'!I56,'04.08 Bugolobi-Nakawa'!I56)</f>
        <v>1.4285714285714286</v>
      </c>
      <c r="J56" s="49">
        <f>AVERAGE('29.07 Bugolobi-Nakawa'!J56,'30.07 Bugolobi-Nakawa'!J56,'31.07 Bugolobi-Nakawa'!J56,'02.08 Bugolobi-Nakawa'!J56,'01.08 Bugolobi-Nakawa-24h'!J56,'03.08 Bugolobi-Nakawa-24h'!J56,'04.08 Bugolobi-Nakawa'!J56)</f>
        <v>1</v>
      </c>
      <c r="K56" s="49">
        <f>AVERAGE('29.07 Bugolobi-Nakawa'!K56,'30.07 Bugolobi-Nakawa'!K56,'31.07 Bugolobi-Nakawa'!K56,'02.08 Bugolobi-Nakawa'!K56,'01.08 Bugolobi-Nakawa-24h'!K56,'03.08 Bugolobi-Nakawa-24h'!K56,'04.08 Bugolobi-Nakawa'!K56)</f>
        <v>0.2857142857142857</v>
      </c>
      <c r="L56" s="49">
        <f>AVERAGE('29.07 Bugolobi-Nakawa'!L56,'30.07 Bugolobi-Nakawa'!L56,'31.07 Bugolobi-Nakawa'!L56,'02.08 Bugolobi-Nakawa'!L56,'01.08 Bugolobi-Nakawa-24h'!L56,'03.08 Bugolobi-Nakawa-24h'!L56,'04.08 Bugolobi-Nakawa'!L56)</f>
        <v>0</v>
      </c>
      <c r="M56" s="49">
        <f>AVERAGE('29.07 Bugolobi-Nakawa'!M56,'30.07 Bugolobi-Nakawa'!M56,'31.07 Bugolobi-Nakawa'!M56,'02.08 Bugolobi-Nakawa'!M56,'01.08 Bugolobi-Nakawa-24h'!M56,'03.08 Bugolobi-Nakawa-24h'!M56,'04.08 Bugolobi-Nakawa'!M56)</f>
        <v>82.428571428571431</v>
      </c>
      <c r="N56" s="49">
        <f>AVERAGE('29.07 Bugolobi-Nakawa'!N56,'30.07 Bugolobi-Nakawa'!N56,'31.07 Bugolobi-Nakawa'!N56,'02.08 Bugolobi-Nakawa'!N56,'01.08 Bugolobi-Nakawa-24h'!N56,'03.08 Bugolobi-Nakawa-24h'!N56,'04.08 Bugolobi-Nakawa'!N56)</f>
        <v>0</v>
      </c>
      <c r="O56" s="15">
        <f t="shared" si="0"/>
        <v>264.28571428571433</v>
      </c>
      <c r="P56" s="15">
        <f t="shared" si="1"/>
        <v>346.71428571428578</v>
      </c>
      <c r="R56" s="8"/>
      <c r="T56"/>
    </row>
    <row r="57" spans="2:20" ht="23.1" customHeight="1" x14ac:dyDescent="0.25">
      <c r="B57" s="23" t="s">
        <v>84</v>
      </c>
      <c r="C57" s="49">
        <f>AVERAGE('29.07 Bugolobi-Nakawa'!C57,'30.07 Bugolobi-Nakawa'!C57,'31.07 Bugolobi-Nakawa'!C57,'02.08 Bugolobi-Nakawa'!C57,'01.08 Bugolobi-Nakawa-24h'!C57,'03.08 Bugolobi-Nakawa-24h'!C57,'04.08 Bugolobi-Nakawa'!C57)</f>
        <v>128.42857142857142</v>
      </c>
      <c r="D57" s="49">
        <f>AVERAGE('29.07 Bugolobi-Nakawa'!D57,'30.07 Bugolobi-Nakawa'!D57,'31.07 Bugolobi-Nakawa'!D57,'02.08 Bugolobi-Nakawa'!D57,'01.08 Bugolobi-Nakawa-24h'!D57,'03.08 Bugolobi-Nakawa-24h'!D57,'04.08 Bugolobi-Nakawa'!D57)</f>
        <v>36</v>
      </c>
      <c r="E57" s="49">
        <f>AVERAGE('29.07 Bugolobi-Nakawa'!E57,'30.07 Bugolobi-Nakawa'!E57,'31.07 Bugolobi-Nakawa'!E57,'02.08 Bugolobi-Nakawa'!E57,'01.08 Bugolobi-Nakawa-24h'!E57,'03.08 Bugolobi-Nakawa-24h'!E57,'04.08 Bugolobi-Nakawa'!E57)</f>
        <v>36.714285714285715</v>
      </c>
      <c r="F57" s="49">
        <f>AVERAGE('29.07 Bugolobi-Nakawa'!F57,'30.07 Bugolobi-Nakawa'!F57,'31.07 Bugolobi-Nakawa'!F57,'02.08 Bugolobi-Nakawa'!F57,'01.08 Bugolobi-Nakawa-24h'!F57,'03.08 Bugolobi-Nakawa-24h'!F57,'04.08 Bugolobi-Nakawa'!F57)</f>
        <v>28.428571428571427</v>
      </c>
      <c r="G57" s="49">
        <f>AVERAGE('29.07 Bugolobi-Nakawa'!G57,'30.07 Bugolobi-Nakawa'!G57,'31.07 Bugolobi-Nakawa'!G57,'02.08 Bugolobi-Nakawa'!G57,'01.08 Bugolobi-Nakawa-24h'!G57,'03.08 Bugolobi-Nakawa-24h'!G57,'04.08 Bugolobi-Nakawa'!G57)</f>
        <v>0.5714285714285714</v>
      </c>
      <c r="H57" s="49">
        <f>AVERAGE('29.07 Bugolobi-Nakawa'!H57,'30.07 Bugolobi-Nakawa'!H57,'31.07 Bugolobi-Nakawa'!H57,'02.08 Bugolobi-Nakawa'!H57,'01.08 Bugolobi-Nakawa-24h'!H57,'03.08 Bugolobi-Nakawa-24h'!H57,'04.08 Bugolobi-Nakawa'!H57)</f>
        <v>0.2857142857142857</v>
      </c>
      <c r="I57" s="49">
        <f>AVERAGE('29.07 Bugolobi-Nakawa'!I57,'30.07 Bugolobi-Nakawa'!I57,'31.07 Bugolobi-Nakawa'!I57,'02.08 Bugolobi-Nakawa'!I57,'01.08 Bugolobi-Nakawa-24h'!I57,'03.08 Bugolobi-Nakawa-24h'!I57,'04.08 Bugolobi-Nakawa'!I57)</f>
        <v>1.4285714285714286</v>
      </c>
      <c r="J57" s="49">
        <f>AVERAGE('29.07 Bugolobi-Nakawa'!J57,'30.07 Bugolobi-Nakawa'!J57,'31.07 Bugolobi-Nakawa'!J57,'02.08 Bugolobi-Nakawa'!J57,'01.08 Bugolobi-Nakawa-24h'!J57,'03.08 Bugolobi-Nakawa-24h'!J57,'04.08 Bugolobi-Nakawa'!J57)</f>
        <v>0.8571428571428571</v>
      </c>
      <c r="K57" s="49">
        <f>AVERAGE('29.07 Bugolobi-Nakawa'!K57,'30.07 Bugolobi-Nakawa'!K57,'31.07 Bugolobi-Nakawa'!K57,'02.08 Bugolobi-Nakawa'!K57,'01.08 Bugolobi-Nakawa-24h'!K57,'03.08 Bugolobi-Nakawa-24h'!K57,'04.08 Bugolobi-Nakawa'!K57)</f>
        <v>0.2857142857142857</v>
      </c>
      <c r="L57" s="49">
        <f>AVERAGE('29.07 Bugolobi-Nakawa'!L57,'30.07 Bugolobi-Nakawa'!L57,'31.07 Bugolobi-Nakawa'!L57,'02.08 Bugolobi-Nakawa'!L57,'01.08 Bugolobi-Nakawa-24h'!L57,'03.08 Bugolobi-Nakawa-24h'!L57,'04.08 Bugolobi-Nakawa'!L57)</f>
        <v>0.14285714285714285</v>
      </c>
      <c r="M57" s="49">
        <f>AVERAGE('29.07 Bugolobi-Nakawa'!M57,'30.07 Bugolobi-Nakawa'!M57,'31.07 Bugolobi-Nakawa'!M57,'02.08 Bugolobi-Nakawa'!M57,'01.08 Bugolobi-Nakawa-24h'!M57,'03.08 Bugolobi-Nakawa-24h'!M57,'04.08 Bugolobi-Nakawa'!M57)</f>
        <v>72</v>
      </c>
      <c r="N57" s="49">
        <f>AVERAGE('29.07 Bugolobi-Nakawa'!N57,'30.07 Bugolobi-Nakawa'!N57,'31.07 Bugolobi-Nakawa'!N57,'02.08 Bugolobi-Nakawa'!N57,'01.08 Bugolobi-Nakawa-24h'!N57,'03.08 Bugolobi-Nakawa-24h'!N57,'04.08 Bugolobi-Nakawa'!N57)</f>
        <v>0</v>
      </c>
      <c r="O57" s="15">
        <f t="shared" si="0"/>
        <v>233.14285714285711</v>
      </c>
      <c r="P57" s="15">
        <f t="shared" si="1"/>
        <v>305.14285714285711</v>
      </c>
      <c r="R57" s="8"/>
      <c r="T57"/>
    </row>
    <row r="58" spans="2:20" ht="23.1" customHeight="1" x14ac:dyDescent="0.25">
      <c r="B58" s="23" t="s">
        <v>99</v>
      </c>
      <c r="C58" s="49">
        <f>AVERAGE('01.08 Bugolobi-Nakawa-24h'!C58,'03.08 Bugolobi-Nakawa-24h'!C58)</f>
        <v>45.5</v>
      </c>
      <c r="D58" s="49">
        <f>AVERAGE('01.08 Bugolobi-Nakawa-24h'!D58,'03.08 Bugolobi-Nakawa-24h'!D58)</f>
        <v>35</v>
      </c>
      <c r="E58" s="49">
        <f>AVERAGE('01.08 Bugolobi-Nakawa-24h'!E58,'03.08 Bugolobi-Nakawa-24h'!E58)</f>
        <v>9</v>
      </c>
      <c r="F58" s="49">
        <f>AVERAGE('01.08 Bugolobi-Nakawa-24h'!F58,'03.08 Bugolobi-Nakawa-24h'!F58)</f>
        <v>20.5</v>
      </c>
      <c r="G58" s="49">
        <f>AVERAGE('01.08 Bugolobi-Nakawa-24h'!G58,'03.08 Bugolobi-Nakawa-24h'!G58)</f>
        <v>0.5</v>
      </c>
      <c r="H58" s="49">
        <f>AVERAGE('01.08 Bugolobi-Nakawa-24h'!H58,'03.08 Bugolobi-Nakawa-24h'!H58)</f>
        <v>0</v>
      </c>
      <c r="I58" s="49">
        <f>AVERAGE('01.08 Bugolobi-Nakawa-24h'!I58,'03.08 Bugolobi-Nakawa-24h'!I58)</f>
        <v>0.5</v>
      </c>
      <c r="J58" s="49">
        <f>AVERAGE('01.08 Bugolobi-Nakawa-24h'!J58,'03.08 Bugolobi-Nakawa-24h'!J58)</f>
        <v>0.5</v>
      </c>
      <c r="K58" s="49">
        <f>AVERAGE('01.08 Bugolobi-Nakawa-24h'!K58,'03.08 Bugolobi-Nakawa-24h'!K58)</f>
        <v>0.5</v>
      </c>
      <c r="L58" s="49">
        <f>AVERAGE('01.08 Bugolobi-Nakawa-24h'!L58,'03.08 Bugolobi-Nakawa-24h'!L58)</f>
        <v>0.5</v>
      </c>
      <c r="M58" s="49">
        <f>AVERAGE('01.08 Bugolobi-Nakawa-24h'!M58,'03.08 Bugolobi-Nakawa-24h'!M58)</f>
        <v>61</v>
      </c>
      <c r="N58" s="49">
        <f>AVERAGE('01.08 Bugolobi-Nakawa-24h'!N58,'03.08 Bugolobi-Nakawa-24h'!N58)</f>
        <v>0</v>
      </c>
      <c r="O58" s="15">
        <f t="shared" si="0"/>
        <v>112.5</v>
      </c>
      <c r="P58" s="15">
        <f t="shared" si="1"/>
        <v>173.5</v>
      </c>
      <c r="R58" s="8"/>
      <c r="T58"/>
    </row>
    <row r="59" spans="2:20" ht="23.1" customHeight="1" x14ac:dyDescent="0.25">
      <c r="B59" s="23" t="s">
        <v>100</v>
      </c>
      <c r="C59" s="49">
        <f>AVERAGE('01.08 Bugolobi-Nakawa-24h'!C59,'03.08 Bugolobi-Nakawa-24h'!C59)</f>
        <v>57.5</v>
      </c>
      <c r="D59" s="49">
        <f>AVERAGE('01.08 Bugolobi-Nakawa-24h'!D59,'03.08 Bugolobi-Nakawa-24h'!D59)</f>
        <v>30.5</v>
      </c>
      <c r="E59" s="49">
        <f>AVERAGE('01.08 Bugolobi-Nakawa-24h'!E59,'03.08 Bugolobi-Nakawa-24h'!E59)</f>
        <v>13.5</v>
      </c>
      <c r="F59" s="49">
        <f>AVERAGE('01.08 Bugolobi-Nakawa-24h'!F59,'03.08 Bugolobi-Nakawa-24h'!F59)</f>
        <v>29.5</v>
      </c>
      <c r="G59" s="49">
        <f>AVERAGE('01.08 Bugolobi-Nakawa-24h'!G59,'03.08 Bugolobi-Nakawa-24h'!G59)</f>
        <v>0</v>
      </c>
      <c r="H59" s="49">
        <f>AVERAGE('01.08 Bugolobi-Nakawa-24h'!H59,'03.08 Bugolobi-Nakawa-24h'!H59)</f>
        <v>0</v>
      </c>
      <c r="I59" s="49">
        <f>AVERAGE('01.08 Bugolobi-Nakawa-24h'!I59,'03.08 Bugolobi-Nakawa-24h'!I59)</f>
        <v>4</v>
      </c>
      <c r="J59" s="49">
        <f>AVERAGE('01.08 Bugolobi-Nakawa-24h'!J59,'03.08 Bugolobi-Nakawa-24h'!J59)</f>
        <v>1.5</v>
      </c>
      <c r="K59" s="49">
        <f>AVERAGE('01.08 Bugolobi-Nakawa-24h'!K59,'03.08 Bugolobi-Nakawa-24h'!K59)</f>
        <v>0</v>
      </c>
      <c r="L59" s="49">
        <f>AVERAGE('01.08 Bugolobi-Nakawa-24h'!L59,'03.08 Bugolobi-Nakawa-24h'!L59)</f>
        <v>0</v>
      </c>
      <c r="M59" s="49">
        <f>AVERAGE('01.08 Bugolobi-Nakawa-24h'!M59,'03.08 Bugolobi-Nakawa-24h'!M59)</f>
        <v>61</v>
      </c>
      <c r="N59" s="49">
        <f>AVERAGE('01.08 Bugolobi-Nakawa-24h'!N59,'03.08 Bugolobi-Nakawa-24h'!N59)</f>
        <v>0</v>
      </c>
      <c r="O59" s="15">
        <f t="shared" si="0"/>
        <v>136.5</v>
      </c>
      <c r="P59" s="15">
        <f t="shared" si="1"/>
        <v>197.5</v>
      </c>
      <c r="R59" s="8"/>
      <c r="T59"/>
    </row>
    <row r="60" spans="2:20" ht="23.1" customHeight="1" x14ac:dyDescent="0.25">
      <c r="B60" s="23" t="s">
        <v>101</v>
      </c>
      <c r="C60" s="49">
        <f>AVERAGE('01.08 Bugolobi-Nakawa-24h'!C60,'03.08 Bugolobi-Nakawa-24h'!C60)</f>
        <v>38.5</v>
      </c>
      <c r="D60" s="49">
        <f>AVERAGE('01.08 Bugolobi-Nakawa-24h'!D60,'03.08 Bugolobi-Nakawa-24h'!D60)</f>
        <v>34.5</v>
      </c>
      <c r="E60" s="49">
        <f>AVERAGE('01.08 Bugolobi-Nakawa-24h'!E60,'03.08 Bugolobi-Nakawa-24h'!E60)</f>
        <v>16</v>
      </c>
      <c r="F60" s="49">
        <f>AVERAGE('01.08 Bugolobi-Nakawa-24h'!F60,'03.08 Bugolobi-Nakawa-24h'!F60)</f>
        <v>25</v>
      </c>
      <c r="G60" s="49">
        <f>AVERAGE('01.08 Bugolobi-Nakawa-24h'!G60,'03.08 Bugolobi-Nakawa-24h'!G60)</f>
        <v>0</v>
      </c>
      <c r="H60" s="49">
        <f>AVERAGE('01.08 Bugolobi-Nakawa-24h'!H60,'03.08 Bugolobi-Nakawa-24h'!H60)</f>
        <v>0</v>
      </c>
      <c r="I60" s="49">
        <f>AVERAGE('01.08 Bugolobi-Nakawa-24h'!I60,'03.08 Bugolobi-Nakawa-24h'!I60)</f>
        <v>6</v>
      </c>
      <c r="J60" s="49">
        <f>AVERAGE('01.08 Bugolobi-Nakawa-24h'!J60,'03.08 Bugolobi-Nakawa-24h'!J60)</f>
        <v>3.5</v>
      </c>
      <c r="K60" s="49">
        <f>AVERAGE('01.08 Bugolobi-Nakawa-24h'!K60,'03.08 Bugolobi-Nakawa-24h'!K60)</f>
        <v>0</v>
      </c>
      <c r="L60" s="49">
        <f>AVERAGE('01.08 Bugolobi-Nakawa-24h'!L60,'03.08 Bugolobi-Nakawa-24h'!L60)</f>
        <v>0</v>
      </c>
      <c r="M60" s="49">
        <f>AVERAGE('01.08 Bugolobi-Nakawa-24h'!M60,'03.08 Bugolobi-Nakawa-24h'!M60)</f>
        <v>64.5</v>
      </c>
      <c r="N60" s="49">
        <f>AVERAGE('01.08 Bugolobi-Nakawa-24h'!N60,'03.08 Bugolobi-Nakawa-24h'!N60)</f>
        <v>0</v>
      </c>
      <c r="O60" s="15">
        <f t="shared" si="0"/>
        <v>123.5</v>
      </c>
      <c r="P60" s="15">
        <f t="shared" si="1"/>
        <v>188</v>
      </c>
      <c r="R60" s="8"/>
      <c r="T60"/>
    </row>
    <row r="61" spans="2:20" ht="23.1" customHeight="1" x14ac:dyDescent="0.25">
      <c r="B61" s="23" t="s">
        <v>102</v>
      </c>
      <c r="C61" s="49">
        <f>AVERAGE('01.08 Bugolobi-Nakawa-24h'!C61,'03.08 Bugolobi-Nakawa-24h'!C61)</f>
        <v>49</v>
      </c>
      <c r="D61" s="49">
        <f>AVERAGE('01.08 Bugolobi-Nakawa-24h'!D61,'03.08 Bugolobi-Nakawa-24h'!D61)</f>
        <v>14.5</v>
      </c>
      <c r="E61" s="49">
        <f>AVERAGE('01.08 Bugolobi-Nakawa-24h'!E61,'03.08 Bugolobi-Nakawa-24h'!E61)</f>
        <v>17</v>
      </c>
      <c r="F61" s="49">
        <f>AVERAGE('01.08 Bugolobi-Nakawa-24h'!F61,'03.08 Bugolobi-Nakawa-24h'!F61)</f>
        <v>24</v>
      </c>
      <c r="G61" s="49">
        <f>AVERAGE('01.08 Bugolobi-Nakawa-24h'!G61,'03.08 Bugolobi-Nakawa-24h'!G61)</f>
        <v>0.5</v>
      </c>
      <c r="H61" s="49">
        <f>AVERAGE('01.08 Bugolobi-Nakawa-24h'!H61,'03.08 Bugolobi-Nakawa-24h'!H61)</f>
        <v>0</v>
      </c>
      <c r="I61" s="49">
        <f>AVERAGE('01.08 Bugolobi-Nakawa-24h'!I61,'03.08 Bugolobi-Nakawa-24h'!I61)</f>
        <v>6</v>
      </c>
      <c r="J61" s="49">
        <f>AVERAGE('01.08 Bugolobi-Nakawa-24h'!J61,'03.08 Bugolobi-Nakawa-24h'!J61)</f>
        <v>0.5</v>
      </c>
      <c r="K61" s="49">
        <f>AVERAGE('01.08 Bugolobi-Nakawa-24h'!K61,'03.08 Bugolobi-Nakawa-24h'!K61)</f>
        <v>0.5</v>
      </c>
      <c r="L61" s="49">
        <f>AVERAGE('01.08 Bugolobi-Nakawa-24h'!L61,'03.08 Bugolobi-Nakawa-24h'!L61)</f>
        <v>0</v>
      </c>
      <c r="M61" s="49">
        <f>AVERAGE('01.08 Bugolobi-Nakawa-24h'!M61,'03.08 Bugolobi-Nakawa-24h'!M61)</f>
        <v>64.5</v>
      </c>
      <c r="N61" s="49">
        <f>AVERAGE('01.08 Bugolobi-Nakawa-24h'!N61,'03.08 Bugolobi-Nakawa-24h'!N61)</f>
        <v>0</v>
      </c>
      <c r="O61" s="15">
        <f t="shared" si="0"/>
        <v>112</v>
      </c>
      <c r="P61" s="15">
        <f t="shared" si="1"/>
        <v>176.5</v>
      </c>
      <c r="R61" s="8"/>
      <c r="T61"/>
    </row>
    <row r="62" spans="2:20" ht="23.1" customHeight="1" x14ac:dyDescent="0.25">
      <c r="B62" s="23" t="s">
        <v>107</v>
      </c>
      <c r="C62" s="49">
        <f>AVERAGE('01.08 Bugolobi-Nakawa-24h'!C62,'03.08 Bugolobi-Nakawa-24h'!C62)</f>
        <v>47.5</v>
      </c>
      <c r="D62" s="49">
        <f>AVERAGE('01.08 Bugolobi-Nakawa-24h'!D62,'03.08 Bugolobi-Nakawa-24h'!D62)</f>
        <v>22.5</v>
      </c>
      <c r="E62" s="49">
        <f>AVERAGE('01.08 Bugolobi-Nakawa-24h'!E62,'03.08 Bugolobi-Nakawa-24h'!E62)</f>
        <v>7.5</v>
      </c>
      <c r="F62" s="49">
        <f>AVERAGE('01.08 Bugolobi-Nakawa-24h'!F62,'03.08 Bugolobi-Nakawa-24h'!F62)</f>
        <v>15</v>
      </c>
      <c r="G62" s="49">
        <f>AVERAGE('01.08 Bugolobi-Nakawa-24h'!G62,'03.08 Bugolobi-Nakawa-24h'!G62)</f>
        <v>0</v>
      </c>
      <c r="H62" s="49">
        <f>AVERAGE('01.08 Bugolobi-Nakawa-24h'!H62,'03.08 Bugolobi-Nakawa-24h'!H62)</f>
        <v>0</v>
      </c>
      <c r="I62" s="49">
        <f>AVERAGE('01.08 Bugolobi-Nakawa-24h'!I62,'03.08 Bugolobi-Nakawa-24h'!I62)</f>
        <v>4.5</v>
      </c>
      <c r="J62" s="49">
        <f>AVERAGE('01.08 Bugolobi-Nakawa-24h'!J62,'03.08 Bugolobi-Nakawa-24h'!J62)</f>
        <v>0.5</v>
      </c>
      <c r="K62" s="49">
        <f>AVERAGE('01.08 Bugolobi-Nakawa-24h'!K62,'03.08 Bugolobi-Nakawa-24h'!K62)</f>
        <v>0</v>
      </c>
      <c r="L62" s="49">
        <f>AVERAGE('01.08 Bugolobi-Nakawa-24h'!L62,'03.08 Bugolobi-Nakawa-24h'!L62)</f>
        <v>1</v>
      </c>
      <c r="M62" s="49">
        <f>AVERAGE('01.08 Bugolobi-Nakawa-24h'!M62,'03.08 Bugolobi-Nakawa-24h'!M62)</f>
        <v>47</v>
      </c>
      <c r="N62" s="49">
        <f>AVERAGE('01.08 Bugolobi-Nakawa-24h'!N62,'03.08 Bugolobi-Nakawa-24h'!N62)</f>
        <v>0</v>
      </c>
      <c r="O62" s="15">
        <f t="shared" si="0"/>
        <v>98.5</v>
      </c>
      <c r="P62" s="15">
        <f t="shared" si="1"/>
        <v>145.5</v>
      </c>
      <c r="R62" s="8"/>
      <c r="T62"/>
    </row>
    <row r="63" spans="2:20" ht="23.1" customHeight="1" x14ac:dyDescent="0.25">
      <c r="B63" s="23" t="s">
        <v>108</v>
      </c>
      <c r="C63" s="49">
        <f>AVERAGE('01.08 Bugolobi-Nakawa-24h'!C63,'03.08 Bugolobi-Nakawa-24h'!C63)</f>
        <v>42</v>
      </c>
      <c r="D63" s="49">
        <f>AVERAGE('01.08 Bugolobi-Nakawa-24h'!D63,'03.08 Bugolobi-Nakawa-24h'!D63)</f>
        <v>12</v>
      </c>
      <c r="E63" s="49">
        <f>AVERAGE('01.08 Bugolobi-Nakawa-24h'!E63,'03.08 Bugolobi-Nakawa-24h'!E63)</f>
        <v>12.5</v>
      </c>
      <c r="F63" s="49">
        <f>AVERAGE('01.08 Bugolobi-Nakawa-24h'!F63,'03.08 Bugolobi-Nakawa-24h'!F63)</f>
        <v>27.5</v>
      </c>
      <c r="G63" s="49">
        <f>AVERAGE('01.08 Bugolobi-Nakawa-24h'!G63,'03.08 Bugolobi-Nakawa-24h'!G63)</f>
        <v>0</v>
      </c>
      <c r="H63" s="49">
        <f>AVERAGE('01.08 Bugolobi-Nakawa-24h'!H63,'03.08 Bugolobi-Nakawa-24h'!H63)</f>
        <v>0</v>
      </c>
      <c r="I63" s="49">
        <f>AVERAGE('01.08 Bugolobi-Nakawa-24h'!I63,'03.08 Bugolobi-Nakawa-24h'!I63)</f>
        <v>0.5</v>
      </c>
      <c r="J63" s="49">
        <f>AVERAGE('01.08 Bugolobi-Nakawa-24h'!J63,'03.08 Bugolobi-Nakawa-24h'!J63)</f>
        <v>0</v>
      </c>
      <c r="K63" s="49">
        <f>AVERAGE('01.08 Bugolobi-Nakawa-24h'!K63,'03.08 Bugolobi-Nakawa-24h'!K63)</f>
        <v>0</v>
      </c>
      <c r="L63" s="49">
        <f>AVERAGE('01.08 Bugolobi-Nakawa-24h'!L63,'03.08 Bugolobi-Nakawa-24h'!L63)</f>
        <v>0</v>
      </c>
      <c r="M63" s="49">
        <f>AVERAGE('01.08 Bugolobi-Nakawa-24h'!M63,'03.08 Bugolobi-Nakawa-24h'!M63)</f>
        <v>45</v>
      </c>
      <c r="N63" s="49">
        <f>AVERAGE('01.08 Bugolobi-Nakawa-24h'!N63,'03.08 Bugolobi-Nakawa-24h'!N63)</f>
        <v>0</v>
      </c>
      <c r="O63" s="15">
        <f t="shared" si="0"/>
        <v>94.5</v>
      </c>
      <c r="P63" s="15">
        <f t="shared" si="1"/>
        <v>139.5</v>
      </c>
      <c r="R63" s="8"/>
      <c r="T63"/>
    </row>
    <row r="64" spans="2:20" ht="23.1" customHeight="1" x14ac:dyDescent="0.25">
      <c r="B64" s="23" t="s">
        <v>109</v>
      </c>
      <c r="C64" s="49">
        <f>AVERAGE('01.08 Bugolobi-Nakawa-24h'!C64,'03.08 Bugolobi-Nakawa-24h'!C64)</f>
        <v>39.5</v>
      </c>
      <c r="D64" s="49">
        <f>AVERAGE('01.08 Bugolobi-Nakawa-24h'!D64,'03.08 Bugolobi-Nakawa-24h'!D64)</f>
        <v>17</v>
      </c>
      <c r="E64" s="49">
        <f>AVERAGE('01.08 Bugolobi-Nakawa-24h'!E64,'03.08 Bugolobi-Nakawa-24h'!E64)</f>
        <v>9.5</v>
      </c>
      <c r="F64" s="49">
        <f>AVERAGE('01.08 Bugolobi-Nakawa-24h'!F64,'03.08 Bugolobi-Nakawa-24h'!F64)</f>
        <v>16.5</v>
      </c>
      <c r="G64" s="49">
        <f>AVERAGE('01.08 Bugolobi-Nakawa-24h'!G64,'03.08 Bugolobi-Nakawa-24h'!G64)</f>
        <v>0.5</v>
      </c>
      <c r="H64" s="49">
        <f>AVERAGE('01.08 Bugolobi-Nakawa-24h'!H64,'03.08 Bugolobi-Nakawa-24h'!H64)</f>
        <v>0</v>
      </c>
      <c r="I64" s="49">
        <f>AVERAGE('01.08 Bugolobi-Nakawa-24h'!I64,'03.08 Bugolobi-Nakawa-24h'!I64)</f>
        <v>2.5</v>
      </c>
      <c r="J64" s="49">
        <f>AVERAGE('01.08 Bugolobi-Nakawa-24h'!J64,'03.08 Bugolobi-Nakawa-24h'!J64)</f>
        <v>1</v>
      </c>
      <c r="K64" s="49">
        <f>AVERAGE('01.08 Bugolobi-Nakawa-24h'!K64,'03.08 Bugolobi-Nakawa-24h'!K64)</f>
        <v>0</v>
      </c>
      <c r="L64" s="49">
        <f>AVERAGE('01.08 Bugolobi-Nakawa-24h'!L64,'03.08 Bugolobi-Nakawa-24h'!L64)</f>
        <v>0</v>
      </c>
      <c r="M64" s="49">
        <f>AVERAGE('01.08 Bugolobi-Nakawa-24h'!M64,'03.08 Bugolobi-Nakawa-24h'!M64)</f>
        <v>61</v>
      </c>
      <c r="N64" s="49">
        <f>AVERAGE('01.08 Bugolobi-Nakawa-24h'!N64,'03.08 Bugolobi-Nakawa-24h'!N64)</f>
        <v>0</v>
      </c>
      <c r="O64" s="15">
        <f t="shared" si="0"/>
        <v>86.5</v>
      </c>
      <c r="P64" s="15">
        <f t="shared" si="1"/>
        <v>147.5</v>
      </c>
      <c r="R64" s="8"/>
      <c r="T64"/>
    </row>
    <row r="65" spans="2:20" ht="23.1" customHeight="1" x14ac:dyDescent="0.25">
      <c r="B65" s="23" t="s">
        <v>158</v>
      </c>
      <c r="C65" s="49">
        <f>AVERAGE('01.08 Bugolobi-Nakawa-24h'!C65,'03.08 Bugolobi-Nakawa-24h'!C65)</f>
        <v>62.5</v>
      </c>
      <c r="D65" s="49">
        <f>AVERAGE('01.08 Bugolobi-Nakawa-24h'!D65,'03.08 Bugolobi-Nakawa-24h'!D65)</f>
        <v>19</v>
      </c>
      <c r="E65" s="49">
        <f>AVERAGE('01.08 Bugolobi-Nakawa-24h'!E65,'03.08 Bugolobi-Nakawa-24h'!E65)</f>
        <v>12</v>
      </c>
      <c r="F65" s="49">
        <f>AVERAGE('01.08 Bugolobi-Nakawa-24h'!F65,'03.08 Bugolobi-Nakawa-24h'!F65)</f>
        <v>16</v>
      </c>
      <c r="G65" s="49">
        <f>AVERAGE('01.08 Bugolobi-Nakawa-24h'!G65,'03.08 Bugolobi-Nakawa-24h'!G65)</f>
        <v>1.5</v>
      </c>
      <c r="H65" s="49">
        <f>AVERAGE('01.08 Bugolobi-Nakawa-24h'!H65,'03.08 Bugolobi-Nakawa-24h'!H65)</f>
        <v>0</v>
      </c>
      <c r="I65" s="49">
        <f>AVERAGE('01.08 Bugolobi-Nakawa-24h'!I65,'03.08 Bugolobi-Nakawa-24h'!I65)</f>
        <v>0.5</v>
      </c>
      <c r="J65" s="49">
        <f>AVERAGE('01.08 Bugolobi-Nakawa-24h'!J65,'03.08 Bugolobi-Nakawa-24h'!J65)</f>
        <v>0</v>
      </c>
      <c r="K65" s="49">
        <f>AVERAGE('01.08 Bugolobi-Nakawa-24h'!K65,'03.08 Bugolobi-Nakawa-24h'!K65)</f>
        <v>0</v>
      </c>
      <c r="L65" s="49">
        <f>AVERAGE('01.08 Bugolobi-Nakawa-24h'!L65,'03.08 Bugolobi-Nakawa-24h'!L65)</f>
        <v>0</v>
      </c>
      <c r="M65" s="49">
        <f>AVERAGE('01.08 Bugolobi-Nakawa-24h'!M65,'03.08 Bugolobi-Nakawa-24h'!M65)</f>
        <v>59.5</v>
      </c>
      <c r="N65" s="49">
        <f>AVERAGE('01.08 Bugolobi-Nakawa-24h'!N65,'03.08 Bugolobi-Nakawa-24h'!N65)</f>
        <v>0</v>
      </c>
      <c r="O65" s="15">
        <f t="shared" si="0"/>
        <v>111.5</v>
      </c>
      <c r="P65" s="15">
        <f t="shared" si="1"/>
        <v>171</v>
      </c>
      <c r="R65" s="8"/>
      <c r="T65"/>
    </row>
    <row r="66" spans="2:20" ht="23.1" customHeight="1" x14ac:dyDescent="0.25">
      <c r="B66" s="23" t="s">
        <v>103</v>
      </c>
      <c r="C66" s="49">
        <f>AVERAGE('01.08 Bugolobi-Nakawa-24h'!C66,'03.08 Bugolobi-Nakawa-24h'!C66)</f>
        <v>41.5</v>
      </c>
      <c r="D66" s="49">
        <f>AVERAGE('01.08 Bugolobi-Nakawa-24h'!D66,'03.08 Bugolobi-Nakawa-24h'!D66)</f>
        <v>24.5</v>
      </c>
      <c r="E66" s="49">
        <f>AVERAGE('01.08 Bugolobi-Nakawa-24h'!E66,'03.08 Bugolobi-Nakawa-24h'!E66)</f>
        <v>9</v>
      </c>
      <c r="F66" s="49">
        <f>AVERAGE('01.08 Bugolobi-Nakawa-24h'!F66,'03.08 Bugolobi-Nakawa-24h'!F66)</f>
        <v>29</v>
      </c>
      <c r="G66" s="49">
        <f>AVERAGE('01.08 Bugolobi-Nakawa-24h'!G66,'03.08 Bugolobi-Nakawa-24h'!G66)</f>
        <v>0</v>
      </c>
      <c r="H66" s="49">
        <f>AVERAGE('01.08 Bugolobi-Nakawa-24h'!H66,'03.08 Bugolobi-Nakawa-24h'!H66)</f>
        <v>0</v>
      </c>
      <c r="I66" s="49">
        <f>AVERAGE('01.08 Bugolobi-Nakawa-24h'!I66,'03.08 Bugolobi-Nakawa-24h'!I66)</f>
        <v>1</v>
      </c>
      <c r="J66" s="49">
        <f>AVERAGE('01.08 Bugolobi-Nakawa-24h'!J66,'03.08 Bugolobi-Nakawa-24h'!J66)</f>
        <v>0</v>
      </c>
      <c r="K66" s="49">
        <f>AVERAGE('01.08 Bugolobi-Nakawa-24h'!K66,'03.08 Bugolobi-Nakawa-24h'!K66)</f>
        <v>0</v>
      </c>
      <c r="L66" s="49">
        <f>AVERAGE('01.08 Bugolobi-Nakawa-24h'!L66,'03.08 Bugolobi-Nakawa-24h'!L66)</f>
        <v>0</v>
      </c>
      <c r="M66" s="49">
        <f>AVERAGE('01.08 Bugolobi-Nakawa-24h'!M66,'03.08 Bugolobi-Nakawa-24h'!M66)</f>
        <v>51</v>
      </c>
      <c r="N66" s="49">
        <f>AVERAGE('01.08 Bugolobi-Nakawa-24h'!N66,'03.08 Bugolobi-Nakawa-24h'!N66)</f>
        <v>0</v>
      </c>
      <c r="O66" s="15">
        <f t="shared" si="0"/>
        <v>105</v>
      </c>
      <c r="P66" s="15">
        <f t="shared" si="1"/>
        <v>156</v>
      </c>
      <c r="R66" s="8"/>
      <c r="T66"/>
    </row>
    <row r="67" spans="2:20" ht="23.1" customHeight="1" x14ac:dyDescent="0.25">
      <c r="B67" s="23" t="s">
        <v>104</v>
      </c>
      <c r="C67" s="49">
        <f>AVERAGE('01.08 Bugolobi-Nakawa-24h'!C67,'03.08 Bugolobi-Nakawa-24h'!C67)</f>
        <v>36</v>
      </c>
      <c r="D67" s="49">
        <f>AVERAGE('01.08 Bugolobi-Nakawa-24h'!D67,'03.08 Bugolobi-Nakawa-24h'!D67)</f>
        <v>12</v>
      </c>
      <c r="E67" s="49">
        <f>AVERAGE('01.08 Bugolobi-Nakawa-24h'!E67,'03.08 Bugolobi-Nakawa-24h'!E67)</f>
        <v>10</v>
      </c>
      <c r="F67" s="49">
        <f>AVERAGE('01.08 Bugolobi-Nakawa-24h'!F67,'03.08 Bugolobi-Nakawa-24h'!F67)</f>
        <v>20</v>
      </c>
      <c r="G67" s="49">
        <f>AVERAGE('01.08 Bugolobi-Nakawa-24h'!G67,'03.08 Bugolobi-Nakawa-24h'!G67)</f>
        <v>0</v>
      </c>
      <c r="H67" s="49">
        <f>AVERAGE('01.08 Bugolobi-Nakawa-24h'!H67,'03.08 Bugolobi-Nakawa-24h'!H67)</f>
        <v>0</v>
      </c>
      <c r="I67" s="49">
        <f>AVERAGE('01.08 Bugolobi-Nakawa-24h'!I67,'03.08 Bugolobi-Nakawa-24h'!I67)</f>
        <v>1</v>
      </c>
      <c r="J67" s="49">
        <f>AVERAGE('01.08 Bugolobi-Nakawa-24h'!J67,'03.08 Bugolobi-Nakawa-24h'!J67)</f>
        <v>0</v>
      </c>
      <c r="K67" s="49">
        <f>AVERAGE('01.08 Bugolobi-Nakawa-24h'!K67,'03.08 Bugolobi-Nakawa-24h'!K67)</f>
        <v>0</v>
      </c>
      <c r="L67" s="49">
        <f>AVERAGE('01.08 Bugolobi-Nakawa-24h'!L67,'03.08 Bugolobi-Nakawa-24h'!L67)</f>
        <v>0</v>
      </c>
      <c r="M67" s="49">
        <f>AVERAGE('01.08 Bugolobi-Nakawa-24h'!M67,'03.08 Bugolobi-Nakawa-24h'!M67)</f>
        <v>30.5</v>
      </c>
      <c r="N67" s="49">
        <f>AVERAGE('01.08 Bugolobi-Nakawa-24h'!N67,'03.08 Bugolobi-Nakawa-24h'!N67)</f>
        <v>0</v>
      </c>
      <c r="O67" s="15">
        <f t="shared" si="0"/>
        <v>79</v>
      </c>
      <c r="P67" s="15">
        <f t="shared" si="1"/>
        <v>109.5</v>
      </c>
      <c r="R67" s="8"/>
      <c r="T67"/>
    </row>
    <row r="68" spans="2:20" ht="23.1" customHeight="1" x14ac:dyDescent="0.25">
      <c r="B68" s="23" t="s">
        <v>105</v>
      </c>
      <c r="C68" s="49">
        <f>AVERAGE('01.08 Bugolobi-Nakawa-24h'!C68,'03.08 Bugolobi-Nakawa-24h'!C68)</f>
        <v>45.5</v>
      </c>
      <c r="D68" s="49">
        <f>AVERAGE('01.08 Bugolobi-Nakawa-24h'!D68,'03.08 Bugolobi-Nakawa-24h'!D68)</f>
        <v>17</v>
      </c>
      <c r="E68" s="49">
        <f>AVERAGE('01.08 Bugolobi-Nakawa-24h'!E68,'03.08 Bugolobi-Nakawa-24h'!E68)</f>
        <v>9</v>
      </c>
      <c r="F68" s="49">
        <f>AVERAGE('01.08 Bugolobi-Nakawa-24h'!F68,'03.08 Bugolobi-Nakawa-24h'!F68)</f>
        <v>23</v>
      </c>
      <c r="G68" s="49">
        <f>AVERAGE('01.08 Bugolobi-Nakawa-24h'!G68,'03.08 Bugolobi-Nakawa-24h'!G68)</f>
        <v>0</v>
      </c>
      <c r="H68" s="49">
        <f>AVERAGE('01.08 Bugolobi-Nakawa-24h'!H68,'03.08 Bugolobi-Nakawa-24h'!H68)</f>
        <v>0.5</v>
      </c>
      <c r="I68" s="49">
        <f>AVERAGE('01.08 Bugolobi-Nakawa-24h'!I68,'03.08 Bugolobi-Nakawa-24h'!I68)</f>
        <v>0.5</v>
      </c>
      <c r="J68" s="49">
        <f>AVERAGE('01.08 Bugolobi-Nakawa-24h'!J68,'03.08 Bugolobi-Nakawa-24h'!J68)</f>
        <v>0</v>
      </c>
      <c r="K68" s="49">
        <f>AVERAGE('01.08 Bugolobi-Nakawa-24h'!K68,'03.08 Bugolobi-Nakawa-24h'!K68)</f>
        <v>0</v>
      </c>
      <c r="L68" s="49">
        <f>AVERAGE('01.08 Bugolobi-Nakawa-24h'!L68,'03.08 Bugolobi-Nakawa-24h'!L68)</f>
        <v>0</v>
      </c>
      <c r="M68" s="49">
        <f>AVERAGE('01.08 Bugolobi-Nakawa-24h'!M68,'03.08 Bugolobi-Nakawa-24h'!M68)</f>
        <v>41</v>
      </c>
      <c r="N68" s="49">
        <f>AVERAGE('01.08 Bugolobi-Nakawa-24h'!N68,'03.08 Bugolobi-Nakawa-24h'!N68)</f>
        <v>0</v>
      </c>
      <c r="O68" s="15">
        <f t="shared" si="0"/>
        <v>95.5</v>
      </c>
      <c r="P68" s="15">
        <f t="shared" si="1"/>
        <v>136.5</v>
      </c>
      <c r="R68" s="8"/>
      <c r="T68"/>
    </row>
    <row r="69" spans="2:20" ht="23.1" customHeight="1" x14ac:dyDescent="0.25">
      <c r="B69" s="23" t="s">
        <v>106</v>
      </c>
      <c r="C69" s="49">
        <f>AVERAGE('01.08 Bugolobi-Nakawa-24h'!C69,'03.08 Bugolobi-Nakawa-24h'!C69)</f>
        <v>37</v>
      </c>
      <c r="D69" s="49">
        <f>AVERAGE('01.08 Bugolobi-Nakawa-24h'!D69,'03.08 Bugolobi-Nakawa-24h'!D69)</f>
        <v>12.5</v>
      </c>
      <c r="E69" s="49">
        <f>AVERAGE('01.08 Bugolobi-Nakawa-24h'!E69,'03.08 Bugolobi-Nakawa-24h'!E69)</f>
        <v>7</v>
      </c>
      <c r="F69" s="49">
        <f>AVERAGE('01.08 Bugolobi-Nakawa-24h'!F69,'03.08 Bugolobi-Nakawa-24h'!F69)</f>
        <v>13.5</v>
      </c>
      <c r="G69" s="49">
        <f>AVERAGE('01.08 Bugolobi-Nakawa-24h'!G69,'03.08 Bugolobi-Nakawa-24h'!G69)</f>
        <v>0</v>
      </c>
      <c r="H69" s="49">
        <f>AVERAGE('01.08 Bugolobi-Nakawa-24h'!H69,'03.08 Bugolobi-Nakawa-24h'!H69)</f>
        <v>0.5</v>
      </c>
      <c r="I69" s="49">
        <f>AVERAGE('01.08 Bugolobi-Nakawa-24h'!I69,'03.08 Bugolobi-Nakawa-24h'!I69)</f>
        <v>0</v>
      </c>
      <c r="J69" s="49">
        <f>AVERAGE('01.08 Bugolobi-Nakawa-24h'!J69,'03.08 Bugolobi-Nakawa-24h'!J69)</f>
        <v>0</v>
      </c>
      <c r="K69" s="49">
        <f>AVERAGE('01.08 Bugolobi-Nakawa-24h'!K69,'03.08 Bugolobi-Nakawa-24h'!K69)</f>
        <v>0</v>
      </c>
      <c r="L69" s="49">
        <f>AVERAGE('01.08 Bugolobi-Nakawa-24h'!L69,'03.08 Bugolobi-Nakawa-24h'!L69)</f>
        <v>0</v>
      </c>
      <c r="M69" s="49">
        <f>AVERAGE('01.08 Bugolobi-Nakawa-24h'!M69,'03.08 Bugolobi-Nakawa-24h'!M69)</f>
        <v>43</v>
      </c>
      <c r="N69" s="49">
        <f>AVERAGE('01.08 Bugolobi-Nakawa-24h'!N69,'03.08 Bugolobi-Nakawa-24h'!N69)</f>
        <v>0</v>
      </c>
      <c r="O69" s="15">
        <f t="shared" si="0"/>
        <v>70.5</v>
      </c>
      <c r="P69" s="15">
        <f t="shared" si="1"/>
        <v>113.5</v>
      </c>
      <c r="R69" s="8"/>
      <c r="T69"/>
    </row>
    <row r="70" spans="2:20" ht="23.1" customHeight="1" x14ac:dyDescent="0.25">
      <c r="B70" s="23" t="s">
        <v>110</v>
      </c>
      <c r="C70" s="49">
        <f>AVERAGE('01.08 Bugolobi-Nakawa-24h'!C70,'03.08 Bugolobi-Nakawa-24h'!C70)</f>
        <v>31</v>
      </c>
      <c r="D70" s="49">
        <f>AVERAGE('01.08 Bugolobi-Nakawa-24h'!D70,'03.08 Bugolobi-Nakawa-24h'!D70)</f>
        <v>13</v>
      </c>
      <c r="E70" s="49">
        <f>AVERAGE('01.08 Bugolobi-Nakawa-24h'!E70,'03.08 Bugolobi-Nakawa-24h'!E70)</f>
        <v>3.5</v>
      </c>
      <c r="F70" s="49">
        <f>AVERAGE('01.08 Bugolobi-Nakawa-24h'!F70,'03.08 Bugolobi-Nakawa-24h'!F70)</f>
        <v>17</v>
      </c>
      <c r="G70" s="49">
        <f>AVERAGE('01.08 Bugolobi-Nakawa-24h'!G70,'03.08 Bugolobi-Nakawa-24h'!G70)</f>
        <v>0</v>
      </c>
      <c r="H70" s="49">
        <f>AVERAGE('01.08 Bugolobi-Nakawa-24h'!H70,'03.08 Bugolobi-Nakawa-24h'!H70)</f>
        <v>0</v>
      </c>
      <c r="I70" s="49">
        <f>AVERAGE('01.08 Bugolobi-Nakawa-24h'!I70,'03.08 Bugolobi-Nakawa-24h'!I70)</f>
        <v>0</v>
      </c>
      <c r="J70" s="49">
        <f>AVERAGE('01.08 Bugolobi-Nakawa-24h'!J70,'03.08 Bugolobi-Nakawa-24h'!J70)</f>
        <v>0</v>
      </c>
      <c r="K70" s="49">
        <f>AVERAGE('01.08 Bugolobi-Nakawa-24h'!K70,'03.08 Bugolobi-Nakawa-24h'!K70)</f>
        <v>0</v>
      </c>
      <c r="L70" s="49">
        <f>AVERAGE('01.08 Bugolobi-Nakawa-24h'!L70,'03.08 Bugolobi-Nakawa-24h'!L70)</f>
        <v>0</v>
      </c>
      <c r="M70" s="49">
        <f>AVERAGE('01.08 Bugolobi-Nakawa-24h'!M70,'03.08 Bugolobi-Nakawa-24h'!M70)</f>
        <v>30.5</v>
      </c>
      <c r="N70" s="49">
        <f>AVERAGE('01.08 Bugolobi-Nakawa-24h'!N70,'03.08 Bugolobi-Nakawa-24h'!N70)</f>
        <v>0</v>
      </c>
      <c r="O70" s="15">
        <f t="shared" si="0"/>
        <v>64.5</v>
      </c>
      <c r="P70" s="15">
        <f t="shared" si="1"/>
        <v>95</v>
      </c>
      <c r="R70" s="8"/>
      <c r="T70"/>
    </row>
    <row r="71" spans="2:20" ht="23.1" customHeight="1" x14ac:dyDescent="0.25">
      <c r="B71" s="23" t="s">
        <v>111</v>
      </c>
      <c r="C71" s="49">
        <f>AVERAGE('01.08 Bugolobi-Nakawa-24h'!C71,'03.08 Bugolobi-Nakawa-24h'!C71)</f>
        <v>26.5</v>
      </c>
      <c r="D71" s="49">
        <f>AVERAGE('01.08 Bugolobi-Nakawa-24h'!D71,'03.08 Bugolobi-Nakawa-24h'!D71)</f>
        <v>12.5</v>
      </c>
      <c r="E71" s="49">
        <f>AVERAGE('01.08 Bugolobi-Nakawa-24h'!E71,'03.08 Bugolobi-Nakawa-24h'!E71)</f>
        <v>6.5</v>
      </c>
      <c r="F71" s="49">
        <f>AVERAGE('01.08 Bugolobi-Nakawa-24h'!F71,'03.08 Bugolobi-Nakawa-24h'!F71)</f>
        <v>19.5</v>
      </c>
      <c r="G71" s="49">
        <f>AVERAGE('01.08 Bugolobi-Nakawa-24h'!G71,'03.08 Bugolobi-Nakawa-24h'!G71)</f>
        <v>0</v>
      </c>
      <c r="H71" s="49">
        <f>AVERAGE('01.08 Bugolobi-Nakawa-24h'!H71,'03.08 Bugolobi-Nakawa-24h'!H71)</f>
        <v>0</v>
      </c>
      <c r="I71" s="49">
        <f>AVERAGE('01.08 Bugolobi-Nakawa-24h'!I71,'03.08 Bugolobi-Nakawa-24h'!I71)</f>
        <v>0.5</v>
      </c>
      <c r="J71" s="49">
        <f>AVERAGE('01.08 Bugolobi-Nakawa-24h'!J71,'03.08 Bugolobi-Nakawa-24h'!J71)</f>
        <v>0.5</v>
      </c>
      <c r="K71" s="49">
        <f>AVERAGE('01.08 Bugolobi-Nakawa-24h'!K71,'03.08 Bugolobi-Nakawa-24h'!K71)</f>
        <v>0</v>
      </c>
      <c r="L71" s="49">
        <f>AVERAGE('01.08 Bugolobi-Nakawa-24h'!L71,'03.08 Bugolobi-Nakawa-24h'!L71)</f>
        <v>0.5</v>
      </c>
      <c r="M71" s="49">
        <f>AVERAGE('01.08 Bugolobi-Nakawa-24h'!M71,'03.08 Bugolobi-Nakawa-24h'!M71)</f>
        <v>27.5</v>
      </c>
      <c r="N71" s="49">
        <f>AVERAGE('01.08 Bugolobi-Nakawa-24h'!N71,'03.08 Bugolobi-Nakawa-24h'!N71)</f>
        <v>0</v>
      </c>
      <c r="O71" s="15">
        <f t="shared" si="0"/>
        <v>66.5</v>
      </c>
      <c r="P71" s="15">
        <f t="shared" si="1"/>
        <v>94</v>
      </c>
      <c r="R71" s="8"/>
      <c r="T71"/>
    </row>
    <row r="72" spans="2:20" ht="23.1" customHeight="1" x14ac:dyDescent="0.25">
      <c r="B72" s="23" t="s">
        <v>112</v>
      </c>
      <c r="C72" s="49">
        <f>AVERAGE('01.08 Bugolobi-Nakawa-24h'!C72,'03.08 Bugolobi-Nakawa-24h'!C72)</f>
        <v>27</v>
      </c>
      <c r="D72" s="49">
        <f>AVERAGE('01.08 Bugolobi-Nakawa-24h'!D72,'03.08 Bugolobi-Nakawa-24h'!D72)</f>
        <v>17</v>
      </c>
      <c r="E72" s="49">
        <f>AVERAGE('01.08 Bugolobi-Nakawa-24h'!E72,'03.08 Bugolobi-Nakawa-24h'!E72)</f>
        <v>3.5</v>
      </c>
      <c r="F72" s="49">
        <f>AVERAGE('01.08 Bugolobi-Nakawa-24h'!F72,'03.08 Bugolobi-Nakawa-24h'!F72)</f>
        <v>12</v>
      </c>
      <c r="G72" s="49">
        <f>AVERAGE('01.08 Bugolobi-Nakawa-24h'!G72,'03.08 Bugolobi-Nakawa-24h'!G72)</f>
        <v>0</v>
      </c>
      <c r="H72" s="49">
        <f>AVERAGE('01.08 Bugolobi-Nakawa-24h'!H72,'03.08 Bugolobi-Nakawa-24h'!H72)</f>
        <v>0.5</v>
      </c>
      <c r="I72" s="49">
        <f>AVERAGE('01.08 Bugolobi-Nakawa-24h'!I72,'03.08 Bugolobi-Nakawa-24h'!I72)</f>
        <v>0</v>
      </c>
      <c r="J72" s="49">
        <f>AVERAGE('01.08 Bugolobi-Nakawa-24h'!J72,'03.08 Bugolobi-Nakawa-24h'!J72)</f>
        <v>0</v>
      </c>
      <c r="K72" s="49">
        <f>AVERAGE('01.08 Bugolobi-Nakawa-24h'!K72,'03.08 Bugolobi-Nakawa-24h'!K72)</f>
        <v>0.5</v>
      </c>
      <c r="L72" s="49">
        <f>AVERAGE('01.08 Bugolobi-Nakawa-24h'!L72,'03.08 Bugolobi-Nakawa-24h'!L72)</f>
        <v>0.5</v>
      </c>
      <c r="M72" s="49">
        <f>AVERAGE('01.08 Bugolobi-Nakawa-24h'!M72,'03.08 Bugolobi-Nakawa-24h'!M72)</f>
        <v>35.5</v>
      </c>
      <c r="N72" s="49">
        <f>AVERAGE('01.08 Bugolobi-Nakawa-24h'!N72,'03.08 Bugolobi-Nakawa-24h'!N72)</f>
        <v>0</v>
      </c>
      <c r="O72" s="15">
        <f t="shared" si="0"/>
        <v>61</v>
      </c>
      <c r="P72" s="15">
        <f t="shared" si="1"/>
        <v>96.5</v>
      </c>
      <c r="R72" s="8"/>
      <c r="T72"/>
    </row>
    <row r="73" spans="2:20" ht="23.1" customHeight="1" x14ac:dyDescent="0.25">
      <c r="B73" s="23" t="s">
        <v>113</v>
      </c>
      <c r="C73" s="49">
        <f>AVERAGE('01.08 Bugolobi-Nakawa-24h'!C73,'03.08 Bugolobi-Nakawa-24h'!C73)</f>
        <v>32</v>
      </c>
      <c r="D73" s="49">
        <f>AVERAGE('01.08 Bugolobi-Nakawa-24h'!D73,'03.08 Bugolobi-Nakawa-24h'!D73)</f>
        <v>8.5</v>
      </c>
      <c r="E73" s="49">
        <f>AVERAGE('01.08 Bugolobi-Nakawa-24h'!E73,'03.08 Bugolobi-Nakawa-24h'!E73)</f>
        <v>5</v>
      </c>
      <c r="F73" s="49">
        <f>AVERAGE('01.08 Bugolobi-Nakawa-24h'!F73,'03.08 Bugolobi-Nakawa-24h'!F73)</f>
        <v>14</v>
      </c>
      <c r="G73" s="49">
        <f>AVERAGE('01.08 Bugolobi-Nakawa-24h'!G73,'03.08 Bugolobi-Nakawa-24h'!G73)</f>
        <v>0</v>
      </c>
      <c r="H73" s="49">
        <f>AVERAGE('01.08 Bugolobi-Nakawa-24h'!H73,'03.08 Bugolobi-Nakawa-24h'!H73)</f>
        <v>0</v>
      </c>
      <c r="I73" s="49">
        <f>AVERAGE('01.08 Bugolobi-Nakawa-24h'!I73,'03.08 Bugolobi-Nakawa-24h'!I73)</f>
        <v>2</v>
      </c>
      <c r="J73" s="49">
        <f>AVERAGE('01.08 Bugolobi-Nakawa-24h'!J73,'03.08 Bugolobi-Nakawa-24h'!J73)</f>
        <v>0</v>
      </c>
      <c r="K73" s="49">
        <f>AVERAGE('01.08 Bugolobi-Nakawa-24h'!K73,'03.08 Bugolobi-Nakawa-24h'!K73)</f>
        <v>0.5</v>
      </c>
      <c r="L73" s="49">
        <f>AVERAGE('01.08 Bugolobi-Nakawa-24h'!L73,'03.08 Bugolobi-Nakawa-24h'!L73)</f>
        <v>0</v>
      </c>
      <c r="M73" s="49">
        <f>AVERAGE('01.08 Bugolobi-Nakawa-24h'!M73,'03.08 Bugolobi-Nakawa-24h'!M73)</f>
        <v>36</v>
      </c>
      <c r="N73" s="49">
        <f>AVERAGE('01.08 Bugolobi-Nakawa-24h'!N73,'03.08 Bugolobi-Nakawa-24h'!N73)</f>
        <v>0</v>
      </c>
      <c r="O73" s="15">
        <f t="shared" si="0"/>
        <v>62</v>
      </c>
      <c r="P73" s="15">
        <f t="shared" si="1"/>
        <v>98</v>
      </c>
      <c r="R73" s="8"/>
      <c r="T73"/>
    </row>
    <row r="74" spans="2:20" ht="23.1" customHeight="1" x14ac:dyDescent="0.25">
      <c r="B74" s="23" t="s">
        <v>114</v>
      </c>
      <c r="C74" s="49">
        <f>AVERAGE('01.08 Bugolobi-Nakawa-24h'!C74,'03.08 Bugolobi-Nakawa-24h'!C74)</f>
        <v>37.5</v>
      </c>
      <c r="D74" s="49">
        <f>AVERAGE('01.08 Bugolobi-Nakawa-24h'!D74,'03.08 Bugolobi-Nakawa-24h'!D74)</f>
        <v>5.5</v>
      </c>
      <c r="E74" s="49">
        <f>AVERAGE('01.08 Bugolobi-Nakawa-24h'!E74,'03.08 Bugolobi-Nakawa-24h'!E74)</f>
        <v>2.5</v>
      </c>
      <c r="F74" s="49">
        <f>AVERAGE('01.08 Bugolobi-Nakawa-24h'!F74,'03.08 Bugolobi-Nakawa-24h'!F74)</f>
        <v>10.5</v>
      </c>
      <c r="G74" s="49">
        <f>AVERAGE('01.08 Bugolobi-Nakawa-24h'!G74,'03.08 Bugolobi-Nakawa-24h'!G74)</f>
        <v>0</v>
      </c>
      <c r="H74" s="49">
        <f>AVERAGE('01.08 Bugolobi-Nakawa-24h'!H74,'03.08 Bugolobi-Nakawa-24h'!H74)</f>
        <v>0</v>
      </c>
      <c r="I74" s="49">
        <f>AVERAGE('01.08 Bugolobi-Nakawa-24h'!I74,'03.08 Bugolobi-Nakawa-24h'!I74)</f>
        <v>0.5</v>
      </c>
      <c r="J74" s="49">
        <f>AVERAGE('01.08 Bugolobi-Nakawa-24h'!J74,'03.08 Bugolobi-Nakawa-24h'!J74)</f>
        <v>0</v>
      </c>
      <c r="K74" s="49">
        <f>AVERAGE('01.08 Bugolobi-Nakawa-24h'!K74,'03.08 Bugolobi-Nakawa-24h'!K74)</f>
        <v>0</v>
      </c>
      <c r="L74" s="49">
        <f>AVERAGE('01.08 Bugolobi-Nakawa-24h'!L74,'03.08 Bugolobi-Nakawa-24h'!L74)</f>
        <v>0.5</v>
      </c>
      <c r="M74" s="49">
        <f>AVERAGE('01.08 Bugolobi-Nakawa-24h'!M74,'03.08 Bugolobi-Nakawa-24h'!M74)</f>
        <v>35.5</v>
      </c>
      <c r="N74" s="49">
        <f>AVERAGE('01.08 Bugolobi-Nakawa-24h'!N74,'03.08 Bugolobi-Nakawa-24h'!N74)</f>
        <v>0</v>
      </c>
      <c r="O74" s="15">
        <f t="shared" ref="O74:O105" si="34">SUM(C74:L74,N74)</f>
        <v>57</v>
      </c>
      <c r="P74" s="15">
        <f t="shared" ref="P74:P105" si="35">SUM(C74:N74)</f>
        <v>92.5</v>
      </c>
      <c r="R74" s="8"/>
      <c r="T74"/>
    </row>
    <row r="75" spans="2:20" ht="23.1" customHeight="1" x14ac:dyDescent="0.25">
      <c r="B75" s="23" t="s">
        <v>115</v>
      </c>
      <c r="C75" s="49">
        <f>AVERAGE('01.08 Bugolobi-Nakawa-24h'!C75,'03.08 Bugolobi-Nakawa-24h'!C75)</f>
        <v>33</v>
      </c>
      <c r="D75" s="49">
        <f>AVERAGE('01.08 Bugolobi-Nakawa-24h'!D75,'03.08 Bugolobi-Nakawa-24h'!D75)</f>
        <v>5.5</v>
      </c>
      <c r="E75" s="49">
        <f>AVERAGE('01.08 Bugolobi-Nakawa-24h'!E75,'03.08 Bugolobi-Nakawa-24h'!E75)</f>
        <v>6</v>
      </c>
      <c r="F75" s="49">
        <f>AVERAGE('01.08 Bugolobi-Nakawa-24h'!F75,'03.08 Bugolobi-Nakawa-24h'!F75)</f>
        <v>12</v>
      </c>
      <c r="G75" s="49">
        <f>AVERAGE('01.08 Bugolobi-Nakawa-24h'!G75,'03.08 Bugolobi-Nakawa-24h'!G75)</f>
        <v>0</v>
      </c>
      <c r="H75" s="49">
        <f>AVERAGE('01.08 Bugolobi-Nakawa-24h'!H75,'03.08 Bugolobi-Nakawa-24h'!H75)</f>
        <v>0</v>
      </c>
      <c r="I75" s="49">
        <f>AVERAGE('01.08 Bugolobi-Nakawa-24h'!I75,'03.08 Bugolobi-Nakawa-24h'!I75)</f>
        <v>0</v>
      </c>
      <c r="J75" s="49">
        <f>AVERAGE('01.08 Bugolobi-Nakawa-24h'!J75,'03.08 Bugolobi-Nakawa-24h'!J75)</f>
        <v>0.5</v>
      </c>
      <c r="K75" s="49">
        <f>AVERAGE('01.08 Bugolobi-Nakawa-24h'!K75,'03.08 Bugolobi-Nakawa-24h'!K75)</f>
        <v>0.5</v>
      </c>
      <c r="L75" s="49">
        <f>AVERAGE('01.08 Bugolobi-Nakawa-24h'!L75,'03.08 Bugolobi-Nakawa-24h'!L75)</f>
        <v>0</v>
      </c>
      <c r="M75" s="49">
        <f>AVERAGE('01.08 Bugolobi-Nakawa-24h'!M75,'03.08 Bugolobi-Nakawa-24h'!M75)</f>
        <v>32</v>
      </c>
      <c r="N75" s="49">
        <f>AVERAGE('01.08 Bugolobi-Nakawa-24h'!N75,'03.08 Bugolobi-Nakawa-24h'!N75)</f>
        <v>0</v>
      </c>
      <c r="O75" s="15">
        <f t="shared" si="34"/>
        <v>57.5</v>
      </c>
      <c r="P75" s="15">
        <f t="shared" si="35"/>
        <v>89.5</v>
      </c>
      <c r="R75" s="8"/>
      <c r="T75"/>
    </row>
    <row r="76" spans="2:20" ht="23.1" customHeight="1" x14ac:dyDescent="0.25">
      <c r="B76" s="23" t="s">
        <v>116</v>
      </c>
      <c r="C76" s="49">
        <f>AVERAGE('01.08 Bugolobi-Nakawa-24h'!C76,'03.08 Bugolobi-Nakawa-24h'!C76)</f>
        <v>30</v>
      </c>
      <c r="D76" s="49">
        <f>AVERAGE('01.08 Bugolobi-Nakawa-24h'!D76,'03.08 Bugolobi-Nakawa-24h'!D76)</f>
        <v>4</v>
      </c>
      <c r="E76" s="49">
        <f>AVERAGE('01.08 Bugolobi-Nakawa-24h'!E76,'03.08 Bugolobi-Nakawa-24h'!E76)</f>
        <v>8.5</v>
      </c>
      <c r="F76" s="49">
        <f>AVERAGE('01.08 Bugolobi-Nakawa-24h'!F76,'03.08 Bugolobi-Nakawa-24h'!F76)</f>
        <v>9.5</v>
      </c>
      <c r="G76" s="49">
        <f>AVERAGE('01.08 Bugolobi-Nakawa-24h'!G76,'03.08 Bugolobi-Nakawa-24h'!G76)</f>
        <v>0</v>
      </c>
      <c r="H76" s="49">
        <f>AVERAGE('01.08 Bugolobi-Nakawa-24h'!H76,'03.08 Bugolobi-Nakawa-24h'!H76)</f>
        <v>0</v>
      </c>
      <c r="I76" s="49">
        <f>AVERAGE('01.08 Bugolobi-Nakawa-24h'!I76,'03.08 Bugolobi-Nakawa-24h'!I76)</f>
        <v>1.5</v>
      </c>
      <c r="J76" s="49">
        <f>AVERAGE('01.08 Bugolobi-Nakawa-24h'!J76,'03.08 Bugolobi-Nakawa-24h'!J76)</f>
        <v>1</v>
      </c>
      <c r="K76" s="49">
        <f>AVERAGE('01.08 Bugolobi-Nakawa-24h'!K76,'03.08 Bugolobi-Nakawa-24h'!K76)</f>
        <v>0</v>
      </c>
      <c r="L76" s="49">
        <f>AVERAGE('01.08 Bugolobi-Nakawa-24h'!L76,'03.08 Bugolobi-Nakawa-24h'!L76)</f>
        <v>0</v>
      </c>
      <c r="M76" s="49">
        <f>AVERAGE('01.08 Bugolobi-Nakawa-24h'!M76,'03.08 Bugolobi-Nakawa-24h'!M76)</f>
        <v>36</v>
      </c>
      <c r="N76" s="49">
        <f>AVERAGE('01.08 Bugolobi-Nakawa-24h'!N76,'03.08 Bugolobi-Nakawa-24h'!N76)</f>
        <v>0</v>
      </c>
      <c r="O76" s="15">
        <f t="shared" si="34"/>
        <v>54.5</v>
      </c>
      <c r="P76" s="15">
        <f t="shared" si="35"/>
        <v>90.5</v>
      </c>
      <c r="R76" s="8"/>
      <c r="T76"/>
    </row>
    <row r="77" spans="2:20" ht="23.1" customHeight="1" x14ac:dyDescent="0.25">
      <c r="B77" s="23" t="s">
        <v>117</v>
      </c>
      <c r="C77" s="49">
        <f>AVERAGE('01.08 Bugolobi-Nakawa-24h'!C77,'03.08 Bugolobi-Nakawa-24h'!C77)</f>
        <v>30.5</v>
      </c>
      <c r="D77" s="49">
        <f>AVERAGE('01.08 Bugolobi-Nakawa-24h'!D77,'03.08 Bugolobi-Nakawa-24h'!D77)</f>
        <v>6.5</v>
      </c>
      <c r="E77" s="49">
        <f>AVERAGE('01.08 Bugolobi-Nakawa-24h'!E77,'03.08 Bugolobi-Nakawa-24h'!E77)</f>
        <v>6</v>
      </c>
      <c r="F77" s="49">
        <f>AVERAGE('01.08 Bugolobi-Nakawa-24h'!F77,'03.08 Bugolobi-Nakawa-24h'!F77)</f>
        <v>10.5</v>
      </c>
      <c r="G77" s="49">
        <f>AVERAGE('01.08 Bugolobi-Nakawa-24h'!G77,'03.08 Bugolobi-Nakawa-24h'!G77)</f>
        <v>0</v>
      </c>
      <c r="H77" s="49">
        <f>AVERAGE('01.08 Bugolobi-Nakawa-24h'!H77,'03.08 Bugolobi-Nakawa-24h'!H77)</f>
        <v>0</v>
      </c>
      <c r="I77" s="49">
        <f>AVERAGE('01.08 Bugolobi-Nakawa-24h'!I77,'03.08 Bugolobi-Nakawa-24h'!I77)</f>
        <v>0.5</v>
      </c>
      <c r="J77" s="49">
        <f>AVERAGE('01.08 Bugolobi-Nakawa-24h'!J77,'03.08 Bugolobi-Nakawa-24h'!J77)</f>
        <v>0.5</v>
      </c>
      <c r="K77" s="49">
        <f>AVERAGE('01.08 Bugolobi-Nakawa-24h'!K77,'03.08 Bugolobi-Nakawa-24h'!K77)</f>
        <v>0.5</v>
      </c>
      <c r="L77" s="49">
        <f>AVERAGE('01.08 Bugolobi-Nakawa-24h'!L77,'03.08 Bugolobi-Nakawa-24h'!L77)</f>
        <v>0</v>
      </c>
      <c r="M77" s="49">
        <f>AVERAGE('01.08 Bugolobi-Nakawa-24h'!M77,'03.08 Bugolobi-Nakawa-24h'!M77)</f>
        <v>38</v>
      </c>
      <c r="N77" s="49">
        <f>AVERAGE('01.08 Bugolobi-Nakawa-24h'!N77,'03.08 Bugolobi-Nakawa-24h'!N77)</f>
        <v>0</v>
      </c>
      <c r="O77" s="15">
        <f t="shared" si="34"/>
        <v>55</v>
      </c>
      <c r="P77" s="15">
        <f t="shared" si="35"/>
        <v>93</v>
      </c>
      <c r="R77" s="8"/>
      <c r="T77"/>
    </row>
    <row r="78" spans="2:20" ht="23.1" customHeight="1" x14ac:dyDescent="0.25">
      <c r="B78" s="24" t="s">
        <v>118</v>
      </c>
      <c r="C78" s="49">
        <f>AVERAGE('01.08 Bugolobi-Nakawa-24h'!C78,'03.08 Bugolobi-Nakawa-24h'!C78)</f>
        <v>15.5</v>
      </c>
      <c r="D78" s="49">
        <f>AVERAGE('01.08 Bugolobi-Nakawa-24h'!D78,'03.08 Bugolobi-Nakawa-24h'!D78)</f>
        <v>8</v>
      </c>
      <c r="E78" s="49">
        <f>AVERAGE('01.08 Bugolobi-Nakawa-24h'!E78,'03.08 Bugolobi-Nakawa-24h'!E78)</f>
        <v>3.5</v>
      </c>
      <c r="F78" s="49">
        <f>AVERAGE('01.08 Bugolobi-Nakawa-24h'!F78,'03.08 Bugolobi-Nakawa-24h'!F78)</f>
        <v>2</v>
      </c>
      <c r="G78" s="49">
        <f>AVERAGE('01.08 Bugolobi-Nakawa-24h'!G78,'03.08 Bugolobi-Nakawa-24h'!G78)</f>
        <v>0</v>
      </c>
      <c r="H78" s="49">
        <f>AVERAGE('01.08 Bugolobi-Nakawa-24h'!H78,'03.08 Bugolobi-Nakawa-24h'!H78)</f>
        <v>0</v>
      </c>
      <c r="I78" s="49">
        <f>AVERAGE('01.08 Bugolobi-Nakawa-24h'!I78,'03.08 Bugolobi-Nakawa-24h'!I78)</f>
        <v>0.5</v>
      </c>
      <c r="J78" s="49">
        <f>AVERAGE('01.08 Bugolobi-Nakawa-24h'!J78,'03.08 Bugolobi-Nakawa-24h'!J78)</f>
        <v>0</v>
      </c>
      <c r="K78" s="49">
        <f>AVERAGE('01.08 Bugolobi-Nakawa-24h'!K78,'03.08 Bugolobi-Nakawa-24h'!K78)</f>
        <v>0.5</v>
      </c>
      <c r="L78" s="49">
        <f>AVERAGE('01.08 Bugolobi-Nakawa-24h'!L78,'03.08 Bugolobi-Nakawa-24h'!L78)</f>
        <v>0</v>
      </c>
      <c r="M78" s="49">
        <f>AVERAGE('01.08 Bugolobi-Nakawa-24h'!M78,'03.08 Bugolobi-Nakawa-24h'!M78)</f>
        <v>29</v>
      </c>
      <c r="N78" s="49">
        <f>AVERAGE('01.08 Bugolobi-Nakawa-24h'!N78,'03.08 Bugolobi-Nakawa-24h'!N78)</f>
        <v>0</v>
      </c>
      <c r="O78" s="15">
        <f t="shared" si="34"/>
        <v>30</v>
      </c>
      <c r="P78" s="15">
        <f t="shared" si="35"/>
        <v>59</v>
      </c>
      <c r="R78" s="8"/>
      <c r="T78"/>
    </row>
    <row r="79" spans="2:20" ht="23.1" customHeight="1" x14ac:dyDescent="0.25">
      <c r="B79" s="23" t="s">
        <v>119</v>
      </c>
      <c r="C79" s="49">
        <f>AVERAGE('01.08 Bugolobi-Nakawa-24h'!C79,'03.08 Bugolobi-Nakawa-24h'!C79)</f>
        <v>18</v>
      </c>
      <c r="D79" s="49">
        <f>AVERAGE('01.08 Bugolobi-Nakawa-24h'!D79,'03.08 Bugolobi-Nakawa-24h'!D79)</f>
        <v>5.5</v>
      </c>
      <c r="E79" s="49">
        <f>AVERAGE('01.08 Bugolobi-Nakawa-24h'!E79,'03.08 Bugolobi-Nakawa-24h'!E79)</f>
        <v>5.5</v>
      </c>
      <c r="F79" s="49">
        <f>AVERAGE('01.08 Bugolobi-Nakawa-24h'!F79,'03.08 Bugolobi-Nakawa-24h'!F79)</f>
        <v>3</v>
      </c>
      <c r="G79" s="49">
        <f>AVERAGE('01.08 Bugolobi-Nakawa-24h'!G79,'03.08 Bugolobi-Nakawa-24h'!G79)</f>
        <v>0</v>
      </c>
      <c r="H79" s="49">
        <f>AVERAGE('01.08 Bugolobi-Nakawa-24h'!H79,'03.08 Bugolobi-Nakawa-24h'!H79)</f>
        <v>0</v>
      </c>
      <c r="I79" s="49">
        <f>AVERAGE('01.08 Bugolobi-Nakawa-24h'!I79,'03.08 Bugolobi-Nakawa-24h'!I79)</f>
        <v>1</v>
      </c>
      <c r="J79" s="49">
        <f>AVERAGE('01.08 Bugolobi-Nakawa-24h'!J79,'03.08 Bugolobi-Nakawa-24h'!J79)</f>
        <v>0</v>
      </c>
      <c r="K79" s="49">
        <f>AVERAGE('01.08 Bugolobi-Nakawa-24h'!K79,'03.08 Bugolobi-Nakawa-24h'!K79)</f>
        <v>0</v>
      </c>
      <c r="L79" s="49">
        <f>AVERAGE('01.08 Bugolobi-Nakawa-24h'!L79,'03.08 Bugolobi-Nakawa-24h'!L79)</f>
        <v>0</v>
      </c>
      <c r="M79" s="49">
        <f>AVERAGE('01.08 Bugolobi-Nakawa-24h'!M79,'03.08 Bugolobi-Nakawa-24h'!M79)</f>
        <v>27</v>
      </c>
      <c r="N79" s="49">
        <f>AVERAGE('01.08 Bugolobi-Nakawa-24h'!N79,'03.08 Bugolobi-Nakawa-24h'!N79)</f>
        <v>0</v>
      </c>
      <c r="O79" s="15">
        <f t="shared" si="34"/>
        <v>33</v>
      </c>
      <c r="P79" s="15">
        <f t="shared" si="35"/>
        <v>60</v>
      </c>
      <c r="R79" s="8"/>
      <c r="T79"/>
    </row>
    <row r="80" spans="2:20" ht="23.1" customHeight="1" x14ac:dyDescent="0.25">
      <c r="B80" s="25" t="s">
        <v>120</v>
      </c>
      <c r="C80" s="49">
        <f>AVERAGE('01.08 Bugolobi-Nakawa-24h'!C80,'03.08 Bugolobi-Nakawa-24h'!C80)</f>
        <v>22</v>
      </c>
      <c r="D80" s="49">
        <f>AVERAGE('01.08 Bugolobi-Nakawa-24h'!D80,'03.08 Bugolobi-Nakawa-24h'!D80)</f>
        <v>3</v>
      </c>
      <c r="E80" s="49">
        <f>AVERAGE('01.08 Bugolobi-Nakawa-24h'!E80,'03.08 Bugolobi-Nakawa-24h'!E80)</f>
        <v>2</v>
      </c>
      <c r="F80" s="49">
        <f>AVERAGE('01.08 Bugolobi-Nakawa-24h'!F80,'03.08 Bugolobi-Nakawa-24h'!F80)</f>
        <v>5</v>
      </c>
      <c r="G80" s="49">
        <f>AVERAGE('01.08 Bugolobi-Nakawa-24h'!G80,'03.08 Bugolobi-Nakawa-24h'!G80)</f>
        <v>0</v>
      </c>
      <c r="H80" s="49">
        <f>AVERAGE('01.08 Bugolobi-Nakawa-24h'!H80,'03.08 Bugolobi-Nakawa-24h'!H80)</f>
        <v>0</v>
      </c>
      <c r="I80" s="49">
        <f>AVERAGE('01.08 Bugolobi-Nakawa-24h'!I80,'03.08 Bugolobi-Nakawa-24h'!I80)</f>
        <v>0</v>
      </c>
      <c r="J80" s="49">
        <f>AVERAGE('01.08 Bugolobi-Nakawa-24h'!J80,'03.08 Bugolobi-Nakawa-24h'!J80)</f>
        <v>0</v>
      </c>
      <c r="K80" s="49">
        <f>AVERAGE('01.08 Bugolobi-Nakawa-24h'!K80,'03.08 Bugolobi-Nakawa-24h'!K80)</f>
        <v>0</v>
      </c>
      <c r="L80" s="49">
        <f>AVERAGE('01.08 Bugolobi-Nakawa-24h'!L80,'03.08 Bugolobi-Nakawa-24h'!L80)</f>
        <v>0.5</v>
      </c>
      <c r="M80" s="49">
        <f>AVERAGE('01.08 Bugolobi-Nakawa-24h'!M80,'03.08 Bugolobi-Nakawa-24h'!M80)</f>
        <v>14</v>
      </c>
      <c r="N80" s="49">
        <f>AVERAGE('01.08 Bugolobi-Nakawa-24h'!N80,'03.08 Bugolobi-Nakawa-24h'!N80)</f>
        <v>0</v>
      </c>
      <c r="O80" s="15">
        <f t="shared" si="34"/>
        <v>32.5</v>
      </c>
      <c r="P80" s="15">
        <f t="shared" si="35"/>
        <v>46.5</v>
      </c>
      <c r="R80" s="8"/>
      <c r="T80"/>
    </row>
    <row r="81" spans="2:20" ht="23.1" customHeight="1" x14ac:dyDescent="0.25">
      <c r="B81" s="23" t="s">
        <v>121</v>
      </c>
      <c r="C81" s="49">
        <f>AVERAGE('01.08 Bugolobi-Nakawa-24h'!C81,'03.08 Bugolobi-Nakawa-24h'!C81)</f>
        <v>12.5</v>
      </c>
      <c r="D81" s="49">
        <f>AVERAGE('01.08 Bugolobi-Nakawa-24h'!D81,'03.08 Bugolobi-Nakawa-24h'!D81)</f>
        <v>5</v>
      </c>
      <c r="E81" s="49">
        <f>AVERAGE('01.08 Bugolobi-Nakawa-24h'!E81,'03.08 Bugolobi-Nakawa-24h'!E81)</f>
        <v>4.5</v>
      </c>
      <c r="F81" s="49">
        <f>AVERAGE('01.08 Bugolobi-Nakawa-24h'!F81,'03.08 Bugolobi-Nakawa-24h'!F81)</f>
        <v>9</v>
      </c>
      <c r="G81" s="49">
        <f>AVERAGE('01.08 Bugolobi-Nakawa-24h'!G81,'03.08 Bugolobi-Nakawa-24h'!G81)</f>
        <v>0</v>
      </c>
      <c r="H81" s="49">
        <f>AVERAGE('01.08 Bugolobi-Nakawa-24h'!H81,'03.08 Bugolobi-Nakawa-24h'!H81)</f>
        <v>0</v>
      </c>
      <c r="I81" s="49">
        <f>AVERAGE('01.08 Bugolobi-Nakawa-24h'!I81,'03.08 Bugolobi-Nakawa-24h'!I81)</f>
        <v>0</v>
      </c>
      <c r="J81" s="49">
        <f>AVERAGE('01.08 Bugolobi-Nakawa-24h'!J81,'03.08 Bugolobi-Nakawa-24h'!J81)</f>
        <v>0.5</v>
      </c>
      <c r="K81" s="49">
        <f>AVERAGE('01.08 Bugolobi-Nakawa-24h'!K81,'03.08 Bugolobi-Nakawa-24h'!K81)</f>
        <v>0</v>
      </c>
      <c r="L81" s="49">
        <f>AVERAGE('01.08 Bugolobi-Nakawa-24h'!L81,'03.08 Bugolobi-Nakawa-24h'!L81)</f>
        <v>0</v>
      </c>
      <c r="M81" s="49">
        <f>AVERAGE('01.08 Bugolobi-Nakawa-24h'!M81,'03.08 Bugolobi-Nakawa-24h'!M81)</f>
        <v>16.5</v>
      </c>
      <c r="N81" s="49">
        <f>AVERAGE('01.08 Bugolobi-Nakawa-24h'!N81,'03.08 Bugolobi-Nakawa-24h'!N81)</f>
        <v>0</v>
      </c>
      <c r="O81" s="15">
        <f t="shared" si="34"/>
        <v>31.5</v>
      </c>
      <c r="P81" s="15">
        <f t="shared" si="35"/>
        <v>48</v>
      </c>
      <c r="R81" s="8"/>
      <c r="T81"/>
    </row>
    <row r="82" spans="2:20" ht="23.1" customHeight="1" x14ac:dyDescent="0.25">
      <c r="B82" s="24" t="s">
        <v>122</v>
      </c>
      <c r="C82" s="49">
        <f>AVERAGE('01.08 Bugolobi-Nakawa-24h'!C82,'03.08 Bugolobi-Nakawa-24h'!C82)</f>
        <v>11</v>
      </c>
      <c r="D82" s="49">
        <f>AVERAGE('01.08 Bugolobi-Nakawa-24h'!D82,'03.08 Bugolobi-Nakawa-24h'!D82)</f>
        <v>2</v>
      </c>
      <c r="E82" s="49">
        <f>AVERAGE('01.08 Bugolobi-Nakawa-24h'!E82,'03.08 Bugolobi-Nakawa-24h'!E82)</f>
        <v>0</v>
      </c>
      <c r="F82" s="49">
        <f>AVERAGE('01.08 Bugolobi-Nakawa-24h'!F82,'03.08 Bugolobi-Nakawa-24h'!F82)</f>
        <v>1.5</v>
      </c>
      <c r="G82" s="49">
        <f>AVERAGE('01.08 Bugolobi-Nakawa-24h'!G82,'03.08 Bugolobi-Nakawa-24h'!G82)</f>
        <v>0</v>
      </c>
      <c r="H82" s="49">
        <f>AVERAGE('01.08 Bugolobi-Nakawa-24h'!H82,'03.08 Bugolobi-Nakawa-24h'!H82)</f>
        <v>0</v>
      </c>
      <c r="I82" s="49">
        <f>AVERAGE('01.08 Bugolobi-Nakawa-24h'!I82,'03.08 Bugolobi-Nakawa-24h'!I82)</f>
        <v>0.5</v>
      </c>
      <c r="J82" s="49">
        <f>AVERAGE('01.08 Bugolobi-Nakawa-24h'!J82,'03.08 Bugolobi-Nakawa-24h'!J82)</f>
        <v>0</v>
      </c>
      <c r="K82" s="49">
        <f>AVERAGE('01.08 Bugolobi-Nakawa-24h'!K82,'03.08 Bugolobi-Nakawa-24h'!K82)</f>
        <v>0</v>
      </c>
      <c r="L82" s="49">
        <f>AVERAGE('01.08 Bugolobi-Nakawa-24h'!L82,'03.08 Bugolobi-Nakawa-24h'!L82)</f>
        <v>0.5</v>
      </c>
      <c r="M82" s="49">
        <f>AVERAGE('01.08 Bugolobi-Nakawa-24h'!M82,'03.08 Bugolobi-Nakawa-24h'!M82)</f>
        <v>10</v>
      </c>
      <c r="N82" s="49">
        <f>AVERAGE('01.08 Bugolobi-Nakawa-24h'!N82,'03.08 Bugolobi-Nakawa-24h'!N82)</f>
        <v>0</v>
      </c>
      <c r="O82" s="15">
        <f t="shared" si="34"/>
        <v>15.5</v>
      </c>
      <c r="P82" s="15">
        <f t="shared" si="35"/>
        <v>25.5</v>
      </c>
      <c r="R82" s="8"/>
      <c r="T82"/>
    </row>
    <row r="83" spans="2:20" ht="23.1" customHeight="1" x14ac:dyDescent="0.25">
      <c r="B83" s="23" t="s">
        <v>123</v>
      </c>
      <c r="C83" s="49">
        <f>AVERAGE('01.08 Bugolobi-Nakawa-24h'!C83,'03.08 Bugolobi-Nakawa-24h'!C83)</f>
        <v>14.5</v>
      </c>
      <c r="D83" s="49">
        <f>AVERAGE('01.08 Bugolobi-Nakawa-24h'!D83,'03.08 Bugolobi-Nakawa-24h'!D83)</f>
        <v>3.5</v>
      </c>
      <c r="E83" s="49">
        <f>AVERAGE('01.08 Bugolobi-Nakawa-24h'!E83,'03.08 Bugolobi-Nakawa-24h'!E83)</f>
        <v>0.5</v>
      </c>
      <c r="F83" s="49">
        <f>AVERAGE('01.08 Bugolobi-Nakawa-24h'!F83,'03.08 Bugolobi-Nakawa-24h'!F83)</f>
        <v>2</v>
      </c>
      <c r="G83" s="49">
        <f>AVERAGE('01.08 Bugolobi-Nakawa-24h'!G83,'03.08 Bugolobi-Nakawa-24h'!G83)</f>
        <v>0</v>
      </c>
      <c r="H83" s="49">
        <f>AVERAGE('01.08 Bugolobi-Nakawa-24h'!H83,'03.08 Bugolobi-Nakawa-24h'!H83)</f>
        <v>0</v>
      </c>
      <c r="I83" s="49">
        <f>AVERAGE('01.08 Bugolobi-Nakawa-24h'!I83,'03.08 Bugolobi-Nakawa-24h'!I83)</f>
        <v>0</v>
      </c>
      <c r="J83" s="49">
        <f>AVERAGE('01.08 Bugolobi-Nakawa-24h'!J83,'03.08 Bugolobi-Nakawa-24h'!J83)</f>
        <v>0</v>
      </c>
      <c r="K83" s="49">
        <f>AVERAGE('01.08 Bugolobi-Nakawa-24h'!K83,'03.08 Bugolobi-Nakawa-24h'!K83)</f>
        <v>0</v>
      </c>
      <c r="L83" s="49">
        <f>AVERAGE('01.08 Bugolobi-Nakawa-24h'!L83,'03.08 Bugolobi-Nakawa-24h'!L83)</f>
        <v>0</v>
      </c>
      <c r="M83" s="49">
        <f>AVERAGE('01.08 Bugolobi-Nakawa-24h'!M83,'03.08 Bugolobi-Nakawa-24h'!M83)</f>
        <v>14</v>
      </c>
      <c r="N83" s="49">
        <f>AVERAGE('01.08 Bugolobi-Nakawa-24h'!N83,'03.08 Bugolobi-Nakawa-24h'!N83)</f>
        <v>0</v>
      </c>
      <c r="O83" s="15">
        <f t="shared" si="34"/>
        <v>20.5</v>
      </c>
      <c r="P83" s="15">
        <f t="shared" si="35"/>
        <v>34.5</v>
      </c>
      <c r="R83" s="8"/>
      <c r="T83"/>
    </row>
    <row r="84" spans="2:20" ht="23.1" customHeight="1" x14ac:dyDescent="0.25">
      <c r="B84" s="25" t="s">
        <v>124</v>
      </c>
      <c r="C84" s="49">
        <f>AVERAGE('01.08 Bugolobi-Nakawa-24h'!C84,'03.08 Bugolobi-Nakawa-24h'!C84)</f>
        <v>16</v>
      </c>
      <c r="D84" s="49">
        <f>AVERAGE('01.08 Bugolobi-Nakawa-24h'!D84,'03.08 Bugolobi-Nakawa-24h'!D84)</f>
        <v>1.5</v>
      </c>
      <c r="E84" s="49">
        <f>AVERAGE('01.08 Bugolobi-Nakawa-24h'!E84,'03.08 Bugolobi-Nakawa-24h'!E84)</f>
        <v>1</v>
      </c>
      <c r="F84" s="49">
        <f>AVERAGE('01.08 Bugolobi-Nakawa-24h'!F84,'03.08 Bugolobi-Nakawa-24h'!F84)</f>
        <v>0.5</v>
      </c>
      <c r="G84" s="49">
        <f>AVERAGE('01.08 Bugolobi-Nakawa-24h'!G84,'03.08 Bugolobi-Nakawa-24h'!G84)</f>
        <v>0</v>
      </c>
      <c r="H84" s="49">
        <f>AVERAGE('01.08 Bugolobi-Nakawa-24h'!H84,'03.08 Bugolobi-Nakawa-24h'!H84)</f>
        <v>0</v>
      </c>
      <c r="I84" s="49">
        <f>AVERAGE('01.08 Bugolobi-Nakawa-24h'!I84,'03.08 Bugolobi-Nakawa-24h'!I84)</f>
        <v>0.5</v>
      </c>
      <c r="J84" s="49">
        <f>AVERAGE('01.08 Bugolobi-Nakawa-24h'!J84,'03.08 Bugolobi-Nakawa-24h'!J84)</f>
        <v>0</v>
      </c>
      <c r="K84" s="49">
        <f>AVERAGE('01.08 Bugolobi-Nakawa-24h'!K84,'03.08 Bugolobi-Nakawa-24h'!K84)</f>
        <v>0</v>
      </c>
      <c r="L84" s="49">
        <f>AVERAGE('01.08 Bugolobi-Nakawa-24h'!L84,'03.08 Bugolobi-Nakawa-24h'!L84)</f>
        <v>0</v>
      </c>
      <c r="M84" s="49">
        <f>AVERAGE('01.08 Bugolobi-Nakawa-24h'!M84,'03.08 Bugolobi-Nakawa-24h'!M84)</f>
        <v>12</v>
      </c>
      <c r="N84" s="49">
        <f>AVERAGE('01.08 Bugolobi-Nakawa-24h'!N84,'03.08 Bugolobi-Nakawa-24h'!N84)</f>
        <v>0</v>
      </c>
      <c r="O84" s="15">
        <f t="shared" si="34"/>
        <v>19.5</v>
      </c>
      <c r="P84" s="15">
        <f t="shared" si="35"/>
        <v>31.5</v>
      </c>
      <c r="R84" s="8"/>
      <c r="T84"/>
    </row>
    <row r="85" spans="2:20" ht="23.1" customHeight="1" x14ac:dyDescent="0.25">
      <c r="B85" s="23" t="s">
        <v>125</v>
      </c>
      <c r="C85" s="49">
        <f>AVERAGE('01.08 Bugolobi-Nakawa-24h'!C85,'03.08 Bugolobi-Nakawa-24h'!C85)</f>
        <v>10.5</v>
      </c>
      <c r="D85" s="49">
        <f>AVERAGE('01.08 Bugolobi-Nakawa-24h'!D85,'03.08 Bugolobi-Nakawa-24h'!D85)</f>
        <v>3.5</v>
      </c>
      <c r="E85" s="49">
        <f>AVERAGE('01.08 Bugolobi-Nakawa-24h'!E85,'03.08 Bugolobi-Nakawa-24h'!E85)</f>
        <v>1</v>
      </c>
      <c r="F85" s="49">
        <f>AVERAGE('01.08 Bugolobi-Nakawa-24h'!F85,'03.08 Bugolobi-Nakawa-24h'!F85)</f>
        <v>0</v>
      </c>
      <c r="G85" s="49">
        <f>AVERAGE('01.08 Bugolobi-Nakawa-24h'!G85,'03.08 Bugolobi-Nakawa-24h'!G85)</f>
        <v>0</v>
      </c>
      <c r="H85" s="49">
        <f>AVERAGE('01.08 Bugolobi-Nakawa-24h'!H85,'03.08 Bugolobi-Nakawa-24h'!H85)</f>
        <v>0</v>
      </c>
      <c r="I85" s="49">
        <f>AVERAGE('01.08 Bugolobi-Nakawa-24h'!I85,'03.08 Bugolobi-Nakawa-24h'!I85)</f>
        <v>0</v>
      </c>
      <c r="J85" s="49">
        <f>AVERAGE('01.08 Bugolobi-Nakawa-24h'!J85,'03.08 Bugolobi-Nakawa-24h'!J85)</f>
        <v>0</v>
      </c>
      <c r="K85" s="49">
        <f>AVERAGE('01.08 Bugolobi-Nakawa-24h'!K85,'03.08 Bugolobi-Nakawa-24h'!K85)</f>
        <v>0</v>
      </c>
      <c r="L85" s="49">
        <f>AVERAGE('01.08 Bugolobi-Nakawa-24h'!L85,'03.08 Bugolobi-Nakawa-24h'!L85)</f>
        <v>0</v>
      </c>
      <c r="M85" s="49">
        <f>AVERAGE('01.08 Bugolobi-Nakawa-24h'!M85,'03.08 Bugolobi-Nakawa-24h'!M85)</f>
        <v>9.5</v>
      </c>
      <c r="N85" s="49">
        <f>AVERAGE('01.08 Bugolobi-Nakawa-24h'!N85,'03.08 Bugolobi-Nakawa-24h'!N85)</f>
        <v>0</v>
      </c>
      <c r="O85" s="15">
        <f t="shared" si="34"/>
        <v>15</v>
      </c>
      <c r="P85" s="15">
        <f t="shared" si="35"/>
        <v>24.5</v>
      </c>
      <c r="R85" s="8"/>
      <c r="T85"/>
    </row>
    <row r="86" spans="2:20" ht="23.1" customHeight="1" x14ac:dyDescent="0.25">
      <c r="B86" s="24" t="s">
        <v>126</v>
      </c>
      <c r="C86" s="49">
        <f>AVERAGE('01.08 Bugolobi-Nakawa-24h'!C86,'03.08 Bugolobi-Nakawa-24h'!C86)</f>
        <v>12</v>
      </c>
      <c r="D86" s="49">
        <f>AVERAGE('01.08 Bugolobi-Nakawa-24h'!D86,'03.08 Bugolobi-Nakawa-24h'!D86)</f>
        <v>0</v>
      </c>
      <c r="E86" s="49">
        <f>AVERAGE('01.08 Bugolobi-Nakawa-24h'!E86,'03.08 Bugolobi-Nakawa-24h'!E86)</f>
        <v>1.5</v>
      </c>
      <c r="F86" s="49">
        <f>AVERAGE('01.08 Bugolobi-Nakawa-24h'!F86,'03.08 Bugolobi-Nakawa-24h'!F86)</f>
        <v>0</v>
      </c>
      <c r="G86" s="49">
        <f>AVERAGE('01.08 Bugolobi-Nakawa-24h'!G86,'03.08 Bugolobi-Nakawa-24h'!G86)</f>
        <v>0</v>
      </c>
      <c r="H86" s="49">
        <f>AVERAGE('01.08 Bugolobi-Nakawa-24h'!H86,'03.08 Bugolobi-Nakawa-24h'!H86)</f>
        <v>0</v>
      </c>
      <c r="I86" s="49">
        <f>AVERAGE('01.08 Bugolobi-Nakawa-24h'!I86,'03.08 Bugolobi-Nakawa-24h'!I86)</f>
        <v>0</v>
      </c>
      <c r="J86" s="49">
        <f>AVERAGE('01.08 Bugolobi-Nakawa-24h'!J86,'03.08 Bugolobi-Nakawa-24h'!J86)</f>
        <v>0</v>
      </c>
      <c r="K86" s="49">
        <f>AVERAGE('01.08 Bugolobi-Nakawa-24h'!K86,'03.08 Bugolobi-Nakawa-24h'!K86)</f>
        <v>0</v>
      </c>
      <c r="L86" s="49">
        <f>AVERAGE('01.08 Bugolobi-Nakawa-24h'!L86,'03.08 Bugolobi-Nakawa-24h'!L86)</f>
        <v>0.5</v>
      </c>
      <c r="M86" s="49">
        <f>AVERAGE('01.08 Bugolobi-Nakawa-24h'!M86,'03.08 Bugolobi-Nakawa-24h'!M86)</f>
        <v>11</v>
      </c>
      <c r="N86" s="49">
        <f>AVERAGE('01.08 Bugolobi-Nakawa-24h'!N86,'03.08 Bugolobi-Nakawa-24h'!N86)</f>
        <v>0</v>
      </c>
      <c r="O86" s="15">
        <f t="shared" si="34"/>
        <v>14</v>
      </c>
      <c r="P86" s="15">
        <f t="shared" si="35"/>
        <v>25</v>
      </c>
      <c r="R86" s="8"/>
      <c r="T86"/>
    </row>
    <row r="87" spans="2:20" ht="23.1" customHeight="1" x14ac:dyDescent="0.25">
      <c r="B87" s="23" t="s">
        <v>127</v>
      </c>
      <c r="C87" s="49">
        <f>AVERAGE('01.08 Bugolobi-Nakawa-24h'!C87,'03.08 Bugolobi-Nakawa-24h'!C87)</f>
        <v>12</v>
      </c>
      <c r="D87" s="49">
        <f>AVERAGE('01.08 Bugolobi-Nakawa-24h'!D87,'03.08 Bugolobi-Nakawa-24h'!D87)</f>
        <v>2</v>
      </c>
      <c r="E87" s="49">
        <f>AVERAGE('01.08 Bugolobi-Nakawa-24h'!E87,'03.08 Bugolobi-Nakawa-24h'!E87)</f>
        <v>0</v>
      </c>
      <c r="F87" s="49">
        <f>AVERAGE('01.08 Bugolobi-Nakawa-24h'!F87,'03.08 Bugolobi-Nakawa-24h'!F87)</f>
        <v>0</v>
      </c>
      <c r="G87" s="49">
        <f>AVERAGE('01.08 Bugolobi-Nakawa-24h'!G87,'03.08 Bugolobi-Nakawa-24h'!G87)</f>
        <v>0</v>
      </c>
      <c r="H87" s="49">
        <f>AVERAGE('01.08 Bugolobi-Nakawa-24h'!H87,'03.08 Bugolobi-Nakawa-24h'!H87)</f>
        <v>0</v>
      </c>
      <c r="I87" s="49">
        <f>AVERAGE('01.08 Bugolobi-Nakawa-24h'!I87,'03.08 Bugolobi-Nakawa-24h'!I87)</f>
        <v>0</v>
      </c>
      <c r="J87" s="49">
        <f>AVERAGE('01.08 Bugolobi-Nakawa-24h'!J87,'03.08 Bugolobi-Nakawa-24h'!J87)</f>
        <v>0</v>
      </c>
      <c r="K87" s="49">
        <f>AVERAGE('01.08 Bugolobi-Nakawa-24h'!K87,'03.08 Bugolobi-Nakawa-24h'!K87)</f>
        <v>0</v>
      </c>
      <c r="L87" s="49">
        <f>AVERAGE('01.08 Bugolobi-Nakawa-24h'!L87,'03.08 Bugolobi-Nakawa-24h'!L87)</f>
        <v>0</v>
      </c>
      <c r="M87" s="49">
        <f>AVERAGE('01.08 Bugolobi-Nakawa-24h'!M87,'03.08 Bugolobi-Nakawa-24h'!M87)</f>
        <v>8.5</v>
      </c>
      <c r="N87" s="49">
        <f>AVERAGE('01.08 Bugolobi-Nakawa-24h'!N87,'03.08 Bugolobi-Nakawa-24h'!N87)</f>
        <v>0</v>
      </c>
      <c r="O87" s="15">
        <f t="shared" si="34"/>
        <v>14</v>
      </c>
      <c r="P87" s="15">
        <f t="shared" si="35"/>
        <v>22.5</v>
      </c>
      <c r="R87" s="8"/>
      <c r="T87"/>
    </row>
    <row r="88" spans="2:20" ht="23.1" customHeight="1" x14ac:dyDescent="0.25">
      <c r="B88" s="25" t="s">
        <v>128</v>
      </c>
      <c r="C88" s="49">
        <f>AVERAGE('01.08 Bugolobi-Nakawa-24h'!C88,'03.08 Bugolobi-Nakawa-24h'!C88)</f>
        <v>10</v>
      </c>
      <c r="D88" s="49">
        <f>AVERAGE('01.08 Bugolobi-Nakawa-24h'!D88,'03.08 Bugolobi-Nakawa-24h'!D88)</f>
        <v>1</v>
      </c>
      <c r="E88" s="49">
        <f>AVERAGE('01.08 Bugolobi-Nakawa-24h'!E88,'03.08 Bugolobi-Nakawa-24h'!E88)</f>
        <v>0.5</v>
      </c>
      <c r="F88" s="49">
        <f>AVERAGE('01.08 Bugolobi-Nakawa-24h'!F88,'03.08 Bugolobi-Nakawa-24h'!F88)</f>
        <v>0</v>
      </c>
      <c r="G88" s="49">
        <f>AVERAGE('01.08 Bugolobi-Nakawa-24h'!G88,'03.08 Bugolobi-Nakawa-24h'!G88)</f>
        <v>0</v>
      </c>
      <c r="H88" s="49">
        <f>AVERAGE('01.08 Bugolobi-Nakawa-24h'!H88,'03.08 Bugolobi-Nakawa-24h'!H88)</f>
        <v>0</v>
      </c>
      <c r="I88" s="49">
        <f>AVERAGE('01.08 Bugolobi-Nakawa-24h'!I88,'03.08 Bugolobi-Nakawa-24h'!I88)</f>
        <v>0</v>
      </c>
      <c r="J88" s="49">
        <f>AVERAGE('01.08 Bugolobi-Nakawa-24h'!J88,'03.08 Bugolobi-Nakawa-24h'!J88)</f>
        <v>0</v>
      </c>
      <c r="K88" s="49">
        <f>AVERAGE('01.08 Bugolobi-Nakawa-24h'!K88,'03.08 Bugolobi-Nakawa-24h'!K88)</f>
        <v>0</v>
      </c>
      <c r="L88" s="49">
        <f>AVERAGE('01.08 Bugolobi-Nakawa-24h'!L88,'03.08 Bugolobi-Nakawa-24h'!L88)</f>
        <v>0</v>
      </c>
      <c r="M88" s="49">
        <f>AVERAGE('01.08 Bugolobi-Nakawa-24h'!M88,'03.08 Bugolobi-Nakawa-24h'!M88)</f>
        <v>15</v>
      </c>
      <c r="N88" s="49">
        <f>AVERAGE('01.08 Bugolobi-Nakawa-24h'!N88,'03.08 Bugolobi-Nakawa-24h'!N88)</f>
        <v>0</v>
      </c>
      <c r="O88" s="15">
        <f t="shared" si="34"/>
        <v>11.5</v>
      </c>
      <c r="P88" s="15">
        <f t="shared" si="35"/>
        <v>26.5</v>
      </c>
      <c r="R88" s="8"/>
      <c r="T88"/>
    </row>
    <row r="89" spans="2:20" ht="23.1" customHeight="1" x14ac:dyDescent="0.25">
      <c r="B89" s="23" t="s">
        <v>129</v>
      </c>
      <c r="C89" s="49">
        <f>AVERAGE('01.08 Bugolobi-Nakawa-24h'!C89,'03.08 Bugolobi-Nakawa-24h'!C89)</f>
        <v>9.5</v>
      </c>
      <c r="D89" s="49">
        <f>AVERAGE('01.08 Bugolobi-Nakawa-24h'!D89,'03.08 Bugolobi-Nakawa-24h'!D89)</f>
        <v>0</v>
      </c>
      <c r="E89" s="49">
        <f>AVERAGE('01.08 Bugolobi-Nakawa-24h'!E89,'03.08 Bugolobi-Nakawa-24h'!E89)</f>
        <v>0.5</v>
      </c>
      <c r="F89" s="49">
        <f>AVERAGE('01.08 Bugolobi-Nakawa-24h'!F89,'03.08 Bugolobi-Nakawa-24h'!F89)</f>
        <v>0.5</v>
      </c>
      <c r="G89" s="49">
        <f>AVERAGE('01.08 Bugolobi-Nakawa-24h'!G89,'03.08 Bugolobi-Nakawa-24h'!G89)</f>
        <v>0</v>
      </c>
      <c r="H89" s="49">
        <f>AVERAGE('01.08 Bugolobi-Nakawa-24h'!H89,'03.08 Bugolobi-Nakawa-24h'!H89)</f>
        <v>0</v>
      </c>
      <c r="I89" s="49">
        <f>AVERAGE('01.08 Bugolobi-Nakawa-24h'!I89,'03.08 Bugolobi-Nakawa-24h'!I89)</f>
        <v>0</v>
      </c>
      <c r="J89" s="49">
        <f>AVERAGE('01.08 Bugolobi-Nakawa-24h'!J89,'03.08 Bugolobi-Nakawa-24h'!J89)</f>
        <v>0</v>
      </c>
      <c r="K89" s="49">
        <f>AVERAGE('01.08 Bugolobi-Nakawa-24h'!K89,'03.08 Bugolobi-Nakawa-24h'!K89)</f>
        <v>0</v>
      </c>
      <c r="L89" s="49">
        <f>AVERAGE('01.08 Bugolobi-Nakawa-24h'!L89,'03.08 Bugolobi-Nakawa-24h'!L89)</f>
        <v>0</v>
      </c>
      <c r="M89" s="49">
        <f>AVERAGE('01.08 Bugolobi-Nakawa-24h'!M89,'03.08 Bugolobi-Nakawa-24h'!M89)</f>
        <v>9</v>
      </c>
      <c r="N89" s="49">
        <f>AVERAGE('01.08 Bugolobi-Nakawa-24h'!N89,'03.08 Bugolobi-Nakawa-24h'!N89)</f>
        <v>0</v>
      </c>
      <c r="O89" s="15">
        <f t="shared" si="34"/>
        <v>10.5</v>
      </c>
      <c r="P89" s="15">
        <f t="shared" si="35"/>
        <v>19.5</v>
      </c>
      <c r="R89" s="8"/>
      <c r="T89"/>
    </row>
    <row r="90" spans="2:20" ht="23.1" customHeight="1" x14ac:dyDescent="0.25">
      <c r="B90" s="24" t="s">
        <v>130</v>
      </c>
      <c r="C90" s="49">
        <f>AVERAGE('01.08 Bugolobi-Nakawa-24h'!C90,'03.08 Bugolobi-Nakawa-24h'!C90)</f>
        <v>7.5</v>
      </c>
      <c r="D90" s="49">
        <f>AVERAGE('01.08 Bugolobi-Nakawa-24h'!D90,'03.08 Bugolobi-Nakawa-24h'!D90)</f>
        <v>0.5</v>
      </c>
      <c r="E90" s="49">
        <f>AVERAGE('01.08 Bugolobi-Nakawa-24h'!E90,'03.08 Bugolobi-Nakawa-24h'!E90)</f>
        <v>0</v>
      </c>
      <c r="F90" s="49">
        <f>AVERAGE('01.08 Bugolobi-Nakawa-24h'!F90,'03.08 Bugolobi-Nakawa-24h'!F90)</f>
        <v>0.5</v>
      </c>
      <c r="G90" s="49">
        <f>AVERAGE('01.08 Bugolobi-Nakawa-24h'!G90,'03.08 Bugolobi-Nakawa-24h'!G90)</f>
        <v>0</v>
      </c>
      <c r="H90" s="49">
        <f>AVERAGE('01.08 Bugolobi-Nakawa-24h'!H90,'03.08 Bugolobi-Nakawa-24h'!H90)</f>
        <v>0</v>
      </c>
      <c r="I90" s="49">
        <f>AVERAGE('01.08 Bugolobi-Nakawa-24h'!I90,'03.08 Bugolobi-Nakawa-24h'!I90)</f>
        <v>0.5</v>
      </c>
      <c r="J90" s="49">
        <f>AVERAGE('01.08 Bugolobi-Nakawa-24h'!J90,'03.08 Bugolobi-Nakawa-24h'!J90)</f>
        <v>0</v>
      </c>
      <c r="K90" s="49">
        <f>AVERAGE('01.08 Bugolobi-Nakawa-24h'!K90,'03.08 Bugolobi-Nakawa-24h'!K90)</f>
        <v>0.5</v>
      </c>
      <c r="L90" s="49">
        <f>AVERAGE('01.08 Bugolobi-Nakawa-24h'!L90,'03.08 Bugolobi-Nakawa-24h'!L90)</f>
        <v>1</v>
      </c>
      <c r="M90" s="49">
        <f>AVERAGE('01.08 Bugolobi-Nakawa-24h'!M90,'03.08 Bugolobi-Nakawa-24h'!M90)</f>
        <v>10</v>
      </c>
      <c r="N90" s="49">
        <f>AVERAGE('01.08 Bugolobi-Nakawa-24h'!N90,'03.08 Bugolobi-Nakawa-24h'!N90)</f>
        <v>0</v>
      </c>
      <c r="O90" s="15">
        <f t="shared" si="34"/>
        <v>10.5</v>
      </c>
      <c r="P90" s="15">
        <f t="shared" si="35"/>
        <v>20.5</v>
      </c>
      <c r="R90" s="8"/>
      <c r="T90"/>
    </row>
    <row r="91" spans="2:20" ht="23.1" customHeight="1" x14ac:dyDescent="0.25">
      <c r="B91" s="23" t="s">
        <v>131</v>
      </c>
      <c r="C91" s="49">
        <f>AVERAGE('01.08 Bugolobi-Nakawa-24h'!C91,'03.08 Bugolobi-Nakawa-24h'!C91)</f>
        <v>3.5</v>
      </c>
      <c r="D91" s="49">
        <f>AVERAGE('01.08 Bugolobi-Nakawa-24h'!D91,'03.08 Bugolobi-Nakawa-24h'!D91)</f>
        <v>0.5</v>
      </c>
      <c r="E91" s="49">
        <f>AVERAGE('01.08 Bugolobi-Nakawa-24h'!E91,'03.08 Bugolobi-Nakawa-24h'!E91)</f>
        <v>0.5</v>
      </c>
      <c r="F91" s="49">
        <f>AVERAGE('01.08 Bugolobi-Nakawa-24h'!F91,'03.08 Bugolobi-Nakawa-24h'!F91)</f>
        <v>0.5</v>
      </c>
      <c r="G91" s="49">
        <f>AVERAGE('01.08 Bugolobi-Nakawa-24h'!G91,'03.08 Bugolobi-Nakawa-24h'!G91)</f>
        <v>0</v>
      </c>
      <c r="H91" s="49">
        <f>AVERAGE('01.08 Bugolobi-Nakawa-24h'!H91,'03.08 Bugolobi-Nakawa-24h'!H91)</f>
        <v>0</v>
      </c>
      <c r="I91" s="49">
        <f>AVERAGE('01.08 Bugolobi-Nakawa-24h'!I91,'03.08 Bugolobi-Nakawa-24h'!I91)</f>
        <v>0</v>
      </c>
      <c r="J91" s="49">
        <f>AVERAGE('01.08 Bugolobi-Nakawa-24h'!J91,'03.08 Bugolobi-Nakawa-24h'!J91)</f>
        <v>0</v>
      </c>
      <c r="K91" s="49">
        <f>AVERAGE('01.08 Bugolobi-Nakawa-24h'!K91,'03.08 Bugolobi-Nakawa-24h'!K91)</f>
        <v>0</v>
      </c>
      <c r="L91" s="49">
        <f>AVERAGE('01.08 Bugolobi-Nakawa-24h'!L91,'03.08 Bugolobi-Nakawa-24h'!L91)</f>
        <v>0</v>
      </c>
      <c r="M91" s="49">
        <f>AVERAGE('01.08 Bugolobi-Nakawa-24h'!M91,'03.08 Bugolobi-Nakawa-24h'!M91)</f>
        <v>5</v>
      </c>
      <c r="N91" s="49">
        <f>AVERAGE('01.08 Bugolobi-Nakawa-24h'!N91,'03.08 Bugolobi-Nakawa-24h'!N91)</f>
        <v>0</v>
      </c>
      <c r="O91" s="15">
        <f t="shared" si="34"/>
        <v>5</v>
      </c>
      <c r="P91" s="15">
        <f t="shared" si="35"/>
        <v>10</v>
      </c>
      <c r="R91" s="8"/>
      <c r="T91"/>
    </row>
    <row r="92" spans="2:20" ht="23.1" customHeight="1" x14ac:dyDescent="0.25">
      <c r="B92" s="25" t="s">
        <v>132</v>
      </c>
      <c r="C92" s="49">
        <f>AVERAGE('01.08 Bugolobi-Nakawa-24h'!C92,'03.08 Bugolobi-Nakawa-24h'!C92)</f>
        <v>16</v>
      </c>
      <c r="D92" s="49">
        <f>AVERAGE('01.08 Bugolobi-Nakawa-24h'!D92,'03.08 Bugolobi-Nakawa-24h'!D92)</f>
        <v>0.5</v>
      </c>
      <c r="E92" s="49">
        <f>AVERAGE('01.08 Bugolobi-Nakawa-24h'!E92,'03.08 Bugolobi-Nakawa-24h'!E92)</f>
        <v>0</v>
      </c>
      <c r="F92" s="49">
        <f>AVERAGE('01.08 Bugolobi-Nakawa-24h'!F92,'03.08 Bugolobi-Nakawa-24h'!F92)</f>
        <v>0</v>
      </c>
      <c r="G92" s="49">
        <f>AVERAGE('01.08 Bugolobi-Nakawa-24h'!G92,'03.08 Bugolobi-Nakawa-24h'!G92)</f>
        <v>0</v>
      </c>
      <c r="H92" s="49">
        <f>AVERAGE('01.08 Bugolobi-Nakawa-24h'!H92,'03.08 Bugolobi-Nakawa-24h'!H92)</f>
        <v>0</v>
      </c>
      <c r="I92" s="49">
        <f>AVERAGE('01.08 Bugolobi-Nakawa-24h'!I92,'03.08 Bugolobi-Nakawa-24h'!I92)</f>
        <v>0</v>
      </c>
      <c r="J92" s="49">
        <f>AVERAGE('01.08 Bugolobi-Nakawa-24h'!J92,'03.08 Bugolobi-Nakawa-24h'!J92)</f>
        <v>0</v>
      </c>
      <c r="K92" s="49">
        <f>AVERAGE('01.08 Bugolobi-Nakawa-24h'!K92,'03.08 Bugolobi-Nakawa-24h'!K92)</f>
        <v>0</v>
      </c>
      <c r="L92" s="49">
        <f>AVERAGE('01.08 Bugolobi-Nakawa-24h'!L92,'03.08 Bugolobi-Nakawa-24h'!L92)</f>
        <v>0</v>
      </c>
      <c r="M92" s="49">
        <f>AVERAGE('01.08 Bugolobi-Nakawa-24h'!M92,'03.08 Bugolobi-Nakawa-24h'!M92)</f>
        <v>8.5</v>
      </c>
      <c r="N92" s="49">
        <f>AVERAGE('01.08 Bugolobi-Nakawa-24h'!N92,'03.08 Bugolobi-Nakawa-24h'!N92)</f>
        <v>0</v>
      </c>
      <c r="O92" s="15">
        <f t="shared" si="34"/>
        <v>16.5</v>
      </c>
      <c r="P92" s="15">
        <f t="shared" si="35"/>
        <v>25</v>
      </c>
      <c r="R92" s="8"/>
      <c r="T92"/>
    </row>
    <row r="93" spans="2:20" ht="23.1" customHeight="1" x14ac:dyDescent="0.25">
      <c r="B93" s="23" t="s">
        <v>133</v>
      </c>
      <c r="C93" s="49">
        <f>AVERAGE('01.08 Bugolobi-Nakawa-24h'!C93,'03.08 Bugolobi-Nakawa-24h'!C93)</f>
        <v>23</v>
      </c>
      <c r="D93" s="49">
        <f>AVERAGE('01.08 Bugolobi-Nakawa-24h'!D93,'03.08 Bugolobi-Nakawa-24h'!D93)</f>
        <v>4</v>
      </c>
      <c r="E93" s="49">
        <f>AVERAGE('01.08 Bugolobi-Nakawa-24h'!E93,'03.08 Bugolobi-Nakawa-24h'!E93)</f>
        <v>5</v>
      </c>
      <c r="F93" s="49">
        <f>AVERAGE('01.08 Bugolobi-Nakawa-24h'!F93,'03.08 Bugolobi-Nakawa-24h'!F93)</f>
        <v>4.5</v>
      </c>
      <c r="G93" s="49">
        <f>AVERAGE('01.08 Bugolobi-Nakawa-24h'!G93,'03.08 Bugolobi-Nakawa-24h'!G93)</f>
        <v>0</v>
      </c>
      <c r="H93" s="49">
        <f>AVERAGE('01.08 Bugolobi-Nakawa-24h'!H93,'03.08 Bugolobi-Nakawa-24h'!H93)</f>
        <v>0</v>
      </c>
      <c r="I93" s="49">
        <f>AVERAGE('01.08 Bugolobi-Nakawa-24h'!I93,'03.08 Bugolobi-Nakawa-24h'!I93)</f>
        <v>0</v>
      </c>
      <c r="J93" s="49">
        <f>AVERAGE('01.08 Bugolobi-Nakawa-24h'!J93,'03.08 Bugolobi-Nakawa-24h'!J93)</f>
        <v>0</v>
      </c>
      <c r="K93" s="49">
        <f>AVERAGE('01.08 Bugolobi-Nakawa-24h'!K93,'03.08 Bugolobi-Nakawa-24h'!K93)</f>
        <v>0</v>
      </c>
      <c r="L93" s="49">
        <f>AVERAGE('01.08 Bugolobi-Nakawa-24h'!L93,'03.08 Bugolobi-Nakawa-24h'!L93)</f>
        <v>0.5</v>
      </c>
      <c r="M93" s="49">
        <f>AVERAGE('01.08 Bugolobi-Nakawa-24h'!M93,'03.08 Bugolobi-Nakawa-24h'!M93)</f>
        <v>23</v>
      </c>
      <c r="N93" s="49">
        <f>AVERAGE('01.08 Bugolobi-Nakawa-24h'!N93,'03.08 Bugolobi-Nakawa-24h'!N93)</f>
        <v>0</v>
      </c>
      <c r="O93" s="15">
        <f t="shared" si="34"/>
        <v>37</v>
      </c>
      <c r="P93" s="15">
        <f t="shared" si="35"/>
        <v>60</v>
      </c>
      <c r="R93" s="8"/>
      <c r="T93"/>
    </row>
    <row r="94" spans="2:20" ht="23.1" customHeight="1" x14ac:dyDescent="0.25">
      <c r="B94" s="24" t="s">
        <v>134</v>
      </c>
      <c r="C94" s="49">
        <f>AVERAGE('01.08 Bugolobi-Nakawa-24h'!C94,'03.08 Bugolobi-Nakawa-24h'!C94)</f>
        <v>4</v>
      </c>
      <c r="D94" s="49">
        <f>AVERAGE('01.08 Bugolobi-Nakawa-24h'!D94,'03.08 Bugolobi-Nakawa-24h'!D94)</f>
        <v>0</v>
      </c>
      <c r="E94" s="49">
        <f>AVERAGE('01.08 Bugolobi-Nakawa-24h'!E94,'03.08 Bugolobi-Nakawa-24h'!E94)</f>
        <v>0.5</v>
      </c>
      <c r="F94" s="49">
        <f>AVERAGE('01.08 Bugolobi-Nakawa-24h'!F94,'03.08 Bugolobi-Nakawa-24h'!F94)</f>
        <v>0</v>
      </c>
      <c r="G94" s="49">
        <f>AVERAGE('01.08 Bugolobi-Nakawa-24h'!G94,'03.08 Bugolobi-Nakawa-24h'!G94)</f>
        <v>0</v>
      </c>
      <c r="H94" s="49">
        <f>AVERAGE('01.08 Bugolobi-Nakawa-24h'!H94,'03.08 Bugolobi-Nakawa-24h'!H94)</f>
        <v>0</v>
      </c>
      <c r="I94" s="49">
        <f>AVERAGE('01.08 Bugolobi-Nakawa-24h'!I94,'03.08 Bugolobi-Nakawa-24h'!I94)</f>
        <v>0</v>
      </c>
      <c r="J94" s="49">
        <f>AVERAGE('01.08 Bugolobi-Nakawa-24h'!J94,'03.08 Bugolobi-Nakawa-24h'!J94)</f>
        <v>0</v>
      </c>
      <c r="K94" s="49">
        <f>AVERAGE('01.08 Bugolobi-Nakawa-24h'!K94,'03.08 Bugolobi-Nakawa-24h'!K94)</f>
        <v>0</v>
      </c>
      <c r="L94" s="49">
        <f>AVERAGE('01.08 Bugolobi-Nakawa-24h'!L94,'03.08 Bugolobi-Nakawa-24h'!L94)</f>
        <v>0.5</v>
      </c>
      <c r="M94" s="49">
        <f>AVERAGE('01.08 Bugolobi-Nakawa-24h'!M94,'03.08 Bugolobi-Nakawa-24h'!M94)</f>
        <v>7.5</v>
      </c>
      <c r="N94" s="49">
        <f>AVERAGE('01.08 Bugolobi-Nakawa-24h'!N94,'03.08 Bugolobi-Nakawa-24h'!N94)</f>
        <v>0</v>
      </c>
      <c r="O94" s="15">
        <f t="shared" si="34"/>
        <v>5</v>
      </c>
      <c r="P94" s="15">
        <f t="shared" si="35"/>
        <v>12.5</v>
      </c>
      <c r="R94" s="8"/>
      <c r="T94"/>
    </row>
    <row r="95" spans="2:20" ht="23.1" customHeight="1" x14ac:dyDescent="0.25">
      <c r="B95" s="23" t="s">
        <v>135</v>
      </c>
      <c r="C95" s="49">
        <f>AVERAGE('01.08 Bugolobi-Nakawa-24h'!C95,'03.08 Bugolobi-Nakawa-24h'!C95)</f>
        <v>2.5</v>
      </c>
      <c r="D95" s="49">
        <f>AVERAGE('01.08 Bugolobi-Nakawa-24h'!D95,'03.08 Bugolobi-Nakawa-24h'!D95)</f>
        <v>0</v>
      </c>
      <c r="E95" s="49">
        <f>AVERAGE('01.08 Bugolobi-Nakawa-24h'!E95,'03.08 Bugolobi-Nakawa-24h'!E95)</f>
        <v>0</v>
      </c>
      <c r="F95" s="49">
        <f>AVERAGE('01.08 Bugolobi-Nakawa-24h'!F95,'03.08 Bugolobi-Nakawa-24h'!F95)</f>
        <v>0</v>
      </c>
      <c r="G95" s="49">
        <f>AVERAGE('01.08 Bugolobi-Nakawa-24h'!G95,'03.08 Bugolobi-Nakawa-24h'!G95)</f>
        <v>0</v>
      </c>
      <c r="H95" s="49">
        <f>AVERAGE('01.08 Bugolobi-Nakawa-24h'!H95,'03.08 Bugolobi-Nakawa-24h'!H95)</f>
        <v>0</v>
      </c>
      <c r="I95" s="49">
        <f>AVERAGE('01.08 Bugolobi-Nakawa-24h'!I95,'03.08 Bugolobi-Nakawa-24h'!I95)</f>
        <v>0</v>
      </c>
      <c r="J95" s="49">
        <f>AVERAGE('01.08 Bugolobi-Nakawa-24h'!J95,'03.08 Bugolobi-Nakawa-24h'!J95)</f>
        <v>0.5</v>
      </c>
      <c r="K95" s="49">
        <f>AVERAGE('01.08 Bugolobi-Nakawa-24h'!K95,'03.08 Bugolobi-Nakawa-24h'!K95)</f>
        <v>0.5</v>
      </c>
      <c r="L95" s="49">
        <f>AVERAGE('01.08 Bugolobi-Nakawa-24h'!L95,'03.08 Bugolobi-Nakawa-24h'!L95)</f>
        <v>0</v>
      </c>
      <c r="M95" s="49">
        <f>AVERAGE('01.08 Bugolobi-Nakawa-24h'!M95,'03.08 Bugolobi-Nakawa-24h'!M95)</f>
        <v>7</v>
      </c>
      <c r="N95" s="49">
        <f>AVERAGE('01.08 Bugolobi-Nakawa-24h'!N95,'03.08 Bugolobi-Nakawa-24h'!N95)</f>
        <v>0</v>
      </c>
      <c r="O95" s="15">
        <f t="shared" si="34"/>
        <v>3.5</v>
      </c>
      <c r="P95" s="15">
        <f t="shared" si="35"/>
        <v>10.5</v>
      </c>
      <c r="R95" s="8"/>
      <c r="T95"/>
    </row>
    <row r="96" spans="2:20" ht="23.1" customHeight="1" x14ac:dyDescent="0.25">
      <c r="B96" s="25" t="s">
        <v>136</v>
      </c>
      <c r="C96" s="49">
        <f>AVERAGE('01.08 Bugolobi-Nakawa-24h'!C96,'03.08 Bugolobi-Nakawa-24h'!C96)</f>
        <v>3</v>
      </c>
      <c r="D96" s="49">
        <f>AVERAGE('01.08 Bugolobi-Nakawa-24h'!D96,'03.08 Bugolobi-Nakawa-24h'!D96)</f>
        <v>1</v>
      </c>
      <c r="E96" s="49">
        <f>AVERAGE('01.08 Bugolobi-Nakawa-24h'!E96,'03.08 Bugolobi-Nakawa-24h'!E96)</f>
        <v>0.5</v>
      </c>
      <c r="F96" s="49">
        <f>AVERAGE('01.08 Bugolobi-Nakawa-24h'!F96,'03.08 Bugolobi-Nakawa-24h'!F96)</f>
        <v>0.5</v>
      </c>
      <c r="G96" s="49">
        <f>AVERAGE('01.08 Bugolobi-Nakawa-24h'!G96,'03.08 Bugolobi-Nakawa-24h'!G96)</f>
        <v>0</v>
      </c>
      <c r="H96" s="49">
        <f>AVERAGE('01.08 Bugolobi-Nakawa-24h'!H96,'03.08 Bugolobi-Nakawa-24h'!H96)</f>
        <v>0</v>
      </c>
      <c r="I96" s="49">
        <f>AVERAGE('01.08 Bugolobi-Nakawa-24h'!I96,'03.08 Bugolobi-Nakawa-24h'!I96)</f>
        <v>1</v>
      </c>
      <c r="J96" s="49">
        <f>AVERAGE('01.08 Bugolobi-Nakawa-24h'!J96,'03.08 Bugolobi-Nakawa-24h'!J96)</f>
        <v>0</v>
      </c>
      <c r="K96" s="49">
        <f>AVERAGE('01.08 Bugolobi-Nakawa-24h'!K96,'03.08 Bugolobi-Nakawa-24h'!K96)</f>
        <v>0</v>
      </c>
      <c r="L96" s="49">
        <f>AVERAGE('01.08 Bugolobi-Nakawa-24h'!L96,'03.08 Bugolobi-Nakawa-24h'!L96)</f>
        <v>0</v>
      </c>
      <c r="M96" s="49">
        <f>AVERAGE('01.08 Bugolobi-Nakawa-24h'!M96,'03.08 Bugolobi-Nakawa-24h'!M96)</f>
        <v>4.5</v>
      </c>
      <c r="N96" s="49">
        <f>AVERAGE('01.08 Bugolobi-Nakawa-24h'!N96,'03.08 Bugolobi-Nakawa-24h'!N96)</f>
        <v>0</v>
      </c>
      <c r="O96" s="15">
        <f t="shared" si="34"/>
        <v>6</v>
      </c>
      <c r="P96" s="15">
        <f t="shared" si="35"/>
        <v>10.5</v>
      </c>
      <c r="R96" s="8"/>
      <c r="T96"/>
    </row>
    <row r="97" spans="2:20" ht="23.1" customHeight="1" x14ac:dyDescent="0.25">
      <c r="B97" s="23" t="s">
        <v>137</v>
      </c>
      <c r="C97" s="49">
        <f>AVERAGE('01.08 Bugolobi-Nakawa-24h'!C97,'03.08 Bugolobi-Nakawa-24h'!C97)</f>
        <v>1.5</v>
      </c>
      <c r="D97" s="49">
        <f>AVERAGE('01.08 Bugolobi-Nakawa-24h'!D97,'03.08 Bugolobi-Nakawa-24h'!D97)</f>
        <v>3</v>
      </c>
      <c r="E97" s="49">
        <f>AVERAGE('01.08 Bugolobi-Nakawa-24h'!E97,'03.08 Bugolobi-Nakawa-24h'!E97)</f>
        <v>0.5</v>
      </c>
      <c r="F97" s="49">
        <f>AVERAGE('01.08 Bugolobi-Nakawa-24h'!F97,'03.08 Bugolobi-Nakawa-24h'!F97)</f>
        <v>0</v>
      </c>
      <c r="G97" s="49">
        <f>AVERAGE('01.08 Bugolobi-Nakawa-24h'!G97,'03.08 Bugolobi-Nakawa-24h'!G97)</f>
        <v>0</v>
      </c>
      <c r="H97" s="49">
        <f>AVERAGE('01.08 Bugolobi-Nakawa-24h'!H97,'03.08 Bugolobi-Nakawa-24h'!H97)</f>
        <v>0</v>
      </c>
      <c r="I97" s="49">
        <f>AVERAGE('01.08 Bugolobi-Nakawa-24h'!I97,'03.08 Bugolobi-Nakawa-24h'!I97)</f>
        <v>0</v>
      </c>
      <c r="J97" s="49">
        <f>AVERAGE('01.08 Bugolobi-Nakawa-24h'!J97,'03.08 Bugolobi-Nakawa-24h'!J97)</f>
        <v>0.5</v>
      </c>
      <c r="K97" s="49">
        <f>AVERAGE('01.08 Bugolobi-Nakawa-24h'!K97,'03.08 Bugolobi-Nakawa-24h'!K97)</f>
        <v>0</v>
      </c>
      <c r="L97" s="49">
        <f>AVERAGE('01.08 Bugolobi-Nakawa-24h'!L97,'03.08 Bugolobi-Nakawa-24h'!L97)</f>
        <v>0.5</v>
      </c>
      <c r="M97" s="49">
        <f>AVERAGE('01.08 Bugolobi-Nakawa-24h'!M97,'03.08 Bugolobi-Nakawa-24h'!M97)</f>
        <v>4.5</v>
      </c>
      <c r="N97" s="49">
        <f>AVERAGE('01.08 Bugolobi-Nakawa-24h'!N97,'03.08 Bugolobi-Nakawa-24h'!N97)</f>
        <v>0</v>
      </c>
      <c r="O97" s="15">
        <f t="shared" si="34"/>
        <v>6</v>
      </c>
      <c r="P97" s="15">
        <f t="shared" si="35"/>
        <v>10.5</v>
      </c>
      <c r="R97" s="8"/>
      <c r="T97"/>
    </row>
    <row r="98" spans="2:20" ht="23.1" customHeight="1" x14ac:dyDescent="0.25">
      <c r="B98" s="24" t="s">
        <v>138</v>
      </c>
      <c r="C98" s="49">
        <f>AVERAGE('01.08 Bugolobi-Nakawa-24h'!C98,'03.08 Bugolobi-Nakawa-24h'!C98)</f>
        <v>3</v>
      </c>
      <c r="D98" s="49">
        <f>AVERAGE('01.08 Bugolobi-Nakawa-24h'!D98,'03.08 Bugolobi-Nakawa-24h'!D98)</f>
        <v>1.5</v>
      </c>
      <c r="E98" s="49">
        <f>AVERAGE('01.08 Bugolobi-Nakawa-24h'!E98,'03.08 Bugolobi-Nakawa-24h'!E98)</f>
        <v>0.5</v>
      </c>
      <c r="F98" s="49">
        <f>AVERAGE('01.08 Bugolobi-Nakawa-24h'!F98,'03.08 Bugolobi-Nakawa-24h'!F98)</f>
        <v>1.5</v>
      </c>
      <c r="G98" s="49">
        <f>AVERAGE('01.08 Bugolobi-Nakawa-24h'!G98,'03.08 Bugolobi-Nakawa-24h'!G98)</f>
        <v>0</v>
      </c>
      <c r="H98" s="49">
        <f>AVERAGE('01.08 Bugolobi-Nakawa-24h'!H98,'03.08 Bugolobi-Nakawa-24h'!H98)</f>
        <v>0</v>
      </c>
      <c r="I98" s="49">
        <f>AVERAGE('01.08 Bugolobi-Nakawa-24h'!I98,'03.08 Bugolobi-Nakawa-24h'!I98)</f>
        <v>0</v>
      </c>
      <c r="J98" s="49">
        <f>AVERAGE('01.08 Bugolobi-Nakawa-24h'!J98,'03.08 Bugolobi-Nakawa-24h'!J98)</f>
        <v>0</v>
      </c>
      <c r="K98" s="49">
        <f>AVERAGE('01.08 Bugolobi-Nakawa-24h'!K98,'03.08 Bugolobi-Nakawa-24h'!K98)</f>
        <v>0</v>
      </c>
      <c r="L98" s="49">
        <f>AVERAGE('01.08 Bugolobi-Nakawa-24h'!L98,'03.08 Bugolobi-Nakawa-24h'!L98)</f>
        <v>0</v>
      </c>
      <c r="M98" s="49">
        <f>AVERAGE('01.08 Bugolobi-Nakawa-24h'!M98,'03.08 Bugolobi-Nakawa-24h'!M98)</f>
        <v>16.5</v>
      </c>
      <c r="N98" s="49">
        <f>AVERAGE('01.08 Bugolobi-Nakawa-24h'!N98,'03.08 Bugolobi-Nakawa-24h'!N98)</f>
        <v>0</v>
      </c>
      <c r="O98" s="15">
        <f t="shared" si="34"/>
        <v>6.5</v>
      </c>
      <c r="P98" s="15">
        <f t="shared" si="35"/>
        <v>23</v>
      </c>
      <c r="R98" s="8"/>
      <c r="T98"/>
    </row>
    <row r="99" spans="2:20" ht="23.1" customHeight="1" x14ac:dyDescent="0.25">
      <c r="B99" s="23" t="s">
        <v>139</v>
      </c>
      <c r="C99" s="49">
        <f>AVERAGE('01.08 Bugolobi-Nakawa-24h'!C99,'03.08 Bugolobi-Nakawa-24h'!C99)</f>
        <v>5.5</v>
      </c>
      <c r="D99" s="49">
        <f>AVERAGE('01.08 Bugolobi-Nakawa-24h'!D99,'03.08 Bugolobi-Nakawa-24h'!D99)</f>
        <v>0</v>
      </c>
      <c r="E99" s="49">
        <f>AVERAGE('01.08 Bugolobi-Nakawa-24h'!E99,'03.08 Bugolobi-Nakawa-24h'!E99)</f>
        <v>1</v>
      </c>
      <c r="F99" s="49">
        <f>AVERAGE('01.08 Bugolobi-Nakawa-24h'!F99,'03.08 Bugolobi-Nakawa-24h'!F99)</f>
        <v>2</v>
      </c>
      <c r="G99" s="49">
        <f>AVERAGE('01.08 Bugolobi-Nakawa-24h'!G99,'03.08 Bugolobi-Nakawa-24h'!G99)</f>
        <v>0</v>
      </c>
      <c r="H99" s="49">
        <f>AVERAGE('01.08 Bugolobi-Nakawa-24h'!H99,'03.08 Bugolobi-Nakawa-24h'!H99)</f>
        <v>0</v>
      </c>
      <c r="I99" s="49">
        <f>AVERAGE('01.08 Bugolobi-Nakawa-24h'!I99,'03.08 Bugolobi-Nakawa-24h'!I99)</f>
        <v>0</v>
      </c>
      <c r="J99" s="49">
        <f>AVERAGE('01.08 Bugolobi-Nakawa-24h'!J99,'03.08 Bugolobi-Nakawa-24h'!J99)</f>
        <v>0</v>
      </c>
      <c r="K99" s="49">
        <f>AVERAGE('01.08 Bugolobi-Nakawa-24h'!K99,'03.08 Bugolobi-Nakawa-24h'!K99)</f>
        <v>0</v>
      </c>
      <c r="L99" s="49">
        <f>AVERAGE('01.08 Bugolobi-Nakawa-24h'!L99,'03.08 Bugolobi-Nakawa-24h'!L99)</f>
        <v>0.5</v>
      </c>
      <c r="M99" s="49">
        <f>AVERAGE('01.08 Bugolobi-Nakawa-24h'!M99,'03.08 Bugolobi-Nakawa-24h'!M99)</f>
        <v>15.5</v>
      </c>
      <c r="N99" s="49">
        <f>AVERAGE('01.08 Bugolobi-Nakawa-24h'!N99,'03.08 Bugolobi-Nakawa-24h'!N99)</f>
        <v>0</v>
      </c>
      <c r="O99" s="15">
        <f t="shared" si="34"/>
        <v>9</v>
      </c>
      <c r="P99" s="15">
        <f t="shared" si="35"/>
        <v>24.5</v>
      </c>
      <c r="R99" s="8"/>
      <c r="T99"/>
    </row>
    <row r="100" spans="2:20" ht="23.1" customHeight="1" x14ac:dyDescent="0.25">
      <c r="B100" s="25" t="s">
        <v>140</v>
      </c>
      <c r="C100" s="49">
        <f>AVERAGE('01.08 Bugolobi-Nakawa-24h'!C100,'03.08 Bugolobi-Nakawa-24h'!C100)</f>
        <v>10</v>
      </c>
      <c r="D100" s="49">
        <f>AVERAGE('01.08 Bugolobi-Nakawa-24h'!D100,'03.08 Bugolobi-Nakawa-24h'!D100)</f>
        <v>2</v>
      </c>
      <c r="E100" s="49">
        <f>AVERAGE('01.08 Bugolobi-Nakawa-24h'!E100,'03.08 Bugolobi-Nakawa-24h'!E100)</f>
        <v>0.5</v>
      </c>
      <c r="F100" s="49">
        <f>AVERAGE('01.08 Bugolobi-Nakawa-24h'!F100,'03.08 Bugolobi-Nakawa-24h'!F100)</f>
        <v>3</v>
      </c>
      <c r="G100" s="49">
        <f>AVERAGE('01.08 Bugolobi-Nakawa-24h'!G100,'03.08 Bugolobi-Nakawa-24h'!G100)</f>
        <v>1.5</v>
      </c>
      <c r="H100" s="49">
        <f>AVERAGE('01.08 Bugolobi-Nakawa-24h'!H100,'03.08 Bugolobi-Nakawa-24h'!H100)</f>
        <v>0</v>
      </c>
      <c r="I100" s="49">
        <f>AVERAGE('01.08 Bugolobi-Nakawa-24h'!I100,'03.08 Bugolobi-Nakawa-24h'!I100)</f>
        <v>0</v>
      </c>
      <c r="J100" s="49">
        <f>AVERAGE('01.08 Bugolobi-Nakawa-24h'!J100,'03.08 Bugolobi-Nakawa-24h'!J100)</f>
        <v>0</v>
      </c>
      <c r="K100" s="49">
        <f>AVERAGE('01.08 Bugolobi-Nakawa-24h'!K100,'03.08 Bugolobi-Nakawa-24h'!K100)</f>
        <v>0</v>
      </c>
      <c r="L100" s="49">
        <f>AVERAGE('01.08 Bugolobi-Nakawa-24h'!L100,'03.08 Bugolobi-Nakawa-24h'!L100)</f>
        <v>0</v>
      </c>
      <c r="M100" s="49">
        <f>AVERAGE('01.08 Bugolobi-Nakawa-24h'!M100,'03.08 Bugolobi-Nakawa-24h'!M100)</f>
        <v>17.5</v>
      </c>
      <c r="N100" s="49">
        <f>AVERAGE('01.08 Bugolobi-Nakawa-24h'!N100,'03.08 Bugolobi-Nakawa-24h'!N100)</f>
        <v>0</v>
      </c>
      <c r="O100" s="15">
        <f t="shared" si="34"/>
        <v>17</v>
      </c>
      <c r="P100" s="15">
        <f t="shared" si="35"/>
        <v>34.5</v>
      </c>
      <c r="R100" s="8"/>
      <c r="T100"/>
    </row>
    <row r="101" spans="2:20" ht="23.1" customHeight="1" x14ac:dyDescent="0.25">
      <c r="B101" s="23" t="s">
        <v>141</v>
      </c>
      <c r="C101" s="49">
        <f>AVERAGE('01.08 Bugolobi-Nakawa-24h'!C101,'03.08 Bugolobi-Nakawa-24h'!C101)</f>
        <v>14.5</v>
      </c>
      <c r="D101" s="49">
        <f>AVERAGE('01.08 Bugolobi-Nakawa-24h'!D101,'03.08 Bugolobi-Nakawa-24h'!D101)</f>
        <v>3</v>
      </c>
      <c r="E101" s="49">
        <f>AVERAGE('01.08 Bugolobi-Nakawa-24h'!E101,'03.08 Bugolobi-Nakawa-24h'!E101)</f>
        <v>1.5</v>
      </c>
      <c r="F101" s="49">
        <f>AVERAGE('01.08 Bugolobi-Nakawa-24h'!F101,'03.08 Bugolobi-Nakawa-24h'!F101)</f>
        <v>4.5</v>
      </c>
      <c r="G101" s="49">
        <f>AVERAGE('01.08 Bugolobi-Nakawa-24h'!G101,'03.08 Bugolobi-Nakawa-24h'!G101)</f>
        <v>0.5</v>
      </c>
      <c r="H101" s="49">
        <f>AVERAGE('01.08 Bugolobi-Nakawa-24h'!H101,'03.08 Bugolobi-Nakawa-24h'!H101)</f>
        <v>0</v>
      </c>
      <c r="I101" s="49">
        <f>AVERAGE('01.08 Bugolobi-Nakawa-24h'!I101,'03.08 Bugolobi-Nakawa-24h'!I101)</f>
        <v>0.5</v>
      </c>
      <c r="J101" s="49">
        <f>AVERAGE('01.08 Bugolobi-Nakawa-24h'!J101,'03.08 Bugolobi-Nakawa-24h'!J101)</f>
        <v>0</v>
      </c>
      <c r="K101" s="49">
        <f>AVERAGE('01.08 Bugolobi-Nakawa-24h'!K101,'03.08 Bugolobi-Nakawa-24h'!K101)</f>
        <v>0</v>
      </c>
      <c r="L101" s="49">
        <f>AVERAGE('01.08 Bugolobi-Nakawa-24h'!L101,'03.08 Bugolobi-Nakawa-24h'!L101)</f>
        <v>0</v>
      </c>
      <c r="M101" s="49">
        <f>AVERAGE('01.08 Bugolobi-Nakawa-24h'!M101,'03.08 Bugolobi-Nakawa-24h'!M101)</f>
        <v>24</v>
      </c>
      <c r="N101" s="49">
        <f>AVERAGE('01.08 Bugolobi-Nakawa-24h'!N101,'03.08 Bugolobi-Nakawa-24h'!N101)</f>
        <v>0</v>
      </c>
      <c r="O101" s="15">
        <f t="shared" si="34"/>
        <v>24.5</v>
      </c>
      <c r="P101" s="15">
        <f t="shared" si="35"/>
        <v>48.5</v>
      </c>
      <c r="R101" s="8"/>
      <c r="T101"/>
    </row>
    <row r="102" spans="2:20" ht="23.1" customHeight="1" x14ac:dyDescent="0.25">
      <c r="B102" s="24" t="s">
        <v>142</v>
      </c>
      <c r="C102" s="49">
        <f>AVERAGE('01.08 Bugolobi-Nakawa-24h'!C102,'03.08 Bugolobi-Nakawa-24h'!C102)</f>
        <v>23.5</v>
      </c>
      <c r="D102" s="49">
        <f>AVERAGE('01.08 Bugolobi-Nakawa-24h'!D102,'03.08 Bugolobi-Nakawa-24h'!D102)</f>
        <v>2.5</v>
      </c>
      <c r="E102" s="49">
        <f>AVERAGE('01.08 Bugolobi-Nakawa-24h'!E102,'03.08 Bugolobi-Nakawa-24h'!E102)</f>
        <v>2</v>
      </c>
      <c r="F102" s="49">
        <f>AVERAGE('01.08 Bugolobi-Nakawa-24h'!F102,'03.08 Bugolobi-Nakawa-24h'!F102)</f>
        <v>8</v>
      </c>
      <c r="G102" s="49">
        <f>AVERAGE('01.08 Bugolobi-Nakawa-24h'!G102,'03.08 Bugolobi-Nakawa-24h'!G102)</f>
        <v>0</v>
      </c>
      <c r="H102" s="49">
        <f>AVERAGE('01.08 Bugolobi-Nakawa-24h'!H102,'03.08 Bugolobi-Nakawa-24h'!H102)</f>
        <v>0</v>
      </c>
      <c r="I102" s="49">
        <f>AVERAGE('01.08 Bugolobi-Nakawa-24h'!I102,'03.08 Bugolobi-Nakawa-24h'!I102)</f>
        <v>0</v>
      </c>
      <c r="J102" s="49">
        <f>AVERAGE('01.08 Bugolobi-Nakawa-24h'!J102,'03.08 Bugolobi-Nakawa-24h'!J102)</f>
        <v>0</v>
      </c>
      <c r="K102" s="49">
        <f>AVERAGE('01.08 Bugolobi-Nakawa-24h'!K102,'03.08 Bugolobi-Nakawa-24h'!K102)</f>
        <v>0</v>
      </c>
      <c r="L102" s="49">
        <f>AVERAGE('01.08 Bugolobi-Nakawa-24h'!L102,'03.08 Bugolobi-Nakawa-24h'!L102)</f>
        <v>0</v>
      </c>
      <c r="M102" s="49">
        <f>AVERAGE('01.08 Bugolobi-Nakawa-24h'!M102,'03.08 Bugolobi-Nakawa-24h'!M102)</f>
        <v>32</v>
      </c>
      <c r="N102" s="49">
        <f>AVERAGE('01.08 Bugolobi-Nakawa-24h'!N102,'03.08 Bugolobi-Nakawa-24h'!N102)</f>
        <v>0</v>
      </c>
      <c r="O102" s="15">
        <f t="shared" si="34"/>
        <v>36</v>
      </c>
      <c r="P102" s="15">
        <f t="shared" si="35"/>
        <v>68</v>
      </c>
      <c r="R102" s="8"/>
      <c r="T102"/>
    </row>
    <row r="103" spans="2:20" ht="23.1" customHeight="1" x14ac:dyDescent="0.25">
      <c r="B103" s="23" t="s">
        <v>143</v>
      </c>
      <c r="C103" s="49">
        <f>AVERAGE('01.08 Bugolobi-Nakawa-24h'!C103,'03.08 Bugolobi-Nakawa-24h'!C103)</f>
        <v>28.5</v>
      </c>
      <c r="D103" s="49">
        <f>AVERAGE('01.08 Bugolobi-Nakawa-24h'!D103,'03.08 Bugolobi-Nakawa-24h'!D103)</f>
        <v>8</v>
      </c>
      <c r="E103" s="49">
        <f>AVERAGE('01.08 Bugolobi-Nakawa-24h'!E103,'03.08 Bugolobi-Nakawa-24h'!E103)</f>
        <v>3.5</v>
      </c>
      <c r="F103" s="49">
        <f>AVERAGE('01.08 Bugolobi-Nakawa-24h'!F103,'03.08 Bugolobi-Nakawa-24h'!F103)</f>
        <v>14.5</v>
      </c>
      <c r="G103" s="49">
        <f>AVERAGE('01.08 Bugolobi-Nakawa-24h'!G103,'03.08 Bugolobi-Nakawa-24h'!G103)</f>
        <v>0</v>
      </c>
      <c r="H103" s="49">
        <f>AVERAGE('01.08 Bugolobi-Nakawa-24h'!H103,'03.08 Bugolobi-Nakawa-24h'!H103)</f>
        <v>0</v>
      </c>
      <c r="I103" s="49">
        <f>AVERAGE('01.08 Bugolobi-Nakawa-24h'!I103,'03.08 Bugolobi-Nakawa-24h'!I103)</f>
        <v>1.5</v>
      </c>
      <c r="J103" s="49">
        <f>AVERAGE('01.08 Bugolobi-Nakawa-24h'!J103,'03.08 Bugolobi-Nakawa-24h'!J103)</f>
        <v>0</v>
      </c>
      <c r="K103" s="49">
        <f>AVERAGE('01.08 Bugolobi-Nakawa-24h'!K103,'03.08 Bugolobi-Nakawa-24h'!K103)</f>
        <v>0</v>
      </c>
      <c r="L103" s="49">
        <f>AVERAGE('01.08 Bugolobi-Nakawa-24h'!L103,'03.08 Bugolobi-Nakawa-24h'!L103)</f>
        <v>1</v>
      </c>
      <c r="M103" s="49">
        <f>AVERAGE('01.08 Bugolobi-Nakawa-24h'!M103,'03.08 Bugolobi-Nakawa-24h'!M103)</f>
        <v>37.5</v>
      </c>
      <c r="N103" s="49">
        <f>AVERAGE('01.08 Bugolobi-Nakawa-24h'!N103,'03.08 Bugolobi-Nakawa-24h'!N103)</f>
        <v>0</v>
      </c>
      <c r="O103" s="15">
        <f t="shared" si="34"/>
        <v>57</v>
      </c>
      <c r="P103" s="15">
        <f t="shared" si="35"/>
        <v>94.5</v>
      </c>
      <c r="R103" s="8"/>
      <c r="T103"/>
    </row>
    <row r="104" spans="2:20" ht="23.1" customHeight="1" x14ac:dyDescent="0.25">
      <c r="B104" s="25" t="s">
        <v>144</v>
      </c>
      <c r="C104" s="49">
        <f>AVERAGE('01.08 Bugolobi-Nakawa-24h'!C104,'03.08 Bugolobi-Nakawa-24h'!C104)</f>
        <v>43</v>
      </c>
      <c r="D104" s="49">
        <f>AVERAGE('01.08 Bugolobi-Nakawa-24h'!D104,'03.08 Bugolobi-Nakawa-24h'!D104)</f>
        <v>13.5</v>
      </c>
      <c r="E104" s="49">
        <f>AVERAGE('01.08 Bugolobi-Nakawa-24h'!E104,'03.08 Bugolobi-Nakawa-24h'!E104)</f>
        <v>3.5</v>
      </c>
      <c r="F104" s="49">
        <f>AVERAGE('01.08 Bugolobi-Nakawa-24h'!F104,'03.08 Bugolobi-Nakawa-24h'!F104)</f>
        <v>20</v>
      </c>
      <c r="G104" s="49">
        <f>AVERAGE('01.08 Bugolobi-Nakawa-24h'!G104,'03.08 Bugolobi-Nakawa-24h'!G104)</f>
        <v>0</v>
      </c>
      <c r="H104" s="49">
        <f>AVERAGE('01.08 Bugolobi-Nakawa-24h'!H104,'03.08 Bugolobi-Nakawa-24h'!H104)</f>
        <v>0</v>
      </c>
      <c r="I104" s="49">
        <f>AVERAGE('01.08 Bugolobi-Nakawa-24h'!I104,'03.08 Bugolobi-Nakawa-24h'!I104)</f>
        <v>0.5</v>
      </c>
      <c r="J104" s="49">
        <f>AVERAGE('01.08 Bugolobi-Nakawa-24h'!J104,'03.08 Bugolobi-Nakawa-24h'!J104)</f>
        <v>0</v>
      </c>
      <c r="K104" s="49">
        <f>AVERAGE('01.08 Bugolobi-Nakawa-24h'!K104,'03.08 Bugolobi-Nakawa-24h'!K104)</f>
        <v>0</v>
      </c>
      <c r="L104" s="49">
        <f>AVERAGE('01.08 Bugolobi-Nakawa-24h'!L104,'03.08 Bugolobi-Nakawa-24h'!L104)</f>
        <v>0</v>
      </c>
      <c r="M104" s="49">
        <f>AVERAGE('01.08 Bugolobi-Nakawa-24h'!M104,'03.08 Bugolobi-Nakawa-24h'!M104)</f>
        <v>49.5</v>
      </c>
      <c r="N104" s="49">
        <f>AVERAGE('01.08 Bugolobi-Nakawa-24h'!N104,'03.08 Bugolobi-Nakawa-24h'!N104)</f>
        <v>0</v>
      </c>
      <c r="O104" s="15">
        <f t="shared" si="34"/>
        <v>80.5</v>
      </c>
      <c r="P104" s="15">
        <f t="shared" si="35"/>
        <v>130</v>
      </c>
      <c r="R104" s="8"/>
      <c r="T104"/>
    </row>
    <row r="105" spans="2:20" ht="23.1" customHeight="1" x14ac:dyDescent="0.25">
      <c r="B105" s="23" t="s">
        <v>145</v>
      </c>
      <c r="C105" s="49">
        <f>AVERAGE('01.08 Bugolobi-Nakawa-24h'!C105,'03.08 Bugolobi-Nakawa-24h'!C105)</f>
        <v>58</v>
      </c>
      <c r="D105" s="49">
        <f>AVERAGE('01.08 Bugolobi-Nakawa-24h'!D105,'03.08 Bugolobi-Nakawa-24h'!D105)</f>
        <v>18</v>
      </c>
      <c r="E105" s="49">
        <f>AVERAGE('01.08 Bugolobi-Nakawa-24h'!E105,'03.08 Bugolobi-Nakawa-24h'!E105)</f>
        <v>5.5</v>
      </c>
      <c r="F105" s="49">
        <f>AVERAGE('01.08 Bugolobi-Nakawa-24h'!F105,'03.08 Bugolobi-Nakawa-24h'!F105)</f>
        <v>19</v>
      </c>
      <c r="G105" s="49">
        <f>AVERAGE('01.08 Bugolobi-Nakawa-24h'!G105,'03.08 Bugolobi-Nakawa-24h'!G105)</f>
        <v>0</v>
      </c>
      <c r="H105" s="49">
        <f>AVERAGE('01.08 Bugolobi-Nakawa-24h'!H105,'03.08 Bugolobi-Nakawa-24h'!H105)</f>
        <v>0</v>
      </c>
      <c r="I105" s="49">
        <f>AVERAGE('01.08 Bugolobi-Nakawa-24h'!I105,'03.08 Bugolobi-Nakawa-24h'!I105)</f>
        <v>1</v>
      </c>
      <c r="J105" s="49">
        <f>AVERAGE('01.08 Bugolobi-Nakawa-24h'!J105,'03.08 Bugolobi-Nakawa-24h'!J105)</f>
        <v>0.5</v>
      </c>
      <c r="K105" s="49">
        <f>AVERAGE('01.08 Bugolobi-Nakawa-24h'!K105,'03.08 Bugolobi-Nakawa-24h'!K105)</f>
        <v>0</v>
      </c>
      <c r="L105" s="49">
        <f>AVERAGE('01.08 Bugolobi-Nakawa-24h'!L105,'03.08 Bugolobi-Nakawa-24h'!L105)</f>
        <v>0.5</v>
      </c>
      <c r="M105" s="49">
        <f>AVERAGE('01.08 Bugolobi-Nakawa-24h'!M105,'03.08 Bugolobi-Nakawa-24h'!M105)</f>
        <v>50.5</v>
      </c>
      <c r="N105" s="49">
        <f>AVERAGE('01.08 Bugolobi-Nakawa-24h'!N105,'03.08 Bugolobi-Nakawa-24h'!N105)</f>
        <v>0</v>
      </c>
      <c r="O105" s="15">
        <f t="shared" si="34"/>
        <v>102.5</v>
      </c>
      <c r="P105" s="15">
        <f t="shared" si="35"/>
        <v>153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5267.5714285714284</v>
      </c>
      <c r="D106" s="16">
        <f t="shared" ref="D106:P106" si="36">SUM(D10:D105)</f>
        <v>1927.9285714285718</v>
      </c>
      <c r="E106" s="16">
        <f t="shared" si="36"/>
        <v>1232</v>
      </c>
      <c r="F106" s="16">
        <f t="shared" si="36"/>
        <v>2003.7857142857142</v>
      </c>
      <c r="G106" s="16">
        <f t="shared" si="36"/>
        <v>16.571428571428573</v>
      </c>
      <c r="H106" s="16">
        <f t="shared" si="36"/>
        <v>9.3571428571428577</v>
      </c>
      <c r="I106" s="16">
        <f t="shared" si="36"/>
        <v>158.49999999999997</v>
      </c>
      <c r="J106" s="16">
        <f t="shared" si="36"/>
        <v>78.571428571428569</v>
      </c>
      <c r="K106" s="16">
        <f t="shared" si="36"/>
        <v>13.642857142857146</v>
      </c>
      <c r="L106" s="16">
        <f t="shared" si="36"/>
        <v>17</v>
      </c>
      <c r="M106" s="16">
        <f t="shared" si="36"/>
        <v>4640.6428571428578</v>
      </c>
      <c r="N106" s="16">
        <f t="shared" si="36"/>
        <v>0.2857142857142857</v>
      </c>
      <c r="O106" s="16">
        <f t="shared" si="36"/>
        <v>10725.214285714286</v>
      </c>
      <c r="P106" s="16">
        <f t="shared" si="36"/>
        <v>15365.857142857139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7">C106/$P$106</f>
        <v>0.34281012634691022</v>
      </c>
      <c r="D107" s="43">
        <f t="shared" si="37"/>
        <v>0.12546833889606832</v>
      </c>
      <c r="E107" s="43">
        <f t="shared" si="37"/>
        <v>8.0177759596879922E-2</v>
      </c>
      <c r="F107" s="43">
        <f t="shared" si="37"/>
        <v>0.13040507247050515</v>
      </c>
      <c r="G107" s="43">
        <f t="shared" si="37"/>
        <v>1.0784578053383664E-3</v>
      </c>
      <c r="H107" s="43">
        <f t="shared" si="37"/>
        <v>6.0895677801433624E-4</v>
      </c>
      <c r="I107" s="43">
        <f t="shared" si="37"/>
        <v>1.0315077026059633E-2</v>
      </c>
      <c r="J107" s="43">
        <f t="shared" si="37"/>
        <v>5.1133775253112195E-3</v>
      </c>
      <c r="K107" s="43">
        <f t="shared" si="37"/>
        <v>8.8786827939494836E-4</v>
      </c>
      <c r="L107" s="43">
        <f t="shared" si="37"/>
        <v>1.1063489554764276E-3</v>
      </c>
      <c r="M107" s="43">
        <f t="shared" si="37"/>
        <v>0.30201002221994971</v>
      </c>
      <c r="N107" s="43">
        <f t="shared" si="37"/>
        <v>1.8594100092040798E-5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0.49113903818105531</v>
      </c>
      <c r="D108" s="44">
        <f t="shared" ref="D108:N108" si="38">D106/$O$106</f>
        <v>0.17975664821881684</v>
      </c>
      <c r="E108" s="44">
        <f t="shared" si="38"/>
        <v>0.11486949977689423</v>
      </c>
      <c r="F108" s="44">
        <f t="shared" si="38"/>
        <v>0.18682943397734308</v>
      </c>
      <c r="G108" s="44">
        <f t="shared" si="38"/>
        <v>1.5450906741790041E-3</v>
      </c>
      <c r="H108" s="44">
        <f t="shared" si="38"/>
        <v>8.7244344102348941E-4</v>
      </c>
      <c r="I108" s="44">
        <f t="shared" si="38"/>
        <v>1.4778259508634524E-2</v>
      </c>
      <c r="J108" s="44">
        <f t="shared" si="38"/>
        <v>7.3258609551590708E-3</v>
      </c>
      <c r="K108" s="44">
        <f t="shared" si="38"/>
        <v>1.2720358567594389E-3</v>
      </c>
      <c r="L108" s="44">
        <f t="shared" si="38"/>
        <v>1.585049915752599E-3</v>
      </c>
      <c r="M108" s="44"/>
      <c r="N108" s="44">
        <f t="shared" si="38"/>
        <v>2.663949438239662E-5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L85" zoomScale="60" workbookViewId="0">
      <selection activeCell="W76" sqref="W7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Nakawa-Bugolobi'!C3:G3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Nakawa-Bugolobi'!G5:H5</f>
        <v>Business Park</v>
      </c>
      <c r="H5" s="64"/>
      <c r="I5" s="14"/>
      <c r="J5" s="2" t="s">
        <v>5</v>
      </c>
      <c r="K5" s="63" t="str">
        <f>'04.08 Nakawa-Bugolobi'!K5:L5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Nakawa-Bugolobi'!D6:E6</f>
        <v>Nakawa</v>
      </c>
      <c r="E6" s="64"/>
      <c r="F6" s="2" t="s">
        <v>2</v>
      </c>
      <c r="G6" s="63" t="str">
        <f>'04.08 Nakawa-Bugolobi'!G6:H6</f>
        <v>Bugolobi</v>
      </c>
      <c r="H6" s="64"/>
      <c r="J6" s="2" t="s">
        <v>21</v>
      </c>
      <c r="K6" s="63" t="str">
        <f>'04.08 Nakawa-Bugolobi'!K6:L6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Nakawa-Bugolobi'!C10,'30.07 Nakawa-Bugolobi'!C10,'31.07 Nakawa-Bugolobi'!C10,'02.08 Nakawa-Bugolobi'!C10,'01.08 Nakawa-Bugolobi-24h'!C10,'03.08 Nakawa-Bugolobi-24h'!C10,'04.08 Nakawa-Bugolobi'!C10)</f>
        <v>49.285714285714285</v>
      </c>
      <c r="D10" s="49">
        <f>AVERAGE('29.07 Nakawa-Bugolobi'!D10,'30.07 Nakawa-Bugolobi'!D10,'31.07 Nakawa-Bugolobi'!D10,'02.08 Nakawa-Bugolobi'!D10,'01.08 Nakawa-Bugolobi-24h'!D10,'03.08 Nakawa-Bugolobi-24h'!D10,'04.08 Nakawa-Bugolobi'!D10)</f>
        <v>14</v>
      </c>
      <c r="E10" s="49">
        <f>AVERAGE('29.07 Nakawa-Bugolobi'!E10,'30.07 Nakawa-Bugolobi'!E10,'31.07 Nakawa-Bugolobi'!E10,'02.08 Nakawa-Bugolobi'!E10,'01.08 Nakawa-Bugolobi-24h'!E10,'03.08 Nakawa-Bugolobi-24h'!E10,'04.08 Nakawa-Bugolobi'!E10)</f>
        <v>11.428571428571429</v>
      </c>
      <c r="F10" s="49">
        <f>AVERAGE('29.07 Nakawa-Bugolobi'!F10,'30.07 Nakawa-Bugolobi'!F10,'31.07 Nakawa-Bugolobi'!F10,'02.08 Nakawa-Bugolobi'!F10,'01.08 Nakawa-Bugolobi-24h'!F10,'03.08 Nakawa-Bugolobi-24h'!F10,'04.08 Nakawa-Bugolobi'!F10)</f>
        <v>17.285714285714285</v>
      </c>
      <c r="G10" s="49">
        <f>AVERAGE('29.07 Nakawa-Bugolobi'!G10,'30.07 Nakawa-Bugolobi'!G10,'31.07 Nakawa-Bugolobi'!G10,'02.08 Nakawa-Bugolobi'!G10,'01.08 Nakawa-Bugolobi-24h'!G10,'03.08 Nakawa-Bugolobi-24h'!G10,'04.08 Nakawa-Bugolobi'!G10)</f>
        <v>0.2857142857142857</v>
      </c>
      <c r="H10" s="49">
        <f>AVERAGE('29.07 Nakawa-Bugolobi'!H10,'30.07 Nakawa-Bugolobi'!H10,'31.07 Nakawa-Bugolobi'!H10,'02.08 Nakawa-Bugolobi'!H10,'01.08 Nakawa-Bugolobi-24h'!H10,'03.08 Nakawa-Bugolobi-24h'!H10,'04.08 Nakawa-Bugolobi'!H10)</f>
        <v>0</v>
      </c>
      <c r="I10" s="49">
        <f>AVERAGE('29.07 Nakawa-Bugolobi'!I10,'30.07 Nakawa-Bugolobi'!I10,'31.07 Nakawa-Bugolobi'!I10,'02.08 Nakawa-Bugolobi'!I10,'01.08 Nakawa-Bugolobi-24h'!I10,'03.08 Nakawa-Bugolobi-24h'!I10,'04.08 Nakawa-Bugolobi'!I10)</f>
        <v>1.4285714285714286</v>
      </c>
      <c r="J10" s="49">
        <f>AVERAGE('29.07 Nakawa-Bugolobi'!J10,'30.07 Nakawa-Bugolobi'!J10,'31.07 Nakawa-Bugolobi'!J10,'02.08 Nakawa-Bugolobi'!J10,'01.08 Nakawa-Bugolobi-24h'!J10,'03.08 Nakawa-Bugolobi-24h'!J10,'04.08 Nakawa-Bugolobi'!J10)</f>
        <v>0.14285714285714285</v>
      </c>
      <c r="K10" s="49">
        <f>AVERAGE('29.07 Nakawa-Bugolobi'!K10,'30.07 Nakawa-Bugolobi'!K10,'31.07 Nakawa-Bugolobi'!K10,'02.08 Nakawa-Bugolobi'!K10,'01.08 Nakawa-Bugolobi-24h'!K10,'03.08 Nakawa-Bugolobi-24h'!K10,'04.08 Nakawa-Bugolobi'!K10)</f>
        <v>0.2857142857142857</v>
      </c>
      <c r="L10" s="49">
        <f>AVERAGE('29.07 Nakawa-Bugolobi'!L10,'30.07 Nakawa-Bugolobi'!L10,'31.07 Nakawa-Bugolobi'!L10,'02.08 Nakawa-Bugolobi'!L10,'01.08 Nakawa-Bugolobi-24h'!L10,'03.08 Nakawa-Bugolobi-24h'!L10,'04.08 Nakawa-Bugolobi'!L10)</f>
        <v>0.2857142857142857</v>
      </c>
      <c r="M10" s="49">
        <f>AVERAGE('29.07 Nakawa-Bugolobi'!M10,'30.07 Nakawa-Bugolobi'!M10,'31.07 Nakawa-Bugolobi'!M10,'02.08 Nakawa-Bugolobi'!M10,'01.08 Nakawa-Bugolobi-24h'!M10,'03.08 Nakawa-Bugolobi-24h'!M10,'04.08 Nakawa-Bugolobi'!M10)</f>
        <v>72.142857142857139</v>
      </c>
      <c r="N10" s="49">
        <f>AVERAGE('29.07 Nakawa-Bugolobi'!N10,'30.07 Nakawa-Bugolobi'!N10,'31.07 Nakawa-Bugolobi'!N10,'02.08 Nakawa-Bugolobi'!N10,'01.08 Nakawa-Bugolobi-24h'!N10,'03.08 Nakawa-Bugolobi-24h'!N10,'04.08 Nakawa-Bugolobi'!N10)</f>
        <v>0</v>
      </c>
      <c r="O10" s="15">
        <f t="shared" ref="O10:O73" si="0">SUM(C10:L10,N10)</f>
        <v>94.428571428571445</v>
      </c>
      <c r="P10" s="15">
        <f t="shared" ref="P10:P73" si="1">SUM(C10:N10)</f>
        <v>166.57142857142858</v>
      </c>
      <c r="R10" s="1" t="s">
        <v>6</v>
      </c>
      <c r="S10" s="17">
        <f t="shared" ref="S10:AF10" si="2">SUM(C10:C13)</f>
        <v>215.71428571428572</v>
      </c>
      <c r="T10" s="17">
        <f t="shared" si="2"/>
        <v>71.428571428571431</v>
      </c>
      <c r="U10" s="17">
        <f t="shared" si="2"/>
        <v>51.714285714285715</v>
      </c>
      <c r="V10" s="17">
        <f t="shared" si="2"/>
        <v>97.714285714285708</v>
      </c>
      <c r="W10" s="17">
        <f t="shared" si="2"/>
        <v>2.2857142857142856</v>
      </c>
      <c r="X10" s="17">
        <f t="shared" si="2"/>
        <v>0.5714285714285714</v>
      </c>
      <c r="Y10" s="17">
        <f t="shared" si="2"/>
        <v>4.4285714285714288</v>
      </c>
      <c r="Z10" s="17">
        <f t="shared" si="2"/>
        <v>2.1428571428571428</v>
      </c>
      <c r="AA10" s="17">
        <f t="shared" si="2"/>
        <v>0.5714285714285714</v>
      </c>
      <c r="AB10" s="17">
        <f t="shared" si="2"/>
        <v>0.8571428571428571</v>
      </c>
      <c r="AC10" s="17">
        <f t="shared" si="2"/>
        <v>330.42857142857144</v>
      </c>
      <c r="AD10" s="17">
        <f t="shared" si="2"/>
        <v>0</v>
      </c>
      <c r="AE10" s="31">
        <f t="shared" si="2"/>
        <v>447.42857142857144</v>
      </c>
      <c r="AF10" s="31">
        <f t="shared" si="2"/>
        <v>777.85714285714278</v>
      </c>
    </row>
    <row r="11" spans="2:32" s="6" customFormat="1" ht="23.1" customHeight="1" x14ac:dyDescent="0.25">
      <c r="B11" s="23" t="s">
        <v>38</v>
      </c>
      <c r="C11" s="49">
        <f>AVERAGE('29.07 Nakawa-Bugolobi'!C11,'30.07 Nakawa-Bugolobi'!C11,'31.07 Nakawa-Bugolobi'!C11,'02.08 Nakawa-Bugolobi'!C11,'01.08 Nakawa-Bugolobi-24h'!C11,'03.08 Nakawa-Bugolobi-24h'!C11,'04.08 Nakawa-Bugolobi'!C11)</f>
        <v>47.142857142857146</v>
      </c>
      <c r="D11" s="49">
        <f>AVERAGE('29.07 Nakawa-Bugolobi'!D11,'30.07 Nakawa-Bugolobi'!D11,'31.07 Nakawa-Bugolobi'!D11,'02.08 Nakawa-Bugolobi'!D11,'01.08 Nakawa-Bugolobi-24h'!D11,'03.08 Nakawa-Bugolobi-24h'!D11,'04.08 Nakawa-Bugolobi'!D11)</f>
        <v>15.428571428571429</v>
      </c>
      <c r="E11" s="49">
        <f>AVERAGE('29.07 Nakawa-Bugolobi'!E11,'30.07 Nakawa-Bugolobi'!E11,'31.07 Nakawa-Bugolobi'!E11,'02.08 Nakawa-Bugolobi'!E11,'01.08 Nakawa-Bugolobi-24h'!E11,'03.08 Nakawa-Bugolobi-24h'!E11,'04.08 Nakawa-Bugolobi'!E11)</f>
        <v>8.5714285714285712</v>
      </c>
      <c r="F11" s="49">
        <f>AVERAGE('29.07 Nakawa-Bugolobi'!F11,'30.07 Nakawa-Bugolobi'!F11,'31.07 Nakawa-Bugolobi'!F11,'02.08 Nakawa-Bugolobi'!F11,'01.08 Nakawa-Bugolobi-24h'!F11,'03.08 Nakawa-Bugolobi-24h'!F11,'04.08 Nakawa-Bugolobi'!F11)</f>
        <v>20.428571428571427</v>
      </c>
      <c r="G11" s="49">
        <f>AVERAGE('29.07 Nakawa-Bugolobi'!G11,'30.07 Nakawa-Bugolobi'!G11,'31.07 Nakawa-Bugolobi'!G11,'02.08 Nakawa-Bugolobi'!G11,'01.08 Nakawa-Bugolobi-24h'!G11,'03.08 Nakawa-Bugolobi-24h'!G11,'04.08 Nakawa-Bugolobi'!G11)</f>
        <v>1</v>
      </c>
      <c r="H11" s="49">
        <f>AVERAGE('29.07 Nakawa-Bugolobi'!H11,'30.07 Nakawa-Bugolobi'!H11,'31.07 Nakawa-Bugolobi'!H11,'02.08 Nakawa-Bugolobi'!H11,'01.08 Nakawa-Bugolobi-24h'!H11,'03.08 Nakawa-Bugolobi-24h'!H11,'04.08 Nakawa-Bugolobi'!H11)</f>
        <v>0.14285714285714285</v>
      </c>
      <c r="I11" s="49">
        <f>AVERAGE('29.07 Nakawa-Bugolobi'!I11,'30.07 Nakawa-Bugolobi'!I11,'31.07 Nakawa-Bugolobi'!I11,'02.08 Nakawa-Bugolobi'!I11,'01.08 Nakawa-Bugolobi-24h'!I11,'03.08 Nakawa-Bugolobi-24h'!I11,'04.08 Nakawa-Bugolobi'!I11)</f>
        <v>0.42857142857142855</v>
      </c>
      <c r="J11" s="49">
        <f>AVERAGE('29.07 Nakawa-Bugolobi'!J11,'30.07 Nakawa-Bugolobi'!J11,'31.07 Nakawa-Bugolobi'!J11,'02.08 Nakawa-Bugolobi'!J11,'01.08 Nakawa-Bugolobi-24h'!J11,'03.08 Nakawa-Bugolobi-24h'!J11,'04.08 Nakawa-Bugolobi'!J11)</f>
        <v>0</v>
      </c>
      <c r="K11" s="49">
        <f>AVERAGE('29.07 Nakawa-Bugolobi'!K11,'30.07 Nakawa-Bugolobi'!K11,'31.07 Nakawa-Bugolobi'!K11,'02.08 Nakawa-Bugolobi'!K11,'01.08 Nakawa-Bugolobi-24h'!K11,'03.08 Nakawa-Bugolobi-24h'!K11,'04.08 Nakawa-Bugolobi'!K11)</f>
        <v>0.2857142857142857</v>
      </c>
      <c r="L11" s="49">
        <f>AVERAGE('29.07 Nakawa-Bugolobi'!L11,'30.07 Nakawa-Bugolobi'!L11,'31.07 Nakawa-Bugolobi'!L11,'02.08 Nakawa-Bugolobi'!L11,'01.08 Nakawa-Bugolobi-24h'!L11,'03.08 Nakawa-Bugolobi-24h'!L11,'04.08 Nakawa-Bugolobi'!L11)</f>
        <v>0</v>
      </c>
      <c r="M11" s="49">
        <f>AVERAGE('29.07 Nakawa-Bugolobi'!M11,'30.07 Nakawa-Bugolobi'!M11,'31.07 Nakawa-Bugolobi'!M11,'02.08 Nakawa-Bugolobi'!M11,'01.08 Nakawa-Bugolobi-24h'!M11,'03.08 Nakawa-Bugolobi-24h'!M11,'04.08 Nakawa-Bugolobi'!M11)</f>
        <v>76.571428571428569</v>
      </c>
      <c r="N11" s="49">
        <f>AVERAGE('29.07 Nakawa-Bugolobi'!N11,'30.07 Nakawa-Bugolobi'!N11,'31.07 Nakawa-Bugolobi'!N11,'02.08 Nakawa-Bugolobi'!N11,'01.08 Nakawa-Bugolobi-24h'!N11,'03.08 Nakawa-Bugolobi-24h'!N11,'04.08 Nakawa-Bugolobi'!N11)</f>
        <v>0</v>
      </c>
      <c r="O11" s="15">
        <f t="shared" si="0"/>
        <v>93.428571428571445</v>
      </c>
      <c r="P11" s="15">
        <f t="shared" si="1"/>
        <v>170</v>
      </c>
      <c r="R11" s="1" t="s">
        <v>7</v>
      </c>
      <c r="S11" s="17">
        <f t="shared" ref="S11:AF11" si="3">SUM(C14:C17)</f>
        <v>288.42857142857144</v>
      </c>
      <c r="T11" s="17">
        <f t="shared" si="3"/>
        <v>67.142857142857139</v>
      </c>
      <c r="U11" s="17">
        <f t="shared" si="3"/>
        <v>53.857142857142861</v>
      </c>
      <c r="V11" s="17">
        <f t="shared" si="3"/>
        <v>94.428571428571431</v>
      </c>
      <c r="W11" s="17">
        <f t="shared" si="3"/>
        <v>1.9999999999999996</v>
      </c>
      <c r="X11" s="17">
        <f t="shared" si="3"/>
        <v>0.5714285714285714</v>
      </c>
      <c r="Y11" s="17">
        <f t="shared" si="3"/>
        <v>10.142857142857142</v>
      </c>
      <c r="Z11" s="17">
        <f t="shared" si="3"/>
        <v>2.1428571428571428</v>
      </c>
      <c r="AA11" s="17">
        <f t="shared" si="3"/>
        <v>1</v>
      </c>
      <c r="AB11" s="17">
        <f t="shared" si="3"/>
        <v>1</v>
      </c>
      <c r="AC11" s="17">
        <f t="shared" si="3"/>
        <v>486.57142857142856</v>
      </c>
      <c r="AD11" s="17">
        <f t="shared" si="3"/>
        <v>0</v>
      </c>
      <c r="AE11" s="31">
        <f t="shared" si="3"/>
        <v>520.71428571428555</v>
      </c>
      <c r="AF11" s="31">
        <f t="shared" si="3"/>
        <v>1007.2857142857142</v>
      </c>
    </row>
    <row r="12" spans="2:32" ht="23.1" customHeight="1" x14ac:dyDescent="0.25">
      <c r="B12" s="23" t="s">
        <v>39</v>
      </c>
      <c r="C12" s="49">
        <f>AVERAGE('29.07 Nakawa-Bugolobi'!C12,'30.07 Nakawa-Bugolobi'!C12,'31.07 Nakawa-Bugolobi'!C12,'02.08 Nakawa-Bugolobi'!C12,'01.08 Nakawa-Bugolobi-24h'!C12,'03.08 Nakawa-Bugolobi-24h'!C12,'04.08 Nakawa-Bugolobi'!C12)</f>
        <v>57</v>
      </c>
      <c r="D12" s="49">
        <f>AVERAGE('29.07 Nakawa-Bugolobi'!D12,'30.07 Nakawa-Bugolobi'!D12,'31.07 Nakawa-Bugolobi'!D12,'02.08 Nakawa-Bugolobi'!D12,'01.08 Nakawa-Bugolobi-24h'!D12,'03.08 Nakawa-Bugolobi-24h'!D12,'04.08 Nakawa-Bugolobi'!D12)</f>
        <v>20.285714285714285</v>
      </c>
      <c r="E12" s="49">
        <f>AVERAGE('29.07 Nakawa-Bugolobi'!E12,'30.07 Nakawa-Bugolobi'!E12,'31.07 Nakawa-Bugolobi'!E12,'02.08 Nakawa-Bugolobi'!E12,'01.08 Nakawa-Bugolobi-24h'!E12,'03.08 Nakawa-Bugolobi-24h'!E12,'04.08 Nakawa-Bugolobi'!E12)</f>
        <v>15.714285714285714</v>
      </c>
      <c r="F12" s="49">
        <f>AVERAGE('29.07 Nakawa-Bugolobi'!F12,'30.07 Nakawa-Bugolobi'!F12,'31.07 Nakawa-Bugolobi'!F12,'02.08 Nakawa-Bugolobi'!F12,'01.08 Nakawa-Bugolobi-24h'!F12,'03.08 Nakawa-Bugolobi-24h'!F12,'04.08 Nakawa-Bugolobi'!F12)</f>
        <v>30.428571428571427</v>
      </c>
      <c r="G12" s="49">
        <f>AVERAGE('29.07 Nakawa-Bugolobi'!G12,'30.07 Nakawa-Bugolobi'!G12,'31.07 Nakawa-Bugolobi'!G12,'02.08 Nakawa-Bugolobi'!G12,'01.08 Nakawa-Bugolobi-24h'!G12,'03.08 Nakawa-Bugolobi-24h'!G12,'04.08 Nakawa-Bugolobi'!G12)</f>
        <v>0.7142857142857143</v>
      </c>
      <c r="H12" s="49">
        <f>AVERAGE('29.07 Nakawa-Bugolobi'!H12,'30.07 Nakawa-Bugolobi'!H12,'31.07 Nakawa-Bugolobi'!H12,'02.08 Nakawa-Bugolobi'!H12,'01.08 Nakawa-Bugolobi-24h'!H12,'03.08 Nakawa-Bugolobi-24h'!H12,'04.08 Nakawa-Bugolobi'!H12)</f>
        <v>0.2857142857142857</v>
      </c>
      <c r="I12" s="49">
        <f>AVERAGE('29.07 Nakawa-Bugolobi'!I12,'30.07 Nakawa-Bugolobi'!I12,'31.07 Nakawa-Bugolobi'!I12,'02.08 Nakawa-Bugolobi'!I12,'01.08 Nakawa-Bugolobi-24h'!I12,'03.08 Nakawa-Bugolobi-24h'!I12,'04.08 Nakawa-Bugolobi'!I12)</f>
        <v>2</v>
      </c>
      <c r="J12" s="49">
        <f>AVERAGE('29.07 Nakawa-Bugolobi'!J12,'30.07 Nakawa-Bugolobi'!J12,'31.07 Nakawa-Bugolobi'!J12,'02.08 Nakawa-Bugolobi'!J12,'01.08 Nakawa-Bugolobi-24h'!J12,'03.08 Nakawa-Bugolobi-24h'!J12,'04.08 Nakawa-Bugolobi'!J12)</f>
        <v>0.42857142857142855</v>
      </c>
      <c r="K12" s="49">
        <f>AVERAGE('29.07 Nakawa-Bugolobi'!K12,'30.07 Nakawa-Bugolobi'!K12,'31.07 Nakawa-Bugolobi'!K12,'02.08 Nakawa-Bugolobi'!K12,'01.08 Nakawa-Bugolobi-24h'!K12,'03.08 Nakawa-Bugolobi-24h'!K12,'04.08 Nakawa-Bugolobi'!K12)</f>
        <v>0</v>
      </c>
      <c r="L12" s="49">
        <f>AVERAGE('29.07 Nakawa-Bugolobi'!L12,'30.07 Nakawa-Bugolobi'!L12,'31.07 Nakawa-Bugolobi'!L12,'02.08 Nakawa-Bugolobi'!L12,'01.08 Nakawa-Bugolobi-24h'!L12,'03.08 Nakawa-Bugolobi-24h'!L12,'04.08 Nakawa-Bugolobi'!L12)</f>
        <v>0.14285714285714285</v>
      </c>
      <c r="M12" s="49">
        <f>AVERAGE('29.07 Nakawa-Bugolobi'!M12,'30.07 Nakawa-Bugolobi'!M12,'31.07 Nakawa-Bugolobi'!M12,'02.08 Nakawa-Bugolobi'!M12,'01.08 Nakawa-Bugolobi-24h'!M12,'03.08 Nakawa-Bugolobi-24h'!M12,'04.08 Nakawa-Bugolobi'!M12)</f>
        <v>87.714285714285708</v>
      </c>
      <c r="N12" s="49">
        <f>AVERAGE('29.07 Nakawa-Bugolobi'!N12,'30.07 Nakawa-Bugolobi'!N12,'31.07 Nakawa-Bugolobi'!N12,'02.08 Nakawa-Bugolobi'!N12,'01.08 Nakawa-Bugolobi-24h'!N12,'03.08 Nakawa-Bugolobi-24h'!N12,'04.08 Nakawa-Bugolobi'!N12)</f>
        <v>0</v>
      </c>
      <c r="O12" s="15">
        <f t="shared" si="0"/>
        <v>126.99999999999999</v>
      </c>
      <c r="P12" s="15">
        <f t="shared" si="1"/>
        <v>214.71428571428569</v>
      </c>
      <c r="R12" s="1" t="s">
        <v>8</v>
      </c>
      <c r="S12" s="17">
        <f t="shared" ref="S12:AF12" si="4">SUM(C18:C21)</f>
        <v>281.71428571428572</v>
      </c>
      <c r="T12" s="17">
        <f t="shared" si="4"/>
        <v>69.428571428571431</v>
      </c>
      <c r="U12" s="17">
        <f t="shared" si="4"/>
        <v>54</v>
      </c>
      <c r="V12" s="17">
        <f t="shared" si="4"/>
        <v>89.428571428571431</v>
      </c>
      <c r="W12" s="17">
        <f t="shared" si="4"/>
        <v>2.4285714285714284</v>
      </c>
      <c r="X12" s="17">
        <f t="shared" si="4"/>
        <v>0.5714285714285714</v>
      </c>
      <c r="Y12" s="17">
        <f t="shared" si="4"/>
        <v>11.571428571428571</v>
      </c>
      <c r="Z12" s="17">
        <f t="shared" si="4"/>
        <v>3.2857142857142856</v>
      </c>
      <c r="AA12" s="17">
        <f t="shared" si="4"/>
        <v>1.5714285714285714</v>
      </c>
      <c r="AB12" s="17">
        <f t="shared" si="4"/>
        <v>0.2857142857142857</v>
      </c>
      <c r="AC12" s="17">
        <f t="shared" si="4"/>
        <v>513.85714285714289</v>
      </c>
      <c r="AD12" s="17">
        <f t="shared" si="4"/>
        <v>0.14285714285714285</v>
      </c>
      <c r="AE12" s="31">
        <f t="shared" si="4"/>
        <v>514.42857142857144</v>
      </c>
      <c r="AF12" s="31">
        <f t="shared" si="4"/>
        <v>1028.2857142857144</v>
      </c>
    </row>
    <row r="13" spans="2:32" ht="23.1" customHeight="1" x14ac:dyDescent="0.25">
      <c r="B13" s="23" t="s">
        <v>40</v>
      </c>
      <c r="C13" s="49">
        <f>AVERAGE('29.07 Nakawa-Bugolobi'!C13,'30.07 Nakawa-Bugolobi'!C13,'31.07 Nakawa-Bugolobi'!C13,'02.08 Nakawa-Bugolobi'!C13,'01.08 Nakawa-Bugolobi-24h'!C13,'03.08 Nakawa-Bugolobi-24h'!C13,'04.08 Nakawa-Bugolobi'!C13)</f>
        <v>62.285714285714285</v>
      </c>
      <c r="D13" s="49">
        <f>AVERAGE('29.07 Nakawa-Bugolobi'!D13,'30.07 Nakawa-Bugolobi'!D13,'31.07 Nakawa-Bugolobi'!D13,'02.08 Nakawa-Bugolobi'!D13,'01.08 Nakawa-Bugolobi-24h'!D13,'03.08 Nakawa-Bugolobi-24h'!D13,'04.08 Nakawa-Bugolobi'!D13)</f>
        <v>21.714285714285715</v>
      </c>
      <c r="E13" s="49">
        <f>AVERAGE('29.07 Nakawa-Bugolobi'!E13,'30.07 Nakawa-Bugolobi'!E13,'31.07 Nakawa-Bugolobi'!E13,'02.08 Nakawa-Bugolobi'!E13,'01.08 Nakawa-Bugolobi-24h'!E13,'03.08 Nakawa-Bugolobi-24h'!E13,'04.08 Nakawa-Bugolobi'!E13)</f>
        <v>16</v>
      </c>
      <c r="F13" s="49">
        <f>AVERAGE('29.07 Nakawa-Bugolobi'!F13,'30.07 Nakawa-Bugolobi'!F13,'31.07 Nakawa-Bugolobi'!F13,'02.08 Nakawa-Bugolobi'!F13,'01.08 Nakawa-Bugolobi-24h'!F13,'03.08 Nakawa-Bugolobi-24h'!F13,'04.08 Nakawa-Bugolobi'!F13)</f>
        <v>29.571428571428573</v>
      </c>
      <c r="G13" s="49">
        <f>AVERAGE('29.07 Nakawa-Bugolobi'!G13,'30.07 Nakawa-Bugolobi'!G13,'31.07 Nakawa-Bugolobi'!G13,'02.08 Nakawa-Bugolobi'!G13,'01.08 Nakawa-Bugolobi-24h'!G13,'03.08 Nakawa-Bugolobi-24h'!G13,'04.08 Nakawa-Bugolobi'!G13)</f>
        <v>0.2857142857142857</v>
      </c>
      <c r="H13" s="49">
        <f>AVERAGE('29.07 Nakawa-Bugolobi'!H13,'30.07 Nakawa-Bugolobi'!H13,'31.07 Nakawa-Bugolobi'!H13,'02.08 Nakawa-Bugolobi'!H13,'01.08 Nakawa-Bugolobi-24h'!H13,'03.08 Nakawa-Bugolobi-24h'!H13,'04.08 Nakawa-Bugolobi'!H13)</f>
        <v>0.14285714285714285</v>
      </c>
      <c r="I13" s="49">
        <f>AVERAGE('29.07 Nakawa-Bugolobi'!I13,'30.07 Nakawa-Bugolobi'!I13,'31.07 Nakawa-Bugolobi'!I13,'02.08 Nakawa-Bugolobi'!I13,'01.08 Nakawa-Bugolobi-24h'!I13,'03.08 Nakawa-Bugolobi-24h'!I13,'04.08 Nakawa-Bugolobi'!I13)</f>
        <v>0.5714285714285714</v>
      </c>
      <c r="J13" s="49">
        <f>AVERAGE('29.07 Nakawa-Bugolobi'!J13,'30.07 Nakawa-Bugolobi'!J13,'31.07 Nakawa-Bugolobi'!J13,'02.08 Nakawa-Bugolobi'!J13,'01.08 Nakawa-Bugolobi-24h'!J13,'03.08 Nakawa-Bugolobi-24h'!J13,'04.08 Nakawa-Bugolobi'!J13)</f>
        <v>1.5714285714285714</v>
      </c>
      <c r="K13" s="49">
        <f>AVERAGE('29.07 Nakawa-Bugolobi'!K13,'30.07 Nakawa-Bugolobi'!K13,'31.07 Nakawa-Bugolobi'!K13,'02.08 Nakawa-Bugolobi'!K13,'01.08 Nakawa-Bugolobi-24h'!K13,'03.08 Nakawa-Bugolobi-24h'!K13,'04.08 Nakawa-Bugolobi'!K13)</f>
        <v>0</v>
      </c>
      <c r="L13" s="49">
        <f>AVERAGE('29.07 Nakawa-Bugolobi'!L13,'30.07 Nakawa-Bugolobi'!L13,'31.07 Nakawa-Bugolobi'!L13,'02.08 Nakawa-Bugolobi'!L13,'01.08 Nakawa-Bugolobi-24h'!L13,'03.08 Nakawa-Bugolobi-24h'!L13,'04.08 Nakawa-Bugolobi'!L13)</f>
        <v>0.42857142857142855</v>
      </c>
      <c r="M13" s="49">
        <f>AVERAGE('29.07 Nakawa-Bugolobi'!M13,'30.07 Nakawa-Bugolobi'!M13,'31.07 Nakawa-Bugolobi'!M13,'02.08 Nakawa-Bugolobi'!M13,'01.08 Nakawa-Bugolobi-24h'!M13,'03.08 Nakawa-Bugolobi-24h'!M13,'04.08 Nakawa-Bugolobi'!M13)</f>
        <v>94</v>
      </c>
      <c r="N13" s="49">
        <f>AVERAGE('29.07 Nakawa-Bugolobi'!N13,'30.07 Nakawa-Bugolobi'!N13,'31.07 Nakawa-Bugolobi'!N13,'02.08 Nakawa-Bugolobi'!N13,'01.08 Nakawa-Bugolobi-24h'!N13,'03.08 Nakawa-Bugolobi-24h'!N13,'04.08 Nakawa-Bugolobi'!N13)</f>
        <v>0</v>
      </c>
      <c r="O13" s="15">
        <f t="shared" si="0"/>
        <v>132.57142857142858</v>
      </c>
      <c r="P13" s="15">
        <f t="shared" si="1"/>
        <v>226.57142857142858</v>
      </c>
      <c r="R13" s="1" t="s">
        <v>9</v>
      </c>
      <c r="S13" s="17">
        <f t="shared" ref="S13:AF13" si="5">SUM(C22:C25)</f>
        <v>255.14285714285711</v>
      </c>
      <c r="T13" s="17">
        <f t="shared" si="5"/>
        <v>58.857142857142861</v>
      </c>
      <c r="U13" s="17">
        <f t="shared" si="5"/>
        <v>57.285714285714292</v>
      </c>
      <c r="V13" s="17">
        <f t="shared" si="5"/>
        <v>76.714285714285722</v>
      </c>
      <c r="W13" s="17">
        <f t="shared" si="5"/>
        <v>1.8571428571428572</v>
      </c>
      <c r="X13" s="17">
        <f t="shared" si="5"/>
        <v>0.71428571428571419</v>
      </c>
      <c r="Y13" s="17">
        <f t="shared" si="5"/>
        <v>12.857142857142856</v>
      </c>
      <c r="Z13" s="17">
        <f t="shared" si="5"/>
        <v>4.8571428571428568</v>
      </c>
      <c r="AA13" s="17">
        <f t="shared" si="5"/>
        <v>0.5714285714285714</v>
      </c>
      <c r="AB13" s="17">
        <f t="shared" si="5"/>
        <v>0.5714285714285714</v>
      </c>
      <c r="AC13" s="17">
        <f t="shared" si="5"/>
        <v>459.28571428571428</v>
      </c>
      <c r="AD13" s="17">
        <f t="shared" si="5"/>
        <v>0.14285714285714285</v>
      </c>
      <c r="AE13" s="31">
        <f t="shared" si="5"/>
        <v>469.5714285714285</v>
      </c>
      <c r="AF13" s="31">
        <f t="shared" si="5"/>
        <v>928.85714285714289</v>
      </c>
    </row>
    <row r="14" spans="2:32" ht="23.1" customHeight="1" x14ac:dyDescent="0.25">
      <c r="B14" s="23" t="s">
        <v>41</v>
      </c>
      <c r="C14" s="49">
        <f>AVERAGE('29.07 Nakawa-Bugolobi'!C14,'30.07 Nakawa-Bugolobi'!C14,'31.07 Nakawa-Bugolobi'!C14,'02.08 Nakawa-Bugolobi'!C14,'01.08 Nakawa-Bugolobi-24h'!C14,'03.08 Nakawa-Bugolobi-24h'!C14,'04.08 Nakawa-Bugolobi'!C14)</f>
        <v>70.142857142857139</v>
      </c>
      <c r="D14" s="49">
        <f>AVERAGE('29.07 Nakawa-Bugolobi'!D14,'30.07 Nakawa-Bugolobi'!D14,'31.07 Nakawa-Bugolobi'!D14,'02.08 Nakawa-Bugolobi'!D14,'01.08 Nakawa-Bugolobi-24h'!D14,'03.08 Nakawa-Bugolobi-24h'!D14,'04.08 Nakawa-Bugolobi'!D14)</f>
        <v>18.285714285714285</v>
      </c>
      <c r="E14" s="49">
        <f>AVERAGE('29.07 Nakawa-Bugolobi'!E14,'30.07 Nakawa-Bugolobi'!E14,'31.07 Nakawa-Bugolobi'!E14,'02.08 Nakawa-Bugolobi'!E14,'01.08 Nakawa-Bugolobi-24h'!E14,'03.08 Nakawa-Bugolobi-24h'!E14,'04.08 Nakawa-Bugolobi'!E14)</f>
        <v>13.857142857142858</v>
      </c>
      <c r="F14" s="49">
        <f>AVERAGE('29.07 Nakawa-Bugolobi'!F14,'30.07 Nakawa-Bugolobi'!F14,'31.07 Nakawa-Bugolobi'!F14,'02.08 Nakawa-Bugolobi'!F14,'01.08 Nakawa-Bugolobi-24h'!F14,'03.08 Nakawa-Bugolobi-24h'!F14,'04.08 Nakawa-Bugolobi'!F14)</f>
        <v>23</v>
      </c>
      <c r="G14" s="49">
        <f>AVERAGE('29.07 Nakawa-Bugolobi'!G14,'30.07 Nakawa-Bugolobi'!G14,'31.07 Nakawa-Bugolobi'!G14,'02.08 Nakawa-Bugolobi'!G14,'01.08 Nakawa-Bugolobi-24h'!G14,'03.08 Nakawa-Bugolobi-24h'!G14,'04.08 Nakawa-Bugolobi'!G14)</f>
        <v>0.5714285714285714</v>
      </c>
      <c r="H14" s="49">
        <f>AVERAGE('29.07 Nakawa-Bugolobi'!H14,'30.07 Nakawa-Bugolobi'!H14,'31.07 Nakawa-Bugolobi'!H14,'02.08 Nakawa-Bugolobi'!H14,'01.08 Nakawa-Bugolobi-24h'!H14,'03.08 Nakawa-Bugolobi-24h'!H14,'04.08 Nakawa-Bugolobi'!H14)</f>
        <v>0</v>
      </c>
      <c r="I14" s="49">
        <f>AVERAGE('29.07 Nakawa-Bugolobi'!I14,'30.07 Nakawa-Bugolobi'!I14,'31.07 Nakawa-Bugolobi'!I14,'02.08 Nakawa-Bugolobi'!I14,'01.08 Nakawa-Bugolobi-24h'!I14,'03.08 Nakawa-Bugolobi-24h'!I14,'04.08 Nakawa-Bugolobi'!I14)</f>
        <v>2.8571428571428572</v>
      </c>
      <c r="J14" s="49">
        <f>AVERAGE('29.07 Nakawa-Bugolobi'!J14,'30.07 Nakawa-Bugolobi'!J14,'31.07 Nakawa-Bugolobi'!J14,'02.08 Nakawa-Bugolobi'!J14,'01.08 Nakawa-Bugolobi-24h'!J14,'03.08 Nakawa-Bugolobi-24h'!J14,'04.08 Nakawa-Bugolobi'!J14)</f>
        <v>0.2857142857142857</v>
      </c>
      <c r="K14" s="49">
        <f>AVERAGE('29.07 Nakawa-Bugolobi'!K14,'30.07 Nakawa-Bugolobi'!K14,'31.07 Nakawa-Bugolobi'!K14,'02.08 Nakawa-Bugolobi'!K14,'01.08 Nakawa-Bugolobi-24h'!K14,'03.08 Nakawa-Bugolobi-24h'!K14,'04.08 Nakawa-Bugolobi'!K14)</f>
        <v>0.14285714285714285</v>
      </c>
      <c r="L14" s="49">
        <f>AVERAGE('29.07 Nakawa-Bugolobi'!L14,'30.07 Nakawa-Bugolobi'!L14,'31.07 Nakawa-Bugolobi'!L14,'02.08 Nakawa-Bugolobi'!L14,'01.08 Nakawa-Bugolobi-24h'!L14,'03.08 Nakawa-Bugolobi-24h'!L14,'04.08 Nakawa-Bugolobi'!L14)</f>
        <v>0.2857142857142857</v>
      </c>
      <c r="M14" s="49">
        <f>AVERAGE('29.07 Nakawa-Bugolobi'!M14,'30.07 Nakawa-Bugolobi'!M14,'31.07 Nakawa-Bugolobi'!M14,'02.08 Nakawa-Bugolobi'!M14,'01.08 Nakawa-Bugolobi-24h'!M14,'03.08 Nakawa-Bugolobi-24h'!M14,'04.08 Nakawa-Bugolobi'!M14)</f>
        <v>111.14285714285714</v>
      </c>
      <c r="N14" s="49">
        <f>AVERAGE('29.07 Nakawa-Bugolobi'!N14,'30.07 Nakawa-Bugolobi'!N14,'31.07 Nakawa-Bugolobi'!N14,'02.08 Nakawa-Bugolobi'!N14,'01.08 Nakawa-Bugolobi-24h'!N14,'03.08 Nakawa-Bugolobi-24h'!N14,'04.08 Nakawa-Bugolobi'!N14)</f>
        <v>0</v>
      </c>
      <c r="O14" s="15">
        <f t="shared" si="0"/>
        <v>129.42857142857139</v>
      </c>
      <c r="P14" s="15">
        <f t="shared" si="1"/>
        <v>240.57142857142853</v>
      </c>
      <c r="R14" s="1" t="s">
        <v>10</v>
      </c>
      <c r="S14" s="17">
        <f t="shared" ref="S14:AF14" si="6">SUM(C26:C29)</f>
        <v>257.14285714285711</v>
      </c>
      <c r="T14" s="17">
        <f t="shared" si="6"/>
        <v>76.857142857142861</v>
      </c>
      <c r="U14" s="17">
        <f t="shared" si="6"/>
        <v>60</v>
      </c>
      <c r="V14" s="17">
        <f t="shared" si="6"/>
        <v>81.571428571428569</v>
      </c>
      <c r="W14" s="17">
        <f t="shared" si="6"/>
        <v>2.7142857142857144</v>
      </c>
      <c r="X14" s="17">
        <f t="shared" si="6"/>
        <v>0.85714285714285698</v>
      </c>
      <c r="Y14" s="17">
        <f t="shared" si="6"/>
        <v>15.000000000000002</v>
      </c>
      <c r="Z14" s="17">
        <f t="shared" si="6"/>
        <v>4.1428571428571432</v>
      </c>
      <c r="AA14" s="17">
        <f t="shared" si="6"/>
        <v>0.14285714285714285</v>
      </c>
      <c r="AB14" s="17">
        <f t="shared" si="6"/>
        <v>0.42857142857142855</v>
      </c>
      <c r="AC14" s="17">
        <f t="shared" si="6"/>
        <v>420.71428571428567</v>
      </c>
      <c r="AD14" s="17">
        <f t="shared" si="6"/>
        <v>0</v>
      </c>
      <c r="AE14" s="31">
        <f t="shared" si="6"/>
        <v>498.85714285714283</v>
      </c>
      <c r="AF14" s="31">
        <f t="shared" si="6"/>
        <v>919.57142857142856</v>
      </c>
    </row>
    <row r="15" spans="2:32" ht="23.1" customHeight="1" x14ac:dyDescent="0.25">
      <c r="B15" s="23" t="s">
        <v>42</v>
      </c>
      <c r="C15" s="49">
        <f>AVERAGE('29.07 Nakawa-Bugolobi'!C15,'30.07 Nakawa-Bugolobi'!C15,'31.07 Nakawa-Bugolobi'!C15,'02.08 Nakawa-Bugolobi'!C15,'01.08 Nakawa-Bugolobi-24h'!C15,'03.08 Nakawa-Bugolobi-24h'!C15,'04.08 Nakawa-Bugolobi'!C15)</f>
        <v>70.571428571428569</v>
      </c>
      <c r="D15" s="49">
        <f>AVERAGE('29.07 Nakawa-Bugolobi'!D15,'30.07 Nakawa-Bugolobi'!D15,'31.07 Nakawa-Bugolobi'!D15,'02.08 Nakawa-Bugolobi'!D15,'01.08 Nakawa-Bugolobi-24h'!D15,'03.08 Nakawa-Bugolobi-24h'!D15,'04.08 Nakawa-Bugolobi'!D15)</f>
        <v>16.142857142857142</v>
      </c>
      <c r="E15" s="49">
        <f>AVERAGE('29.07 Nakawa-Bugolobi'!E15,'30.07 Nakawa-Bugolobi'!E15,'31.07 Nakawa-Bugolobi'!E15,'02.08 Nakawa-Bugolobi'!E15,'01.08 Nakawa-Bugolobi-24h'!E15,'03.08 Nakawa-Bugolobi-24h'!E15,'04.08 Nakawa-Bugolobi'!E15)</f>
        <v>12</v>
      </c>
      <c r="F15" s="49">
        <f>AVERAGE('29.07 Nakawa-Bugolobi'!F15,'30.07 Nakawa-Bugolobi'!F15,'31.07 Nakawa-Bugolobi'!F15,'02.08 Nakawa-Bugolobi'!F15,'01.08 Nakawa-Bugolobi-24h'!F15,'03.08 Nakawa-Bugolobi-24h'!F15,'04.08 Nakawa-Bugolobi'!F15)</f>
        <v>19.142857142857142</v>
      </c>
      <c r="G15" s="49">
        <f>AVERAGE('29.07 Nakawa-Bugolobi'!G15,'30.07 Nakawa-Bugolobi'!G15,'31.07 Nakawa-Bugolobi'!G15,'02.08 Nakawa-Bugolobi'!G15,'01.08 Nakawa-Bugolobi-24h'!G15,'03.08 Nakawa-Bugolobi-24h'!G15,'04.08 Nakawa-Bugolobi'!G15)</f>
        <v>0.8571428571428571</v>
      </c>
      <c r="H15" s="49">
        <f>AVERAGE('29.07 Nakawa-Bugolobi'!H15,'30.07 Nakawa-Bugolobi'!H15,'31.07 Nakawa-Bugolobi'!H15,'02.08 Nakawa-Bugolobi'!H15,'01.08 Nakawa-Bugolobi-24h'!H15,'03.08 Nakawa-Bugolobi-24h'!H15,'04.08 Nakawa-Bugolobi'!H15)</f>
        <v>0</v>
      </c>
      <c r="I15" s="49">
        <f>AVERAGE('29.07 Nakawa-Bugolobi'!I15,'30.07 Nakawa-Bugolobi'!I15,'31.07 Nakawa-Bugolobi'!I15,'02.08 Nakawa-Bugolobi'!I15,'01.08 Nakawa-Bugolobi-24h'!I15,'03.08 Nakawa-Bugolobi-24h'!I15,'04.08 Nakawa-Bugolobi'!I15)</f>
        <v>1.7142857142857142</v>
      </c>
      <c r="J15" s="49">
        <f>AVERAGE('29.07 Nakawa-Bugolobi'!J15,'30.07 Nakawa-Bugolobi'!J15,'31.07 Nakawa-Bugolobi'!J15,'02.08 Nakawa-Bugolobi'!J15,'01.08 Nakawa-Bugolobi-24h'!J15,'03.08 Nakawa-Bugolobi-24h'!J15,'04.08 Nakawa-Bugolobi'!J15)</f>
        <v>0.42857142857142855</v>
      </c>
      <c r="K15" s="49">
        <f>AVERAGE('29.07 Nakawa-Bugolobi'!K15,'30.07 Nakawa-Bugolobi'!K15,'31.07 Nakawa-Bugolobi'!K15,'02.08 Nakawa-Bugolobi'!K15,'01.08 Nakawa-Bugolobi-24h'!K15,'03.08 Nakawa-Bugolobi-24h'!K15,'04.08 Nakawa-Bugolobi'!K15)</f>
        <v>0.42857142857142855</v>
      </c>
      <c r="L15" s="49">
        <f>AVERAGE('29.07 Nakawa-Bugolobi'!L15,'30.07 Nakawa-Bugolobi'!L15,'31.07 Nakawa-Bugolobi'!L15,'02.08 Nakawa-Bugolobi'!L15,'01.08 Nakawa-Bugolobi-24h'!L15,'03.08 Nakawa-Bugolobi-24h'!L15,'04.08 Nakawa-Bugolobi'!L15)</f>
        <v>0.2857142857142857</v>
      </c>
      <c r="M15" s="49">
        <f>AVERAGE('29.07 Nakawa-Bugolobi'!M15,'30.07 Nakawa-Bugolobi'!M15,'31.07 Nakawa-Bugolobi'!M15,'02.08 Nakawa-Bugolobi'!M15,'01.08 Nakawa-Bugolobi-24h'!M15,'03.08 Nakawa-Bugolobi-24h'!M15,'04.08 Nakawa-Bugolobi'!M15)</f>
        <v>126.42857142857143</v>
      </c>
      <c r="N15" s="49">
        <f>AVERAGE('29.07 Nakawa-Bugolobi'!N15,'30.07 Nakawa-Bugolobi'!N15,'31.07 Nakawa-Bugolobi'!N15,'02.08 Nakawa-Bugolobi'!N15,'01.08 Nakawa-Bugolobi-24h'!N15,'03.08 Nakawa-Bugolobi-24h'!N15,'04.08 Nakawa-Bugolobi'!N15)</f>
        <v>0</v>
      </c>
      <c r="O15" s="15">
        <f t="shared" si="0"/>
        <v>121.57142857142857</v>
      </c>
      <c r="P15" s="15">
        <f t="shared" si="1"/>
        <v>248</v>
      </c>
      <c r="R15" s="1" t="s">
        <v>11</v>
      </c>
      <c r="S15" s="17">
        <f t="shared" ref="S15:AF15" si="7">SUM(C30:C33)</f>
        <v>294.57142857142856</v>
      </c>
      <c r="T15" s="17">
        <f t="shared" si="7"/>
        <v>79.285714285714292</v>
      </c>
      <c r="U15" s="17">
        <f t="shared" si="7"/>
        <v>56.857142857142861</v>
      </c>
      <c r="V15" s="17">
        <f t="shared" si="7"/>
        <v>78.285714285714292</v>
      </c>
      <c r="W15" s="17">
        <f t="shared" si="7"/>
        <v>1.8571428571428572</v>
      </c>
      <c r="X15" s="17">
        <f t="shared" si="7"/>
        <v>0.42857142857142855</v>
      </c>
      <c r="Y15" s="17">
        <f t="shared" si="7"/>
        <v>14.142857142857144</v>
      </c>
      <c r="Z15" s="17">
        <f t="shared" si="7"/>
        <v>6.2857142857142856</v>
      </c>
      <c r="AA15" s="17">
        <f t="shared" si="7"/>
        <v>0.5714285714285714</v>
      </c>
      <c r="AB15" s="17">
        <f t="shared" si="7"/>
        <v>1</v>
      </c>
      <c r="AC15" s="17">
        <f t="shared" si="7"/>
        <v>422.57142857142861</v>
      </c>
      <c r="AD15" s="17">
        <f t="shared" si="7"/>
        <v>0.14285714285714285</v>
      </c>
      <c r="AE15" s="31">
        <f t="shared" si="7"/>
        <v>533.42857142857133</v>
      </c>
      <c r="AF15" s="31">
        <f t="shared" si="7"/>
        <v>955.99999999999989</v>
      </c>
    </row>
    <row r="16" spans="2:32" ht="23.1" customHeight="1" x14ac:dyDescent="0.25">
      <c r="B16" s="23" t="s">
        <v>43</v>
      </c>
      <c r="C16" s="49">
        <f>AVERAGE('29.07 Nakawa-Bugolobi'!C16,'30.07 Nakawa-Bugolobi'!C16,'31.07 Nakawa-Bugolobi'!C16,'02.08 Nakawa-Bugolobi'!C16,'01.08 Nakawa-Bugolobi-24h'!C16,'03.08 Nakawa-Bugolobi-24h'!C16,'04.08 Nakawa-Bugolobi'!C16)</f>
        <v>72.428571428571431</v>
      </c>
      <c r="D16" s="49">
        <f>AVERAGE('29.07 Nakawa-Bugolobi'!D16,'30.07 Nakawa-Bugolobi'!D16,'31.07 Nakawa-Bugolobi'!D16,'02.08 Nakawa-Bugolobi'!D16,'01.08 Nakawa-Bugolobi-24h'!D16,'03.08 Nakawa-Bugolobi-24h'!D16,'04.08 Nakawa-Bugolobi'!D16)</f>
        <v>13.571428571428571</v>
      </c>
      <c r="E16" s="49">
        <f>AVERAGE('29.07 Nakawa-Bugolobi'!E16,'30.07 Nakawa-Bugolobi'!E16,'31.07 Nakawa-Bugolobi'!E16,'02.08 Nakawa-Bugolobi'!E16,'01.08 Nakawa-Bugolobi-24h'!E16,'03.08 Nakawa-Bugolobi-24h'!E16,'04.08 Nakawa-Bugolobi'!E16)</f>
        <v>14.285714285714286</v>
      </c>
      <c r="F16" s="49">
        <f>AVERAGE('29.07 Nakawa-Bugolobi'!F16,'30.07 Nakawa-Bugolobi'!F16,'31.07 Nakawa-Bugolobi'!F16,'02.08 Nakawa-Bugolobi'!F16,'01.08 Nakawa-Bugolobi-24h'!F16,'03.08 Nakawa-Bugolobi-24h'!F16,'04.08 Nakawa-Bugolobi'!F16)</f>
        <v>26.428571428571427</v>
      </c>
      <c r="G16" s="49">
        <f>AVERAGE('29.07 Nakawa-Bugolobi'!G16,'30.07 Nakawa-Bugolobi'!G16,'31.07 Nakawa-Bugolobi'!G16,'02.08 Nakawa-Bugolobi'!G16,'01.08 Nakawa-Bugolobi-24h'!G16,'03.08 Nakawa-Bugolobi-24h'!G16,'04.08 Nakawa-Bugolobi'!G16)</f>
        <v>0.2857142857142857</v>
      </c>
      <c r="H16" s="49">
        <f>AVERAGE('29.07 Nakawa-Bugolobi'!H16,'30.07 Nakawa-Bugolobi'!H16,'31.07 Nakawa-Bugolobi'!H16,'02.08 Nakawa-Bugolobi'!H16,'01.08 Nakawa-Bugolobi-24h'!H16,'03.08 Nakawa-Bugolobi-24h'!H16,'04.08 Nakawa-Bugolobi'!H16)</f>
        <v>0.14285714285714285</v>
      </c>
      <c r="I16" s="49">
        <f>AVERAGE('29.07 Nakawa-Bugolobi'!I16,'30.07 Nakawa-Bugolobi'!I16,'31.07 Nakawa-Bugolobi'!I16,'02.08 Nakawa-Bugolobi'!I16,'01.08 Nakawa-Bugolobi-24h'!I16,'03.08 Nakawa-Bugolobi-24h'!I16,'04.08 Nakawa-Bugolobi'!I16)</f>
        <v>1.8571428571428572</v>
      </c>
      <c r="J16" s="49">
        <f>AVERAGE('29.07 Nakawa-Bugolobi'!J16,'30.07 Nakawa-Bugolobi'!J16,'31.07 Nakawa-Bugolobi'!J16,'02.08 Nakawa-Bugolobi'!J16,'01.08 Nakawa-Bugolobi-24h'!J16,'03.08 Nakawa-Bugolobi-24h'!J16,'04.08 Nakawa-Bugolobi'!J16)</f>
        <v>0.7142857142857143</v>
      </c>
      <c r="K16" s="49">
        <f>AVERAGE('29.07 Nakawa-Bugolobi'!K16,'30.07 Nakawa-Bugolobi'!K16,'31.07 Nakawa-Bugolobi'!K16,'02.08 Nakawa-Bugolobi'!K16,'01.08 Nakawa-Bugolobi-24h'!K16,'03.08 Nakawa-Bugolobi-24h'!K16,'04.08 Nakawa-Bugolobi'!K16)</f>
        <v>0.2857142857142857</v>
      </c>
      <c r="L16" s="49">
        <f>AVERAGE('29.07 Nakawa-Bugolobi'!L16,'30.07 Nakawa-Bugolobi'!L16,'31.07 Nakawa-Bugolobi'!L16,'02.08 Nakawa-Bugolobi'!L16,'01.08 Nakawa-Bugolobi-24h'!L16,'03.08 Nakawa-Bugolobi-24h'!L16,'04.08 Nakawa-Bugolobi'!L16)</f>
        <v>0.42857142857142855</v>
      </c>
      <c r="M16" s="49">
        <f>AVERAGE('29.07 Nakawa-Bugolobi'!M16,'30.07 Nakawa-Bugolobi'!M16,'31.07 Nakawa-Bugolobi'!M16,'02.08 Nakawa-Bugolobi'!M16,'01.08 Nakawa-Bugolobi-24h'!M16,'03.08 Nakawa-Bugolobi-24h'!M16,'04.08 Nakawa-Bugolobi'!M16)</f>
        <v>115.14285714285714</v>
      </c>
      <c r="N16" s="49">
        <f>AVERAGE('29.07 Nakawa-Bugolobi'!N16,'30.07 Nakawa-Bugolobi'!N16,'31.07 Nakawa-Bugolobi'!N16,'02.08 Nakawa-Bugolobi'!N16,'01.08 Nakawa-Bugolobi-24h'!N16,'03.08 Nakawa-Bugolobi-24h'!N16,'04.08 Nakawa-Bugolobi'!N16)</f>
        <v>0</v>
      </c>
      <c r="O16" s="15">
        <f t="shared" si="0"/>
        <v>130.42857142857142</v>
      </c>
      <c r="P16" s="15">
        <f t="shared" si="1"/>
        <v>245.57142857142856</v>
      </c>
      <c r="R16" s="1" t="s">
        <v>12</v>
      </c>
      <c r="S16" s="17">
        <f t="shared" ref="S16:AF16" si="8">SUM(C34:C37)</f>
        <v>256.14285714285717</v>
      </c>
      <c r="T16" s="17">
        <f t="shared" si="8"/>
        <v>73</v>
      </c>
      <c r="U16" s="17">
        <f t="shared" si="8"/>
        <v>61.571428571428569</v>
      </c>
      <c r="V16" s="17">
        <f t="shared" si="8"/>
        <v>88.142857142857139</v>
      </c>
      <c r="W16" s="17">
        <f t="shared" si="8"/>
        <v>1.2857142857142856</v>
      </c>
      <c r="X16" s="17">
        <f t="shared" si="8"/>
        <v>0.14285714285714285</v>
      </c>
      <c r="Y16" s="17">
        <f t="shared" si="8"/>
        <v>11.142857142857142</v>
      </c>
      <c r="Z16" s="17">
        <f t="shared" si="8"/>
        <v>4.2857142857142856</v>
      </c>
      <c r="AA16" s="17">
        <f t="shared" si="8"/>
        <v>0.71428571428571419</v>
      </c>
      <c r="AB16" s="17">
        <f t="shared" si="8"/>
        <v>1.1428571428571428</v>
      </c>
      <c r="AC16" s="17">
        <f t="shared" si="8"/>
        <v>376.71428571428572</v>
      </c>
      <c r="AD16" s="17">
        <f t="shared" si="8"/>
        <v>0</v>
      </c>
      <c r="AE16" s="31">
        <f t="shared" si="8"/>
        <v>497.57142857142856</v>
      </c>
      <c r="AF16" s="31">
        <f t="shared" si="8"/>
        <v>874.28571428571422</v>
      </c>
    </row>
    <row r="17" spans="2:32" ht="23.1" customHeight="1" x14ac:dyDescent="0.25">
      <c r="B17" s="23" t="s">
        <v>44</v>
      </c>
      <c r="C17" s="49">
        <f>AVERAGE('29.07 Nakawa-Bugolobi'!C17,'30.07 Nakawa-Bugolobi'!C17,'31.07 Nakawa-Bugolobi'!C17,'02.08 Nakawa-Bugolobi'!C17,'01.08 Nakawa-Bugolobi-24h'!C17,'03.08 Nakawa-Bugolobi-24h'!C17,'04.08 Nakawa-Bugolobi'!C17)</f>
        <v>75.285714285714292</v>
      </c>
      <c r="D17" s="49">
        <f>AVERAGE('29.07 Nakawa-Bugolobi'!D17,'30.07 Nakawa-Bugolobi'!D17,'31.07 Nakawa-Bugolobi'!D17,'02.08 Nakawa-Bugolobi'!D17,'01.08 Nakawa-Bugolobi-24h'!D17,'03.08 Nakawa-Bugolobi-24h'!D17,'04.08 Nakawa-Bugolobi'!D17)</f>
        <v>19.142857142857142</v>
      </c>
      <c r="E17" s="49">
        <f>AVERAGE('29.07 Nakawa-Bugolobi'!E17,'30.07 Nakawa-Bugolobi'!E17,'31.07 Nakawa-Bugolobi'!E17,'02.08 Nakawa-Bugolobi'!E17,'01.08 Nakawa-Bugolobi-24h'!E17,'03.08 Nakawa-Bugolobi-24h'!E17,'04.08 Nakawa-Bugolobi'!E17)</f>
        <v>13.714285714285714</v>
      </c>
      <c r="F17" s="49">
        <f>AVERAGE('29.07 Nakawa-Bugolobi'!F17,'30.07 Nakawa-Bugolobi'!F17,'31.07 Nakawa-Bugolobi'!F17,'02.08 Nakawa-Bugolobi'!F17,'01.08 Nakawa-Bugolobi-24h'!F17,'03.08 Nakawa-Bugolobi-24h'!F17,'04.08 Nakawa-Bugolobi'!F17)</f>
        <v>25.857142857142858</v>
      </c>
      <c r="G17" s="49">
        <f>AVERAGE('29.07 Nakawa-Bugolobi'!G17,'30.07 Nakawa-Bugolobi'!G17,'31.07 Nakawa-Bugolobi'!G17,'02.08 Nakawa-Bugolobi'!G17,'01.08 Nakawa-Bugolobi-24h'!G17,'03.08 Nakawa-Bugolobi-24h'!G17,'04.08 Nakawa-Bugolobi'!G17)</f>
        <v>0.2857142857142857</v>
      </c>
      <c r="H17" s="49">
        <f>AVERAGE('29.07 Nakawa-Bugolobi'!H17,'30.07 Nakawa-Bugolobi'!H17,'31.07 Nakawa-Bugolobi'!H17,'02.08 Nakawa-Bugolobi'!H17,'01.08 Nakawa-Bugolobi-24h'!H17,'03.08 Nakawa-Bugolobi-24h'!H17,'04.08 Nakawa-Bugolobi'!H17)</f>
        <v>0.42857142857142855</v>
      </c>
      <c r="I17" s="49">
        <f>AVERAGE('29.07 Nakawa-Bugolobi'!I17,'30.07 Nakawa-Bugolobi'!I17,'31.07 Nakawa-Bugolobi'!I17,'02.08 Nakawa-Bugolobi'!I17,'01.08 Nakawa-Bugolobi-24h'!I17,'03.08 Nakawa-Bugolobi-24h'!I17,'04.08 Nakawa-Bugolobi'!I17)</f>
        <v>3.7142857142857144</v>
      </c>
      <c r="J17" s="49">
        <f>AVERAGE('29.07 Nakawa-Bugolobi'!J17,'30.07 Nakawa-Bugolobi'!J17,'31.07 Nakawa-Bugolobi'!J17,'02.08 Nakawa-Bugolobi'!J17,'01.08 Nakawa-Bugolobi-24h'!J17,'03.08 Nakawa-Bugolobi-24h'!J17,'04.08 Nakawa-Bugolobi'!J17)</f>
        <v>0.7142857142857143</v>
      </c>
      <c r="K17" s="49">
        <f>AVERAGE('29.07 Nakawa-Bugolobi'!K17,'30.07 Nakawa-Bugolobi'!K17,'31.07 Nakawa-Bugolobi'!K17,'02.08 Nakawa-Bugolobi'!K17,'01.08 Nakawa-Bugolobi-24h'!K17,'03.08 Nakawa-Bugolobi-24h'!K17,'04.08 Nakawa-Bugolobi'!K17)</f>
        <v>0.14285714285714285</v>
      </c>
      <c r="L17" s="49">
        <f>AVERAGE('29.07 Nakawa-Bugolobi'!L17,'30.07 Nakawa-Bugolobi'!L17,'31.07 Nakawa-Bugolobi'!L17,'02.08 Nakawa-Bugolobi'!L17,'01.08 Nakawa-Bugolobi-24h'!L17,'03.08 Nakawa-Bugolobi-24h'!L17,'04.08 Nakawa-Bugolobi'!L17)</f>
        <v>0</v>
      </c>
      <c r="M17" s="49">
        <f>AVERAGE('29.07 Nakawa-Bugolobi'!M17,'30.07 Nakawa-Bugolobi'!M17,'31.07 Nakawa-Bugolobi'!M17,'02.08 Nakawa-Bugolobi'!M17,'01.08 Nakawa-Bugolobi-24h'!M17,'03.08 Nakawa-Bugolobi-24h'!M17,'04.08 Nakawa-Bugolobi'!M17)</f>
        <v>133.85714285714286</v>
      </c>
      <c r="N17" s="49">
        <f>AVERAGE('29.07 Nakawa-Bugolobi'!N17,'30.07 Nakawa-Bugolobi'!N17,'31.07 Nakawa-Bugolobi'!N17,'02.08 Nakawa-Bugolobi'!N17,'01.08 Nakawa-Bugolobi-24h'!N17,'03.08 Nakawa-Bugolobi-24h'!N17,'04.08 Nakawa-Bugolobi'!N17)</f>
        <v>0</v>
      </c>
      <c r="O17" s="15">
        <f t="shared" si="0"/>
        <v>139.28571428571428</v>
      </c>
      <c r="P17" s="15">
        <f t="shared" si="1"/>
        <v>273.14285714285711</v>
      </c>
      <c r="R17" s="1" t="s">
        <v>13</v>
      </c>
      <c r="S17" s="17">
        <f t="shared" ref="S17:AF17" si="9">SUM(C38:C41)</f>
        <v>298.71428571428572</v>
      </c>
      <c r="T17" s="17">
        <f t="shared" si="9"/>
        <v>59.142857142857146</v>
      </c>
      <c r="U17" s="17">
        <f t="shared" si="9"/>
        <v>47.142857142857139</v>
      </c>
      <c r="V17" s="17">
        <f t="shared" si="9"/>
        <v>77</v>
      </c>
      <c r="W17" s="17">
        <f t="shared" si="9"/>
        <v>1.857142857142857</v>
      </c>
      <c r="X17" s="17">
        <f t="shared" si="9"/>
        <v>0.14285714285714285</v>
      </c>
      <c r="Y17" s="17">
        <f t="shared" si="9"/>
        <v>10.142857142857142</v>
      </c>
      <c r="Z17" s="17">
        <f t="shared" si="9"/>
        <v>4.8571428571428577</v>
      </c>
      <c r="AA17" s="17">
        <f t="shared" si="9"/>
        <v>2</v>
      </c>
      <c r="AB17" s="17">
        <f t="shared" si="9"/>
        <v>0.99999999999999989</v>
      </c>
      <c r="AC17" s="17">
        <f t="shared" si="9"/>
        <v>398.57142857142856</v>
      </c>
      <c r="AD17" s="17">
        <f t="shared" si="9"/>
        <v>0</v>
      </c>
      <c r="AE17" s="31">
        <f t="shared" si="9"/>
        <v>502</v>
      </c>
      <c r="AF17" s="31">
        <f t="shared" si="9"/>
        <v>900.57142857142856</v>
      </c>
    </row>
    <row r="18" spans="2:32" ht="23.1" customHeight="1" x14ac:dyDescent="0.25">
      <c r="B18" s="23" t="s">
        <v>45</v>
      </c>
      <c r="C18" s="49">
        <f>AVERAGE('29.07 Nakawa-Bugolobi'!C18,'30.07 Nakawa-Bugolobi'!C18,'31.07 Nakawa-Bugolobi'!C18,'02.08 Nakawa-Bugolobi'!C18,'01.08 Nakawa-Bugolobi-24h'!C18,'03.08 Nakawa-Bugolobi-24h'!C18,'04.08 Nakawa-Bugolobi'!C18)</f>
        <v>69</v>
      </c>
      <c r="D18" s="49">
        <f>AVERAGE('29.07 Nakawa-Bugolobi'!D18,'30.07 Nakawa-Bugolobi'!D18,'31.07 Nakawa-Bugolobi'!D18,'02.08 Nakawa-Bugolobi'!D18,'01.08 Nakawa-Bugolobi-24h'!D18,'03.08 Nakawa-Bugolobi-24h'!D18,'04.08 Nakawa-Bugolobi'!D18)</f>
        <v>22.714285714285715</v>
      </c>
      <c r="E18" s="49">
        <f>AVERAGE('29.07 Nakawa-Bugolobi'!E18,'30.07 Nakawa-Bugolobi'!E18,'31.07 Nakawa-Bugolobi'!E18,'02.08 Nakawa-Bugolobi'!E18,'01.08 Nakawa-Bugolobi-24h'!E18,'03.08 Nakawa-Bugolobi-24h'!E18,'04.08 Nakawa-Bugolobi'!E18)</f>
        <v>14.571428571428571</v>
      </c>
      <c r="F18" s="49">
        <f>AVERAGE('29.07 Nakawa-Bugolobi'!F18,'30.07 Nakawa-Bugolobi'!F18,'31.07 Nakawa-Bugolobi'!F18,'02.08 Nakawa-Bugolobi'!F18,'01.08 Nakawa-Bugolobi-24h'!F18,'03.08 Nakawa-Bugolobi-24h'!F18,'04.08 Nakawa-Bugolobi'!F18)</f>
        <v>31.428571428571427</v>
      </c>
      <c r="G18" s="49">
        <f>AVERAGE('29.07 Nakawa-Bugolobi'!G18,'30.07 Nakawa-Bugolobi'!G18,'31.07 Nakawa-Bugolobi'!G18,'02.08 Nakawa-Bugolobi'!G18,'01.08 Nakawa-Bugolobi-24h'!G18,'03.08 Nakawa-Bugolobi-24h'!G18,'04.08 Nakawa-Bugolobi'!G18)</f>
        <v>0.5714285714285714</v>
      </c>
      <c r="H18" s="49">
        <f>AVERAGE('29.07 Nakawa-Bugolobi'!H18,'30.07 Nakawa-Bugolobi'!H18,'31.07 Nakawa-Bugolobi'!H18,'02.08 Nakawa-Bugolobi'!H18,'01.08 Nakawa-Bugolobi-24h'!H18,'03.08 Nakawa-Bugolobi-24h'!H18,'04.08 Nakawa-Bugolobi'!H18)</f>
        <v>0.2857142857142857</v>
      </c>
      <c r="I18" s="49">
        <f>AVERAGE('29.07 Nakawa-Bugolobi'!I18,'30.07 Nakawa-Bugolobi'!I18,'31.07 Nakawa-Bugolobi'!I18,'02.08 Nakawa-Bugolobi'!I18,'01.08 Nakawa-Bugolobi-24h'!I18,'03.08 Nakawa-Bugolobi-24h'!I18,'04.08 Nakawa-Bugolobi'!I18)</f>
        <v>3</v>
      </c>
      <c r="J18" s="49">
        <f>AVERAGE('29.07 Nakawa-Bugolobi'!J18,'30.07 Nakawa-Bugolobi'!J18,'31.07 Nakawa-Bugolobi'!J18,'02.08 Nakawa-Bugolobi'!J18,'01.08 Nakawa-Bugolobi-24h'!J18,'03.08 Nakawa-Bugolobi-24h'!J18,'04.08 Nakawa-Bugolobi'!J18)</f>
        <v>1.1428571428571428</v>
      </c>
      <c r="K18" s="49">
        <f>AVERAGE('29.07 Nakawa-Bugolobi'!K18,'30.07 Nakawa-Bugolobi'!K18,'31.07 Nakawa-Bugolobi'!K18,'02.08 Nakawa-Bugolobi'!K18,'01.08 Nakawa-Bugolobi-24h'!K18,'03.08 Nakawa-Bugolobi-24h'!K18,'04.08 Nakawa-Bugolobi'!K18)</f>
        <v>0.5714285714285714</v>
      </c>
      <c r="L18" s="49">
        <f>AVERAGE('29.07 Nakawa-Bugolobi'!L18,'30.07 Nakawa-Bugolobi'!L18,'31.07 Nakawa-Bugolobi'!L18,'02.08 Nakawa-Bugolobi'!L18,'01.08 Nakawa-Bugolobi-24h'!L18,'03.08 Nakawa-Bugolobi-24h'!L18,'04.08 Nakawa-Bugolobi'!L18)</f>
        <v>0</v>
      </c>
      <c r="M18" s="49">
        <f>AVERAGE('29.07 Nakawa-Bugolobi'!M18,'30.07 Nakawa-Bugolobi'!M18,'31.07 Nakawa-Bugolobi'!M18,'02.08 Nakawa-Bugolobi'!M18,'01.08 Nakawa-Bugolobi-24h'!M18,'03.08 Nakawa-Bugolobi-24h'!M18,'04.08 Nakawa-Bugolobi'!M18)</f>
        <v>131.57142857142858</v>
      </c>
      <c r="N18" s="49">
        <f>AVERAGE('29.07 Nakawa-Bugolobi'!N18,'30.07 Nakawa-Bugolobi'!N18,'31.07 Nakawa-Bugolobi'!N18,'02.08 Nakawa-Bugolobi'!N18,'01.08 Nakawa-Bugolobi-24h'!N18,'03.08 Nakawa-Bugolobi-24h'!N18,'04.08 Nakawa-Bugolobi'!N18)</f>
        <v>0</v>
      </c>
      <c r="O18" s="15">
        <f t="shared" si="0"/>
        <v>143.28571428571431</v>
      </c>
      <c r="P18" s="15">
        <f t="shared" si="1"/>
        <v>274.85714285714289</v>
      </c>
      <c r="R18" s="1" t="s">
        <v>14</v>
      </c>
      <c r="S18" s="17">
        <f t="shared" ref="S18:AF18" si="10">SUM(C42:C45)</f>
        <v>315.57142857142856</v>
      </c>
      <c r="T18" s="17">
        <f t="shared" si="10"/>
        <v>61.571428571428569</v>
      </c>
      <c r="U18" s="17">
        <f t="shared" si="10"/>
        <v>51.428571428571431</v>
      </c>
      <c r="V18" s="17">
        <f t="shared" si="10"/>
        <v>63.571428571428569</v>
      </c>
      <c r="W18" s="17">
        <f t="shared" si="10"/>
        <v>1.857142857142857</v>
      </c>
      <c r="X18" s="17">
        <f t="shared" si="10"/>
        <v>0.5714285714285714</v>
      </c>
      <c r="Y18" s="17">
        <f t="shared" si="10"/>
        <v>9.8571428571428577</v>
      </c>
      <c r="Z18" s="17">
        <f t="shared" si="10"/>
        <v>3.4285714285714284</v>
      </c>
      <c r="AA18" s="17">
        <f t="shared" si="10"/>
        <v>0.71428571428571419</v>
      </c>
      <c r="AB18" s="17">
        <f t="shared" si="10"/>
        <v>0.14285714285714285</v>
      </c>
      <c r="AC18" s="17">
        <f t="shared" si="10"/>
        <v>364.42857142857139</v>
      </c>
      <c r="AD18" s="17">
        <f t="shared" si="10"/>
        <v>0</v>
      </c>
      <c r="AE18" s="31">
        <f t="shared" si="10"/>
        <v>508.71428571428578</v>
      </c>
      <c r="AF18" s="31">
        <f t="shared" si="10"/>
        <v>873.14285714285722</v>
      </c>
    </row>
    <row r="19" spans="2:32" ht="23.1" customHeight="1" x14ac:dyDescent="0.25">
      <c r="B19" s="23" t="s">
        <v>46</v>
      </c>
      <c r="C19" s="49">
        <f>AVERAGE('29.07 Nakawa-Bugolobi'!C19,'30.07 Nakawa-Bugolobi'!C19,'31.07 Nakawa-Bugolobi'!C19,'02.08 Nakawa-Bugolobi'!C19,'01.08 Nakawa-Bugolobi-24h'!C19,'03.08 Nakawa-Bugolobi-24h'!C19,'04.08 Nakawa-Bugolobi'!C19)</f>
        <v>74.714285714285708</v>
      </c>
      <c r="D19" s="49">
        <f>AVERAGE('29.07 Nakawa-Bugolobi'!D19,'30.07 Nakawa-Bugolobi'!D19,'31.07 Nakawa-Bugolobi'!D19,'02.08 Nakawa-Bugolobi'!D19,'01.08 Nakawa-Bugolobi-24h'!D19,'03.08 Nakawa-Bugolobi-24h'!D19,'04.08 Nakawa-Bugolobi'!D19)</f>
        <v>13.428571428571429</v>
      </c>
      <c r="E19" s="49">
        <f>AVERAGE('29.07 Nakawa-Bugolobi'!E19,'30.07 Nakawa-Bugolobi'!E19,'31.07 Nakawa-Bugolobi'!E19,'02.08 Nakawa-Bugolobi'!E19,'01.08 Nakawa-Bugolobi-24h'!E19,'03.08 Nakawa-Bugolobi-24h'!E19,'04.08 Nakawa-Bugolobi'!E19)</f>
        <v>15.714285714285714</v>
      </c>
      <c r="F19" s="49">
        <f>AVERAGE('29.07 Nakawa-Bugolobi'!F19,'30.07 Nakawa-Bugolobi'!F19,'31.07 Nakawa-Bugolobi'!F19,'02.08 Nakawa-Bugolobi'!F19,'01.08 Nakawa-Bugolobi-24h'!F19,'03.08 Nakawa-Bugolobi-24h'!F19,'04.08 Nakawa-Bugolobi'!F19)</f>
        <v>22.714285714285715</v>
      </c>
      <c r="G19" s="49">
        <f>AVERAGE('29.07 Nakawa-Bugolobi'!G19,'30.07 Nakawa-Bugolobi'!G19,'31.07 Nakawa-Bugolobi'!G19,'02.08 Nakawa-Bugolobi'!G19,'01.08 Nakawa-Bugolobi-24h'!G19,'03.08 Nakawa-Bugolobi-24h'!G19,'04.08 Nakawa-Bugolobi'!G19)</f>
        <v>0.8571428571428571</v>
      </c>
      <c r="H19" s="49">
        <f>AVERAGE('29.07 Nakawa-Bugolobi'!H19,'30.07 Nakawa-Bugolobi'!H19,'31.07 Nakawa-Bugolobi'!H19,'02.08 Nakawa-Bugolobi'!H19,'01.08 Nakawa-Bugolobi-24h'!H19,'03.08 Nakawa-Bugolobi-24h'!H19,'04.08 Nakawa-Bugolobi'!H19)</f>
        <v>0.14285714285714285</v>
      </c>
      <c r="I19" s="49">
        <f>AVERAGE('29.07 Nakawa-Bugolobi'!I19,'30.07 Nakawa-Bugolobi'!I19,'31.07 Nakawa-Bugolobi'!I19,'02.08 Nakawa-Bugolobi'!I19,'01.08 Nakawa-Bugolobi-24h'!I19,'03.08 Nakawa-Bugolobi-24h'!I19,'04.08 Nakawa-Bugolobi'!I19)</f>
        <v>3.7142857142857144</v>
      </c>
      <c r="J19" s="49">
        <f>AVERAGE('29.07 Nakawa-Bugolobi'!J19,'30.07 Nakawa-Bugolobi'!J19,'31.07 Nakawa-Bugolobi'!J19,'02.08 Nakawa-Bugolobi'!J19,'01.08 Nakawa-Bugolobi-24h'!J19,'03.08 Nakawa-Bugolobi-24h'!J19,'04.08 Nakawa-Bugolobi'!J19)</f>
        <v>0.7142857142857143</v>
      </c>
      <c r="K19" s="49">
        <f>AVERAGE('29.07 Nakawa-Bugolobi'!K19,'30.07 Nakawa-Bugolobi'!K19,'31.07 Nakawa-Bugolobi'!K19,'02.08 Nakawa-Bugolobi'!K19,'01.08 Nakawa-Bugolobi-24h'!K19,'03.08 Nakawa-Bugolobi-24h'!K19,'04.08 Nakawa-Bugolobi'!K19)</f>
        <v>0</v>
      </c>
      <c r="L19" s="49">
        <f>AVERAGE('29.07 Nakawa-Bugolobi'!L19,'30.07 Nakawa-Bugolobi'!L19,'31.07 Nakawa-Bugolobi'!L19,'02.08 Nakawa-Bugolobi'!L19,'01.08 Nakawa-Bugolobi-24h'!L19,'03.08 Nakawa-Bugolobi-24h'!L19,'04.08 Nakawa-Bugolobi'!L19)</f>
        <v>0.14285714285714285</v>
      </c>
      <c r="M19" s="49">
        <f>AVERAGE('29.07 Nakawa-Bugolobi'!M19,'30.07 Nakawa-Bugolobi'!M19,'31.07 Nakawa-Bugolobi'!M19,'02.08 Nakawa-Bugolobi'!M19,'01.08 Nakawa-Bugolobi-24h'!M19,'03.08 Nakawa-Bugolobi-24h'!M19,'04.08 Nakawa-Bugolobi'!M19)</f>
        <v>139.28571428571428</v>
      </c>
      <c r="N19" s="49">
        <f>AVERAGE('29.07 Nakawa-Bugolobi'!N19,'30.07 Nakawa-Bugolobi'!N19,'31.07 Nakawa-Bugolobi'!N19,'02.08 Nakawa-Bugolobi'!N19,'01.08 Nakawa-Bugolobi-24h'!N19,'03.08 Nakawa-Bugolobi-24h'!N19,'04.08 Nakawa-Bugolobi'!N19)</f>
        <v>0.14285714285714285</v>
      </c>
      <c r="O19" s="15">
        <f t="shared" si="0"/>
        <v>132.28571428571428</v>
      </c>
      <c r="P19" s="15">
        <f t="shared" si="1"/>
        <v>271.57142857142861</v>
      </c>
      <c r="R19" s="1" t="s">
        <v>15</v>
      </c>
      <c r="S19" s="17">
        <f t="shared" ref="S19:AF19" si="11">SUM(C46:C49)</f>
        <v>348.28571428571428</v>
      </c>
      <c r="T19" s="17">
        <f t="shared" si="11"/>
        <v>86.142857142857139</v>
      </c>
      <c r="U19" s="17">
        <f t="shared" si="11"/>
        <v>64.142857142857139</v>
      </c>
      <c r="V19" s="17">
        <f t="shared" si="11"/>
        <v>74.714285714285708</v>
      </c>
      <c r="W19" s="17">
        <f t="shared" si="11"/>
        <v>2.5714285714285716</v>
      </c>
      <c r="X19" s="17">
        <f t="shared" si="11"/>
        <v>0.14285714285714285</v>
      </c>
      <c r="Y19" s="17">
        <f t="shared" si="11"/>
        <v>11.857142857142858</v>
      </c>
      <c r="Z19" s="17">
        <f t="shared" si="11"/>
        <v>5.8571428571428577</v>
      </c>
      <c r="AA19" s="17">
        <f t="shared" si="11"/>
        <v>0.5714285714285714</v>
      </c>
      <c r="AB19" s="17">
        <f t="shared" si="11"/>
        <v>0.42857142857142855</v>
      </c>
      <c r="AC19" s="17">
        <f t="shared" si="11"/>
        <v>406.71428571428572</v>
      </c>
      <c r="AD19" s="17">
        <f t="shared" si="11"/>
        <v>0</v>
      </c>
      <c r="AE19" s="31">
        <f t="shared" si="11"/>
        <v>594.71428571428578</v>
      </c>
      <c r="AF19" s="31">
        <f t="shared" si="11"/>
        <v>1001.4285714285714</v>
      </c>
    </row>
    <row r="20" spans="2:32" ht="23.1" customHeight="1" x14ac:dyDescent="0.25">
      <c r="B20" s="23" t="s">
        <v>47</v>
      </c>
      <c r="C20" s="49">
        <f>AVERAGE('29.07 Nakawa-Bugolobi'!C20,'30.07 Nakawa-Bugolobi'!C20,'31.07 Nakawa-Bugolobi'!C20,'02.08 Nakawa-Bugolobi'!C20,'01.08 Nakawa-Bugolobi-24h'!C20,'03.08 Nakawa-Bugolobi-24h'!C20,'04.08 Nakawa-Bugolobi'!C20)</f>
        <v>72</v>
      </c>
      <c r="D20" s="49">
        <f>AVERAGE('29.07 Nakawa-Bugolobi'!D20,'30.07 Nakawa-Bugolobi'!D20,'31.07 Nakawa-Bugolobi'!D20,'02.08 Nakawa-Bugolobi'!D20,'01.08 Nakawa-Bugolobi-24h'!D20,'03.08 Nakawa-Bugolobi-24h'!D20,'04.08 Nakawa-Bugolobi'!D20)</f>
        <v>13.285714285714286</v>
      </c>
      <c r="E20" s="49">
        <f>AVERAGE('29.07 Nakawa-Bugolobi'!E20,'30.07 Nakawa-Bugolobi'!E20,'31.07 Nakawa-Bugolobi'!E20,'02.08 Nakawa-Bugolobi'!E20,'01.08 Nakawa-Bugolobi-24h'!E20,'03.08 Nakawa-Bugolobi-24h'!E20,'04.08 Nakawa-Bugolobi'!E20)</f>
        <v>14.285714285714286</v>
      </c>
      <c r="F20" s="49">
        <f>AVERAGE('29.07 Nakawa-Bugolobi'!F20,'30.07 Nakawa-Bugolobi'!F20,'31.07 Nakawa-Bugolobi'!F20,'02.08 Nakawa-Bugolobi'!F20,'01.08 Nakawa-Bugolobi-24h'!F20,'03.08 Nakawa-Bugolobi-24h'!F20,'04.08 Nakawa-Bugolobi'!F20)</f>
        <v>20.428571428571427</v>
      </c>
      <c r="G20" s="49">
        <f>AVERAGE('29.07 Nakawa-Bugolobi'!G20,'30.07 Nakawa-Bugolobi'!G20,'31.07 Nakawa-Bugolobi'!G20,'02.08 Nakawa-Bugolobi'!G20,'01.08 Nakawa-Bugolobi-24h'!G20,'03.08 Nakawa-Bugolobi-24h'!G20,'04.08 Nakawa-Bugolobi'!G20)</f>
        <v>0.7142857142857143</v>
      </c>
      <c r="H20" s="49">
        <f>AVERAGE('29.07 Nakawa-Bugolobi'!H20,'30.07 Nakawa-Bugolobi'!H20,'31.07 Nakawa-Bugolobi'!H20,'02.08 Nakawa-Bugolobi'!H20,'01.08 Nakawa-Bugolobi-24h'!H20,'03.08 Nakawa-Bugolobi-24h'!H20,'04.08 Nakawa-Bugolobi'!H20)</f>
        <v>0</v>
      </c>
      <c r="I20" s="49">
        <f>AVERAGE('29.07 Nakawa-Bugolobi'!I20,'30.07 Nakawa-Bugolobi'!I20,'31.07 Nakawa-Bugolobi'!I20,'02.08 Nakawa-Bugolobi'!I20,'01.08 Nakawa-Bugolobi-24h'!I20,'03.08 Nakawa-Bugolobi-24h'!I20,'04.08 Nakawa-Bugolobi'!I20)</f>
        <v>2.4285714285714284</v>
      </c>
      <c r="J20" s="49">
        <f>AVERAGE('29.07 Nakawa-Bugolobi'!J20,'30.07 Nakawa-Bugolobi'!J20,'31.07 Nakawa-Bugolobi'!J20,'02.08 Nakawa-Bugolobi'!J20,'01.08 Nakawa-Bugolobi-24h'!J20,'03.08 Nakawa-Bugolobi-24h'!J20,'04.08 Nakawa-Bugolobi'!J20)</f>
        <v>0.42857142857142855</v>
      </c>
      <c r="K20" s="49">
        <f>AVERAGE('29.07 Nakawa-Bugolobi'!K20,'30.07 Nakawa-Bugolobi'!K20,'31.07 Nakawa-Bugolobi'!K20,'02.08 Nakawa-Bugolobi'!K20,'01.08 Nakawa-Bugolobi-24h'!K20,'03.08 Nakawa-Bugolobi-24h'!K20,'04.08 Nakawa-Bugolobi'!K20)</f>
        <v>0.2857142857142857</v>
      </c>
      <c r="L20" s="49">
        <f>AVERAGE('29.07 Nakawa-Bugolobi'!L20,'30.07 Nakawa-Bugolobi'!L20,'31.07 Nakawa-Bugolobi'!L20,'02.08 Nakawa-Bugolobi'!L20,'01.08 Nakawa-Bugolobi-24h'!L20,'03.08 Nakawa-Bugolobi-24h'!L20,'04.08 Nakawa-Bugolobi'!L20)</f>
        <v>0.14285714285714285</v>
      </c>
      <c r="M20" s="49">
        <f>AVERAGE('29.07 Nakawa-Bugolobi'!M20,'30.07 Nakawa-Bugolobi'!M20,'31.07 Nakawa-Bugolobi'!M20,'02.08 Nakawa-Bugolobi'!M20,'01.08 Nakawa-Bugolobi-24h'!M20,'03.08 Nakawa-Bugolobi-24h'!M20,'04.08 Nakawa-Bugolobi'!M20)</f>
        <v>124.57142857142857</v>
      </c>
      <c r="N20" s="49">
        <f>AVERAGE('29.07 Nakawa-Bugolobi'!N20,'30.07 Nakawa-Bugolobi'!N20,'31.07 Nakawa-Bugolobi'!N20,'02.08 Nakawa-Bugolobi'!N20,'01.08 Nakawa-Bugolobi-24h'!N20,'03.08 Nakawa-Bugolobi-24h'!N20,'04.08 Nakawa-Bugolobi'!N20)</f>
        <v>0</v>
      </c>
      <c r="O20" s="15">
        <f t="shared" si="0"/>
        <v>124.00000000000001</v>
      </c>
      <c r="P20" s="15">
        <f t="shared" si="1"/>
        <v>248.57142857142858</v>
      </c>
      <c r="R20" s="1" t="s">
        <v>16</v>
      </c>
      <c r="S20" s="17">
        <f t="shared" ref="S20:AF20" si="12">SUM(C50:C53)</f>
        <v>391.57142857142856</v>
      </c>
      <c r="T20" s="17">
        <f t="shared" si="12"/>
        <v>90.142857142857139</v>
      </c>
      <c r="U20" s="17">
        <f t="shared" si="12"/>
        <v>57.714285714285708</v>
      </c>
      <c r="V20" s="17">
        <f t="shared" si="12"/>
        <v>62.571428571428569</v>
      </c>
      <c r="W20" s="17">
        <f t="shared" si="12"/>
        <v>2.8571428571428572</v>
      </c>
      <c r="X20" s="17">
        <f t="shared" si="12"/>
        <v>0.42857142857142855</v>
      </c>
      <c r="Y20" s="17">
        <f t="shared" si="12"/>
        <v>9.4285714285714288</v>
      </c>
      <c r="Z20" s="17">
        <f t="shared" si="12"/>
        <v>4.9999999999999991</v>
      </c>
      <c r="AA20" s="17">
        <f t="shared" si="12"/>
        <v>0.2857142857142857</v>
      </c>
      <c r="AB20" s="17">
        <f t="shared" si="12"/>
        <v>0.85714285714285698</v>
      </c>
      <c r="AC20" s="17">
        <f t="shared" si="12"/>
        <v>532</v>
      </c>
      <c r="AD20" s="17">
        <f t="shared" si="12"/>
        <v>0</v>
      </c>
      <c r="AE20" s="31">
        <f t="shared" si="12"/>
        <v>620.85714285714289</v>
      </c>
      <c r="AF20" s="31">
        <f t="shared" si="12"/>
        <v>1152.8571428571429</v>
      </c>
    </row>
    <row r="21" spans="2:32" ht="23.1" customHeight="1" x14ac:dyDescent="0.25">
      <c r="B21" s="23" t="s">
        <v>48</v>
      </c>
      <c r="C21" s="49">
        <f>AVERAGE('29.07 Nakawa-Bugolobi'!C21,'30.07 Nakawa-Bugolobi'!C21,'31.07 Nakawa-Bugolobi'!C21,'02.08 Nakawa-Bugolobi'!C21,'01.08 Nakawa-Bugolobi-24h'!C21,'03.08 Nakawa-Bugolobi-24h'!C21,'04.08 Nakawa-Bugolobi'!C21)</f>
        <v>66</v>
      </c>
      <c r="D21" s="49">
        <f>AVERAGE('29.07 Nakawa-Bugolobi'!D21,'30.07 Nakawa-Bugolobi'!D21,'31.07 Nakawa-Bugolobi'!D21,'02.08 Nakawa-Bugolobi'!D21,'01.08 Nakawa-Bugolobi-24h'!D21,'03.08 Nakawa-Bugolobi-24h'!D21,'04.08 Nakawa-Bugolobi'!D21)</f>
        <v>20</v>
      </c>
      <c r="E21" s="49">
        <f>AVERAGE('29.07 Nakawa-Bugolobi'!E21,'30.07 Nakawa-Bugolobi'!E21,'31.07 Nakawa-Bugolobi'!E21,'02.08 Nakawa-Bugolobi'!E21,'01.08 Nakawa-Bugolobi-24h'!E21,'03.08 Nakawa-Bugolobi-24h'!E21,'04.08 Nakawa-Bugolobi'!E21)</f>
        <v>9.4285714285714288</v>
      </c>
      <c r="F21" s="49">
        <f>AVERAGE('29.07 Nakawa-Bugolobi'!F21,'30.07 Nakawa-Bugolobi'!F21,'31.07 Nakawa-Bugolobi'!F21,'02.08 Nakawa-Bugolobi'!F21,'01.08 Nakawa-Bugolobi-24h'!F21,'03.08 Nakawa-Bugolobi-24h'!F21,'04.08 Nakawa-Bugolobi'!F21)</f>
        <v>14.857142857142858</v>
      </c>
      <c r="G21" s="49">
        <f>AVERAGE('29.07 Nakawa-Bugolobi'!G21,'30.07 Nakawa-Bugolobi'!G21,'31.07 Nakawa-Bugolobi'!G21,'02.08 Nakawa-Bugolobi'!G21,'01.08 Nakawa-Bugolobi-24h'!G21,'03.08 Nakawa-Bugolobi-24h'!G21,'04.08 Nakawa-Bugolobi'!G21)</f>
        <v>0.2857142857142857</v>
      </c>
      <c r="H21" s="49">
        <f>AVERAGE('29.07 Nakawa-Bugolobi'!H21,'30.07 Nakawa-Bugolobi'!H21,'31.07 Nakawa-Bugolobi'!H21,'02.08 Nakawa-Bugolobi'!H21,'01.08 Nakawa-Bugolobi-24h'!H21,'03.08 Nakawa-Bugolobi-24h'!H21,'04.08 Nakawa-Bugolobi'!H21)</f>
        <v>0.14285714285714285</v>
      </c>
      <c r="I21" s="49">
        <f>AVERAGE('29.07 Nakawa-Bugolobi'!I21,'30.07 Nakawa-Bugolobi'!I21,'31.07 Nakawa-Bugolobi'!I21,'02.08 Nakawa-Bugolobi'!I21,'01.08 Nakawa-Bugolobi-24h'!I21,'03.08 Nakawa-Bugolobi-24h'!I21,'04.08 Nakawa-Bugolobi'!I21)</f>
        <v>2.4285714285714284</v>
      </c>
      <c r="J21" s="49">
        <f>AVERAGE('29.07 Nakawa-Bugolobi'!J21,'30.07 Nakawa-Bugolobi'!J21,'31.07 Nakawa-Bugolobi'!J21,'02.08 Nakawa-Bugolobi'!J21,'01.08 Nakawa-Bugolobi-24h'!J21,'03.08 Nakawa-Bugolobi-24h'!J21,'04.08 Nakawa-Bugolobi'!J21)</f>
        <v>1</v>
      </c>
      <c r="K21" s="49">
        <f>AVERAGE('29.07 Nakawa-Bugolobi'!K21,'30.07 Nakawa-Bugolobi'!K21,'31.07 Nakawa-Bugolobi'!K21,'02.08 Nakawa-Bugolobi'!K21,'01.08 Nakawa-Bugolobi-24h'!K21,'03.08 Nakawa-Bugolobi-24h'!K21,'04.08 Nakawa-Bugolobi'!K21)</f>
        <v>0.7142857142857143</v>
      </c>
      <c r="L21" s="49">
        <f>AVERAGE('29.07 Nakawa-Bugolobi'!L21,'30.07 Nakawa-Bugolobi'!L21,'31.07 Nakawa-Bugolobi'!L21,'02.08 Nakawa-Bugolobi'!L21,'01.08 Nakawa-Bugolobi-24h'!L21,'03.08 Nakawa-Bugolobi-24h'!L21,'04.08 Nakawa-Bugolobi'!L21)</f>
        <v>0</v>
      </c>
      <c r="M21" s="49">
        <f>AVERAGE('29.07 Nakawa-Bugolobi'!M21,'30.07 Nakawa-Bugolobi'!M21,'31.07 Nakawa-Bugolobi'!M21,'02.08 Nakawa-Bugolobi'!M21,'01.08 Nakawa-Bugolobi-24h'!M21,'03.08 Nakawa-Bugolobi-24h'!M21,'04.08 Nakawa-Bugolobi'!M21)</f>
        <v>118.42857142857143</v>
      </c>
      <c r="N21" s="49">
        <f>AVERAGE('29.07 Nakawa-Bugolobi'!N21,'30.07 Nakawa-Bugolobi'!N21,'31.07 Nakawa-Bugolobi'!N21,'02.08 Nakawa-Bugolobi'!N21,'01.08 Nakawa-Bugolobi-24h'!N21,'03.08 Nakawa-Bugolobi-24h'!N21,'04.08 Nakawa-Bugolobi'!N21)</f>
        <v>0</v>
      </c>
      <c r="O21" s="15">
        <f t="shared" si="0"/>
        <v>114.85714285714286</v>
      </c>
      <c r="P21" s="15">
        <f t="shared" si="1"/>
        <v>233.28571428571428</v>
      </c>
      <c r="R21" s="36" t="s">
        <v>20</v>
      </c>
      <c r="S21" s="34">
        <f t="shared" ref="S21:AF21" si="13">SUM(C54:C57)</f>
        <v>305.71428571428572</v>
      </c>
      <c r="T21" s="17">
        <f t="shared" si="13"/>
        <v>68.714285714285708</v>
      </c>
      <c r="U21" s="17">
        <f t="shared" si="13"/>
        <v>50.285714285714292</v>
      </c>
      <c r="V21" s="17">
        <f t="shared" si="13"/>
        <v>66</v>
      </c>
      <c r="W21" s="17">
        <f t="shared" si="13"/>
        <v>2.7142857142857144</v>
      </c>
      <c r="X21" s="17">
        <f t="shared" si="13"/>
        <v>0.42857142857142855</v>
      </c>
      <c r="Y21" s="17">
        <f t="shared" si="13"/>
        <v>9.7142857142857135</v>
      </c>
      <c r="Z21" s="17">
        <f t="shared" si="13"/>
        <v>3.7142857142857144</v>
      </c>
      <c r="AA21" s="17">
        <f t="shared" si="13"/>
        <v>0.14285714285714285</v>
      </c>
      <c r="AB21" s="17">
        <f t="shared" si="13"/>
        <v>0.71428571428571419</v>
      </c>
      <c r="AC21" s="17">
        <f t="shared" si="13"/>
        <v>456.85714285714289</v>
      </c>
      <c r="AD21" s="17">
        <f t="shared" si="13"/>
        <v>0</v>
      </c>
      <c r="AE21" s="31">
        <f t="shared" si="13"/>
        <v>508.14285714285717</v>
      </c>
      <c r="AF21" s="31">
        <f t="shared" si="13"/>
        <v>964.99999999999989</v>
      </c>
    </row>
    <row r="22" spans="2:32" ht="23.1" customHeight="1" x14ac:dyDescent="0.25">
      <c r="B22" s="23" t="s">
        <v>49</v>
      </c>
      <c r="C22" s="49">
        <f>AVERAGE('29.07 Nakawa-Bugolobi'!C22,'30.07 Nakawa-Bugolobi'!C22,'31.07 Nakawa-Bugolobi'!C22,'02.08 Nakawa-Bugolobi'!C22,'01.08 Nakawa-Bugolobi-24h'!C22,'03.08 Nakawa-Bugolobi-24h'!C22,'04.08 Nakawa-Bugolobi'!C22)</f>
        <v>64.714285714285708</v>
      </c>
      <c r="D22" s="49">
        <f>AVERAGE('29.07 Nakawa-Bugolobi'!D22,'30.07 Nakawa-Bugolobi'!D22,'31.07 Nakawa-Bugolobi'!D22,'02.08 Nakawa-Bugolobi'!D22,'01.08 Nakawa-Bugolobi-24h'!D22,'03.08 Nakawa-Bugolobi-24h'!D22,'04.08 Nakawa-Bugolobi'!D22)</f>
        <v>16.428571428571427</v>
      </c>
      <c r="E22" s="49">
        <f>AVERAGE('29.07 Nakawa-Bugolobi'!E22,'30.07 Nakawa-Bugolobi'!E22,'31.07 Nakawa-Bugolobi'!E22,'02.08 Nakawa-Bugolobi'!E22,'01.08 Nakawa-Bugolobi-24h'!E22,'03.08 Nakawa-Bugolobi-24h'!E22,'04.08 Nakawa-Bugolobi'!E22)</f>
        <v>13</v>
      </c>
      <c r="F22" s="49">
        <f>AVERAGE('29.07 Nakawa-Bugolobi'!F22,'30.07 Nakawa-Bugolobi'!F22,'31.07 Nakawa-Bugolobi'!F22,'02.08 Nakawa-Bugolobi'!F22,'01.08 Nakawa-Bugolobi-24h'!F22,'03.08 Nakawa-Bugolobi-24h'!F22,'04.08 Nakawa-Bugolobi'!F22)</f>
        <v>20.571428571428573</v>
      </c>
      <c r="G22" s="49">
        <f>AVERAGE('29.07 Nakawa-Bugolobi'!G22,'30.07 Nakawa-Bugolobi'!G22,'31.07 Nakawa-Bugolobi'!G22,'02.08 Nakawa-Bugolobi'!G22,'01.08 Nakawa-Bugolobi-24h'!G22,'03.08 Nakawa-Bugolobi-24h'!G22,'04.08 Nakawa-Bugolobi'!G22)</f>
        <v>0.2857142857142857</v>
      </c>
      <c r="H22" s="49">
        <f>AVERAGE('29.07 Nakawa-Bugolobi'!H22,'30.07 Nakawa-Bugolobi'!H22,'31.07 Nakawa-Bugolobi'!H22,'02.08 Nakawa-Bugolobi'!H22,'01.08 Nakawa-Bugolobi-24h'!H22,'03.08 Nakawa-Bugolobi-24h'!H22,'04.08 Nakawa-Bugolobi'!H22)</f>
        <v>0</v>
      </c>
      <c r="I22" s="49">
        <f>AVERAGE('29.07 Nakawa-Bugolobi'!I22,'30.07 Nakawa-Bugolobi'!I22,'31.07 Nakawa-Bugolobi'!I22,'02.08 Nakawa-Bugolobi'!I22,'01.08 Nakawa-Bugolobi-24h'!I22,'03.08 Nakawa-Bugolobi-24h'!I22,'04.08 Nakawa-Bugolobi'!I22)</f>
        <v>2.8571428571428572</v>
      </c>
      <c r="J22" s="49">
        <f>AVERAGE('29.07 Nakawa-Bugolobi'!J22,'30.07 Nakawa-Bugolobi'!J22,'31.07 Nakawa-Bugolobi'!J22,'02.08 Nakawa-Bugolobi'!J22,'01.08 Nakawa-Bugolobi-24h'!J22,'03.08 Nakawa-Bugolobi-24h'!J22,'04.08 Nakawa-Bugolobi'!J22)</f>
        <v>1</v>
      </c>
      <c r="K22" s="49">
        <f>AVERAGE('29.07 Nakawa-Bugolobi'!K22,'30.07 Nakawa-Bugolobi'!K22,'31.07 Nakawa-Bugolobi'!K22,'02.08 Nakawa-Bugolobi'!K22,'01.08 Nakawa-Bugolobi-24h'!K22,'03.08 Nakawa-Bugolobi-24h'!K22,'04.08 Nakawa-Bugolobi'!K22)</f>
        <v>0</v>
      </c>
      <c r="L22" s="49">
        <f>AVERAGE('29.07 Nakawa-Bugolobi'!L22,'30.07 Nakawa-Bugolobi'!L22,'31.07 Nakawa-Bugolobi'!L22,'02.08 Nakawa-Bugolobi'!L22,'01.08 Nakawa-Bugolobi-24h'!L22,'03.08 Nakawa-Bugolobi-24h'!L22,'04.08 Nakawa-Bugolobi'!L22)</f>
        <v>0.14285714285714285</v>
      </c>
      <c r="M22" s="49">
        <f>AVERAGE('29.07 Nakawa-Bugolobi'!M22,'30.07 Nakawa-Bugolobi'!M22,'31.07 Nakawa-Bugolobi'!M22,'02.08 Nakawa-Bugolobi'!M22,'01.08 Nakawa-Bugolobi-24h'!M22,'03.08 Nakawa-Bugolobi-24h'!M22,'04.08 Nakawa-Bugolobi'!M22)</f>
        <v>119.71428571428571</v>
      </c>
      <c r="N22" s="49">
        <f>AVERAGE('29.07 Nakawa-Bugolobi'!N22,'30.07 Nakawa-Bugolobi'!N22,'31.07 Nakawa-Bugolobi'!N22,'02.08 Nakawa-Bugolobi'!N22,'01.08 Nakawa-Bugolobi-24h'!N22,'03.08 Nakawa-Bugolobi-24h'!N22,'04.08 Nakawa-Bugolobi'!N22)</f>
        <v>0</v>
      </c>
      <c r="O22" s="15">
        <f t="shared" si="0"/>
        <v>119</v>
      </c>
      <c r="P22" s="15">
        <f t="shared" si="1"/>
        <v>238.71428571428572</v>
      </c>
      <c r="R22" s="1" t="s">
        <v>146</v>
      </c>
      <c r="S22" s="34">
        <f>SUM(C58:C61)</f>
        <v>249</v>
      </c>
      <c r="T22" s="34">
        <f t="shared" ref="T22:AF22" si="14">SUM(D58:D61)</f>
        <v>45</v>
      </c>
      <c r="U22" s="34">
        <f t="shared" si="14"/>
        <v>59.5</v>
      </c>
      <c r="V22" s="34">
        <f t="shared" si="14"/>
        <v>47.5</v>
      </c>
      <c r="W22" s="34">
        <f t="shared" si="14"/>
        <v>2.5</v>
      </c>
      <c r="X22" s="34">
        <f t="shared" si="14"/>
        <v>0</v>
      </c>
      <c r="Y22" s="34">
        <f t="shared" si="14"/>
        <v>18</v>
      </c>
      <c r="Z22" s="34">
        <f t="shared" si="14"/>
        <v>2.5</v>
      </c>
      <c r="AA22" s="34">
        <f t="shared" si="14"/>
        <v>1</v>
      </c>
      <c r="AB22" s="34">
        <f t="shared" si="14"/>
        <v>0.5</v>
      </c>
      <c r="AC22" s="34">
        <f t="shared" si="14"/>
        <v>310</v>
      </c>
      <c r="AD22" s="34">
        <f t="shared" si="14"/>
        <v>0</v>
      </c>
      <c r="AE22" s="31">
        <f t="shared" si="14"/>
        <v>425.5</v>
      </c>
      <c r="AF22" s="31">
        <f t="shared" si="14"/>
        <v>735.5</v>
      </c>
    </row>
    <row r="23" spans="2:32" ht="23.1" customHeight="1" x14ac:dyDescent="0.25">
      <c r="B23" s="23" t="s">
        <v>50</v>
      </c>
      <c r="C23" s="49">
        <f>AVERAGE('29.07 Nakawa-Bugolobi'!C23,'30.07 Nakawa-Bugolobi'!C23,'31.07 Nakawa-Bugolobi'!C23,'02.08 Nakawa-Bugolobi'!C23,'01.08 Nakawa-Bugolobi-24h'!C23,'03.08 Nakawa-Bugolobi-24h'!C23,'04.08 Nakawa-Bugolobi'!C23)</f>
        <v>59.714285714285715</v>
      </c>
      <c r="D23" s="49">
        <f>AVERAGE('29.07 Nakawa-Bugolobi'!D23,'30.07 Nakawa-Bugolobi'!D23,'31.07 Nakawa-Bugolobi'!D23,'02.08 Nakawa-Bugolobi'!D23,'01.08 Nakawa-Bugolobi-24h'!D23,'03.08 Nakawa-Bugolobi-24h'!D23,'04.08 Nakawa-Bugolobi'!D23)</f>
        <v>14.571428571428571</v>
      </c>
      <c r="E23" s="49">
        <f>AVERAGE('29.07 Nakawa-Bugolobi'!E23,'30.07 Nakawa-Bugolobi'!E23,'31.07 Nakawa-Bugolobi'!E23,'02.08 Nakawa-Bugolobi'!E23,'01.08 Nakawa-Bugolobi-24h'!E23,'03.08 Nakawa-Bugolobi-24h'!E23,'04.08 Nakawa-Bugolobi'!E23)</f>
        <v>17.714285714285715</v>
      </c>
      <c r="F23" s="49">
        <f>AVERAGE('29.07 Nakawa-Bugolobi'!F23,'30.07 Nakawa-Bugolobi'!F23,'31.07 Nakawa-Bugolobi'!F23,'02.08 Nakawa-Bugolobi'!F23,'01.08 Nakawa-Bugolobi-24h'!F23,'03.08 Nakawa-Bugolobi-24h'!F23,'04.08 Nakawa-Bugolobi'!F23)</f>
        <v>17.142857142857142</v>
      </c>
      <c r="G23" s="49">
        <f>AVERAGE('29.07 Nakawa-Bugolobi'!G23,'30.07 Nakawa-Bugolobi'!G23,'31.07 Nakawa-Bugolobi'!G23,'02.08 Nakawa-Bugolobi'!G23,'01.08 Nakawa-Bugolobi-24h'!G23,'03.08 Nakawa-Bugolobi-24h'!G23,'04.08 Nakawa-Bugolobi'!G23)</f>
        <v>0.5714285714285714</v>
      </c>
      <c r="H23" s="49">
        <f>AVERAGE('29.07 Nakawa-Bugolobi'!H23,'30.07 Nakawa-Bugolobi'!H23,'31.07 Nakawa-Bugolobi'!H23,'02.08 Nakawa-Bugolobi'!H23,'01.08 Nakawa-Bugolobi-24h'!H23,'03.08 Nakawa-Bugolobi-24h'!H23,'04.08 Nakawa-Bugolobi'!H23)</f>
        <v>0.14285714285714285</v>
      </c>
      <c r="I23" s="49">
        <f>AVERAGE('29.07 Nakawa-Bugolobi'!I23,'30.07 Nakawa-Bugolobi'!I23,'31.07 Nakawa-Bugolobi'!I23,'02.08 Nakawa-Bugolobi'!I23,'01.08 Nakawa-Bugolobi-24h'!I23,'03.08 Nakawa-Bugolobi-24h'!I23,'04.08 Nakawa-Bugolobi'!I23)</f>
        <v>3.2857142857142856</v>
      </c>
      <c r="J23" s="49">
        <f>AVERAGE('29.07 Nakawa-Bugolobi'!J23,'30.07 Nakawa-Bugolobi'!J23,'31.07 Nakawa-Bugolobi'!J23,'02.08 Nakawa-Bugolobi'!J23,'01.08 Nakawa-Bugolobi-24h'!J23,'03.08 Nakawa-Bugolobi-24h'!J23,'04.08 Nakawa-Bugolobi'!J23)</f>
        <v>1.5714285714285714</v>
      </c>
      <c r="K23" s="49">
        <f>AVERAGE('29.07 Nakawa-Bugolobi'!K23,'30.07 Nakawa-Bugolobi'!K23,'31.07 Nakawa-Bugolobi'!K23,'02.08 Nakawa-Bugolobi'!K23,'01.08 Nakawa-Bugolobi-24h'!K23,'03.08 Nakawa-Bugolobi-24h'!K23,'04.08 Nakawa-Bugolobi'!K23)</f>
        <v>0.2857142857142857</v>
      </c>
      <c r="L23" s="49">
        <f>AVERAGE('29.07 Nakawa-Bugolobi'!L23,'30.07 Nakawa-Bugolobi'!L23,'31.07 Nakawa-Bugolobi'!L23,'02.08 Nakawa-Bugolobi'!L23,'01.08 Nakawa-Bugolobi-24h'!L23,'03.08 Nakawa-Bugolobi-24h'!L23,'04.08 Nakawa-Bugolobi'!L23)</f>
        <v>0</v>
      </c>
      <c r="M23" s="49">
        <f>AVERAGE('29.07 Nakawa-Bugolobi'!M23,'30.07 Nakawa-Bugolobi'!M23,'31.07 Nakawa-Bugolobi'!M23,'02.08 Nakawa-Bugolobi'!M23,'01.08 Nakawa-Bugolobi-24h'!M23,'03.08 Nakawa-Bugolobi-24h'!M23,'04.08 Nakawa-Bugolobi'!M23)</f>
        <v>112.42857142857143</v>
      </c>
      <c r="N23" s="49">
        <f>AVERAGE('29.07 Nakawa-Bugolobi'!N23,'30.07 Nakawa-Bugolobi'!N23,'31.07 Nakawa-Bugolobi'!N23,'02.08 Nakawa-Bugolobi'!N23,'01.08 Nakawa-Bugolobi-24h'!N23,'03.08 Nakawa-Bugolobi-24h'!N23,'04.08 Nakawa-Bugolobi'!N23)</f>
        <v>0</v>
      </c>
      <c r="O23" s="15">
        <f t="shared" si="0"/>
        <v>115</v>
      </c>
      <c r="P23" s="15">
        <f t="shared" si="1"/>
        <v>227.42857142857144</v>
      </c>
      <c r="R23" s="1" t="s">
        <v>147</v>
      </c>
      <c r="S23" s="34">
        <f>SUM(C62:C65)</f>
        <v>192.5</v>
      </c>
      <c r="T23" s="34">
        <f t="shared" ref="T23:AF23" si="15">SUM(D62:D65)</f>
        <v>40</v>
      </c>
      <c r="U23" s="34">
        <f t="shared" si="15"/>
        <v>40</v>
      </c>
      <c r="V23" s="34">
        <f t="shared" si="15"/>
        <v>47.5</v>
      </c>
      <c r="W23" s="34">
        <f t="shared" si="15"/>
        <v>0.5</v>
      </c>
      <c r="X23" s="34">
        <f t="shared" si="15"/>
        <v>0</v>
      </c>
      <c r="Y23" s="34">
        <f t="shared" si="15"/>
        <v>6</v>
      </c>
      <c r="Z23" s="34">
        <f t="shared" si="15"/>
        <v>2.5</v>
      </c>
      <c r="AA23" s="34">
        <f t="shared" si="15"/>
        <v>1</v>
      </c>
      <c r="AB23" s="34">
        <f t="shared" si="15"/>
        <v>0.5</v>
      </c>
      <c r="AC23" s="34">
        <f t="shared" si="15"/>
        <v>252</v>
      </c>
      <c r="AD23" s="34">
        <f t="shared" si="15"/>
        <v>0</v>
      </c>
      <c r="AE23" s="31">
        <f t="shared" si="15"/>
        <v>330.5</v>
      </c>
      <c r="AF23" s="31">
        <f t="shared" si="15"/>
        <v>582.5</v>
      </c>
    </row>
    <row r="24" spans="2:32" ht="23.1" customHeight="1" x14ac:dyDescent="0.25">
      <c r="B24" s="23" t="s">
        <v>51</v>
      </c>
      <c r="C24" s="49">
        <f>AVERAGE('29.07 Nakawa-Bugolobi'!C24,'30.07 Nakawa-Bugolobi'!C24,'31.07 Nakawa-Bugolobi'!C24,'02.08 Nakawa-Bugolobi'!C24,'01.08 Nakawa-Bugolobi-24h'!C24,'03.08 Nakawa-Bugolobi-24h'!C24,'04.08 Nakawa-Bugolobi'!C24)</f>
        <v>64</v>
      </c>
      <c r="D24" s="49">
        <f>AVERAGE('29.07 Nakawa-Bugolobi'!D24,'30.07 Nakawa-Bugolobi'!D24,'31.07 Nakawa-Bugolobi'!D24,'02.08 Nakawa-Bugolobi'!D24,'01.08 Nakawa-Bugolobi-24h'!D24,'03.08 Nakawa-Bugolobi-24h'!D24,'04.08 Nakawa-Bugolobi'!D24)</f>
        <v>14.428571428571429</v>
      </c>
      <c r="E24" s="49">
        <f>AVERAGE('29.07 Nakawa-Bugolobi'!E24,'30.07 Nakawa-Bugolobi'!E24,'31.07 Nakawa-Bugolobi'!E24,'02.08 Nakawa-Bugolobi'!E24,'01.08 Nakawa-Bugolobi-24h'!E24,'03.08 Nakawa-Bugolobi-24h'!E24,'04.08 Nakawa-Bugolobi'!E24)</f>
        <v>11.428571428571429</v>
      </c>
      <c r="F24" s="49">
        <f>AVERAGE('29.07 Nakawa-Bugolobi'!F24,'30.07 Nakawa-Bugolobi'!F24,'31.07 Nakawa-Bugolobi'!F24,'02.08 Nakawa-Bugolobi'!F24,'01.08 Nakawa-Bugolobi-24h'!F24,'03.08 Nakawa-Bugolobi-24h'!F24,'04.08 Nakawa-Bugolobi'!F24)</f>
        <v>21.142857142857142</v>
      </c>
      <c r="G24" s="49">
        <f>AVERAGE('29.07 Nakawa-Bugolobi'!G24,'30.07 Nakawa-Bugolobi'!G24,'31.07 Nakawa-Bugolobi'!G24,'02.08 Nakawa-Bugolobi'!G24,'01.08 Nakawa-Bugolobi-24h'!G24,'03.08 Nakawa-Bugolobi-24h'!G24,'04.08 Nakawa-Bugolobi'!G24)</f>
        <v>0.7142857142857143</v>
      </c>
      <c r="H24" s="49">
        <f>AVERAGE('29.07 Nakawa-Bugolobi'!H24,'30.07 Nakawa-Bugolobi'!H24,'31.07 Nakawa-Bugolobi'!H24,'02.08 Nakawa-Bugolobi'!H24,'01.08 Nakawa-Bugolobi-24h'!H24,'03.08 Nakawa-Bugolobi-24h'!H24,'04.08 Nakawa-Bugolobi'!H24)</f>
        <v>0.14285714285714285</v>
      </c>
      <c r="I24" s="49">
        <f>AVERAGE('29.07 Nakawa-Bugolobi'!I24,'30.07 Nakawa-Bugolobi'!I24,'31.07 Nakawa-Bugolobi'!I24,'02.08 Nakawa-Bugolobi'!I24,'01.08 Nakawa-Bugolobi-24h'!I24,'03.08 Nakawa-Bugolobi-24h'!I24,'04.08 Nakawa-Bugolobi'!I24)</f>
        <v>3.1428571428571428</v>
      </c>
      <c r="J24" s="49">
        <f>AVERAGE('29.07 Nakawa-Bugolobi'!J24,'30.07 Nakawa-Bugolobi'!J24,'31.07 Nakawa-Bugolobi'!J24,'02.08 Nakawa-Bugolobi'!J24,'01.08 Nakawa-Bugolobi-24h'!J24,'03.08 Nakawa-Bugolobi-24h'!J24,'04.08 Nakawa-Bugolobi'!J24)</f>
        <v>1.1428571428571428</v>
      </c>
      <c r="K24" s="49">
        <f>AVERAGE('29.07 Nakawa-Bugolobi'!K24,'30.07 Nakawa-Bugolobi'!K24,'31.07 Nakawa-Bugolobi'!K24,'02.08 Nakawa-Bugolobi'!K24,'01.08 Nakawa-Bugolobi-24h'!K24,'03.08 Nakawa-Bugolobi-24h'!K24,'04.08 Nakawa-Bugolobi'!K24)</f>
        <v>0.14285714285714285</v>
      </c>
      <c r="L24" s="49">
        <f>AVERAGE('29.07 Nakawa-Bugolobi'!L24,'30.07 Nakawa-Bugolobi'!L24,'31.07 Nakawa-Bugolobi'!L24,'02.08 Nakawa-Bugolobi'!L24,'01.08 Nakawa-Bugolobi-24h'!L24,'03.08 Nakawa-Bugolobi-24h'!L24,'04.08 Nakawa-Bugolobi'!L24)</f>
        <v>0.2857142857142857</v>
      </c>
      <c r="M24" s="49">
        <f>AVERAGE('29.07 Nakawa-Bugolobi'!M24,'30.07 Nakawa-Bugolobi'!M24,'31.07 Nakawa-Bugolobi'!M24,'02.08 Nakawa-Bugolobi'!M24,'01.08 Nakawa-Bugolobi-24h'!M24,'03.08 Nakawa-Bugolobi-24h'!M24,'04.08 Nakawa-Bugolobi'!M24)</f>
        <v>101.14285714285714</v>
      </c>
      <c r="N24" s="49">
        <f>AVERAGE('29.07 Nakawa-Bugolobi'!N24,'30.07 Nakawa-Bugolobi'!N24,'31.07 Nakawa-Bugolobi'!N24,'02.08 Nakawa-Bugolobi'!N24,'01.08 Nakawa-Bugolobi-24h'!N24,'03.08 Nakawa-Bugolobi-24h'!N24,'04.08 Nakawa-Bugolobi'!N24)</f>
        <v>0.14285714285714285</v>
      </c>
      <c r="O24" s="15">
        <f t="shared" si="0"/>
        <v>116.71428571428569</v>
      </c>
      <c r="P24" s="15">
        <f t="shared" si="1"/>
        <v>217.85714285714283</v>
      </c>
      <c r="R24" s="1" t="s">
        <v>148</v>
      </c>
      <c r="S24" s="34">
        <f>SUM(C66:C69)</f>
        <v>197</v>
      </c>
      <c r="T24" s="34">
        <f t="shared" ref="T24:AF24" si="16">SUM(D66:D69)</f>
        <v>42</v>
      </c>
      <c r="U24" s="34">
        <f t="shared" si="16"/>
        <v>27</v>
      </c>
      <c r="V24" s="34">
        <f t="shared" si="16"/>
        <v>45.5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208</v>
      </c>
      <c r="AD24" s="34">
        <f t="shared" si="16"/>
        <v>0</v>
      </c>
      <c r="AE24" s="31">
        <f t="shared" si="16"/>
        <v>317.5</v>
      </c>
      <c r="AF24" s="31">
        <f t="shared" si="16"/>
        <v>525.5</v>
      </c>
    </row>
    <row r="25" spans="2:32" ht="23.1" customHeight="1" x14ac:dyDescent="0.25">
      <c r="B25" s="23" t="s">
        <v>52</v>
      </c>
      <c r="C25" s="49">
        <f>AVERAGE('29.07 Nakawa-Bugolobi'!C25,'30.07 Nakawa-Bugolobi'!C25,'31.07 Nakawa-Bugolobi'!C25,'02.08 Nakawa-Bugolobi'!C25,'01.08 Nakawa-Bugolobi-24h'!C25,'03.08 Nakawa-Bugolobi-24h'!C25,'04.08 Nakawa-Bugolobi'!C25)</f>
        <v>66.714285714285708</v>
      </c>
      <c r="D25" s="49">
        <f>AVERAGE('29.07 Nakawa-Bugolobi'!D25,'30.07 Nakawa-Bugolobi'!D25,'31.07 Nakawa-Bugolobi'!D25,'02.08 Nakawa-Bugolobi'!D25,'01.08 Nakawa-Bugolobi-24h'!D25,'03.08 Nakawa-Bugolobi-24h'!D25,'04.08 Nakawa-Bugolobi'!D25)</f>
        <v>13.428571428571429</v>
      </c>
      <c r="E25" s="49">
        <f>AVERAGE('29.07 Nakawa-Bugolobi'!E25,'30.07 Nakawa-Bugolobi'!E25,'31.07 Nakawa-Bugolobi'!E25,'02.08 Nakawa-Bugolobi'!E25,'01.08 Nakawa-Bugolobi-24h'!E25,'03.08 Nakawa-Bugolobi-24h'!E25,'04.08 Nakawa-Bugolobi'!E25)</f>
        <v>15.142857142857142</v>
      </c>
      <c r="F25" s="49">
        <f>AVERAGE('29.07 Nakawa-Bugolobi'!F25,'30.07 Nakawa-Bugolobi'!F25,'31.07 Nakawa-Bugolobi'!F25,'02.08 Nakawa-Bugolobi'!F25,'01.08 Nakawa-Bugolobi-24h'!F25,'03.08 Nakawa-Bugolobi-24h'!F25,'04.08 Nakawa-Bugolobi'!F25)</f>
        <v>17.857142857142858</v>
      </c>
      <c r="G25" s="49">
        <f>AVERAGE('29.07 Nakawa-Bugolobi'!G25,'30.07 Nakawa-Bugolobi'!G25,'31.07 Nakawa-Bugolobi'!G25,'02.08 Nakawa-Bugolobi'!G25,'01.08 Nakawa-Bugolobi-24h'!G25,'03.08 Nakawa-Bugolobi-24h'!G25,'04.08 Nakawa-Bugolobi'!G25)</f>
        <v>0.2857142857142857</v>
      </c>
      <c r="H25" s="49">
        <f>AVERAGE('29.07 Nakawa-Bugolobi'!H25,'30.07 Nakawa-Bugolobi'!H25,'31.07 Nakawa-Bugolobi'!H25,'02.08 Nakawa-Bugolobi'!H25,'01.08 Nakawa-Bugolobi-24h'!H25,'03.08 Nakawa-Bugolobi-24h'!H25,'04.08 Nakawa-Bugolobi'!H25)</f>
        <v>0.42857142857142855</v>
      </c>
      <c r="I25" s="49">
        <f>AVERAGE('29.07 Nakawa-Bugolobi'!I25,'30.07 Nakawa-Bugolobi'!I25,'31.07 Nakawa-Bugolobi'!I25,'02.08 Nakawa-Bugolobi'!I25,'01.08 Nakawa-Bugolobi-24h'!I25,'03.08 Nakawa-Bugolobi-24h'!I25,'04.08 Nakawa-Bugolobi'!I25)</f>
        <v>3.5714285714285716</v>
      </c>
      <c r="J25" s="49">
        <f>AVERAGE('29.07 Nakawa-Bugolobi'!J25,'30.07 Nakawa-Bugolobi'!J25,'31.07 Nakawa-Bugolobi'!J25,'02.08 Nakawa-Bugolobi'!J25,'01.08 Nakawa-Bugolobi-24h'!J25,'03.08 Nakawa-Bugolobi-24h'!J25,'04.08 Nakawa-Bugolobi'!J25)</f>
        <v>1.1428571428571428</v>
      </c>
      <c r="K25" s="49">
        <f>AVERAGE('29.07 Nakawa-Bugolobi'!K25,'30.07 Nakawa-Bugolobi'!K25,'31.07 Nakawa-Bugolobi'!K25,'02.08 Nakawa-Bugolobi'!K25,'01.08 Nakawa-Bugolobi-24h'!K25,'03.08 Nakawa-Bugolobi-24h'!K25,'04.08 Nakawa-Bugolobi'!K25)</f>
        <v>0.14285714285714285</v>
      </c>
      <c r="L25" s="49">
        <f>AVERAGE('29.07 Nakawa-Bugolobi'!L25,'30.07 Nakawa-Bugolobi'!L25,'31.07 Nakawa-Bugolobi'!L25,'02.08 Nakawa-Bugolobi'!L25,'01.08 Nakawa-Bugolobi-24h'!L25,'03.08 Nakawa-Bugolobi-24h'!L25,'04.08 Nakawa-Bugolobi'!L25)</f>
        <v>0.14285714285714285</v>
      </c>
      <c r="M25" s="49">
        <f>AVERAGE('29.07 Nakawa-Bugolobi'!M25,'30.07 Nakawa-Bugolobi'!M25,'31.07 Nakawa-Bugolobi'!M25,'02.08 Nakawa-Bugolobi'!M25,'01.08 Nakawa-Bugolobi-24h'!M25,'03.08 Nakawa-Bugolobi-24h'!M25,'04.08 Nakawa-Bugolobi'!M25)</f>
        <v>126</v>
      </c>
      <c r="N25" s="49">
        <f>AVERAGE('29.07 Nakawa-Bugolobi'!N25,'30.07 Nakawa-Bugolobi'!N25,'31.07 Nakawa-Bugolobi'!N25,'02.08 Nakawa-Bugolobi'!N25,'01.08 Nakawa-Bugolobi-24h'!N25,'03.08 Nakawa-Bugolobi-24h'!N25,'04.08 Nakawa-Bugolobi'!N25)</f>
        <v>0</v>
      </c>
      <c r="O25" s="15">
        <f t="shared" si="0"/>
        <v>118.85714285714285</v>
      </c>
      <c r="P25" s="15">
        <f t="shared" si="1"/>
        <v>244.85714285714283</v>
      </c>
      <c r="R25" s="1" t="s">
        <v>149</v>
      </c>
      <c r="S25" s="34">
        <f>SUM(C70:C73)</f>
        <v>166</v>
      </c>
      <c r="T25" s="34">
        <f t="shared" ref="T25:AF25" si="17">SUM(D70:D73)</f>
        <v>29.5</v>
      </c>
      <c r="U25" s="34">
        <f t="shared" si="17"/>
        <v>30.5</v>
      </c>
      <c r="V25" s="34">
        <f t="shared" si="17"/>
        <v>36</v>
      </c>
      <c r="W25" s="34">
        <f t="shared" si="17"/>
        <v>0.5</v>
      </c>
      <c r="X25" s="34">
        <f t="shared" si="17"/>
        <v>0</v>
      </c>
      <c r="Y25" s="34">
        <f t="shared" si="17"/>
        <v>2</v>
      </c>
      <c r="Z25" s="34">
        <f t="shared" si="17"/>
        <v>2</v>
      </c>
      <c r="AA25" s="34">
        <f t="shared" si="17"/>
        <v>0.5</v>
      </c>
      <c r="AB25" s="34">
        <f t="shared" si="17"/>
        <v>0</v>
      </c>
      <c r="AC25" s="34">
        <f t="shared" si="17"/>
        <v>171.5</v>
      </c>
      <c r="AD25" s="34">
        <f t="shared" si="17"/>
        <v>0</v>
      </c>
      <c r="AE25" s="31">
        <f t="shared" si="17"/>
        <v>267</v>
      </c>
      <c r="AF25" s="31">
        <f t="shared" si="17"/>
        <v>438.5</v>
      </c>
    </row>
    <row r="26" spans="2:32" ht="23.1" customHeight="1" x14ac:dyDescent="0.25">
      <c r="B26" s="23" t="s">
        <v>53</v>
      </c>
      <c r="C26" s="49">
        <f>AVERAGE('29.07 Nakawa-Bugolobi'!C26,'30.07 Nakawa-Bugolobi'!C26,'31.07 Nakawa-Bugolobi'!C26,'02.08 Nakawa-Bugolobi'!C26,'01.08 Nakawa-Bugolobi-24h'!C26,'03.08 Nakawa-Bugolobi-24h'!C26,'04.08 Nakawa-Bugolobi'!C26)</f>
        <v>64.857142857142861</v>
      </c>
      <c r="D26" s="49">
        <f>AVERAGE('29.07 Nakawa-Bugolobi'!D26,'30.07 Nakawa-Bugolobi'!D26,'31.07 Nakawa-Bugolobi'!D26,'02.08 Nakawa-Bugolobi'!D26,'01.08 Nakawa-Bugolobi-24h'!D26,'03.08 Nakawa-Bugolobi-24h'!D26,'04.08 Nakawa-Bugolobi'!D26)</f>
        <v>20.857142857142858</v>
      </c>
      <c r="E26" s="49">
        <f>AVERAGE('29.07 Nakawa-Bugolobi'!E26,'30.07 Nakawa-Bugolobi'!E26,'31.07 Nakawa-Bugolobi'!E26,'02.08 Nakawa-Bugolobi'!E26,'01.08 Nakawa-Bugolobi-24h'!E26,'03.08 Nakawa-Bugolobi-24h'!E26,'04.08 Nakawa-Bugolobi'!E26)</f>
        <v>16.857142857142858</v>
      </c>
      <c r="F26" s="49">
        <f>AVERAGE('29.07 Nakawa-Bugolobi'!F26,'30.07 Nakawa-Bugolobi'!F26,'31.07 Nakawa-Bugolobi'!F26,'02.08 Nakawa-Bugolobi'!F26,'01.08 Nakawa-Bugolobi-24h'!F26,'03.08 Nakawa-Bugolobi-24h'!F26,'04.08 Nakawa-Bugolobi'!F26)</f>
        <v>22.428571428571427</v>
      </c>
      <c r="G26" s="49">
        <f>AVERAGE('29.07 Nakawa-Bugolobi'!G26,'30.07 Nakawa-Bugolobi'!G26,'31.07 Nakawa-Bugolobi'!G26,'02.08 Nakawa-Bugolobi'!G26,'01.08 Nakawa-Bugolobi-24h'!G26,'03.08 Nakawa-Bugolobi-24h'!G26,'04.08 Nakawa-Bugolobi'!G26)</f>
        <v>1.1428571428571428</v>
      </c>
      <c r="H26" s="49">
        <f>AVERAGE('29.07 Nakawa-Bugolobi'!H26,'30.07 Nakawa-Bugolobi'!H26,'31.07 Nakawa-Bugolobi'!H26,'02.08 Nakawa-Bugolobi'!H26,'01.08 Nakawa-Bugolobi-24h'!H26,'03.08 Nakawa-Bugolobi-24h'!H26,'04.08 Nakawa-Bugolobi'!H26)</f>
        <v>0.42857142857142855</v>
      </c>
      <c r="I26" s="49">
        <f>AVERAGE('29.07 Nakawa-Bugolobi'!I26,'30.07 Nakawa-Bugolobi'!I26,'31.07 Nakawa-Bugolobi'!I26,'02.08 Nakawa-Bugolobi'!I26,'01.08 Nakawa-Bugolobi-24h'!I26,'03.08 Nakawa-Bugolobi-24h'!I26,'04.08 Nakawa-Bugolobi'!I26)</f>
        <v>3.5714285714285716</v>
      </c>
      <c r="J26" s="49">
        <f>AVERAGE('29.07 Nakawa-Bugolobi'!J26,'30.07 Nakawa-Bugolobi'!J26,'31.07 Nakawa-Bugolobi'!J26,'02.08 Nakawa-Bugolobi'!J26,'01.08 Nakawa-Bugolobi-24h'!J26,'03.08 Nakawa-Bugolobi-24h'!J26,'04.08 Nakawa-Bugolobi'!J26)</f>
        <v>0.7142857142857143</v>
      </c>
      <c r="K26" s="49">
        <f>AVERAGE('29.07 Nakawa-Bugolobi'!K26,'30.07 Nakawa-Bugolobi'!K26,'31.07 Nakawa-Bugolobi'!K26,'02.08 Nakawa-Bugolobi'!K26,'01.08 Nakawa-Bugolobi-24h'!K26,'03.08 Nakawa-Bugolobi-24h'!K26,'04.08 Nakawa-Bugolobi'!K26)</f>
        <v>0</v>
      </c>
      <c r="L26" s="49">
        <f>AVERAGE('29.07 Nakawa-Bugolobi'!L26,'30.07 Nakawa-Bugolobi'!L26,'31.07 Nakawa-Bugolobi'!L26,'02.08 Nakawa-Bugolobi'!L26,'01.08 Nakawa-Bugolobi-24h'!L26,'03.08 Nakawa-Bugolobi-24h'!L26,'04.08 Nakawa-Bugolobi'!L26)</f>
        <v>0</v>
      </c>
      <c r="M26" s="49">
        <f>AVERAGE('29.07 Nakawa-Bugolobi'!M26,'30.07 Nakawa-Bugolobi'!M26,'31.07 Nakawa-Bugolobi'!M26,'02.08 Nakawa-Bugolobi'!M26,'01.08 Nakawa-Bugolobi-24h'!M26,'03.08 Nakawa-Bugolobi-24h'!M26,'04.08 Nakawa-Bugolobi'!M26)</f>
        <v>115.14285714285714</v>
      </c>
      <c r="N26" s="49">
        <f>AVERAGE('29.07 Nakawa-Bugolobi'!N26,'30.07 Nakawa-Bugolobi'!N26,'31.07 Nakawa-Bugolobi'!N26,'02.08 Nakawa-Bugolobi'!N26,'01.08 Nakawa-Bugolobi-24h'!N26,'03.08 Nakawa-Bugolobi-24h'!N26,'04.08 Nakawa-Bugolobi'!N26)</f>
        <v>0</v>
      </c>
      <c r="O26" s="15">
        <f t="shared" si="0"/>
        <v>130.85714285714289</v>
      </c>
      <c r="P26" s="15">
        <f t="shared" si="1"/>
        <v>246.00000000000003</v>
      </c>
      <c r="R26" s="1" t="s">
        <v>150</v>
      </c>
      <c r="S26" s="34">
        <f>SUM(C74:C77)</f>
        <v>136.5</v>
      </c>
      <c r="T26" s="34">
        <f t="shared" ref="T26:AF26" si="18">SUM(D74:D77)</f>
        <v>25.5</v>
      </c>
      <c r="U26" s="34">
        <f t="shared" si="18"/>
        <v>18.5</v>
      </c>
      <c r="V26" s="34">
        <f t="shared" si="18"/>
        <v>8.5</v>
      </c>
      <c r="W26" s="34">
        <f t="shared" si="18"/>
        <v>0.5</v>
      </c>
      <c r="X26" s="34">
        <f t="shared" si="18"/>
        <v>0</v>
      </c>
      <c r="Y26" s="34">
        <f t="shared" si="18"/>
        <v>2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152</v>
      </c>
      <c r="AD26" s="34">
        <f t="shared" si="18"/>
        <v>0</v>
      </c>
      <c r="AE26" s="31">
        <f t="shared" si="18"/>
        <v>192.5</v>
      </c>
      <c r="AF26" s="31">
        <f t="shared" si="18"/>
        <v>344.5</v>
      </c>
    </row>
    <row r="27" spans="2:32" ht="23.1" customHeight="1" x14ac:dyDescent="0.25">
      <c r="B27" s="23" t="s">
        <v>54</v>
      </c>
      <c r="C27" s="49">
        <f>AVERAGE('29.07 Nakawa-Bugolobi'!C27,'30.07 Nakawa-Bugolobi'!C27,'31.07 Nakawa-Bugolobi'!C27,'02.08 Nakawa-Bugolobi'!C27,'01.08 Nakawa-Bugolobi-24h'!C27,'03.08 Nakawa-Bugolobi-24h'!C27,'04.08 Nakawa-Bugolobi'!C27)</f>
        <v>63.428571428571431</v>
      </c>
      <c r="D27" s="49">
        <f>AVERAGE('29.07 Nakawa-Bugolobi'!D27,'30.07 Nakawa-Bugolobi'!D27,'31.07 Nakawa-Bugolobi'!D27,'02.08 Nakawa-Bugolobi'!D27,'01.08 Nakawa-Bugolobi-24h'!D27,'03.08 Nakawa-Bugolobi-24h'!D27,'04.08 Nakawa-Bugolobi'!D27)</f>
        <v>18.285714285714285</v>
      </c>
      <c r="E27" s="49">
        <f>AVERAGE('29.07 Nakawa-Bugolobi'!E27,'30.07 Nakawa-Bugolobi'!E27,'31.07 Nakawa-Bugolobi'!E27,'02.08 Nakawa-Bugolobi'!E27,'01.08 Nakawa-Bugolobi-24h'!E27,'03.08 Nakawa-Bugolobi-24h'!E27,'04.08 Nakawa-Bugolobi'!E27)</f>
        <v>15.428571428571429</v>
      </c>
      <c r="F27" s="49">
        <f>AVERAGE('29.07 Nakawa-Bugolobi'!F27,'30.07 Nakawa-Bugolobi'!F27,'31.07 Nakawa-Bugolobi'!F27,'02.08 Nakawa-Bugolobi'!F27,'01.08 Nakawa-Bugolobi-24h'!F27,'03.08 Nakawa-Bugolobi-24h'!F27,'04.08 Nakawa-Bugolobi'!F27)</f>
        <v>22.714285714285715</v>
      </c>
      <c r="G27" s="49">
        <f>AVERAGE('29.07 Nakawa-Bugolobi'!G27,'30.07 Nakawa-Bugolobi'!G27,'31.07 Nakawa-Bugolobi'!G27,'02.08 Nakawa-Bugolobi'!G27,'01.08 Nakawa-Bugolobi-24h'!G27,'03.08 Nakawa-Bugolobi-24h'!G27,'04.08 Nakawa-Bugolobi'!G27)</f>
        <v>0.7142857142857143</v>
      </c>
      <c r="H27" s="49">
        <f>AVERAGE('29.07 Nakawa-Bugolobi'!H27,'30.07 Nakawa-Bugolobi'!H27,'31.07 Nakawa-Bugolobi'!H27,'02.08 Nakawa-Bugolobi'!H27,'01.08 Nakawa-Bugolobi-24h'!H27,'03.08 Nakawa-Bugolobi-24h'!H27,'04.08 Nakawa-Bugolobi'!H27)</f>
        <v>0.14285714285714285</v>
      </c>
      <c r="I27" s="49">
        <f>AVERAGE('29.07 Nakawa-Bugolobi'!I27,'30.07 Nakawa-Bugolobi'!I27,'31.07 Nakawa-Bugolobi'!I27,'02.08 Nakawa-Bugolobi'!I27,'01.08 Nakawa-Bugolobi-24h'!I27,'03.08 Nakawa-Bugolobi-24h'!I27,'04.08 Nakawa-Bugolobi'!I27)</f>
        <v>4.1428571428571432</v>
      </c>
      <c r="J27" s="49">
        <f>AVERAGE('29.07 Nakawa-Bugolobi'!J27,'30.07 Nakawa-Bugolobi'!J27,'31.07 Nakawa-Bugolobi'!J27,'02.08 Nakawa-Bugolobi'!J27,'01.08 Nakawa-Bugolobi-24h'!J27,'03.08 Nakawa-Bugolobi-24h'!J27,'04.08 Nakawa-Bugolobi'!J27)</f>
        <v>1.1428571428571428</v>
      </c>
      <c r="K27" s="49">
        <f>AVERAGE('29.07 Nakawa-Bugolobi'!K27,'30.07 Nakawa-Bugolobi'!K27,'31.07 Nakawa-Bugolobi'!K27,'02.08 Nakawa-Bugolobi'!K27,'01.08 Nakawa-Bugolobi-24h'!K27,'03.08 Nakawa-Bugolobi-24h'!K27,'04.08 Nakawa-Bugolobi'!K27)</f>
        <v>0</v>
      </c>
      <c r="L27" s="49">
        <f>AVERAGE('29.07 Nakawa-Bugolobi'!L27,'30.07 Nakawa-Bugolobi'!L27,'31.07 Nakawa-Bugolobi'!L27,'02.08 Nakawa-Bugolobi'!L27,'01.08 Nakawa-Bugolobi-24h'!L27,'03.08 Nakawa-Bugolobi-24h'!L27,'04.08 Nakawa-Bugolobi'!L27)</f>
        <v>0.14285714285714285</v>
      </c>
      <c r="M27" s="49">
        <f>AVERAGE('29.07 Nakawa-Bugolobi'!M27,'30.07 Nakawa-Bugolobi'!M27,'31.07 Nakawa-Bugolobi'!M27,'02.08 Nakawa-Bugolobi'!M27,'01.08 Nakawa-Bugolobi-24h'!M27,'03.08 Nakawa-Bugolobi-24h'!M27,'04.08 Nakawa-Bugolobi'!M27)</f>
        <v>99</v>
      </c>
      <c r="N27" s="49">
        <f>AVERAGE('29.07 Nakawa-Bugolobi'!N27,'30.07 Nakawa-Bugolobi'!N27,'31.07 Nakawa-Bugolobi'!N27,'02.08 Nakawa-Bugolobi'!N27,'01.08 Nakawa-Bugolobi-24h'!N27,'03.08 Nakawa-Bugolobi-24h'!N27,'04.08 Nakawa-Bugolobi'!N27)</f>
        <v>0</v>
      </c>
      <c r="O27" s="15">
        <f t="shared" si="0"/>
        <v>126.14285714285712</v>
      </c>
      <c r="P27" s="15">
        <f t="shared" si="1"/>
        <v>225.14285714285711</v>
      </c>
      <c r="R27" s="1" t="s">
        <v>151</v>
      </c>
      <c r="S27" s="34">
        <f>SUM(C78:C81)</f>
        <v>98</v>
      </c>
      <c r="T27" s="34">
        <f t="shared" ref="T27:AF27" si="19">SUM(D78:D81)</f>
        <v>11.5</v>
      </c>
      <c r="U27" s="34">
        <f t="shared" si="19"/>
        <v>1.5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91</v>
      </c>
      <c r="AD27" s="34">
        <f t="shared" si="19"/>
        <v>0</v>
      </c>
      <c r="AE27" s="31">
        <f t="shared" si="19"/>
        <v>115.5</v>
      </c>
      <c r="AF27" s="31">
        <f t="shared" si="19"/>
        <v>206.5</v>
      </c>
    </row>
    <row r="28" spans="2:32" ht="23.1" customHeight="1" x14ac:dyDescent="0.25">
      <c r="B28" s="23" t="s">
        <v>55</v>
      </c>
      <c r="C28" s="49">
        <f>AVERAGE('29.07 Nakawa-Bugolobi'!C28,'30.07 Nakawa-Bugolobi'!C28,'31.07 Nakawa-Bugolobi'!C28,'02.08 Nakawa-Bugolobi'!C28,'01.08 Nakawa-Bugolobi-24h'!C28,'03.08 Nakawa-Bugolobi-24h'!C28,'04.08 Nakawa-Bugolobi'!C28)</f>
        <v>64.285714285714292</v>
      </c>
      <c r="D28" s="49">
        <f>AVERAGE('29.07 Nakawa-Bugolobi'!D28,'30.07 Nakawa-Bugolobi'!D28,'31.07 Nakawa-Bugolobi'!D28,'02.08 Nakawa-Bugolobi'!D28,'01.08 Nakawa-Bugolobi-24h'!D28,'03.08 Nakawa-Bugolobi-24h'!D28,'04.08 Nakawa-Bugolobi'!D28)</f>
        <v>19.714285714285715</v>
      </c>
      <c r="E28" s="49">
        <f>AVERAGE('29.07 Nakawa-Bugolobi'!E28,'30.07 Nakawa-Bugolobi'!E28,'31.07 Nakawa-Bugolobi'!E28,'02.08 Nakawa-Bugolobi'!E28,'01.08 Nakawa-Bugolobi-24h'!E28,'03.08 Nakawa-Bugolobi-24h'!E28,'04.08 Nakawa-Bugolobi'!E28)</f>
        <v>14.571428571428571</v>
      </c>
      <c r="F28" s="49">
        <f>AVERAGE('29.07 Nakawa-Bugolobi'!F28,'30.07 Nakawa-Bugolobi'!F28,'31.07 Nakawa-Bugolobi'!F28,'02.08 Nakawa-Bugolobi'!F28,'01.08 Nakawa-Bugolobi-24h'!F28,'03.08 Nakawa-Bugolobi-24h'!F28,'04.08 Nakawa-Bugolobi'!F28)</f>
        <v>19.857142857142858</v>
      </c>
      <c r="G28" s="49">
        <f>AVERAGE('29.07 Nakawa-Bugolobi'!G28,'30.07 Nakawa-Bugolobi'!G28,'31.07 Nakawa-Bugolobi'!G28,'02.08 Nakawa-Bugolobi'!G28,'01.08 Nakawa-Bugolobi-24h'!G28,'03.08 Nakawa-Bugolobi-24h'!G28,'04.08 Nakawa-Bugolobi'!G28)</f>
        <v>0.5714285714285714</v>
      </c>
      <c r="H28" s="49">
        <f>AVERAGE('29.07 Nakawa-Bugolobi'!H28,'30.07 Nakawa-Bugolobi'!H28,'31.07 Nakawa-Bugolobi'!H28,'02.08 Nakawa-Bugolobi'!H28,'01.08 Nakawa-Bugolobi-24h'!H28,'03.08 Nakawa-Bugolobi-24h'!H28,'04.08 Nakawa-Bugolobi'!H28)</f>
        <v>0.14285714285714285</v>
      </c>
      <c r="I28" s="49">
        <f>AVERAGE('29.07 Nakawa-Bugolobi'!I28,'30.07 Nakawa-Bugolobi'!I28,'31.07 Nakawa-Bugolobi'!I28,'02.08 Nakawa-Bugolobi'!I28,'01.08 Nakawa-Bugolobi-24h'!I28,'03.08 Nakawa-Bugolobi-24h'!I28,'04.08 Nakawa-Bugolobi'!I28)</f>
        <v>4.4285714285714288</v>
      </c>
      <c r="J28" s="49">
        <f>AVERAGE('29.07 Nakawa-Bugolobi'!J28,'30.07 Nakawa-Bugolobi'!J28,'31.07 Nakawa-Bugolobi'!J28,'02.08 Nakawa-Bugolobi'!J28,'01.08 Nakawa-Bugolobi-24h'!J28,'03.08 Nakawa-Bugolobi-24h'!J28,'04.08 Nakawa-Bugolobi'!J28)</f>
        <v>1.2857142857142858</v>
      </c>
      <c r="K28" s="49">
        <f>AVERAGE('29.07 Nakawa-Bugolobi'!K28,'30.07 Nakawa-Bugolobi'!K28,'31.07 Nakawa-Bugolobi'!K28,'02.08 Nakawa-Bugolobi'!K28,'01.08 Nakawa-Bugolobi-24h'!K28,'03.08 Nakawa-Bugolobi-24h'!K28,'04.08 Nakawa-Bugolobi'!K28)</f>
        <v>0.14285714285714285</v>
      </c>
      <c r="L28" s="49">
        <f>AVERAGE('29.07 Nakawa-Bugolobi'!L28,'30.07 Nakawa-Bugolobi'!L28,'31.07 Nakawa-Bugolobi'!L28,'02.08 Nakawa-Bugolobi'!L28,'01.08 Nakawa-Bugolobi-24h'!L28,'03.08 Nakawa-Bugolobi-24h'!L28,'04.08 Nakawa-Bugolobi'!L28)</f>
        <v>0.2857142857142857</v>
      </c>
      <c r="M28" s="49">
        <f>AVERAGE('29.07 Nakawa-Bugolobi'!M28,'30.07 Nakawa-Bugolobi'!M28,'31.07 Nakawa-Bugolobi'!M28,'02.08 Nakawa-Bugolobi'!M28,'01.08 Nakawa-Bugolobi-24h'!M28,'03.08 Nakawa-Bugolobi-24h'!M28,'04.08 Nakawa-Bugolobi'!M28)</f>
        <v>95.714285714285708</v>
      </c>
      <c r="N28" s="49">
        <f>AVERAGE('29.07 Nakawa-Bugolobi'!N28,'30.07 Nakawa-Bugolobi'!N28,'31.07 Nakawa-Bugolobi'!N28,'02.08 Nakawa-Bugolobi'!N28,'01.08 Nakawa-Bugolobi-24h'!N28,'03.08 Nakawa-Bugolobi-24h'!N28,'04.08 Nakawa-Bugolobi'!N28)</f>
        <v>0</v>
      </c>
      <c r="O28" s="15">
        <f t="shared" si="0"/>
        <v>125.28571428571429</v>
      </c>
      <c r="P28" s="15">
        <f t="shared" si="1"/>
        <v>221</v>
      </c>
      <c r="R28" s="1" t="s">
        <v>152</v>
      </c>
      <c r="S28" s="34">
        <f>SUM(C82:C85)</f>
        <v>57</v>
      </c>
      <c r="T28" s="34">
        <f t="shared" ref="T28:AF28" si="20">SUM(D82:D85)</f>
        <v>8.5</v>
      </c>
      <c r="U28" s="34">
        <f t="shared" si="20"/>
        <v>4.5</v>
      </c>
      <c r="V28" s="34">
        <f t="shared" si="20"/>
        <v>3</v>
      </c>
      <c r="W28" s="34">
        <f t="shared" si="20"/>
        <v>0.5</v>
      </c>
      <c r="X28" s="34">
        <f t="shared" si="20"/>
        <v>0</v>
      </c>
      <c r="Y28" s="34">
        <f t="shared" si="20"/>
        <v>1</v>
      </c>
      <c r="Z28" s="34">
        <f t="shared" si="20"/>
        <v>0.5</v>
      </c>
      <c r="AA28" s="34">
        <f t="shared" si="20"/>
        <v>0.5</v>
      </c>
      <c r="AB28" s="34">
        <f t="shared" si="20"/>
        <v>0</v>
      </c>
      <c r="AC28" s="34">
        <f t="shared" si="20"/>
        <v>63.5</v>
      </c>
      <c r="AD28" s="34">
        <f t="shared" si="20"/>
        <v>0</v>
      </c>
      <c r="AE28" s="31">
        <f t="shared" si="20"/>
        <v>75.5</v>
      </c>
      <c r="AF28" s="31">
        <f t="shared" si="20"/>
        <v>139</v>
      </c>
    </row>
    <row r="29" spans="2:32" ht="23.1" customHeight="1" x14ac:dyDescent="0.25">
      <c r="B29" s="23" t="s">
        <v>56</v>
      </c>
      <c r="C29" s="49">
        <f>AVERAGE('29.07 Nakawa-Bugolobi'!C29,'30.07 Nakawa-Bugolobi'!C29,'31.07 Nakawa-Bugolobi'!C29,'02.08 Nakawa-Bugolobi'!C29,'01.08 Nakawa-Bugolobi-24h'!C29,'03.08 Nakawa-Bugolobi-24h'!C29,'04.08 Nakawa-Bugolobi'!C29)</f>
        <v>64.571428571428569</v>
      </c>
      <c r="D29" s="49">
        <f>AVERAGE('29.07 Nakawa-Bugolobi'!D29,'30.07 Nakawa-Bugolobi'!D29,'31.07 Nakawa-Bugolobi'!D29,'02.08 Nakawa-Bugolobi'!D29,'01.08 Nakawa-Bugolobi-24h'!D29,'03.08 Nakawa-Bugolobi-24h'!D29,'04.08 Nakawa-Bugolobi'!D29)</f>
        <v>18</v>
      </c>
      <c r="E29" s="49">
        <f>AVERAGE('29.07 Nakawa-Bugolobi'!E29,'30.07 Nakawa-Bugolobi'!E29,'31.07 Nakawa-Bugolobi'!E29,'02.08 Nakawa-Bugolobi'!E29,'01.08 Nakawa-Bugolobi-24h'!E29,'03.08 Nakawa-Bugolobi-24h'!E29,'04.08 Nakawa-Bugolobi'!E29)</f>
        <v>13.142857142857142</v>
      </c>
      <c r="F29" s="49">
        <f>AVERAGE('29.07 Nakawa-Bugolobi'!F29,'30.07 Nakawa-Bugolobi'!F29,'31.07 Nakawa-Bugolobi'!F29,'02.08 Nakawa-Bugolobi'!F29,'01.08 Nakawa-Bugolobi-24h'!F29,'03.08 Nakawa-Bugolobi-24h'!F29,'04.08 Nakawa-Bugolobi'!F29)</f>
        <v>16.571428571428573</v>
      </c>
      <c r="G29" s="49">
        <f>AVERAGE('29.07 Nakawa-Bugolobi'!G29,'30.07 Nakawa-Bugolobi'!G29,'31.07 Nakawa-Bugolobi'!G29,'02.08 Nakawa-Bugolobi'!G29,'01.08 Nakawa-Bugolobi-24h'!G29,'03.08 Nakawa-Bugolobi-24h'!G29,'04.08 Nakawa-Bugolobi'!G29)</f>
        <v>0.2857142857142857</v>
      </c>
      <c r="H29" s="49">
        <f>AVERAGE('29.07 Nakawa-Bugolobi'!H29,'30.07 Nakawa-Bugolobi'!H29,'31.07 Nakawa-Bugolobi'!H29,'02.08 Nakawa-Bugolobi'!H29,'01.08 Nakawa-Bugolobi-24h'!H29,'03.08 Nakawa-Bugolobi-24h'!H29,'04.08 Nakawa-Bugolobi'!H29)</f>
        <v>0.14285714285714285</v>
      </c>
      <c r="I29" s="49">
        <f>AVERAGE('29.07 Nakawa-Bugolobi'!I29,'30.07 Nakawa-Bugolobi'!I29,'31.07 Nakawa-Bugolobi'!I29,'02.08 Nakawa-Bugolobi'!I29,'01.08 Nakawa-Bugolobi-24h'!I29,'03.08 Nakawa-Bugolobi-24h'!I29,'04.08 Nakawa-Bugolobi'!I29)</f>
        <v>2.8571428571428572</v>
      </c>
      <c r="J29" s="49">
        <f>AVERAGE('29.07 Nakawa-Bugolobi'!J29,'30.07 Nakawa-Bugolobi'!J29,'31.07 Nakawa-Bugolobi'!J29,'02.08 Nakawa-Bugolobi'!J29,'01.08 Nakawa-Bugolobi-24h'!J29,'03.08 Nakawa-Bugolobi-24h'!J29,'04.08 Nakawa-Bugolobi'!J29)</f>
        <v>1</v>
      </c>
      <c r="K29" s="49">
        <f>AVERAGE('29.07 Nakawa-Bugolobi'!K29,'30.07 Nakawa-Bugolobi'!K29,'31.07 Nakawa-Bugolobi'!K29,'02.08 Nakawa-Bugolobi'!K29,'01.08 Nakawa-Bugolobi-24h'!K29,'03.08 Nakawa-Bugolobi-24h'!K29,'04.08 Nakawa-Bugolobi'!K29)</f>
        <v>0</v>
      </c>
      <c r="L29" s="49">
        <f>AVERAGE('29.07 Nakawa-Bugolobi'!L29,'30.07 Nakawa-Bugolobi'!L29,'31.07 Nakawa-Bugolobi'!L29,'02.08 Nakawa-Bugolobi'!L29,'01.08 Nakawa-Bugolobi-24h'!L29,'03.08 Nakawa-Bugolobi-24h'!L29,'04.08 Nakawa-Bugolobi'!L29)</f>
        <v>0</v>
      </c>
      <c r="M29" s="49">
        <f>AVERAGE('29.07 Nakawa-Bugolobi'!M29,'30.07 Nakawa-Bugolobi'!M29,'31.07 Nakawa-Bugolobi'!M29,'02.08 Nakawa-Bugolobi'!M29,'01.08 Nakawa-Bugolobi-24h'!M29,'03.08 Nakawa-Bugolobi-24h'!M29,'04.08 Nakawa-Bugolobi'!M29)</f>
        <v>110.85714285714286</v>
      </c>
      <c r="N29" s="49">
        <f>AVERAGE('29.07 Nakawa-Bugolobi'!N29,'30.07 Nakawa-Bugolobi'!N29,'31.07 Nakawa-Bugolobi'!N29,'02.08 Nakawa-Bugolobi'!N29,'01.08 Nakawa-Bugolobi-24h'!N29,'03.08 Nakawa-Bugolobi-24h'!N29,'04.08 Nakawa-Bugolobi'!N29)</f>
        <v>0</v>
      </c>
      <c r="O29" s="15">
        <f t="shared" si="0"/>
        <v>116.57142857142857</v>
      </c>
      <c r="P29" s="15">
        <f t="shared" si="1"/>
        <v>227.42857142857144</v>
      </c>
      <c r="R29" s="1" t="s">
        <v>153</v>
      </c>
      <c r="S29" s="34">
        <f>SUM(C86:C89)</f>
        <v>35</v>
      </c>
      <c r="T29" s="34">
        <f t="shared" ref="T29:AF29" si="21">SUM(D86:D89)</f>
        <v>6</v>
      </c>
      <c r="U29" s="34">
        <f t="shared" si="21"/>
        <v>2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0.5</v>
      </c>
      <c r="AA29" s="34">
        <f t="shared" si="21"/>
        <v>0.5</v>
      </c>
      <c r="AB29" s="34">
        <f t="shared" si="21"/>
        <v>0</v>
      </c>
      <c r="AC29" s="34">
        <f t="shared" si="21"/>
        <v>52.5</v>
      </c>
      <c r="AD29" s="34">
        <f t="shared" si="21"/>
        <v>0</v>
      </c>
      <c r="AE29" s="31">
        <f t="shared" si="21"/>
        <v>48</v>
      </c>
      <c r="AF29" s="31">
        <f t="shared" si="21"/>
        <v>100.5</v>
      </c>
    </row>
    <row r="30" spans="2:32" ht="23.1" customHeight="1" x14ac:dyDescent="0.25">
      <c r="B30" s="23" t="s">
        <v>57</v>
      </c>
      <c r="C30" s="49">
        <f>AVERAGE('29.07 Nakawa-Bugolobi'!C30,'30.07 Nakawa-Bugolobi'!C30,'31.07 Nakawa-Bugolobi'!C30,'02.08 Nakawa-Bugolobi'!C30,'01.08 Nakawa-Bugolobi-24h'!C30,'03.08 Nakawa-Bugolobi-24h'!C30,'04.08 Nakawa-Bugolobi'!C30)</f>
        <v>72.857142857142861</v>
      </c>
      <c r="D30" s="49">
        <f>AVERAGE('29.07 Nakawa-Bugolobi'!D30,'30.07 Nakawa-Bugolobi'!D30,'31.07 Nakawa-Bugolobi'!D30,'02.08 Nakawa-Bugolobi'!D30,'01.08 Nakawa-Bugolobi-24h'!D30,'03.08 Nakawa-Bugolobi-24h'!D30,'04.08 Nakawa-Bugolobi'!D30)</f>
        <v>20.142857142857142</v>
      </c>
      <c r="E30" s="49">
        <f>AVERAGE('29.07 Nakawa-Bugolobi'!E30,'30.07 Nakawa-Bugolobi'!E30,'31.07 Nakawa-Bugolobi'!E30,'02.08 Nakawa-Bugolobi'!E30,'01.08 Nakawa-Bugolobi-24h'!E30,'03.08 Nakawa-Bugolobi-24h'!E30,'04.08 Nakawa-Bugolobi'!E30)</f>
        <v>13.285714285714286</v>
      </c>
      <c r="F30" s="49">
        <f>AVERAGE('29.07 Nakawa-Bugolobi'!F30,'30.07 Nakawa-Bugolobi'!F30,'31.07 Nakawa-Bugolobi'!F30,'02.08 Nakawa-Bugolobi'!F30,'01.08 Nakawa-Bugolobi-24h'!F30,'03.08 Nakawa-Bugolobi-24h'!F30,'04.08 Nakawa-Bugolobi'!F30)</f>
        <v>17.714285714285715</v>
      </c>
      <c r="G30" s="49">
        <f>AVERAGE('29.07 Nakawa-Bugolobi'!G30,'30.07 Nakawa-Bugolobi'!G30,'31.07 Nakawa-Bugolobi'!G30,'02.08 Nakawa-Bugolobi'!G30,'01.08 Nakawa-Bugolobi-24h'!G30,'03.08 Nakawa-Bugolobi-24h'!G30,'04.08 Nakawa-Bugolobi'!G30)</f>
        <v>0.14285714285714285</v>
      </c>
      <c r="H30" s="49">
        <f>AVERAGE('29.07 Nakawa-Bugolobi'!H30,'30.07 Nakawa-Bugolobi'!H30,'31.07 Nakawa-Bugolobi'!H30,'02.08 Nakawa-Bugolobi'!H30,'01.08 Nakawa-Bugolobi-24h'!H30,'03.08 Nakawa-Bugolobi-24h'!H30,'04.08 Nakawa-Bugolobi'!H30)</f>
        <v>0</v>
      </c>
      <c r="I30" s="49">
        <f>AVERAGE('29.07 Nakawa-Bugolobi'!I30,'30.07 Nakawa-Bugolobi'!I30,'31.07 Nakawa-Bugolobi'!I30,'02.08 Nakawa-Bugolobi'!I30,'01.08 Nakawa-Bugolobi-24h'!I30,'03.08 Nakawa-Bugolobi-24h'!I30,'04.08 Nakawa-Bugolobi'!I30)</f>
        <v>5.1428571428571432</v>
      </c>
      <c r="J30" s="49">
        <f>AVERAGE('29.07 Nakawa-Bugolobi'!J30,'30.07 Nakawa-Bugolobi'!J30,'31.07 Nakawa-Bugolobi'!J30,'02.08 Nakawa-Bugolobi'!J30,'01.08 Nakawa-Bugolobi-24h'!J30,'03.08 Nakawa-Bugolobi-24h'!J30,'04.08 Nakawa-Bugolobi'!J30)</f>
        <v>2.4285714285714284</v>
      </c>
      <c r="K30" s="49">
        <f>AVERAGE('29.07 Nakawa-Bugolobi'!K30,'30.07 Nakawa-Bugolobi'!K30,'31.07 Nakawa-Bugolobi'!K30,'02.08 Nakawa-Bugolobi'!K30,'01.08 Nakawa-Bugolobi-24h'!K30,'03.08 Nakawa-Bugolobi-24h'!K30,'04.08 Nakawa-Bugolobi'!K30)</f>
        <v>0.42857142857142855</v>
      </c>
      <c r="L30" s="49">
        <f>AVERAGE('29.07 Nakawa-Bugolobi'!L30,'30.07 Nakawa-Bugolobi'!L30,'31.07 Nakawa-Bugolobi'!L30,'02.08 Nakawa-Bugolobi'!L30,'01.08 Nakawa-Bugolobi-24h'!L30,'03.08 Nakawa-Bugolobi-24h'!L30,'04.08 Nakawa-Bugolobi'!L30)</f>
        <v>0.2857142857142857</v>
      </c>
      <c r="M30" s="49">
        <f>AVERAGE('29.07 Nakawa-Bugolobi'!M30,'30.07 Nakawa-Bugolobi'!M30,'31.07 Nakawa-Bugolobi'!M30,'02.08 Nakawa-Bugolobi'!M30,'01.08 Nakawa-Bugolobi-24h'!M30,'03.08 Nakawa-Bugolobi-24h'!M30,'04.08 Nakawa-Bugolobi'!M30)</f>
        <v>102.57142857142857</v>
      </c>
      <c r="N30" s="49">
        <f>AVERAGE('29.07 Nakawa-Bugolobi'!N30,'30.07 Nakawa-Bugolobi'!N30,'31.07 Nakawa-Bugolobi'!N30,'02.08 Nakawa-Bugolobi'!N30,'01.08 Nakawa-Bugolobi-24h'!N30,'03.08 Nakawa-Bugolobi-24h'!N30,'04.08 Nakawa-Bugolobi'!N30)</f>
        <v>0.14285714285714285</v>
      </c>
      <c r="O30" s="15">
        <f t="shared" si="0"/>
        <v>132.57142857142853</v>
      </c>
      <c r="P30" s="15">
        <f t="shared" si="1"/>
        <v>235.14285714285708</v>
      </c>
      <c r="R30" s="1" t="s">
        <v>154</v>
      </c>
      <c r="S30" s="34">
        <f>SUM(C90:C93)</f>
        <v>41.5</v>
      </c>
      <c r="T30" s="34">
        <f t="shared" ref="T30:AF30" si="22">SUM(D90:D93)</f>
        <v>3</v>
      </c>
      <c r="U30" s="34">
        <f t="shared" si="22"/>
        <v>2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0.5</v>
      </c>
      <c r="AA30" s="34">
        <f t="shared" si="22"/>
        <v>0</v>
      </c>
      <c r="AB30" s="34">
        <f t="shared" si="22"/>
        <v>0</v>
      </c>
      <c r="AC30" s="34">
        <f t="shared" si="22"/>
        <v>44.5</v>
      </c>
      <c r="AD30" s="34">
        <f t="shared" si="22"/>
        <v>0</v>
      </c>
      <c r="AE30" s="31">
        <f t="shared" si="22"/>
        <v>47.5</v>
      </c>
      <c r="AF30" s="31">
        <f t="shared" si="22"/>
        <v>92</v>
      </c>
    </row>
    <row r="31" spans="2:32" ht="23.1" customHeight="1" x14ac:dyDescent="0.25">
      <c r="B31" s="24" t="s">
        <v>58</v>
      </c>
      <c r="C31" s="49">
        <f>AVERAGE('29.07 Nakawa-Bugolobi'!C31,'30.07 Nakawa-Bugolobi'!C31,'31.07 Nakawa-Bugolobi'!C31,'02.08 Nakawa-Bugolobi'!C31,'01.08 Nakawa-Bugolobi-24h'!C31,'03.08 Nakawa-Bugolobi-24h'!C31,'04.08 Nakawa-Bugolobi'!C31)</f>
        <v>73.714285714285708</v>
      </c>
      <c r="D31" s="49">
        <f>AVERAGE('29.07 Nakawa-Bugolobi'!D31,'30.07 Nakawa-Bugolobi'!D31,'31.07 Nakawa-Bugolobi'!D31,'02.08 Nakawa-Bugolobi'!D31,'01.08 Nakawa-Bugolobi-24h'!D31,'03.08 Nakawa-Bugolobi-24h'!D31,'04.08 Nakawa-Bugolobi'!D31)</f>
        <v>20.857142857142858</v>
      </c>
      <c r="E31" s="49">
        <f>AVERAGE('29.07 Nakawa-Bugolobi'!E31,'30.07 Nakawa-Bugolobi'!E31,'31.07 Nakawa-Bugolobi'!E31,'02.08 Nakawa-Bugolobi'!E31,'01.08 Nakawa-Bugolobi-24h'!E31,'03.08 Nakawa-Bugolobi-24h'!E31,'04.08 Nakawa-Bugolobi'!E31)</f>
        <v>14</v>
      </c>
      <c r="F31" s="49">
        <f>AVERAGE('29.07 Nakawa-Bugolobi'!F31,'30.07 Nakawa-Bugolobi'!F31,'31.07 Nakawa-Bugolobi'!F31,'02.08 Nakawa-Bugolobi'!F31,'01.08 Nakawa-Bugolobi-24h'!F31,'03.08 Nakawa-Bugolobi-24h'!F31,'04.08 Nakawa-Bugolobi'!F31)</f>
        <v>16</v>
      </c>
      <c r="G31" s="49">
        <f>AVERAGE('29.07 Nakawa-Bugolobi'!G31,'30.07 Nakawa-Bugolobi'!G31,'31.07 Nakawa-Bugolobi'!G31,'02.08 Nakawa-Bugolobi'!G31,'01.08 Nakawa-Bugolobi-24h'!G31,'03.08 Nakawa-Bugolobi-24h'!G31,'04.08 Nakawa-Bugolobi'!G31)</f>
        <v>0.42857142857142855</v>
      </c>
      <c r="H31" s="49">
        <f>AVERAGE('29.07 Nakawa-Bugolobi'!H31,'30.07 Nakawa-Bugolobi'!H31,'31.07 Nakawa-Bugolobi'!H31,'02.08 Nakawa-Bugolobi'!H31,'01.08 Nakawa-Bugolobi-24h'!H31,'03.08 Nakawa-Bugolobi-24h'!H31,'04.08 Nakawa-Bugolobi'!H31)</f>
        <v>0.2857142857142857</v>
      </c>
      <c r="I31" s="49">
        <f>AVERAGE('29.07 Nakawa-Bugolobi'!I31,'30.07 Nakawa-Bugolobi'!I31,'31.07 Nakawa-Bugolobi'!I31,'02.08 Nakawa-Bugolobi'!I31,'01.08 Nakawa-Bugolobi-24h'!I31,'03.08 Nakawa-Bugolobi-24h'!I31,'04.08 Nakawa-Bugolobi'!I31)</f>
        <v>3.2857142857142856</v>
      </c>
      <c r="J31" s="49">
        <f>AVERAGE('29.07 Nakawa-Bugolobi'!J31,'30.07 Nakawa-Bugolobi'!J31,'31.07 Nakawa-Bugolobi'!J31,'02.08 Nakawa-Bugolobi'!J31,'01.08 Nakawa-Bugolobi-24h'!J31,'03.08 Nakawa-Bugolobi-24h'!J31,'04.08 Nakawa-Bugolobi'!J31)</f>
        <v>1</v>
      </c>
      <c r="K31" s="49">
        <f>AVERAGE('29.07 Nakawa-Bugolobi'!K31,'30.07 Nakawa-Bugolobi'!K31,'31.07 Nakawa-Bugolobi'!K31,'02.08 Nakawa-Bugolobi'!K31,'01.08 Nakawa-Bugolobi-24h'!K31,'03.08 Nakawa-Bugolobi-24h'!K31,'04.08 Nakawa-Bugolobi'!K31)</f>
        <v>0</v>
      </c>
      <c r="L31" s="49">
        <f>AVERAGE('29.07 Nakawa-Bugolobi'!L31,'30.07 Nakawa-Bugolobi'!L31,'31.07 Nakawa-Bugolobi'!L31,'02.08 Nakawa-Bugolobi'!L31,'01.08 Nakawa-Bugolobi-24h'!L31,'03.08 Nakawa-Bugolobi-24h'!L31,'04.08 Nakawa-Bugolobi'!L31)</f>
        <v>0</v>
      </c>
      <c r="M31" s="49">
        <f>AVERAGE('29.07 Nakawa-Bugolobi'!M31,'30.07 Nakawa-Bugolobi'!M31,'31.07 Nakawa-Bugolobi'!M31,'02.08 Nakawa-Bugolobi'!M31,'01.08 Nakawa-Bugolobi-24h'!M31,'03.08 Nakawa-Bugolobi-24h'!M31,'04.08 Nakawa-Bugolobi'!M31)</f>
        <v>103.14285714285714</v>
      </c>
      <c r="N31" s="49">
        <f>AVERAGE('29.07 Nakawa-Bugolobi'!N31,'30.07 Nakawa-Bugolobi'!N31,'31.07 Nakawa-Bugolobi'!N31,'02.08 Nakawa-Bugolobi'!N31,'01.08 Nakawa-Bugolobi-24h'!N31,'03.08 Nakawa-Bugolobi-24h'!N31,'04.08 Nakawa-Bugolobi'!N31)</f>
        <v>0</v>
      </c>
      <c r="O31" s="15">
        <f t="shared" si="0"/>
        <v>129.57142857142858</v>
      </c>
      <c r="P31" s="15">
        <f t="shared" si="1"/>
        <v>232.71428571428572</v>
      </c>
      <c r="R31" s="1" t="s">
        <v>155</v>
      </c>
      <c r="S31" s="34">
        <f>SUM(C94:C97)</f>
        <v>38.5</v>
      </c>
      <c r="T31" s="34">
        <f t="shared" ref="T31:AF31" si="23">SUM(D94:D97)</f>
        <v>8</v>
      </c>
      <c r="U31" s="34">
        <f t="shared" si="23"/>
        <v>6.5</v>
      </c>
      <c r="V31" s="34">
        <f t="shared" si="23"/>
        <v>1.5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0.5</v>
      </c>
      <c r="AA31" s="34">
        <f t="shared" si="23"/>
        <v>0</v>
      </c>
      <c r="AB31" s="34">
        <f t="shared" si="23"/>
        <v>0</v>
      </c>
      <c r="AC31" s="34">
        <f t="shared" si="23"/>
        <v>65</v>
      </c>
      <c r="AD31" s="34">
        <f t="shared" si="23"/>
        <v>0</v>
      </c>
      <c r="AE31" s="31">
        <f t="shared" si="23"/>
        <v>55.5</v>
      </c>
      <c r="AF31" s="31">
        <f t="shared" si="23"/>
        <v>120.5</v>
      </c>
    </row>
    <row r="32" spans="2:32" ht="23.1" customHeight="1" x14ac:dyDescent="0.25">
      <c r="B32" s="24" t="s">
        <v>59</v>
      </c>
      <c r="C32" s="49">
        <f>AVERAGE('29.07 Nakawa-Bugolobi'!C32,'30.07 Nakawa-Bugolobi'!C32,'31.07 Nakawa-Bugolobi'!C32,'02.08 Nakawa-Bugolobi'!C32,'01.08 Nakawa-Bugolobi-24h'!C32,'03.08 Nakawa-Bugolobi-24h'!C32,'04.08 Nakawa-Bugolobi'!C32)</f>
        <v>69.857142857142861</v>
      </c>
      <c r="D32" s="49">
        <f>AVERAGE('29.07 Nakawa-Bugolobi'!D32,'30.07 Nakawa-Bugolobi'!D32,'31.07 Nakawa-Bugolobi'!D32,'02.08 Nakawa-Bugolobi'!D32,'01.08 Nakawa-Bugolobi-24h'!D32,'03.08 Nakawa-Bugolobi-24h'!D32,'04.08 Nakawa-Bugolobi'!D32)</f>
        <v>20.714285714285715</v>
      </c>
      <c r="E32" s="49">
        <f>AVERAGE('29.07 Nakawa-Bugolobi'!E32,'30.07 Nakawa-Bugolobi'!E32,'31.07 Nakawa-Bugolobi'!E32,'02.08 Nakawa-Bugolobi'!E32,'01.08 Nakawa-Bugolobi-24h'!E32,'03.08 Nakawa-Bugolobi-24h'!E32,'04.08 Nakawa-Bugolobi'!E32)</f>
        <v>15.428571428571429</v>
      </c>
      <c r="F32" s="49">
        <f>AVERAGE('29.07 Nakawa-Bugolobi'!F32,'30.07 Nakawa-Bugolobi'!F32,'31.07 Nakawa-Bugolobi'!F32,'02.08 Nakawa-Bugolobi'!F32,'01.08 Nakawa-Bugolobi-24h'!F32,'03.08 Nakawa-Bugolobi-24h'!F32,'04.08 Nakawa-Bugolobi'!F32)</f>
        <v>21</v>
      </c>
      <c r="G32" s="49">
        <f>AVERAGE('29.07 Nakawa-Bugolobi'!G32,'30.07 Nakawa-Bugolobi'!G32,'31.07 Nakawa-Bugolobi'!G32,'02.08 Nakawa-Bugolobi'!G32,'01.08 Nakawa-Bugolobi-24h'!G32,'03.08 Nakawa-Bugolobi-24h'!G32,'04.08 Nakawa-Bugolobi'!G32)</f>
        <v>1</v>
      </c>
      <c r="H32" s="49">
        <f>AVERAGE('29.07 Nakawa-Bugolobi'!H32,'30.07 Nakawa-Bugolobi'!H32,'31.07 Nakawa-Bugolobi'!H32,'02.08 Nakawa-Bugolobi'!H32,'01.08 Nakawa-Bugolobi-24h'!H32,'03.08 Nakawa-Bugolobi-24h'!H32,'04.08 Nakawa-Bugolobi'!H32)</f>
        <v>0.14285714285714285</v>
      </c>
      <c r="I32" s="49">
        <f>AVERAGE('29.07 Nakawa-Bugolobi'!I32,'30.07 Nakawa-Bugolobi'!I32,'31.07 Nakawa-Bugolobi'!I32,'02.08 Nakawa-Bugolobi'!I32,'01.08 Nakawa-Bugolobi-24h'!I32,'03.08 Nakawa-Bugolobi-24h'!I32,'04.08 Nakawa-Bugolobi'!I32)</f>
        <v>2.2857142857142856</v>
      </c>
      <c r="J32" s="49">
        <f>AVERAGE('29.07 Nakawa-Bugolobi'!J32,'30.07 Nakawa-Bugolobi'!J32,'31.07 Nakawa-Bugolobi'!J32,'02.08 Nakawa-Bugolobi'!J32,'01.08 Nakawa-Bugolobi-24h'!J32,'03.08 Nakawa-Bugolobi-24h'!J32,'04.08 Nakawa-Bugolobi'!J32)</f>
        <v>1.4285714285714286</v>
      </c>
      <c r="K32" s="49">
        <f>AVERAGE('29.07 Nakawa-Bugolobi'!K32,'30.07 Nakawa-Bugolobi'!K32,'31.07 Nakawa-Bugolobi'!K32,'02.08 Nakawa-Bugolobi'!K32,'01.08 Nakawa-Bugolobi-24h'!K32,'03.08 Nakawa-Bugolobi-24h'!K32,'04.08 Nakawa-Bugolobi'!K32)</f>
        <v>0.14285714285714285</v>
      </c>
      <c r="L32" s="49">
        <f>AVERAGE('29.07 Nakawa-Bugolobi'!L32,'30.07 Nakawa-Bugolobi'!L32,'31.07 Nakawa-Bugolobi'!L32,'02.08 Nakawa-Bugolobi'!L32,'01.08 Nakawa-Bugolobi-24h'!L32,'03.08 Nakawa-Bugolobi-24h'!L32,'04.08 Nakawa-Bugolobi'!L32)</f>
        <v>0.14285714285714285</v>
      </c>
      <c r="M32" s="49">
        <f>AVERAGE('29.07 Nakawa-Bugolobi'!M32,'30.07 Nakawa-Bugolobi'!M32,'31.07 Nakawa-Bugolobi'!M32,'02.08 Nakawa-Bugolobi'!M32,'01.08 Nakawa-Bugolobi-24h'!M32,'03.08 Nakawa-Bugolobi-24h'!M32,'04.08 Nakawa-Bugolobi'!M32)</f>
        <v>100.42857142857143</v>
      </c>
      <c r="N32" s="49">
        <f>AVERAGE('29.07 Nakawa-Bugolobi'!N32,'30.07 Nakawa-Bugolobi'!N32,'31.07 Nakawa-Bugolobi'!N32,'02.08 Nakawa-Bugolobi'!N32,'01.08 Nakawa-Bugolobi-24h'!N32,'03.08 Nakawa-Bugolobi-24h'!N32,'04.08 Nakawa-Bugolobi'!N32)</f>
        <v>0</v>
      </c>
      <c r="O32" s="15">
        <f t="shared" si="0"/>
        <v>132.14285714285711</v>
      </c>
      <c r="P32" s="15">
        <f t="shared" si="1"/>
        <v>232.57142857142856</v>
      </c>
      <c r="R32" s="1" t="s">
        <v>156</v>
      </c>
      <c r="S32" s="34">
        <f>SUM(C98:C101)</f>
        <v>34.5</v>
      </c>
      <c r="T32" s="34">
        <f t="shared" ref="T32:AF32" si="24">SUM(D98:D101)</f>
        <v>4.5</v>
      </c>
      <c r="U32" s="34">
        <f t="shared" si="24"/>
        <v>3</v>
      </c>
      <c r="V32" s="34">
        <f t="shared" si="24"/>
        <v>5</v>
      </c>
      <c r="W32" s="34">
        <f t="shared" si="24"/>
        <v>0.5</v>
      </c>
      <c r="X32" s="34">
        <f t="shared" si="24"/>
        <v>0</v>
      </c>
      <c r="Y32" s="34">
        <f t="shared" si="24"/>
        <v>0.5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66</v>
      </c>
      <c r="AD32" s="34">
        <f t="shared" si="24"/>
        <v>0</v>
      </c>
      <c r="AE32" s="31">
        <f t="shared" si="24"/>
        <v>49</v>
      </c>
      <c r="AF32" s="31">
        <f t="shared" si="24"/>
        <v>115</v>
      </c>
    </row>
    <row r="33" spans="2:32" ht="23.1" customHeight="1" x14ac:dyDescent="0.25">
      <c r="B33" s="23" t="s">
        <v>60</v>
      </c>
      <c r="C33" s="49">
        <f>AVERAGE('29.07 Nakawa-Bugolobi'!C33,'30.07 Nakawa-Bugolobi'!C33,'31.07 Nakawa-Bugolobi'!C33,'02.08 Nakawa-Bugolobi'!C33,'01.08 Nakawa-Bugolobi-24h'!C33,'03.08 Nakawa-Bugolobi-24h'!C33,'04.08 Nakawa-Bugolobi'!C33)</f>
        <v>78.142857142857139</v>
      </c>
      <c r="D33" s="49">
        <f>AVERAGE('29.07 Nakawa-Bugolobi'!D33,'30.07 Nakawa-Bugolobi'!D33,'31.07 Nakawa-Bugolobi'!D33,'02.08 Nakawa-Bugolobi'!D33,'01.08 Nakawa-Bugolobi-24h'!D33,'03.08 Nakawa-Bugolobi-24h'!D33,'04.08 Nakawa-Bugolobi'!D33)</f>
        <v>17.571428571428573</v>
      </c>
      <c r="E33" s="49">
        <f>AVERAGE('29.07 Nakawa-Bugolobi'!E33,'30.07 Nakawa-Bugolobi'!E33,'31.07 Nakawa-Bugolobi'!E33,'02.08 Nakawa-Bugolobi'!E33,'01.08 Nakawa-Bugolobi-24h'!E33,'03.08 Nakawa-Bugolobi-24h'!E33,'04.08 Nakawa-Bugolobi'!E33)</f>
        <v>14.142857142857142</v>
      </c>
      <c r="F33" s="49">
        <f>AVERAGE('29.07 Nakawa-Bugolobi'!F33,'30.07 Nakawa-Bugolobi'!F33,'31.07 Nakawa-Bugolobi'!F33,'02.08 Nakawa-Bugolobi'!F33,'01.08 Nakawa-Bugolobi-24h'!F33,'03.08 Nakawa-Bugolobi-24h'!F33,'04.08 Nakawa-Bugolobi'!F33)</f>
        <v>23.571428571428573</v>
      </c>
      <c r="G33" s="49">
        <f>AVERAGE('29.07 Nakawa-Bugolobi'!G33,'30.07 Nakawa-Bugolobi'!G33,'31.07 Nakawa-Bugolobi'!G33,'02.08 Nakawa-Bugolobi'!G33,'01.08 Nakawa-Bugolobi-24h'!G33,'03.08 Nakawa-Bugolobi-24h'!G33,'04.08 Nakawa-Bugolobi'!G33)</f>
        <v>0.2857142857142857</v>
      </c>
      <c r="H33" s="49">
        <f>AVERAGE('29.07 Nakawa-Bugolobi'!H33,'30.07 Nakawa-Bugolobi'!H33,'31.07 Nakawa-Bugolobi'!H33,'02.08 Nakawa-Bugolobi'!H33,'01.08 Nakawa-Bugolobi-24h'!H33,'03.08 Nakawa-Bugolobi-24h'!H33,'04.08 Nakawa-Bugolobi'!H33)</f>
        <v>0</v>
      </c>
      <c r="I33" s="49">
        <f>AVERAGE('29.07 Nakawa-Bugolobi'!I33,'30.07 Nakawa-Bugolobi'!I33,'31.07 Nakawa-Bugolobi'!I33,'02.08 Nakawa-Bugolobi'!I33,'01.08 Nakawa-Bugolobi-24h'!I33,'03.08 Nakawa-Bugolobi-24h'!I33,'04.08 Nakawa-Bugolobi'!I33)</f>
        <v>3.4285714285714284</v>
      </c>
      <c r="J33" s="49">
        <f>AVERAGE('29.07 Nakawa-Bugolobi'!J33,'30.07 Nakawa-Bugolobi'!J33,'31.07 Nakawa-Bugolobi'!J33,'02.08 Nakawa-Bugolobi'!J33,'01.08 Nakawa-Bugolobi-24h'!J33,'03.08 Nakawa-Bugolobi-24h'!J33,'04.08 Nakawa-Bugolobi'!J33)</f>
        <v>1.4285714285714286</v>
      </c>
      <c r="K33" s="49">
        <f>AVERAGE('29.07 Nakawa-Bugolobi'!K33,'30.07 Nakawa-Bugolobi'!K33,'31.07 Nakawa-Bugolobi'!K33,'02.08 Nakawa-Bugolobi'!K33,'01.08 Nakawa-Bugolobi-24h'!K33,'03.08 Nakawa-Bugolobi-24h'!K33,'04.08 Nakawa-Bugolobi'!K33)</f>
        <v>0</v>
      </c>
      <c r="L33" s="49">
        <f>AVERAGE('29.07 Nakawa-Bugolobi'!L33,'30.07 Nakawa-Bugolobi'!L33,'31.07 Nakawa-Bugolobi'!L33,'02.08 Nakawa-Bugolobi'!L33,'01.08 Nakawa-Bugolobi-24h'!L33,'03.08 Nakawa-Bugolobi-24h'!L33,'04.08 Nakawa-Bugolobi'!L33)</f>
        <v>0.5714285714285714</v>
      </c>
      <c r="M33" s="49">
        <f>AVERAGE('29.07 Nakawa-Bugolobi'!M33,'30.07 Nakawa-Bugolobi'!M33,'31.07 Nakawa-Bugolobi'!M33,'02.08 Nakawa-Bugolobi'!M33,'01.08 Nakawa-Bugolobi-24h'!M33,'03.08 Nakawa-Bugolobi-24h'!M33,'04.08 Nakawa-Bugolobi'!M33)</f>
        <v>116.42857142857143</v>
      </c>
      <c r="N33" s="49">
        <f>AVERAGE('29.07 Nakawa-Bugolobi'!N33,'30.07 Nakawa-Bugolobi'!N33,'31.07 Nakawa-Bugolobi'!N33,'02.08 Nakawa-Bugolobi'!N33,'01.08 Nakawa-Bugolobi-24h'!N33,'03.08 Nakawa-Bugolobi-24h'!N33,'04.08 Nakawa-Bugolobi'!N33)</f>
        <v>0</v>
      </c>
      <c r="O33" s="15">
        <f t="shared" si="0"/>
        <v>139.14285714285711</v>
      </c>
      <c r="P33" s="15">
        <f t="shared" si="1"/>
        <v>255.57142857142856</v>
      </c>
      <c r="R33" s="1" t="s">
        <v>157</v>
      </c>
      <c r="S33" s="34">
        <f>SUM(C102:C105)</f>
        <v>105</v>
      </c>
      <c r="T33" s="34">
        <f t="shared" ref="T33:AF33" si="25">SUM(D102:D105)</f>
        <v>13</v>
      </c>
      <c r="U33" s="34">
        <f t="shared" si="25"/>
        <v>7.5</v>
      </c>
      <c r="V33" s="34">
        <f t="shared" si="25"/>
        <v>32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1</v>
      </c>
      <c r="AA33" s="34">
        <f t="shared" si="25"/>
        <v>0.5</v>
      </c>
      <c r="AB33" s="34">
        <f t="shared" si="25"/>
        <v>0</v>
      </c>
      <c r="AC33" s="34">
        <f t="shared" si="25"/>
        <v>108.5</v>
      </c>
      <c r="AD33" s="34">
        <f t="shared" si="25"/>
        <v>0</v>
      </c>
      <c r="AE33" s="31">
        <f t="shared" si="25"/>
        <v>162</v>
      </c>
      <c r="AF33" s="31">
        <f t="shared" si="25"/>
        <v>270.5</v>
      </c>
    </row>
    <row r="34" spans="2:32" ht="23.1" customHeight="1" x14ac:dyDescent="0.25">
      <c r="B34" s="24" t="s">
        <v>61</v>
      </c>
      <c r="C34" s="49">
        <f>AVERAGE('29.07 Nakawa-Bugolobi'!C34,'30.07 Nakawa-Bugolobi'!C34,'31.07 Nakawa-Bugolobi'!C34,'02.08 Nakawa-Bugolobi'!C34,'01.08 Nakawa-Bugolobi-24h'!C34,'03.08 Nakawa-Bugolobi-24h'!C34,'04.08 Nakawa-Bugolobi'!C34)</f>
        <v>67.857142857142861</v>
      </c>
      <c r="D34" s="49">
        <f>AVERAGE('29.07 Nakawa-Bugolobi'!D34,'30.07 Nakawa-Bugolobi'!D34,'31.07 Nakawa-Bugolobi'!D34,'02.08 Nakawa-Bugolobi'!D34,'01.08 Nakawa-Bugolobi-24h'!D34,'03.08 Nakawa-Bugolobi-24h'!D34,'04.08 Nakawa-Bugolobi'!D34)</f>
        <v>16.857142857142858</v>
      </c>
      <c r="E34" s="49">
        <f>AVERAGE('29.07 Nakawa-Bugolobi'!E34,'30.07 Nakawa-Bugolobi'!E34,'31.07 Nakawa-Bugolobi'!E34,'02.08 Nakawa-Bugolobi'!E34,'01.08 Nakawa-Bugolobi-24h'!E34,'03.08 Nakawa-Bugolobi-24h'!E34,'04.08 Nakawa-Bugolobi'!E34)</f>
        <v>18.142857142857142</v>
      </c>
      <c r="F34" s="49">
        <f>AVERAGE('29.07 Nakawa-Bugolobi'!F34,'30.07 Nakawa-Bugolobi'!F34,'31.07 Nakawa-Bugolobi'!F34,'02.08 Nakawa-Bugolobi'!F34,'01.08 Nakawa-Bugolobi-24h'!F34,'03.08 Nakawa-Bugolobi-24h'!F34,'04.08 Nakawa-Bugolobi'!F34)</f>
        <v>19.857142857142858</v>
      </c>
      <c r="G34" s="49">
        <f>AVERAGE('29.07 Nakawa-Bugolobi'!G34,'30.07 Nakawa-Bugolobi'!G34,'31.07 Nakawa-Bugolobi'!G34,'02.08 Nakawa-Bugolobi'!G34,'01.08 Nakawa-Bugolobi-24h'!G34,'03.08 Nakawa-Bugolobi-24h'!G34,'04.08 Nakawa-Bugolobi'!G34)</f>
        <v>0.2857142857142857</v>
      </c>
      <c r="H34" s="49">
        <f>AVERAGE('29.07 Nakawa-Bugolobi'!H34,'30.07 Nakawa-Bugolobi'!H34,'31.07 Nakawa-Bugolobi'!H34,'02.08 Nakawa-Bugolobi'!H34,'01.08 Nakawa-Bugolobi-24h'!H34,'03.08 Nakawa-Bugolobi-24h'!H34,'04.08 Nakawa-Bugolobi'!H34)</f>
        <v>0</v>
      </c>
      <c r="I34" s="49">
        <f>AVERAGE('29.07 Nakawa-Bugolobi'!I34,'30.07 Nakawa-Bugolobi'!I34,'31.07 Nakawa-Bugolobi'!I34,'02.08 Nakawa-Bugolobi'!I34,'01.08 Nakawa-Bugolobi-24h'!I34,'03.08 Nakawa-Bugolobi-24h'!I34,'04.08 Nakawa-Bugolobi'!I34)</f>
        <v>2.2857142857142856</v>
      </c>
      <c r="J34" s="49">
        <f>AVERAGE('29.07 Nakawa-Bugolobi'!J34,'30.07 Nakawa-Bugolobi'!J34,'31.07 Nakawa-Bugolobi'!J34,'02.08 Nakawa-Bugolobi'!J34,'01.08 Nakawa-Bugolobi-24h'!J34,'03.08 Nakawa-Bugolobi-24h'!J34,'04.08 Nakawa-Bugolobi'!J34)</f>
        <v>0.8571428571428571</v>
      </c>
      <c r="K34" s="49">
        <f>AVERAGE('29.07 Nakawa-Bugolobi'!K34,'30.07 Nakawa-Bugolobi'!K34,'31.07 Nakawa-Bugolobi'!K34,'02.08 Nakawa-Bugolobi'!K34,'01.08 Nakawa-Bugolobi-24h'!K34,'03.08 Nakawa-Bugolobi-24h'!K34,'04.08 Nakawa-Bugolobi'!K34)</f>
        <v>0.14285714285714285</v>
      </c>
      <c r="L34" s="49">
        <f>AVERAGE('29.07 Nakawa-Bugolobi'!L34,'30.07 Nakawa-Bugolobi'!L34,'31.07 Nakawa-Bugolobi'!L34,'02.08 Nakawa-Bugolobi'!L34,'01.08 Nakawa-Bugolobi-24h'!L34,'03.08 Nakawa-Bugolobi-24h'!L34,'04.08 Nakawa-Bugolobi'!L34)</f>
        <v>0.2857142857142857</v>
      </c>
      <c r="M34" s="49">
        <f>AVERAGE('29.07 Nakawa-Bugolobi'!M34,'30.07 Nakawa-Bugolobi'!M34,'31.07 Nakawa-Bugolobi'!M34,'02.08 Nakawa-Bugolobi'!M34,'01.08 Nakawa-Bugolobi-24h'!M34,'03.08 Nakawa-Bugolobi-24h'!M34,'04.08 Nakawa-Bugolobi'!M34)</f>
        <v>95.857142857142861</v>
      </c>
      <c r="N34" s="49">
        <f>AVERAGE('29.07 Nakawa-Bugolobi'!N34,'30.07 Nakawa-Bugolobi'!N34,'31.07 Nakawa-Bugolobi'!N34,'02.08 Nakawa-Bugolobi'!N34,'01.08 Nakawa-Bugolobi-24h'!N34,'03.08 Nakawa-Bugolobi-24h'!N34,'04.08 Nakawa-Bugolobi'!N34)</f>
        <v>0</v>
      </c>
      <c r="O34" s="15">
        <f t="shared" si="0"/>
        <v>126.5714285714286</v>
      </c>
      <c r="P34" s="15">
        <f t="shared" si="1"/>
        <v>222.42857142857144</v>
      </c>
      <c r="R34" s="38" t="s">
        <v>90</v>
      </c>
      <c r="S34" s="39">
        <f t="shared" ref="S34:AF34" si="26">MAX(S10:S12)</f>
        <v>288.42857142857144</v>
      </c>
      <c r="T34" s="39">
        <f t="shared" si="26"/>
        <v>71.428571428571431</v>
      </c>
      <c r="U34" s="39">
        <f t="shared" si="26"/>
        <v>54</v>
      </c>
      <c r="V34" s="39">
        <f t="shared" si="26"/>
        <v>97.714285714285708</v>
      </c>
      <c r="W34" s="39">
        <f t="shared" si="26"/>
        <v>2.4285714285714284</v>
      </c>
      <c r="X34" s="39">
        <f t="shared" si="26"/>
        <v>0.5714285714285714</v>
      </c>
      <c r="Y34" s="39">
        <f t="shared" si="26"/>
        <v>11.571428571428571</v>
      </c>
      <c r="Z34" s="39">
        <f t="shared" si="26"/>
        <v>3.2857142857142856</v>
      </c>
      <c r="AA34" s="39">
        <f t="shared" si="26"/>
        <v>1.5714285714285714</v>
      </c>
      <c r="AB34" s="39">
        <f t="shared" si="26"/>
        <v>1</v>
      </c>
      <c r="AC34" s="39">
        <f t="shared" si="26"/>
        <v>513.85714285714289</v>
      </c>
      <c r="AD34" s="39">
        <f t="shared" si="26"/>
        <v>0.14285714285714285</v>
      </c>
      <c r="AE34" s="40">
        <f t="shared" si="26"/>
        <v>520.71428571428555</v>
      </c>
      <c r="AF34" s="40">
        <f t="shared" si="26"/>
        <v>1028.2857142857144</v>
      </c>
    </row>
    <row r="35" spans="2:32" ht="23.1" customHeight="1" x14ac:dyDescent="0.25">
      <c r="B35" s="24" t="s">
        <v>62</v>
      </c>
      <c r="C35" s="49">
        <f>AVERAGE('29.07 Nakawa-Bugolobi'!C35,'30.07 Nakawa-Bugolobi'!C35,'31.07 Nakawa-Bugolobi'!C35,'02.08 Nakawa-Bugolobi'!C35,'01.08 Nakawa-Bugolobi-24h'!C35,'03.08 Nakawa-Bugolobi-24h'!C35,'04.08 Nakawa-Bugolobi'!C35)</f>
        <v>58</v>
      </c>
      <c r="D35" s="49">
        <f>AVERAGE('29.07 Nakawa-Bugolobi'!D35,'30.07 Nakawa-Bugolobi'!D35,'31.07 Nakawa-Bugolobi'!D35,'02.08 Nakawa-Bugolobi'!D35,'01.08 Nakawa-Bugolobi-24h'!D35,'03.08 Nakawa-Bugolobi-24h'!D35,'04.08 Nakawa-Bugolobi'!D35)</f>
        <v>17.142857142857142</v>
      </c>
      <c r="E35" s="49">
        <f>AVERAGE('29.07 Nakawa-Bugolobi'!E35,'30.07 Nakawa-Bugolobi'!E35,'31.07 Nakawa-Bugolobi'!E35,'02.08 Nakawa-Bugolobi'!E35,'01.08 Nakawa-Bugolobi-24h'!E35,'03.08 Nakawa-Bugolobi-24h'!E35,'04.08 Nakawa-Bugolobi'!E35)</f>
        <v>13</v>
      </c>
      <c r="F35" s="49">
        <f>AVERAGE('29.07 Nakawa-Bugolobi'!F35,'30.07 Nakawa-Bugolobi'!F35,'31.07 Nakawa-Bugolobi'!F35,'02.08 Nakawa-Bugolobi'!F35,'01.08 Nakawa-Bugolobi-24h'!F35,'03.08 Nakawa-Bugolobi-24h'!F35,'04.08 Nakawa-Bugolobi'!F35)</f>
        <v>17.428571428571427</v>
      </c>
      <c r="G35" s="49">
        <f>AVERAGE('29.07 Nakawa-Bugolobi'!G35,'30.07 Nakawa-Bugolobi'!G35,'31.07 Nakawa-Bugolobi'!G35,'02.08 Nakawa-Bugolobi'!G35,'01.08 Nakawa-Bugolobi-24h'!G35,'03.08 Nakawa-Bugolobi-24h'!G35,'04.08 Nakawa-Bugolobi'!G35)</f>
        <v>0.2857142857142857</v>
      </c>
      <c r="H35" s="49">
        <f>AVERAGE('29.07 Nakawa-Bugolobi'!H35,'30.07 Nakawa-Bugolobi'!H35,'31.07 Nakawa-Bugolobi'!H35,'02.08 Nakawa-Bugolobi'!H35,'01.08 Nakawa-Bugolobi-24h'!H35,'03.08 Nakawa-Bugolobi-24h'!H35,'04.08 Nakawa-Bugolobi'!H35)</f>
        <v>0.14285714285714285</v>
      </c>
      <c r="I35" s="49">
        <f>AVERAGE('29.07 Nakawa-Bugolobi'!I35,'30.07 Nakawa-Bugolobi'!I35,'31.07 Nakawa-Bugolobi'!I35,'02.08 Nakawa-Bugolobi'!I35,'01.08 Nakawa-Bugolobi-24h'!I35,'03.08 Nakawa-Bugolobi-24h'!I35,'04.08 Nakawa-Bugolobi'!I35)</f>
        <v>3.5714285714285716</v>
      </c>
      <c r="J35" s="49">
        <f>AVERAGE('29.07 Nakawa-Bugolobi'!J35,'30.07 Nakawa-Bugolobi'!J35,'31.07 Nakawa-Bugolobi'!J35,'02.08 Nakawa-Bugolobi'!J35,'01.08 Nakawa-Bugolobi-24h'!J35,'03.08 Nakawa-Bugolobi-24h'!J35,'04.08 Nakawa-Bugolobi'!J35)</f>
        <v>0.8571428571428571</v>
      </c>
      <c r="K35" s="49">
        <f>AVERAGE('29.07 Nakawa-Bugolobi'!K35,'30.07 Nakawa-Bugolobi'!K35,'31.07 Nakawa-Bugolobi'!K35,'02.08 Nakawa-Bugolobi'!K35,'01.08 Nakawa-Bugolobi-24h'!K35,'03.08 Nakawa-Bugolobi-24h'!K35,'04.08 Nakawa-Bugolobi'!K35)</f>
        <v>0.14285714285714285</v>
      </c>
      <c r="L35" s="49">
        <f>AVERAGE('29.07 Nakawa-Bugolobi'!L35,'30.07 Nakawa-Bugolobi'!L35,'31.07 Nakawa-Bugolobi'!L35,'02.08 Nakawa-Bugolobi'!L35,'01.08 Nakawa-Bugolobi-24h'!L35,'03.08 Nakawa-Bugolobi-24h'!L35,'04.08 Nakawa-Bugolobi'!L35)</f>
        <v>0.42857142857142855</v>
      </c>
      <c r="M35" s="49">
        <f>AVERAGE('29.07 Nakawa-Bugolobi'!M35,'30.07 Nakawa-Bugolobi'!M35,'31.07 Nakawa-Bugolobi'!M35,'02.08 Nakawa-Bugolobi'!M35,'01.08 Nakawa-Bugolobi-24h'!M35,'03.08 Nakawa-Bugolobi-24h'!M35,'04.08 Nakawa-Bugolobi'!M35)</f>
        <v>97.142857142857139</v>
      </c>
      <c r="N35" s="49">
        <f>AVERAGE('29.07 Nakawa-Bugolobi'!N35,'30.07 Nakawa-Bugolobi'!N35,'31.07 Nakawa-Bugolobi'!N35,'02.08 Nakawa-Bugolobi'!N35,'01.08 Nakawa-Bugolobi-24h'!N35,'03.08 Nakawa-Bugolobi-24h'!N35,'04.08 Nakawa-Bugolobi'!N35)</f>
        <v>0</v>
      </c>
      <c r="O35" s="15">
        <f t="shared" si="0"/>
        <v>111</v>
      </c>
      <c r="P35" s="15">
        <f t="shared" si="1"/>
        <v>208.14285714285714</v>
      </c>
      <c r="R35" s="38" t="s">
        <v>91</v>
      </c>
      <c r="S35" s="39">
        <f t="shared" ref="S35:AF35" si="27">MAX(S13:S18)</f>
        <v>315.57142857142856</v>
      </c>
      <c r="T35" s="39">
        <f t="shared" si="27"/>
        <v>79.285714285714292</v>
      </c>
      <c r="U35" s="39">
        <f t="shared" si="27"/>
        <v>61.571428571428569</v>
      </c>
      <c r="V35" s="39">
        <f t="shared" si="27"/>
        <v>88.142857142857139</v>
      </c>
      <c r="W35" s="39">
        <f t="shared" si="27"/>
        <v>2.7142857142857144</v>
      </c>
      <c r="X35" s="39">
        <f t="shared" si="27"/>
        <v>0.85714285714285698</v>
      </c>
      <c r="Y35" s="39">
        <f t="shared" si="27"/>
        <v>15.000000000000002</v>
      </c>
      <c r="Z35" s="39">
        <f t="shared" si="27"/>
        <v>6.2857142857142856</v>
      </c>
      <c r="AA35" s="39">
        <f t="shared" si="27"/>
        <v>2</v>
      </c>
      <c r="AB35" s="39">
        <f t="shared" si="27"/>
        <v>1.1428571428571428</v>
      </c>
      <c r="AC35" s="39">
        <f t="shared" si="27"/>
        <v>459.28571428571428</v>
      </c>
      <c r="AD35" s="39">
        <f t="shared" si="27"/>
        <v>0.14285714285714285</v>
      </c>
      <c r="AE35" s="40">
        <f t="shared" si="27"/>
        <v>533.42857142857133</v>
      </c>
      <c r="AF35" s="40">
        <f t="shared" si="27"/>
        <v>955.99999999999989</v>
      </c>
    </row>
    <row r="36" spans="2:32" ht="23.1" customHeight="1" x14ac:dyDescent="0.25">
      <c r="B36" s="24" t="s">
        <v>63</v>
      </c>
      <c r="C36" s="49">
        <f>AVERAGE('29.07 Nakawa-Bugolobi'!C36,'30.07 Nakawa-Bugolobi'!C36,'31.07 Nakawa-Bugolobi'!C36,'02.08 Nakawa-Bugolobi'!C36,'01.08 Nakawa-Bugolobi-24h'!C36,'03.08 Nakawa-Bugolobi-24h'!C36,'04.08 Nakawa-Bugolobi'!C36)</f>
        <v>68</v>
      </c>
      <c r="D36" s="49">
        <f>AVERAGE('29.07 Nakawa-Bugolobi'!D36,'30.07 Nakawa-Bugolobi'!D36,'31.07 Nakawa-Bugolobi'!D36,'02.08 Nakawa-Bugolobi'!D36,'01.08 Nakawa-Bugolobi-24h'!D36,'03.08 Nakawa-Bugolobi-24h'!D36,'04.08 Nakawa-Bugolobi'!D36)</f>
        <v>18.428571428571427</v>
      </c>
      <c r="E36" s="49">
        <f>AVERAGE('29.07 Nakawa-Bugolobi'!E36,'30.07 Nakawa-Bugolobi'!E36,'31.07 Nakawa-Bugolobi'!E36,'02.08 Nakawa-Bugolobi'!E36,'01.08 Nakawa-Bugolobi-24h'!E36,'03.08 Nakawa-Bugolobi-24h'!E36,'04.08 Nakawa-Bugolobi'!E36)</f>
        <v>16.285714285714285</v>
      </c>
      <c r="F36" s="49">
        <f>AVERAGE('29.07 Nakawa-Bugolobi'!F36,'30.07 Nakawa-Bugolobi'!F36,'31.07 Nakawa-Bugolobi'!F36,'02.08 Nakawa-Bugolobi'!F36,'01.08 Nakawa-Bugolobi-24h'!F36,'03.08 Nakawa-Bugolobi-24h'!F36,'04.08 Nakawa-Bugolobi'!F36)</f>
        <v>23.571428571428573</v>
      </c>
      <c r="G36" s="49">
        <f>AVERAGE('29.07 Nakawa-Bugolobi'!G36,'30.07 Nakawa-Bugolobi'!G36,'31.07 Nakawa-Bugolobi'!G36,'02.08 Nakawa-Bugolobi'!G36,'01.08 Nakawa-Bugolobi-24h'!G36,'03.08 Nakawa-Bugolobi-24h'!G36,'04.08 Nakawa-Bugolobi'!G36)</f>
        <v>0.5714285714285714</v>
      </c>
      <c r="H36" s="49">
        <f>AVERAGE('29.07 Nakawa-Bugolobi'!H36,'30.07 Nakawa-Bugolobi'!H36,'31.07 Nakawa-Bugolobi'!H36,'02.08 Nakawa-Bugolobi'!H36,'01.08 Nakawa-Bugolobi-24h'!H36,'03.08 Nakawa-Bugolobi-24h'!H36,'04.08 Nakawa-Bugolobi'!H36)</f>
        <v>0</v>
      </c>
      <c r="I36" s="49">
        <f>AVERAGE('29.07 Nakawa-Bugolobi'!I36,'30.07 Nakawa-Bugolobi'!I36,'31.07 Nakawa-Bugolobi'!I36,'02.08 Nakawa-Bugolobi'!I36,'01.08 Nakawa-Bugolobi-24h'!I36,'03.08 Nakawa-Bugolobi-24h'!I36,'04.08 Nakawa-Bugolobi'!I36)</f>
        <v>3</v>
      </c>
      <c r="J36" s="49">
        <f>AVERAGE('29.07 Nakawa-Bugolobi'!J36,'30.07 Nakawa-Bugolobi'!J36,'31.07 Nakawa-Bugolobi'!J36,'02.08 Nakawa-Bugolobi'!J36,'01.08 Nakawa-Bugolobi-24h'!J36,'03.08 Nakawa-Bugolobi-24h'!J36,'04.08 Nakawa-Bugolobi'!J36)</f>
        <v>1.2857142857142858</v>
      </c>
      <c r="K36" s="49">
        <f>AVERAGE('29.07 Nakawa-Bugolobi'!K36,'30.07 Nakawa-Bugolobi'!K36,'31.07 Nakawa-Bugolobi'!K36,'02.08 Nakawa-Bugolobi'!K36,'01.08 Nakawa-Bugolobi-24h'!K36,'03.08 Nakawa-Bugolobi-24h'!K36,'04.08 Nakawa-Bugolobi'!K36)</f>
        <v>0</v>
      </c>
      <c r="L36" s="49">
        <f>AVERAGE('29.07 Nakawa-Bugolobi'!L36,'30.07 Nakawa-Bugolobi'!L36,'31.07 Nakawa-Bugolobi'!L36,'02.08 Nakawa-Bugolobi'!L36,'01.08 Nakawa-Bugolobi-24h'!L36,'03.08 Nakawa-Bugolobi-24h'!L36,'04.08 Nakawa-Bugolobi'!L36)</f>
        <v>0.14285714285714285</v>
      </c>
      <c r="M36" s="49">
        <f>AVERAGE('29.07 Nakawa-Bugolobi'!M36,'30.07 Nakawa-Bugolobi'!M36,'31.07 Nakawa-Bugolobi'!M36,'02.08 Nakawa-Bugolobi'!M36,'01.08 Nakawa-Bugolobi-24h'!M36,'03.08 Nakawa-Bugolobi-24h'!M36,'04.08 Nakawa-Bugolobi'!M36)</f>
        <v>92.285714285714292</v>
      </c>
      <c r="N36" s="49">
        <f>AVERAGE('29.07 Nakawa-Bugolobi'!N36,'30.07 Nakawa-Bugolobi'!N36,'31.07 Nakawa-Bugolobi'!N36,'02.08 Nakawa-Bugolobi'!N36,'01.08 Nakawa-Bugolobi-24h'!N36,'03.08 Nakawa-Bugolobi-24h'!N36,'04.08 Nakawa-Bugolobi'!N36)</f>
        <v>0</v>
      </c>
      <c r="O36" s="15">
        <f t="shared" si="0"/>
        <v>131.28571428571428</v>
      </c>
      <c r="P36" s="15">
        <f t="shared" si="1"/>
        <v>223.57142857142856</v>
      </c>
      <c r="R36" s="38" t="s">
        <v>92</v>
      </c>
      <c r="S36" s="39">
        <f t="shared" ref="S36:AF36" si="28">MAX(S19:S21)</f>
        <v>391.57142857142856</v>
      </c>
      <c r="T36" s="39">
        <f t="shared" si="28"/>
        <v>90.142857142857139</v>
      </c>
      <c r="U36" s="39">
        <f t="shared" si="28"/>
        <v>64.142857142857139</v>
      </c>
      <c r="V36" s="39">
        <f t="shared" si="28"/>
        <v>74.714285714285708</v>
      </c>
      <c r="W36" s="39">
        <f t="shared" si="28"/>
        <v>2.8571428571428572</v>
      </c>
      <c r="X36" s="39">
        <f t="shared" si="28"/>
        <v>0.42857142857142855</v>
      </c>
      <c r="Y36" s="39">
        <f t="shared" si="28"/>
        <v>11.857142857142858</v>
      </c>
      <c r="Z36" s="39">
        <f t="shared" si="28"/>
        <v>5.8571428571428577</v>
      </c>
      <c r="AA36" s="39">
        <f t="shared" si="28"/>
        <v>0.5714285714285714</v>
      </c>
      <c r="AB36" s="39">
        <f t="shared" si="28"/>
        <v>0.85714285714285698</v>
      </c>
      <c r="AC36" s="39">
        <f t="shared" si="28"/>
        <v>532</v>
      </c>
      <c r="AD36" s="39">
        <f t="shared" si="28"/>
        <v>0</v>
      </c>
      <c r="AE36" s="40">
        <f t="shared" si="28"/>
        <v>620.85714285714289</v>
      </c>
      <c r="AF36" s="40">
        <f t="shared" si="28"/>
        <v>1152.8571428571429</v>
      </c>
    </row>
    <row r="37" spans="2:32" ht="23.1" customHeight="1" x14ac:dyDescent="0.25">
      <c r="B37" s="23" t="s">
        <v>64</v>
      </c>
      <c r="C37" s="49">
        <f>AVERAGE('29.07 Nakawa-Bugolobi'!C37,'30.07 Nakawa-Bugolobi'!C37,'31.07 Nakawa-Bugolobi'!C37,'02.08 Nakawa-Bugolobi'!C37,'01.08 Nakawa-Bugolobi-24h'!C37,'03.08 Nakawa-Bugolobi-24h'!C37,'04.08 Nakawa-Bugolobi'!C37)</f>
        <v>62.285714285714285</v>
      </c>
      <c r="D37" s="49">
        <f>AVERAGE('29.07 Nakawa-Bugolobi'!D37,'30.07 Nakawa-Bugolobi'!D37,'31.07 Nakawa-Bugolobi'!D37,'02.08 Nakawa-Bugolobi'!D37,'01.08 Nakawa-Bugolobi-24h'!D37,'03.08 Nakawa-Bugolobi-24h'!D37,'04.08 Nakawa-Bugolobi'!D37)</f>
        <v>20.571428571428573</v>
      </c>
      <c r="E37" s="49">
        <f>AVERAGE('29.07 Nakawa-Bugolobi'!E37,'30.07 Nakawa-Bugolobi'!E37,'31.07 Nakawa-Bugolobi'!E37,'02.08 Nakawa-Bugolobi'!E37,'01.08 Nakawa-Bugolobi-24h'!E37,'03.08 Nakawa-Bugolobi-24h'!E37,'04.08 Nakawa-Bugolobi'!E37)</f>
        <v>14.142857142857142</v>
      </c>
      <c r="F37" s="49">
        <f>AVERAGE('29.07 Nakawa-Bugolobi'!F37,'30.07 Nakawa-Bugolobi'!F37,'31.07 Nakawa-Bugolobi'!F37,'02.08 Nakawa-Bugolobi'!F37,'01.08 Nakawa-Bugolobi-24h'!F37,'03.08 Nakawa-Bugolobi-24h'!F37,'04.08 Nakawa-Bugolobi'!F37)</f>
        <v>27.285714285714285</v>
      </c>
      <c r="G37" s="49">
        <f>AVERAGE('29.07 Nakawa-Bugolobi'!G37,'30.07 Nakawa-Bugolobi'!G37,'31.07 Nakawa-Bugolobi'!G37,'02.08 Nakawa-Bugolobi'!G37,'01.08 Nakawa-Bugolobi-24h'!G37,'03.08 Nakawa-Bugolobi-24h'!G37,'04.08 Nakawa-Bugolobi'!G37)</f>
        <v>0.14285714285714285</v>
      </c>
      <c r="H37" s="49">
        <f>AVERAGE('29.07 Nakawa-Bugolobi'!H37,'30.07 Nakawa-Bugolobi'!H37,'31.07 Nakawa-Bugolobi'!H37,'02.08 Nakawa-Bugolobi'!H37,'01.08 Nakawa-Bugolobi-24h'!H37,'03.08 Nakawa-Bugolobi-24h'!H37,'04.08 Nakawa-Bugolobi'!H37)</f>
        <v>0</v>
      </c>
      <c r="I37" s="49">
        <f>AVERAGE('29.07 Nakawa-Bugolobi'!I37,'30.07 Nakawa-Bugolobi'!I37,'31.07 Nakawa-Bugolobi'!I37,'02.08 Nakawa-Bugolobi'!I37,'01.08 Nakawa-Bugolobi-24h'!I37,'03.08 Nakawa-Bugolobi-24h'!I37,'04.08 Nakawa-Bugolobi'!I37)</f>
        <v>2.2857142857142856</v>
      </c>
      <c r="J37" s="49">
        <f>AVERAGE('29.07 Nakawa-Bugolobi'!J37,'30.07 Nakawa-Bugolobi'!J37,'31.07 Nakawa-Bugolobi'!J37,'02.08 Nakawa-Bugolobi'!J37,'01.08 Nakawa-Bugolobi-24h'!J37,'03.08 Nakawa-Bugolobi-24h'!J37,'04.08 Nakawa-Bugolobi'!J37)</f>
        <v>1.2857142857142858</v>
      </c>
      <c r="K37" s="49">
        <f>AVERAGE('29.07 Nakawa-Bugolobi'!K37,'30.07 Nakawa-Bugolobi'!K37,'31.07 Nakawa-Bugolobi'!K37,'02.08 Nakawa-Bugolobi'!K37,'01.08 Nakawa-Bugolobi-24h'!K37,'03.08 Nakawa-Bugolobi-24h'!K37,'04.08 Nakawa-Bugolobi'!K37)</f>
        <v>0.42857142857142855</v>
      </c>
      <c r="L37" s="49">
        <f>AVERAGE('29.07 Nakawa-Bugolobi'!L37,'30.07 Nakawa-Bugolobi'!L37,'31.07 Nakawa-Bugolobi'!L37,'02.08 Nakawa-Bugolobi'!L37,'01.08 Nakawa-Bugolobi-24h'!L37,'03.08 Nakawa-Bugolobi-24h'!L37,'04.08 Nakawa-Bugolobi'!L37)</f>
        <v>0.2857142857142857</v>
      </c>
      <c r="M37" s="49">
        <f>AVERAGE('29.07 Nakawa-Bugolobi'!M37,'30.07 Nakawa-Bugolobi'!M37,'31.07 Nakawa-Bugolobi'!M37,'02.08 Nakawa-Bugolobi'!M37,'01.08 Nakawa-Bugolobi-24h'!M37,'03.08 Nakawa-Bugolobi-24h'!M37,'04.08 Nakawa-Bugolobi'!M37)</f>
        <v>91.428571428571431</v>
      </c>
      <c r="N37" s="49">
        <f>AVERAGE('29.07 Nakawa-Bugolobi'!N37,'30.07 Nakawa-Bugolobi'!N37,'31.07 Nakawa-Bugolobi'!N37,'02.08 Nakawa-Bugolobi'!N37,'01.08 Nakawa-Bugolobi-24h'!N37,'03.08 Nakawa-Bugolobi-24h'!N37,'04.08 Nakawa-Bugolobi'!N37)</f>
        <v>0</v>
      </c>
      <c r="O37" s="15">
        <f t="shared" si="0"/>
        <v>128.71428571428569</v>
      </c>
      <c r="P37" s="15">
        <f t="shared" si="1"/>
        <v>220.14285714285711</v>
      </c>
      <c r="R37" s="37" t="s">
        <v>85</v>
      </c>
      <c r="S37" s="35">
        <f t="shared" ref="S37:AF37" si="29">SUM(S10:S12)</f>
        <v>785.85714285714289</v>
      </c>
      <c r="T37" s="16">
        <f t="shared" si="29"/>
        <v>208</v>
      </c>
      <c r="U37" s="16">
        <f t="shared" si="29"/>
        <v>159.57142857142858</v>
      </c>
      <c r="V37" s="16">
        <f t="shared" si="29"/>
        <v>281.57142857142856</v>
      </c>
      <c r="W37" s="16">
        <f t="shared" si="29"/>
        <v>6.7142857142857135</v>
      </c>
      <c r="X37" s="16">
        <f t="shared" si="29"/>
        <v>1.7142857142857142</v>
      </c>
      <c r="Y37" s="16">
        <f t="shared" si="29"/>
        <v>26.142857142857142</v>
      </c>
      <c r="Z37" s="16">
        <f t="shared" si="29"/>
        <v>7.5714285714285712</v>
      </c>
      <c r="AA37" s="16">
        <f t="shared" si="29"/>
        <v>3.1428571428571428</v>
      </c>
      <c r="AB37" s="16">
        <f t="shared" si="29"/>
        <v>2.1428571428571428</v>
      </c>
      <c r="AC37" s="16">
        <f t="shared" si="29"/>
        <v>1330.8571428571429</v>
      </c>
      <c r="AD37" s="16">
        <f t="shared" si="29"/>
        <v>0.14285714285714285</v>
      </c>
      <c r="AE37" s="32">
        <f t="shared" si="29"/>
        <v>1482.5714285714284</v>
      </c>
      <c r="AF37" s="32">
        <f t="shared" si="29"/>
        <v>2813.4285714285716</v>
      </c>
    </row>
    <row r="38" spans="2:32" ht="23.1" customHeight="1" x14ac:dyDescent="0.25">
      <c r="B38" s="24" t="s">
        <v>65</v>
      </c>
      <c r="C38" s="49">
        <f>AVERAGE('29.07 Nakawa-Bugolobi'!C38,'30.07 Nakawa-Bugolobi'!C38,'31.07 Nakawa-Bugolobi'!C38,'02.08 Nakawa-Bugolobi'!C38,'01.08 Nakawa-Bugolobi-24h'!C38,'03.08 Nakawa-Bugolobi-24h'!C38,'04.08 Nakawa-Bugolobi'!C38)</f>
        <v>67.857142857142861</v>
      </c>
      <c r="D38" s="49">
        <f>AVERAGE('29.07 Nakawa-Bugolobi'!D38,'30.07 Nakawa-Bugolobi'!D38,'31.07 Nakawa-Bugolobi'!D38,'02.08 Nakawa-Bugolobi'!D38,'01.08 Nakawa-Bugolobi-24h'!D38,'03.08 Nakawa-Bugolobi-24h'!D38,'04.08 Nakawa-Bugolobi'!D38)</f>
        <v>19.142857142857142</v>
      </c>
      <c r="E38" s="49">
        <f>AVERAGE('29.07 Nakawa-Bugolobi'!E38,'30.07 Nakawa-Bugolobi'!E38,'31.07 Nakawa-Bugolobi'!E38,'02.08 Nakawa-Bugolobi'!E38,'01.08 Nakawa-Bugolobi-24h'!E38,'03.08 Nakawa-Bugolobi-24h'!E38,'04.08 Nakawa-Bugolobi'!E38)</f>
        <v>14.571428571428571</v>
      </c>
      <c r="F38" s="49">
        <f>AVERAGE('29.07 Nakawa-Bugolobi'!F38,'30.07 Nakawa-Bugolobi'!F38,'31.07 Nakawa-Bugolobi'!F38,'02.08 Nakawa-Bugolobi'!F38,'01.08 Nakawa-Bugolobi-24h'!F38,'03.08 Nakawa-Bugolobi-24h'!F38,'04.08 Nakawa-Bugolobi'!F38)</f>
        <v>23.285714285714285</v>
      </c>
      <c r="G38" s="49">
        <f>AVERAGE('29.07 Nakawa-Bugolobi'!G38,'30.07 Nakawa-Bugolobi'!G38,'31.07 Nakawa-Bugolobi'!G38,'02.08 Nakawa-Bugolobi'!G38,'01.08 Nakawa-Bugolobi-24h'!G38,'03.08 Nakawa-Bugolobi-24h'!G38,'04.08 Nakawa-Bugolobi'!G38)</f>
        <v>0.7142857142857143</v>
      </c>
      <c r="H38" s="49">
        <f>AVERAGE('29.07 Nakawa-Bugolobi'!H38,'30.07 Nakawa-Bugolobi'!H38,'31.07 Nakawa-Bugolobi'!H38,'02.08 Nakawa-Bugolobi'!H38,'01.08 Nakawa-Bugolobi-24h'!H38,'03.08 Nakawa-Bugolobi-24h'!H38,'04.08 Nakawa-Bugolobi'!H38)</f>
        <v>0</v>
      </c>
      <c r="I38" s="49">
        <f>AVERAGE('29.07 Nakawa-Bugolobi'!I38,'30.07 Nakawa-Bugolobi'!I38,'31.07 Nakawa-Bugolobi'!I38,'02.08 Nakawa-Bugolobi'!I38,'01.08 Nakawa-Bugolobi-24h'!I38,'03.08 Nakawa-Bugolobi-24h'!I38,'04.08 Nakawa-Bugolobi'!I38)</f>
        <v>2.8571428571428572</v>
      </c>
      <c r="J38" s="49">
        <f>AVERAGE('29.07 Nakawa-Bugolobi'!J38,'30.07 Nakawa-Bugolobi'!J38,'31.07 Nakawa-Bugolobi'!J38,'02.08 Nakawa-Bugolobi'!J38,'01.08 Nakawa-Bugolobi-24h'!J38,'03.08 Nakawa-Bugolobi-24h'!J38,'04.08 Nakawa-Bugolobi'!J38)</f>
        <v>0.7142857142857143</v>
      </c>
      <c r="K38" s="49">
        <f>AVERAGE('29.07 Nakawa-Bugolobi'!K38,'30.07 Nakawa-Bugolobi'!K38,'31.07 Nakawa-Bugolobi'!K38,'02.08 Nakawa-Bugolobi'!K38,'01.08 Nakawa-Bugolobi-24h'!K38,'03.08 Nakawa-Bugolobi-24h'!K38,'04.08 Nakawa-Bugolobi'!K38)</f>
        <v>0.42857142857142855</v>
      </c>
      <c r="L38" s="49">
        <f>AVERAGE('29.07 Nakawa-Bugolobi'!L38,'30.07 Nakawa-Bugolobi'!L38,'31.07 Nakawa-Bugolobi'!L38,'02.08 Nakawa-Bugolobi'!L38,'01.08 Nakawa-Bugolobi-24h'!L38,'03.08 Nakawa-Bugolobi-24h'!L38,'04.08 Nakawa-Bugolobi'!L38)</f>
        <v>0.2857142857142857</v>
      </c>
      <c r="M38" s="49">
        <f>AVERAGE('29.07 Nakawa-Bugolobi'!M38,'30.07 Nakawa-Bugolobi'!M38,'31.07 Nakawa-Bugolobi'!M38,'02.08 Nakawa-Bugolobi'!M38,'01.08 Nakawa-Bugolobi-24h'!M38,'03.08 Nakawa-Bugolobi-24h'!M38,'04.08 Nakawa-Bugolobi'!M38)</f>
        <v>97.714285714285708</v>
      </c>
      <c r="N38" s="49">
        <f>AVERAGE('29.07 Nakawa-Bugolobi'!N38,'30.07 Nakawa-Bugolobi'!N38,'31.07 Nakawa-Bugolobi'!N38,'02.08 Nakawa-Bugolobi'!N38,'01.08 Nakawa-Bugolobi-24h'!N38,'03.08 Nakawa-Bugolobi-24h'!N38,'04.08 Nakawa-Bugolobi'!N38)</f>
        <v>0</v>
      </c>
      <c r="O38" s="15">
        <f t="shared" si="0"/>
        <v>129.85714285714283</v>
      </c>
      <c r="P38" s="15">
        <f t="shared" si="1"/>
        <v>227.57142857142856</v>
      </c>
      <c r="R38" s="28" t="s">
        <v>86</v>
      </c>
      <c r="S38" s="16">
        <f t="shared" ref="S38:AF38" si="30">SUM(S13:S18)</f>
        <v>1677.2857142857142</v>
      </c>
      <c r="T38" s="16">
        <f t="shared" si="30"/>
        <v>408.71428571428572</v>
      </c>
      <c r="U38" s="16">
        <f t="shared" si="30"/>
        <v>334.28571428571433</v>
      </c>
      <c r="V38" s="16">
        <f t="shared" si="30"/>
        <v>465.28571428571422</v>
      </c>
      <c r="W38" s="16">
        <f t="shared" si="30"/>
        <v>11.428571428571429</v>
      </c>
      <c r="X38" s="16">
        <f t="shared" si="30"/>
        <v>2.8571428571428568</v>
      </c>
      <c r="Y38" s="16">
        <f t="shared" si="30"/>
        <v>73.142857142857139</v>
      </c>
      <c r="Z38" s="16">
        <f t="shared" si="30"/>
        <v>27.857142857142854</v>
      </c>
      <c r="AA38" s="16">
        <f t="shared" si="30"/>
        <v>4.7142857142857144</v>
      </c>
      <c r="AB38" s="16">
        <f t="shared" si="30"/>
        <v>4.2857142857142856</v>
      </c>
      <c r="AC38" s="16">
        <f t="shared" si="30"/>
        <v>2442.2857142857147</v>
      </c>
      <c r="AD38" s="16">
        <f t="shared" si="30"/>
        <v>0.2857142857142857</v>
      </c>
      <c r="AE38" s="32">
        <f t="shared" si="30"/>
        <v>3010.1428571428569</v>
      </c>
      <c r="AF38" s="32">
        <f t="shared" si="30"/>
        <v>5452.4285714285716</v>
      </c>
    </row>
    <row r="39" spans="2:32" ht="23.1" customHeight="1" x14ac:dyDescent="0.25">
      <c r="B39" s="24" t="s">
        <v>66</v>
      </c>
      <c r="C39" s="49">
        <f>AVERAGE('29.07 Nakawa-Bugolobi'!C39,'30.07 Nakawa-Bugolobi'!C39,'31.07 Nakawa-Bugolobi'!C39,'02.08 Nakawa-Bugolobi'!C39,'01.08 Nakawa-Bugolobi-24h'!C39,'03.08 Nakawa-Bugolobi-24h'!C39,'04.08 Nakawa-Bugolobi'!C39)</f>
        <v>77.714285714285708</v>
      </c>
      <c r="D39" s="49">
        <f>AVERAGE('29.07 Nakawa-Bugolobi'!D39,'30.07 Nakawa-Bugolobi'!D39,'31.07 Nakawa-Bugolobi'!D39,'02.08 Nakawa-Bugolobi'!D39,'01.08 Nakawa-Bugolobi-24h'!D39,'03.08 Nakawa-Bugolobi-24h'!D39,'04.08 Nakawa-Bugolobi'!D39)</f>
        <v>10.857142857142858</v>
      </c>
      <c r="E39" s="49">
        <f>AVERAGE('29.07 Nakawa-Bugolobi'!E39,'30.07 Nakawa-Bugolobi'!E39,'31.07 Nakawa-Bugolobi'!E39,'02.08 Nakawa-Bugolobi'!E39,'01.08 Nakawa-Bugolobi-24h'!E39,'03.08 Nakawa-Bugolobi-24h'!E39,'04.08 Nakawa-Bugolobi'!E39)</f>
        <v>13</v>
      </c>
      <c r="F39" s="49">
        <f>AVERAGE('29.07 Nakawa-Bugolobi'!F39,'30.07 Nakawa-Bugolobi'!F39,'31.07 Nakawa-Bugolobi'!F39,'02.08 Nakawa-Bugolobi'!F39,'01.08 Nakawa-Bugolobi-24h'!F39,'03.08 Nakawa-Bugolobi-24h'!F39,'04.08 Nakawa-Bugolobi'!F39)</f>
        <v>18.428571428571427</v>
      </c>
      <c r="G39" s="49">
        <f>AVERAGE('29.07 Nakawa-Bugolobi'!G39,'30.07 Nakawa-Bugolobi'!G39,'31.07 Nakawa-Bugolobi'!G39,'02.08 Nakawa-Bugolobi'!G39,'01.08 Nakawa-Bugolobi-24h'!G39,'03.08 Nakawa-Bugolobi-24h'!G39,'04.08 Nakawa-Bugolobi'!G39)</f>
        <v>0.8571428571428571</v>
      </c>
      <c r="H39" s="49">
        <f>AVERAGE('29.07 Nakawa-Bugolobi'!H39,'30.07 Nakawa-Bugolobi'!H39,'31.07 Nakawa-Bugolobi'!H39,'02.08 Nakawa-Bugolobi'!H39,'01.08 Nakawa-Bugolobi-24h'!H39,'03.08 Nakawa-Bugolobi-24h'!H39,'04.08 Nakawa-Bugolobi'!H39)</f>
        <v>0</v>
      </c>
      <c r="I39" s="49">
        <f>AVERAGE('29.07 Nakawa-Bugolobi'!I39,'30.07 Nakawa-Bugolobi'!I39,'31.07 Nakawa-Bugolobi'!I39,'02.08 Nakawa-Bugolobi'!I39,'01.08 Nakawa-Bugolobi-24h'!I39,'03.08 Nakawa-Bugolobi-24h'!I39,'04.08 Nakawa-Bugolobi'!I39)</f>
        <v>1.7142857142857142</v>
      </c>
      <c r="J39" s="49">
        <f>AVERAGE('29.07 Nakawa-Bugolobi'!J39,'30.07 Nakawa-Bugolobi'!J39,'31.07 Nakawa-Bugolobi'!J39,'02.08 Nakawa-Bugolobi'!J39,'01.08 Nakawa-Bugolobi-24h'!J39,'03.08 Nakawa-Bugolobi-24h'!J39,'04.08 Nakawa-Bugolobi'!J39)</f>
        <v>1</v>
      </c>
      <c r="K39" s="49">
        <f>AVERAGE('29.07 Nakawa-Bugolobi'!K39,'30.07 Nakawa-Bugolobi'!K39,'31.07 Nakawa-Bugolobi'!K39,'02.08 Nakawa-Bugolobi'!K39,'01.08 Nakawa-Bugolobi-24h'!K39,'03.08 Nakawa-Bugolobi-24h'!K39,'04.08 Nakawa-Bugolobi'!K39)</f>
        <v>0.7142857142857143</v>
      </c>
      <c r="L39" s="49">
        <f>AVERAGE('29.07 Nakawa-Bugolobi'!L39,'30.07 Nakawa-Bugolobi'!L39,'31.07 Nakawa-Bugolobi'!L39,'02.08 Nakawa-Bugolobi'!L39,'01.08 Nakawa-Bugolobi-24h'!L39,'03.08 Nakawa-Bugolobi-24h'!L39,'04.08 Nakawa-Bugolobi'!L39)</f>
        <v>0.14285714285714285</v>
      </c>
      <c r="M39" s="49">
        <f>AVERAGE('29.07 Nakawa-Bugolobi'!M39,'30.07 Nakawa-Bugolobi'!M39,'31.07 Nakawa-Bugolobi'!M39,'02.08 Nakawa-Bugolobi'!M39,'01.08 Nakawa-Bugolobi-24h'!M39,'03.08 Nakawa-Bugolobi-24h'!M39,'04.08 Nakawa-Bugolobi'!M39)</f>
        <v>90.857142857142861</v>
      </c>
      <c r="N39" s="49">
        <f>AVERAGE('29.07 Nakawa-Bugolobi'!N39,'30.07 Nakawa-Bugolobi'!N39,'31.07 Nakawa-Bugolobi'!N39,'02.08 Nakawa-Bugolobi'!N39,'01.08 Nakawa-Bugolobi-24h'!N39,'03.08 Nakawa-Bugolobi-24h'!N39,'04.08 Nakawa-Bugolobi'!N39)</f>
        <v>0</v>
      </c>
      <c r="O39" s="15">
        <f t="shared" si="0"/>
        <v>124.42857142857142</v>
      </c>
      <c r="P39" s="15">
        <f t="shared" si="1"/>
        <v>215.28571428571428</v>
      </c>
      <c r="R39" s="29" t="s">
        <v>87</v>
      </c>
      <c r="S39" s="16">
        <f t="shared" ref="S39:AF39" si="31">SUM(S19:S21)</f>
        <v>1045.5714285714287</v>
      </c>
      <c r="T39" s="16">
        <f t="shared" si="31"/>
        <v>245</v>
      </c>
      <c r="U39" s="16">
        <f t="shared" si="31"/>
        <v>172.14285714285714</v>
      </c>
      <c r="V39" s="16">
        <f t="shared" si="31"/>
        <v>203.28571428571428</v>
      </c>
      <c r="W39" s="16">
        <f t="shared" si="31"/>
        <v>8.1428571428571423</v>
      </c>
      <c r="X39" s="16">
        <f t="shared" si="31"/>
        <v>1</v>
      </c>
      <c r="Y39" s="16">
        <f t="shared" si="31"/>
        <v>31</v>
      </c>
      <c r="Z39" s="16">
        <f t="shared" si="31"/>
        <v>14.571428571428573</v>
      </c>
      <c r="AA39" s="16">
        <f t="shared" si="31"/>
        <v>1</v>
      </c>
      <c r="AB39" s="16">
        <f t="shared" si="31"/>
        <v>1.9999999999999998</v>
      </c>
      <c r="AC39" s="16">
        <f t="shared" si="31"/>
        <v>1395.5714285714287</v>
      </c>
      <c r="AD39" s="16">
        <f t="shared" si="31"/>
        <v>0</v>
      </c>
      <c r="AE39" s="32">
        <f t="shared" si="31"/>
        <v>1723.7142857142858</v>
      </c>
      <c r="AF39" s="32">
        <f t="shared" si="31"/>
        <v>3119.2857142857142</v>
      </c>
    </row>
    <row r="40" spans="2:32" ht="23.1" customHeight="1" x14ac:dyDescent="0.25">
      <c r="B40" s="24" t="s">
        <v>67</v>
      </c>
      <c r="C40" s="49">
        <f>AVERAGE('29.07 Nakawa-Bugolobi'!C40,'30.07 Nakawa-Bugolobi'!C40,'31.07 Nakawa-Bugolobi'!C40,'02.08 Nakawa-Bugolobi'!C40,'01.08 Nakawa-Bugolobi-24h'!C40,'03.08 Nakawa-Bugolobi-24h'!C40,'04.08 Nakawa-Bugolobi'!C40)</f>
        <v>74.714285714285708</v>
      </c>
      <c r="D40" s="49">
        <f>AVERAGE('29.07 Nakawa-Bugolobi'!D40,'30.07 Nakawa-Bugolobi'!D40,'31.07 Nakawa-Bugolobi'!D40,'02.08 Nakawa-Bugolobi'!D40,'01.08 Nakawa-Bugolobi-24h'!D40,'03.08 Nakawa-Bugolobi-24h'!D40,'04.08 Nakawa-Bugolobi'!D40)</f>
        <v>13.857142857142858</v>
      </c>
      <c r="E40" s="49">
        <f>AVERAGE('29.07 Nakawa-Bugolobi'!E40,'30.07 Nakawa-Bugolobi'!E40,'31.07 Nakawa-Bugolobi'!E40,'02.08 Nakawa-Bugolobi'!E40,'01.08 Nakawa-Bugolobi-24h'!E40,'03.08 Nakawa-Bugolobi-24h'!E40,'04.08 Nakawa-Bugolobi'!E40)</f>
        <v>8.7142857142857135</v>
      </c>
      <c r="F40" s="49">
        <f>AVERAGE('29.07 Nakawa-Bugolobi'!F40,'30.07 Nakawa-Bugolobi'!F40,'31.07 Nakawa-Bugolobi'!F40,'02.08 Nakawa-Bugolobi'!F40,'01.08 Nakawa-Bugolobi-24h'!F40,'03.08 Nakawa-Bugolobi-24h'!F40,'04.08 Nakawa-Bugolobi'!F40)</f>
        <v>18.571428571428573</v>
      </c>
      <c r="G40" s="49">
        <f>AVERAGE('29.07 Nakawa-Bugolobi'!G40,'30.07 Nakawa-Bugolobi'!G40,'31.07 Nakawa-Bugolobi'!G40,'02.08 Nakawa-Bugolobi'!G40,'01.08 Nakawa-Bugolobi-24h'!G40,'03.08 Nakawa-Bugolobi-24h'!G40,'04.08 Nakawa-Bugolobi'!G40)</f>
        <v>0.14285714285714285</v>
      </c>
      <c r="H40" s="49">
        <f>AVERAGE('29.07 Nakawa-Bugolobi'!H40,'30.07 Nakawa-Bugolobi'!H40,'31.07 Nakawa-Bugolobi'!H40,'02.08 Nakawa-Bugolobi'!H40,'01.08 Nakawa-Bugolobi-24h'!H40,'03.08 Nakawa-Bugolobi-24h'!H40,'04.08 Nakawa-Bugolobi'!H40)</f>
        <v>0</v>
      </c>
      <c r="I40" s="49">
        <f>AVERAGE('29.07 Nakawa-Bugolobi'!I40,'30.07 Nakawa-Bugolobi'!I40,'31.07 Nakawa-Bugolobi'!I40,'02.08 Nakawa-Bugolobi'!I40,'01.08 Nakawa-Bugolobi-24h'!I40,'03.08 Nakawa-Bugolobi-24h'!I40,'04.08 Nakawa-Bugolobi'!I40)</f>
        <v>2.2857142857142856</v>
      </c>
      <c r="J40" s="49">
        <f>AVERAGE('29.07 Nakawa-Bugolobi'!J40,'30.07 Nakawa-Bugolobi'!J40,'31.07 Nakawa-Bugolobi'!J40,'02.08 Nakawa-Bugolobi'!J40,'01.08 Nakawa-Bugolobi-24h'!J40,'03.08 Nakawa-Bugolobi-24h'!J40,'04.08 Nakawa-Bugolobi'!J40)</f>
        <v>1.1428571428571428</v>
      </c>
      <c r="K40" s="49">
        <f>AVERAGE('29.07 Nakawa-Bugolobi'!K40,'30.07 Nakawa-Bugolobi'!K40,'31.07 Nakawa-Bugolobi'!K40,'02.08 Nakawa-Bugolobi'!K40,'01.08 Nakawa-Bugolobi-24h'!K40,'03.08 Nakawa-Bugolobi-24h'!K40,'04.08 Nakawa-Bugolobi'!K40)</f>
        <v>0.7142857142857143</v>
      </c>
      <c r="L40" s="49">
        <f>AVERAGE('29.07 Nakawa-Bugolobi'!L40,'30.07 Nakawa-Bugolobi'!L40,'31.07 Nakawa-Bugolobi'!L40,'02.08 Nakawa-Bugolobi'!L40,'01.08 Nakawa-Bugolobi-24h'!L40,'03.08 Nakawa-Bugolobi-24h'!L40,'04.08 Nakawa-Bugolobi'!L40)</f>
        <v>0.2857142857142857</v>
      </c>
      <c r="M40" s="49">
        <f>AVERAGE('29.07 Nakawa-Bugolobi'!M40,'30.07 Nakawa-Bugolobi'!M40,'31.07 Nakawa-Bugolobi'!M40,'02.08 Nakawa-Bugolobi'!M40,'01.08 Nakawa-Bugolobi-24h'!M40,'03.08 Nakawa-Bugolobi-24h'!M40,'04.08 Nakawa-Bugolobi'!M40)</f>
        <v>102</v>
      </c>
      <c r="N40" s="49">
        <f>AVERAGE('29.07 Nakawa-Bugolobi'!N40,'30.07 Nakawa-Bugolobi'!N40,'31.07 Nakawa-Bugolobi'!N40,'02.08 Nakawa-Bugolobi'!N40,'01.08 Nakawa-Bugolobi-24h'!N40,'03.08 Nakawa-Bugolobi-24h'!N40,'04.08 Nakawa-Bugolobi'!N40)</f>
        <v>0</v>
      </c>
      <c r="O40" s="15">
        <f t="shared" si="0"/>
        <v>120.42857142857142</v>
      </c>
      <c r="P40" s="15">
        <f t="shared" si="1"/>
        <v>222.42857142857142</v>
      </c>
      <c r="R40" s="5" t="s">
        <v>17</v>
      </c>
      <c r="S40" s="16">
        <f t="shared" ref="S40:AF40" si="32">SUM(S10:S21)</f>
        <v>3508.7142857142853</v>
      </c>
      <c r="T40" s="16">
        <f t="shared" si="32"/>
        <v>861.71428571428567</v>
      </c>
      <c r="U40" s="16">
        <f t="shared" si="32"/>
        <v>666</v>
      </c>
      <c r="V40" s="16">
        <f t="shared" si="32"/>
        <v>950.142857142857</v>
      </c>
      <c r="W40" s="16">
        <f t="shared" si="32"/>
        <v>26.285714285714288</v>
      </c>
      <c r="X40" s="16">
        <f t="shared" si="32"/>
        <v>5.5714285714285721</v>
      </c>
      <c r="Y40" s="16">
        <f t="shared" si="32"/>
        <v>130.28571428571428</v>
      </c>
      <c r="Z40" s="16">
        <f t="shared" si="32"/>
        <v>49.999999999999993</v>
      </c>
      <c r="AA40" s="16">
        <f t="shared" si="32"/>
        <v>8.8571428571428577</v>
      </c>
      <c r="AB40" s="16">
        <f t="shared" si="32"/>
        <v>8.428571428571427</v>
      </c>
      <c r="AC40" s="16">
        <f t="shared" si="32"/>
        <v>5168.7142857142853</v>
      </c>
      <c r="AD40" s="16">
        <f t="shared" si="32"/>
        <v>0.42857142857142855</v>
      </c>
      <c r="AE40" s="32">
        <f t="shared" si="32"/>
        <v>6216.4285714285706</v>
      </c>
      <c r="AF40" s="32">
        <f t="shared" si="32"/>
        <v>11385.142857142857</v>
      </c>
    </row>
    <row r="41" spans="2:32" ht="23.1" customHeight="1" x14ac:dyDescent="0.25">
      <c r="B41" s="23" t="s">
        <v>68</v>
      </c>
      <c r="C41" s="49">
        <f>AVERAGE('29.07 Nakawa-Bugolobi'!C41,'30.07 Nakawa-Bugolobi'!C41,'31.07 Nakawa-Bugolobi'!C41,'02.08 Nakawa-Bugolobi'!C41,'01.08 Nakawa-Bugolobi-24h'!C41,'03.08 Nakawa-Bugolobi-24h'!C41,'04.08 Nakawa-Bugolobi'!C41)</f>
        <v>78.428571428571431</v>
      </c>
      <c r="D41" s="49">
        <f>AVERAGE('29.07 Nakawa-Bugolobi'!D41,'30.07 Nakawa-Bugolobi'!D41,'31.07 Nakawa-Bugolobi'!D41,'02.08 Nakawa-Bugolobi'!D41,'01.08 Nakawa-Bugolobi-24h'!D41,'03.08 Nakawa-Bugolobi-24h'!D41,'04.08 Nakawa-Bugolobi'!D41)</f>
        <v>15.285714285714286</v>
      </c>
      <c r="E41" s="49">
        <f>AVERAGE('29.07 Nakawa-Bugolobi'!E41,'30.07 Nakawa-Bugolobi'!E41,'31.07 Nakawa-Bugolobi'!E41,'02.08 Nakawa-Bugolobi'!E41,'01.08 Nakawa-Bugolobi-24h'!E41,'03.08 Nakawa-Bugolobi-24h'!E41,'04.08 Nakawa-Bugolobi'!E41)</f>
        <v>10.857142857142858</v>
      </c>
      <c r="F41" s="49">
        <f>AVERAGE('29.07 Nakawa-Bugolobi'!F41,'30.07 Nakawa-Bugolobi'!F41,'31.07 Nakawa-Bugolobi'!F41,'02.08 Nakawa-Bugolobi'!F41,'01.08 Nakawa-Bugolobi-24h'!F41,'03.08 Nakawa-Bugolobi-24h'!F41,'04.08 Nakawa-Bugolobi'!F41)</f>
        <v>16.714285714285715</v>
      </c>
      <c r="G41" s="49">
        <f>AVERAGE('29.07 Nakawa-Bugolobi'!G41,'30.07 Nakawa-Bugolobi'!G41,'31.07 Nakawa-Bugolobi'!G41,'02.08 Nakawa-Bugolobi'!G41,'01.08 Nakawa-Bugolobi-24h'!G41,'03.08 Nakawa-Bugolobi-24h'!G41,'04.08 Nakawa-Bugolobi'!G41)</f>
        <v>0.14285714285714285</v>
      </c>
      <c r="H41" s="49">
        <f>AVERAGE('29.07 Nakawa-Bugolobi'!H41,'30.07 Nakawa-Bugolobi'!H41,'31.07 Nakawa-Bugolobi'!H41,'02.08 Nakawa-Bugolobi'!H41,'01.08 Nakawa-Bugolobi-24h'!H41,'03.08 Nakawa-Bugolobi-24h'!H41,'04.08 Nakawa-Bugolobi'!H41)</f>
        <v>0.14285714285714285</v>
      </c>
      <c r="I41" s="49">
        <f>AVERAGE('29.07 Nakawa-Bugolobi'!I41,'30.07 Nakawa-Bugolobi'!I41,'31.07 Nakawa-Bugolobi'!I41,'02.08 Nakawa-Bugolobi'!I41,'01.08 Nakawa-Bugolobi-24h'!I41,'03.08 Nakawa-Bugolobi-24h'!I41,'04.08 Nakawa-Bugolobi'!I41)</f>
        <v>3.2857142857142856</v>
      </c>
      <c r="J41" s="49">
        <f>AVERAGE('29.07 Nakawa-Bugolobi'!J41,'30.07 Nakawa-Bugolobi'!J41,'31.07 Nakawa-Bugolobi'!J41,'02.08 Nakawa-Bugolobi'!J41,'01.08 Nakawa-Bugolobi-24h'!J41,'03.08 Nakawa-Bugolobi-24h'!J41,'04.08 Nakawa-Bugolobi'!J41)</f>
        <v>2</v>
      </c>
      <c r="K41" s="49">
        <f>AVERAGE('29.07 Nakawa-Bugolobi'!K41,'30.07 Nakawa-Bugolobi'!K41,'31.07 Nakawa-Bugolobi'!K41,'02.08 Nakawa-Bugolobi'!K41,'01.08 Nakawa-Bugolobi-24h'!K41,'03.08 Nakawa-Bugolobi-24h'!K41,'04.08 Nakawa-Bugolobi'!K41)</f>
        <v>0.14285714285714285</v>
      </c>
      <c r="L41" s="49">
        <f>AVERAGE('29.07 Nakawa-Bugolobi'!L41,'30.07 Nakawa-Bugolobi'!L41,'31.07 Nakawa-Bugolobi'!L41,'02.08 Nakawa-Bugolobi'!L41,'01.08 Nakawa-Bugolobi-24h'!L41,'03.08 Nakawa-Bugolobi-24h'!L41,'04.08 Nakawa-Bugolobi'!L41)</f>
        <v>0.2857142857142857</v>
      </c>
      <c r="M41" s="49">
        <f>AVERAGE('29.07 Nakawa-Bugolobi'!M41,'30.07 Nakawa-Bugolobi'!M41,'31.07 Nakawa-Bugolobi'!M41,'02.08 Nakawa-Bugolobi'!M41,'01.08 Nakawa-Bugolobi-24h'!M41,'03.08 Nakawa-Bugolobi-24h'!M41,'04.08 Nakawa-Bugolobi'!M41)</f>
        <v>108</v>
      </c>
      <c r="N41" s="49">
        <f>AVERAGE('29.07 Nakawa-Bugolobi'!N41,'30.07 Nakawa-Bugolobi'!N41,'31.07 Nakawa-Bugolobi'!N41,'02.08 Nakawa-Bugolobi'!N41,'01.08 Nakawa-Bugolobi-24h'!N41,'03.08 Nakawa-Bugolobi-24h'!N41,'04.08 Nakawa-Bugolobi'!N41)</f>
        <v>0</v>
      </c>
      <c r="O41" s="15">
        <f t="shared" si="0"/>
        <v>127.28571428571431</v>
      </c>
      <c r="P41" s="15">
        <f t="shared" si="1"/>
        <v>235.28571428571431</v>
      </c>
      <c r="R41" s="5" t="s">
        <v>176</v>
      </c>
      <c r="S41" s="51">
        <f>SUM(S10:S33)</f>
        <v>4859.2142857142853</v>
      </c>
      <c r="T41" s="51">
        <f t="shared" ref="T41:AD41" si="33">SUM(T10:T33)</f>
        <v>1098.2142857142858</v>
      </c>
      <c r="U41" s="51">
        <f t="shared" si="33"/>
        <v>868.5</v>
      </c>
      <c r="V41" s="51">
        <f t="shared" si="33"/>
        <v>1184.1428571428569</v>
      </c>
      <c r="W41" s="51">
        <f t="shared" si="33"/>
        <v>31.285714285714288</v>
      </c>
      <c r="X41" s="51">
        <f t="shared" si="33"/>
        <v>5.5714285714285721</v>
      </c>
      <c r="Y41" s="51">
        <f t="shared" si="33"/>
        <v>167.78571428571428</v>
      </c>
      <c r="Z41" s="51">
        <f t="shared" si="33"/>
        <v>63.999999999999993</v>
      </c>
      <c r="AA41" s="51">
        <f t="shared" si="33"/>
        <v>13.857142857142858</v>
      </c>
      <c r="AB41" s="51">
        <f t="shared" si="33"/>
        <v>9.428571428571427</v>
      </c>
      <c r="AC41" s="51">
        <f t="shared" si="33"/>
        <v>6753.2142857142853</v>
      </c>
      <c r="AD41" s="51">
        <f t="shared" si="33"/>
        <v>0.42857142857142855</v>
      </c>
      <c r="AE41" s="52">
        <f>SUM(AE10:AE33)</f>
        <v>8302.4285714285706</v>
      </c>
      <c r="AF41" s="52">
        <f>SUM(AF10:AF33)</f>
        <v>15055.642857142857</v>
      </c>
    </row>
    <row r="42" spans="2:32" ht="23.1" customHeight="1" x14ac:dyDescent="0.25">
      <c r="B42" s="24" t="s">
        <v>69</v>
      </c>
      <c r="C42" s="49">
        <f>AVERAGE('29.07 Nakawa-Bugolobi'!C42,'30.07 Nakawa-Bugolobi'!C42,'31.07 Nakawa-Bugolobi'!C42,'02.08 Nakawa-Bugolobi'!C42,'01.08 Nakawa-Bugolobi-24h'!C42,'03.08 Nakawa-Bugolobi-24h'!C42,'04.08 Nakawa-Bugolobi'!C42)</f>
        <v>66.857142857142861</v>
      </c>
      <c r="D42" s="49">
        <f>AVERAGE('29.07 Nakawa-Bugolobi'!D42,'30.07 Nakawa-Bugolobi'!D42,'31.07 Nakawa-Bugolobi'!D42,'02.08 Nakawa-Bugolobi'!D42,'01.08 Nakawa-Bugolobi-24h'!D42,'03.08 Nakawa-Bugolobi-24h'!D42,'04.08 Nakawa-Bugolobi'!D42)</f>
        <v>12.142857142857142</v>
      </c>
      <c r="E42" s="49">
        <f>AVERAGE('29.07 Nakawa-Bugolobi'!E42,'30.07 Nakawa-Bugolobi'!E42,'31.07 Nakawa-Bugolobi'!E42,'02.08 Nakawa-Bugolobi'!E42,'01.08 Nakawa-Bugolobi-24h'!E42,'03.08 Nakawa-Bugolobi-24h'!E42,'04.08 Nakawa-Bugolobi'!E42)</f>
        <v>10.142857142857142</v>
      </c>
      <c r="F42" s="49">
        <f>AVERAGE('29.07 Nakawa-Bugolobi'!F42,'30.07 Nakawa-Bugolobi'!F42,'31.07 Nakawa-Bugolobi'!F42,'02.08 Nakawa-Bugolobi'!F42,'01.08 Nakawa-Bugolobi-24h'!F42,'03.08 Nakawa-Bugolobi-24h'!F42,'04.08 Nakawa-Bugolobi'!F42)</f>
        <v>15.714285714285714</v>
      </c>
      <c r="G42" s="49">
        <f>AVERAGE('29.07 Nakawa-Bugolobi'!G42,'30.07 Nakawa-Bugolobi'!G42,'31.07 Nakawa-Bugolobi'!G42,'02.08 Nakawa-Bugolobi'!G42,'01.08 Nakawa-Bugolobi-24h'!G42,'03.08 Nakawa-Bugolobi-24h'!G42,'04.08 Nakawa-Bugolobi'!G42)</f>
        <v>0.2857142857142857</v>
      </c>
      <c r="H42" s="49">
        <f>AVERAGE('29.07 Nakawa-Bugolobi'!H42,'30.07 Nakawa-Bugolobi'!H42,'31.07 Nakawa-Bugolobi'!H42,'02.08 Nakawa-Bugolobi'!H42,'01.08 Nakawa-Bugolobi-24h'!H42,'03.08 Nakawa-Bugolobi-24h'!H42,'04.08 Nakawa-Bugolobi'!H42)</f>
        <v>0.2857142857142857</v>
      </c>
      <c r="I42" s="49">
        <f>AVERAGE('29.07 Nakawa-Bugolobi'!I42,'30.07 Nakawa-Bugolobi'!I42,'31.07 Nakawa-Bugolobi'!I42,'02.08 Nakawa-Bugolobi'!I42,'01.08 Nakawa-Bugolobi-24h'!I42,'03.08 Nakawa-Bugolobi-24h'!I42,'04.08 Nakawa-Bugolobi'!I42)</f>
        <v>3.2857142857142856</v>
      </c>
      <c r="J42" s="49">
        <f>AVERAGE('29.07 Nakawa-Bugolobi'!J42,'30.07 Nakawa-Bugolobi'!J42,'31.07 Nakawa-Bugolobi'!J42,'02.08 Nakawa-Bugolobi'!J42,'01.08 Nakawa-Bugolobi-24h'!J42,'03.08 Nakawa-Bugolobi-24h'!J42,'04.08 Nakawa-Bugolobi'!J42)</f>
        <v>1</v>
      </c>
      <c r="K42" s="49">
        <f>AVERAGE('29.07 Nakawa-Bugolobi'!K42,'30.07 Nakawa-Bugolobi'!K42,'31.07 Nakawa-Bugolobi'!K42,'02.08 Nakawa-Bugolobi'!K42,'01.08 Nakawa-Bugolobi-24h'!K42,'03.08 Nakawa-Bugolobi-24h'!K42,'04.08 Nakawa-Bugolobi'!K42)</f>
        <v>0</v>
      </c>
      <c r="L42" s="49">
        <f>AVERAGE('29.07 Nakawa-Bugolobi'!L42,'30.07 Nakawa-Bugolobi'!L42,'31.07 Nakawa-Bugolobi'!L42,'02.08 Nakawa-Bugolobi'!L42,'01.08 Nakawa-Bugolobi-24h'!L42,'03.08 Nakawa-Bugolobi-24h'!L42,'04.08 Nakawa-Bugolobi'!L42)</f>
        <v>0</v>
      </c>
      <c r="M42" s="49">
        <f>AVERAGE('29.07 Nakawa-Bugolobi'!M42,'30.07 Nakawa-Bugolobi'!M42,'31.07 Nakawa-Bugolobi'!M42,'02.08 Nakawa-Bugolobi'!M42,'01.08 Nakawa-Bugolobi-24h'!M42,'03.08 Nakawa-Bugolobi-24h'!M42,'04.08 Nakawa-Bugolobi'!M42)</f>
        <v>93.428571428571431</v>
      </c>
      <c r="N42" s="49">
        <f>AVERAGE('29.07 Nakawa-Bugolobi'!N42,'30.07 Nakawa-Bugolobi'!N42,'31.07 Nakawa-Bugolobi'!N42,'02.08 Nakawa-Bugolobi'!N42,'01.08 Nakawa-Bugolobi-24h'!N42,'03.08 Nakawa-Bugolobi-24h'!N42,'04.08 Nakawa-Bugolobi'!N42)</f>
        <v>0</v>
      </c>
      <c r="O42" s="15">
        <f t="shared" si="0"/>
        <v>109.71428571428572</v>
      </c>
      <c r="P42" s="15">
        <f t="shared" si="1"/>
        <v>203.14285714285717</v>
      </c>
      <c r="R42" s="5" t="s">
        <v>160</v>
      </c>
      <c r="S42" s="48">
        <f>S41/S40</f>
        <v>1.3848988233378121</v>
      </c>
      <c r="T42" s="48">
        <f t="shared" ref="T42:AF42" si="34">T41/T40</f>
        <v>1.2744529177718835</v>
      </c>
      <c r="U42" s="48">
        <f t="shared" si="34"/>
        <v>1.3040540540540539</v>
      </c>
      <c r="V42" s="48">
        <f t="shared" si="34"/>
        <v>1.2462787550744248</v>
      </c>
      <c r="W42" s="48">
        <f t="shared" si="34"/>
        <v>1.1902173913043479</v>
      </c>
      <c r="X42" s="48">
        <f t="shared" si="34"/>
        <v>1</v>
      </c>
      <c r="Y42" s="48">
        <f t="shared" si="34"/>
        <v>1.287828947368421</v>
      </c>
      <c r="Z42" s="48">
        <f t="shared" si="34"/>
        <v>1.28</v>
      </c>
      <c r="AA42" s="48">
        <f t="shared" si="34"/>
        <v>1.564516129032258</v>
      </c>
      <c r="AB42" s="48">
        <f t="shared" si="34"/>
        <v>1.1186440677966103</v>
      </c>
      <c r="AC42" s="48">
        <f t="shared" si="34"/>
        <v>1.3065559271440812</v>
      </c>
      <c r="AD42" s="48">
        <f t="shared" si="34"/>
        <v>1</v>
      </c>
      <c r="AE42" s="53">
        <f t="shared" si="34"/>
        <v>1.3355624497299783</v>
      </c>
      <c r="AF42" s="53">
        <f t="shared" si="34"/>
        <v>1.3223938466171452</v>
      </c>
    </row>
    <row r="43" spans="2:32" ht="23.1" customHeight="1" x14ac:dyDescent="0.25">
      <c r="B43" s="23" t="s">
        <v>70</v>
      </c>
      <c r="C43" s="49">
        <f>AVERAGE('29.07 Nakawa-Bugolobi'!C43,'30.07 Nakawa-Bugolobi'!C43,'31.07 Nakawa-Bugolobi'!C43,'02.08 Nakawa-Bugolobi'!C43,'01.08 Nakawa-Bugolobi-24h'!C43,'03.08 Nakawa-Bugolobi-24h'!C43,'04.08 Nakawa-Bugolobi'!C43)</f>
        <v>80.857142857142861</v>
      </c>
      <c r="D43" s="49">
        <f>AVERAGE('29.07 Nakawa-Bugolobi'!D43,'30.07 Nakawa-Bugolobi'!D43,'31.07 Nakawa-Bugolobi'!D43,'02.08 Nakawa-Bugolobi'!D43,'01.08 Nakawa-Bugolobi-24h'!D43,'03.08 Nakawa-Bugolobi-24h'!D43,'04.08 Nakawa-Bugolobi'!D43)</f>
        <v>18.428571428571427</v>
      </c>
      <c r="E43" s="49">
        <f>AVERAGE('29.07 Nakawa-Bugolobi'!E43,'30.07 Nakawa-Bugolobi'!E43,'31.07 Nakawa-Bugolobi'!E43,'02.08 Nakawa-Bugolobi'!E43,'01.08 Nakawa-Bugolobi-24h'!E43,'03.08 Nakawa-Bugolobi-24h'!E43,'04.08 Nakawa-Bugolobi'!E43)</f>
        <v>16.714285714285715</v>
      </c>
      <c r="F43" s="49">
        <f>AVERAGE('29.07 Nakawa-Bugolobi'!F43,'30.07 Nakawa-Bugolobi'!F43,'31.07 Nakawa-Bugolobi'!F43,'02.08 Nakawa-Bugolobi'!F43,'01.08 Nakawa-Bugolobi-24h'!F43,'03.08 Nakawa-Bugolobi-24h'!F43,'04.08 Nakawa-Bugolobi'!F43)</f>
        <v>19</v>
      </c>
      <c r="G43" s="49">
        <f>AVERAGE('29.07 Nakawa-Bugolobi'!G43,'30.07 Nakawa-Bugolobi'!G43,'31.07 Nakawa-Bugolobi'!G43,'02.08 Nakawa-Bugolobi'!G43,'01.08 Nakawa-Bugolobi-24h'!G43,'03.08 Nakawa-Bugolobi-24h'!G43,'04.08 Nakawa-Bugolobi'!G43)</f>
        <v>0.8571428571428571</v>
      </c>
      <c r="H43" s="49">
        <f>AVERAGE('29.07 Nakawa-Bugolobi'!H43,'30.07 Nakawa-Bugolobi'!H43,'31.07 Nakawa-Bugolobi'!H43,'02.08 Nakawa-Bugolobi'!H43,'01.08 Nakawa-Bugolobi-24h'!H43,'03.08 Nakawa-Bugolobi-24h'!H43,'04.08 Nakawa-Bugolobi'!H43)</f>
        <v>0</v>
      </c>
      <c r="I43" s="49">
        <f>AVERAGE('29.07 Nakawa-Bugolobi'!I43,'30.07 Nakawa-Bugolobi'!I43,'31.07 Nakawa-Bugolobi'!I43,'02.08 Nakawa-Bugolobi'!I43,'01.08 Nakawa-Bugolobi-24h'!I43,'03.08 Nakawa-Bugolobi-24h'!I43,'04.08 Nakawa-Bugolobi'!I43)</f>
        <v>2.5714285714285716</v>
      </c>
      <c r="J43" s="49">
        <f>AVERAGE('29.07 Nakawa-Bugolobi'!J43,'30.07 Nakawa-Bugolobi'!J43,'31.07 Nakawa-Bugolobi'!J43,'02.08 Nakawa-Bugolobi'!J43,'01.08 Nakawa-Bugolobi-24h'!J43,'03.08 Nakawa-Bugolobi-24h'!J43,'04.08 Nakawa-Bugolobi'!J43)</f>
        <v>1</v>
      </c>
      <c r="K43" s="49">
        <f>AVERAGE('29.07 Nakawa-Bugolobi'!K43,'30.07 Nakawa-Bugolobi'!K43,'31.07 Nakawa-Bugolobi'!K43,'02.08 Nakawa-Bugolobi'!K43,'01.08 Nakawa-Bugolobi-24h'!K43,'03.08 Nakawa-Bugolobi-24h'!K43,'04.08 Nakawa-Bugolobi'!K43)</f>
        <v>0.14285714285714285</v>
      </c>
      <c r="L43" s="49">
        <f>AVERAGE('29.07 Nakawa-Bugolobi'!L43,'30.07 Nakawa-Bugolobi'!L43,'31.07 Nakawa-Bugolobi'!L43,'02.08 Nakawa-Bugolobi'!L43,'01.08 Nakawa-Bugolobi-24h'!L43,'03.08 Nakawa-Bugolobi-24h'!L43,'04.08 Nakawa-Bugolobi'!L43)</f>
        <v>0.14285714285714285</v>
      </c>
      <c r="M43" s="49">
        <f>AVERAGE('29.07 Nakawa-Bugolobi'!M43,'30.07 Nakawa-Bugolobi'!M43,'31.07 Nakawa-Bugolobi'!M43,'02.08 Nakawa-Bugolobi'!M43,'01.08 Nakawa-Bugolobi-24h'!M43,'03.08 Nakawa-Bugolobi-24h'!M43,'04.08 Nakawa-Bugolobi'!M43)</f>
        <v>96.571428571428569</v>
      </c>
      <c r="N43" s="49">
        <f>AVERAGE('29.07 Nakawa-Bugolobi'!N43,'30.07 Nakawa-Bugolobi'!N43,'31.07 Nakawa-Bugolobi'!N43,'02.08 Nakawa-Bugolobi'!N43,'01.08 Nakawa-Bugolobi-24h'!N43,'03.08 Nakawa-Bugolobi-24h'!N43,'04.08 Nakawa-Bugolobi'!N43)</f>
        <v>0</v>
      </c>
      <c r="O43" s="15">
        <f t="shared" si="0"/>
        <v>139.71428571428572</v>
      </c>
      <c r="P43" s="15">
        <f t="shared" si="1"/>
        <v>236.28571428571428</v>
      </c>
    </row>
    <row r="44" spans="2:32" ht="23.1" customHeight="1" x14ac:dyDescent="0.25">
      <c r="B44" s="25" t="s">
        <v>71</v>
      </c>
      <c r="C44" s="49">
        <f>AVERAGE('29.07 Nakawa-Bugolobi'!C44,'30.07 Nakawa-Bugolobi'!C44,'31.07 Nakawa-Bugolobi'!C44,'02.08 Nakawa-Bugolobi'!C44,'01.08 Nakawa-Bugolobi-24h'!C44,'03.08 Nakawa-Bugolobi-24h'!C44,'04.08 Nakawa-Bugolobi'!C44)</f>
        <v>80.285714285714292</v>
      </c>
      <c r="D44" s="49">
        <f>AVERAGE('29.07 Nakawa-Bugolobi'!D44,'30.07 Nakawa-Bugolobi'!D44,'31.07 Nakawa-Bugolobi'!D44,'02.08 Nakawa-Bugolobi'!D44,'01.08 Nakawa-Bugolobi-24h'!D44,'03.08 Nakawa-Bugolobi-24h'!D44,'04.08 Nakawa-Bugolobi'!D44)</f>
        <v>15.571428571428571</v>
      </c>
      <c r="E44" s="49">
        <f>AVERAGE('29.07 Nakawa-Bugolobi'!E44,'30.07 Nakawa-Bugolobi'!E44,'31.07 Nakawa-Bugolobi'!E44,'02.08 Nakawa-Bugolobi'!E44,'01.08 Nakawa-Bugolobi-24h'!E44,'03.08 Nakawa-Bugolobi-24h'!E44,'04.08 Nakawa-Bugolobi'!E44)</f>
        <v>12.714285714285714</v>
      </c>
      <c r="F44" s="49">
        <f>AVERAGE('29.07 Nakawa-Bugolobi'!F44,'30.07 Nakawa-Bugolobi'!F44,'31.07 Nakawa-Bugolobi'!F44,'02.08 Nakawa-Bugolobi'!F44,'01.08 Nakawa-Bugolobi-24h'!F44,'03.08 Nakawa-Bugolobi-24h'!F44,'04.08 Nakawa-Bugolobi'!F44)</f>
        <v>15.285714285714286</v>
      </c>
      <c r="G44" s="49">
        <f>AVERAGE('29.07 Nakawa-Bugolobi'!G44,'30.07 Nakawa-Bugolobi'!G44,'31.07 Nakawa-Bugolobi'!G44,'02.08 Nakawa-Bugolobi'!G44,'01.08 Nakawa-Bugolobi-24h'!G44,'03.08 Nakawa-Bugolobi-24h'!G44,'04.08 Nakawa-Bugolobi'!G44)</f>
        <v>0.14285714285714285</v>
      </c>
      <c r="H44" s="49">
        <f>AVERAGE('29.07 Nakawa-Bugolobi'!H44,'30.07 Nakawa-Bugolobi'!H44,'31.07 Nakawa-Bugolobi'!H44,'02.08 Nakawa-Bugolobi'!H44,'01.08 Nakawa-Bugolobi-24h'!H44,'03.08 Nakawa-Bugolobi-24h'!H44,'04.08 Nakawa-Bugolobi'!H44)</f>
        <v>0.2857142857142857</v>
      </c>
      <c r="I44" s="49">
        <f>AVERAGE('29.07 Nakawa-Bugolobi'!I44,'30.07 Nakawa-Bugolobi'!I44,'31.07 Nakawa-Bugolobi'!I44,'02.08 Nakawa-Bugolobi'!I44,'01.08 Nakawa-Bugolobi-24h'!I44,'03.08 Nakawa-Bugolobi-24h'!I44,'04.08 Nakawa-Bugolobi'!I44)</f>
        <v>2</v>
      </c>
      <c r="J44" s="49">
        <f>AVERAGE('29.07 Nakawa-Bugolobi'!J44,'30.07 Nakawa-Bugolobi'!J44,'31.07 Nakawa-Bugolobi'!J44,'02.08 Nakawa-Bugolobi'!J44,'01.08 Nakawa-Bugolobi-24h'!J44,'03.08 Nakawa-Bugolobi-24h'!J44,'04.08 Nakawa-Bugolobi'!J44)</f>
        <v>1</v>
      </c>
      <c r="K44" s="49">
        <f>AVERAGE('29.07 Nakawa-Bugolobi'!K44,'30.07 Nakawa-Bugolobi'!K44,'31.07 Nakawa-Bugolobi'!K44,'02.08 Nakawa-Bugolobi'!K44,'01.08 Nakawa-Bugolobi-24h'!K44,'03.08 Nakawa-Bugolobi-24h'!K44,'04.08 Nakawa-Bugolobi'!K44)</f>
        <v>0.42857142857142855</v>
      </c>
      <c r="L44" s="49">
        <f>AVERAGE('29.07 Nakawa-Bugolobi'!L44,'30.07 Nakawa-Bugolobi'!L44,'31.07 Nakawa-Bugolobi'!L44,'02.08 Nakawa-Bugolobi'!L44,'01.08 Nakawa-Bugolobi-24h'!L44,'03.08 Nakawa-Bugolobi-24h'!L44,'04.08 Nakawa-Bugolobi'!L44)</f>
        <v>0</v>
      </c>
      <c r="M44" s="49">
        <f>AVERAGE('29.07 Nakawa-Bugolobi'!M44,'30.07 Nakawa-Bugolobi'!M44,'31.07 Nakawa-Bugolobi'!M44,'02.08 Nakawa-Bugolobi'!M44,'01.08 Nakawa-Bugolobi-24h'!M44,'03.08 Nakawa-Bugolobi-24h'!M44,'04.08 Nakawa-Bugolobi'!M44)</f>
        <v>91.142857142857139</v>
      </c>
      <c r="N44" s="49">
        <f>AVERAGE('29.07 Nakawa-Bugolobi'!N44,'30.07 Nakawa-Bugolobi'!N44,'31.07 Nakawa-Bugolobi'!N44,'02.08 Nakawa-Bugolobi'!N44,'01.08 Nakawa-Bugolobi-24h'!N44,'03.08 Nakawa-Bugolobi-24h'!N44,'04.08 Nakawa-Bugolobi'!N44)</f>
        <v>0</v>
      </c>
      <c r="O44" s="15">
        <f t="shared" si="0"/>
        <v>127.71428571428572</v>
      </c>
      <c r="P44" s="15">
        <f t="shared" si="1"/>
        <v>218.85714285714286</v>
      </c>
    </row>
    <row r="45" spans="2:32" ht="23.1" customHeight="1" x14ac:dyDescent="0.25">
      <c r="B45" s="23" t="s">
        <v>72</v>
      </c>
      <c r="C45" s="49">
        <f>AVERAGE('29.07 Nakawa-Bugolobi'!C45,'30.07 Nakawa-Bugolobi'!C45,'31.07 Nakawa-Bugolobi'!C45,'02.08 Nakawa-Bugolobi'!C45,'01.08 Nakawa-Bugolobi-24h'!C45,'03.08 Nakawa-Bugolobi-24h'!C45,'04.08 Nakawa-Bugolobi'!C45)</f>
        <v>87.571428571428569</v>
      </c>
      <c r="D45" s="49">
        <f>AVERAGE('29.07 Nakawa-Bugolobi'!D45,'30.07 Nakawa-Bugolobi'!D45,'31.07 Nakawa-Bugolobi'!D45,'02.08 Nakawa-Bugolobi'!D45,'01.08 Nakawa-Bugolobi-24h'!D45,'03.08 Nakawa-Bugolobi-24h'!D45,'04.08 Nakawa-Bugolobi'!D45)</f>
        <v>15.428571428571429</v>
      </c>
      <c r="E45" s="49">
        <f>AVERAGE('29.07 Nakawa-Bugolobi'!E45,'30.07 Nakawa-Bugolobi'!E45,'31.07 Nakawa-Bugolobi'!E45,'02.08 Nakawa-Bugolobi'!E45,'01.08 Nakawa-Bugolobi-24h'!E45,'03.08 Nakawa-Bugolobi-24h'!E45,'04.08 Nakawa-Bugolobi'!E45)</f>
        <v>11.857142857142858</v>
      </c>
      <c r="F45" s="49">
        <f>AVERAGE('29.07 Nakawa-Bugolobi'!F45,'30.07 Nakawa-Bugolobi'!F45,'31.07 Nakawa-Bugolobi'!F45,'02.08 Nakawa-Bugolobi'!F45,'01.08 Nakawa-Bugolobi-24h'!F45,'03.08 Nakawa-Bugolobi-24h'!F45,'04.08 Nakawa-Bugolobi'!F45)</f>
        <v>13.571428571428571</v>
      </c>
      <c r="G45" s="49">
        <f>AVERAGE('29.07 Nakawa-Bugolobi'!G45,'30.07 Nakawa-Bugolobi'!G45,'31.07 Nakawa-Bugolobi'!G45,'02.08 Nakawa-Bugolobi'!G45,'01.08 Nakawa-Bugolobi-24h'!G45,'03.08 Nakawa-Bugolobi-24h'!G45,'04.08 Nakawa-Bugolobi'!G45)</f>
        <v>0.5714285714285714</v>
      </c>
      <c r="H45" s="49">
        <f>AVERAGE('29.07 Nakawa-Bugolobi'!H45,'30.07 Nakawa-Bugolobi'!H45,'31.07 Nakawa-Bugolobi'!H45,'02.08 Nakawa-Bugolobi'!H45,'01.08 Nakawa-Bugolobi-24h'!H45,'03.08 Nakawa-Bugolobi-24h'!H45,'04.08 Nakawa-Bugolobi'!H45)</f>
        <v>0</v>
      </c>
      <c r="I45" s="49">
        <f>AVERAGE('29.07 Nakawa-Bugolobi'!I45,'30.07 Nakawa-Bugolobi'!I45,'31.07 Nakawa-Bugolobi'!I45,'02.08 Nakawa-Bugolobi'!I45,'01.08 Nakawa-Bugolobi-24h'!I45,'03.08 Nakawa-Bugolobi-24h'!I45,'04.08 Nakawa-Bugolobi'!I45)</f>
        <v>2</v>
      </c>
      <c r="J45" s="49">
        <f>AVERAGE('29.07 Nakawa-Bugolobi'!J45,'30.07 Nakawa-Bugolobi'!J45,'31.07 Nakawa-Bugolobi'!J45,'02.08 Nakawa-Bugolobi'!J45,'01.08 Nakawa-Bugolobi-24h'!J45,'03.08 Nakawa-Bugolobi-24h'!J45,'04.08 Nakawa-Bugolobi'!J45)</f>
        <v>0.42857142857142855</v>
      </c>
      <c r="K45" s="49">
        <f>AVERAGE('29.07 Nakawa-Bugolobi'!K45,'30.07 Nakawa-Bugolobi'!K45,'31.07 Nakawa-Bugolobi'!K45,'02.08 Nakawa-Bugolobi'!K45,'01.08 Nakawa-Bugolobi-24h'!K45,'03.08 Nakawa-Bugolobi-24h'!K45,'04.08 Nakawa-Bugolobi'!K45)</f>
        <v>0.14285714285714285</v>
      </c>
      <c r="L45" s="49">
        <f>AVERAGE('29.07 Nakawa-Bugolobi'!L45,'30.07 Nakawa-Bugolobi'!L45,'31.07 Nakawa-Bugolobi'!L45,'02.08 Nakawa-Bugolobi'!L45,'01.08 Nakawa-Bugolobi-24h'!L45,'03.08 Nakawa-Bugolobi-24h'!L45,'04.08 Nakawa-Bugolobi'!L45)</f>
        <v>0</v>
      </c>
      <c r="M45" s="49">
        <f>AVERAGE('29.07 Nakawa-Bugolobi'!M45,'30.07 Nakawa-Bugolobi'!M45,'31.07 Nakawa-Bugolobi'!M45,'02.08 Nakawa-Bugolobi'!M45,'01.08 Nakawa-Bugolobi-24h'!M45,'03.08 Nakawa-Bugolobi-24h'!M45,'04.08 Nakawa-Bugolobi'!M45)</f>
        <v>83.285714285714292</v>
      </c>
      <c r="N45" s="49">
        <f>AVERAGE('29.07 Nakawa-Bugolobi'!N45,'30.07 Nakawa-Bugolobi'!N45,'31.07 Nakawa-Bugolobi'!N45,'02.08 Nakawa-Bugolobi'!N45,'01.08 Nakawa-Bugolobi-24h'!N45,'03.08 Nakawa-Bugolobi-24h'!N45,'04.08 Nakawa-Bugolobi'!N45)</f>
        <v>0</v>
      </c>
      <c r="O45" s="15">
        <f t="shared" si="0"/>
        <v>131.57142857142858</v>
      </c>
      <c r="P45" s="15">
        <f t="shared" si="1"/>
        <v>214.85714285714289</v>
      </c>
    </row>
    <row r="46" spans="2:32" ht="23.1" customHeight="1" x14ac:dyDescent="0.25">
      <c r="B46" s="24" t="s">
        <v>73</v>
      </c>
      <c r="C46" s="49">
        <f>AVERAGE('29.07 Nakawa-Bugolobi'!C46,'30.07 Nakawa-Bugolobi'!C46,'31.07 Nakawa-Bugolobi'!C46,'02.08 Nakawa-Bugolobi'!C46,'01.08 Nakawa-Bugolobi-24h'!C46,'03.08 Nakawa-Bugolobi-24h'!C46,'04.08 Nakawa-Bugolobi'!C46)</f>
        <v>82.857142857142861</v>
      </c>
      <c r="D46" s="49">
        <f>AVERAGE('29.07 Nakawa-Bugolobi'!D46,'30.07 Nakawa-Bugolobi'!D46,'31.07 Nakawa-Bugolobi'!D46,'02.08 Nakawa-Bugolobi'!D46,'01.08 Nakawa-Bugolobi-24h'!D46,'03.08 Nakawa-Bugolobi-24h'!D46,'04.08 Nakawa-Bugolobi'!D46)</f>
        <v>17.142857142857142</v>
      </c>
      <c r="E46" s="49">
        <f>AVERAGE('29.07 Nakawa-Bugolobi'!E46,'30.07 Nakawa-Bugolobi'!E46,'31.07 Nakawa-Bugolobi'!E46,'02.08 Nakawa-Bugolobi'!E46,'01.08 Nakawa-Bugolobi-24h'!E46,'03.08 Nakawa-Bugolobi-24h'!E46,'04.08 Nakawa-Bugolobi'!E46)</f>
        <v>15.285714285714286</v>
      </c>
      <c r="F46" s="49">
        <f>AVERAGE('29.07 Nakawa-Bugolobi'!F46,'30.07 Nakawa-Bugolobi'!F46,'31.07 Nakawa-Bugolobi'!F46,'02.08 Nakawa-Bugolobi'!F46,'01.08 Nakawa-Bugolobi-24h'!F46,'03.08 Nakawa-Bugolobi-24h'!F46,'04.08 Nakawa-Bugolobi'!F46)</f>
        <v>19.142857142857142</v>
      </c>
      <c r="G46" s="49">
        <f>AVERAGE('29.07 Nakawa-Bugolobi'!G46,'30.07 Nakawa-Bugolobi'!G46,'31.07 Nakawa-Bugolobi'!G46,'02.08 Nakawa-Bugolobi'!G46,'01.08 Nakawa-Bugolobi-24h'!G46,'03.08 Nakawa-Bugolobi-24h'!G46,'04.08 Nakawa-Bugolobi'!G46)</f>
        <v>0.42857142857142855</v>
      </c>
      <c r="H46" s="49">
        <f>AVERAGE('29.07 Nakawa-Bugolobi'!H46,'30.07 Nakawa-Bugolobi'!H46,'31.07 Nakawa-Bugolobi'!H46,'02.08 Nakawa-Bugolobi'!H46,'01.08 Nakawa-Bugolobi-24h'!H46,'03.08 Nakawa-Bugolobi-24h'!H46,'04.08 Nakawa-Bugolobi'!H46)</f>
        <v>0</v>
      </c>
      <c r="I46" s="49">
        <f>AVERAGE('29.07 Nakawa-Bugolobi'!I46,'30.07 Nakawa-Bugolobi'!I46,'31.07 Nakawa-Bugolobi'!I46,'02.08 Nakawa-Bugolobi'!I46,'01.08 Nakawa-Bugolobi-24h'!I46,'03.08 Nakawa-Bugolobi-24h'!I46,'04.08 Nakawa-Bugolobi'!I46)</f>
        <v>2.8571428571428572</v>
      </c>
      <c r="J46" s="49">
        <f>AVERAGE('29.07 Nakawa-Bugolobi'!J46,'30.07 Nakawa-Bugolobi'!J46,'31.07 Nakawa-Bugolobi'!J46,'02.08 Nakawa-Bugolobi'!J46,'01.08 Nakawa-Bugolobi-24h'!J46,'03.08 Nakawa-Bugolobi-24h'!J46,'04.08 Nakawa-Bugolobi'!J46)</f>
        <v>1.1428571428571428</v>
      </c>
      <c r="K46" s="49">
        <f>AVERAGE('29.07 Nakawa-Bugolobi'!K46,'30.07 Nakawa-Bugolobi'!K46,'31.07 Nakawa-Bugolobi'!K46,'02.08 Nakawa-Bugolobi'!K46,'01.08 Nakawa-Bugolobi-24h'!K46,'03.08 Nakawa-Bugolobi-24h'!K46,'04.08 Nakawa-Bugolobi'!K46)</f>
        <v>0.14285714285714285</v>
      </c>
      <c r="L46" s="49">
        <f>AVERAGE('29.07 Nakawa-Bugolobi'!L46,'30.07 Nakawa-Bugolobi'!L46,'31.07 Nakawa-Bugolobi'!L46,'02.08 Nakawa-Bugolobi'!L46,'01.08 Nakawa-Bugolobi-24h'!L46,'03.08 Nakawa-Bugolobi-24h'!L46,'04.08 Nakawa-Bugolobi'!L46)</f>
        <v>0.14285714285714285</v>
      </c>
      <c r="M46" s="49">
        <f>AVERAGE('29.07 Nakawa-Bugolobi'!M46,'30.07 Nakawa-Bugolobi'!M46,'31.07 Nakawa-Bugolobi'!M46,'02.08 Nakawa-Bugolobi'!M46,'01.08 Nakawa-Bugolobi-24h'!M46,'03.08 Nakawa-Bugolobi-24h'!M46,'04.08 Nakawa-Bugolobi'!M46)</f>
        <v>83.142857142857139</v>
      </c>
      <c r="N46" s="49">
        <f>AVERAGE('29.07 Nakawa-Bugolobi'!N46,'30.07 Nakawa-Bugolobi'!N46,'31.07 Nakawa-Bugolobi'!N46,'02.08 Nakawa-Bugolobi'!N46,'01.08 Nakawa-Bugolobi-24h'!N46,'03.08 Nakawa-Bugolobi-24h'!N46,'04.08 Nakawa-Bugolobi'!N46)</f>
        <v>0</v>
      </c>
      <c r="O46" s="15">
        <f t="shared" si="0"/>
        <v>139.14285714285714</v>
      </c>
      <c r="P46" s="15">
        <f t="shared" si="1"/>
        <v>222.28571428571428</v>
      </c>
      <c r="R46" s="8"/>
      <c r="T46"/>
    </row>
    <row r="47" spans="2:32" ht="23.1" customHeight="1" x14ac:dyDescent="0.25">
      <c r="B47" s="24" t="s">
        <v>74</v>
      </c>
      <c r="C47" s="49">
        <f>AVERAGE('29.07 Nakawa-Bugolobi'!C47,'30.07 Nakawa-Bugolobi'!C47,'31.07 Nakawa-Bugolobi'!C47,'02.08 Nakawa-Bugolobi'!C47,'01.08 Nakawa-Bugolobi-24h'!C47,'03.08 Nakawa-Bugolobi-24h'!C47,'04.08 Nakawa-Bugolobi'!C47)</f>
        <v>84.142857142857139</v>
      </c>
      <c r="D47" s="49">
        <f>AVERAGE('29.07 Nakawa-Bugolobi'!D47,'30.07 Nakawa-Bugolobi'!D47,'31.07 Nakawa-Bugolobi'!D47,'02.08 Nakawa-Bugolobi'!D47,'01.08 Nakawa-Bugolobi-24h'!D47,'03.08 Nakawa-Bugolobi-24h'!D47,'04.08 Nakawa-Bugolobi'!D47)</f>
        <v>24.571428571428573</v>
      </c>
      <c r="E47" s="49">
        <f>AVERAGE('29.07 Nakawa-Bugolobi'!E47,'30.07 Nakawa-Bugolobi'!E47,'31.07 Nakawa-Bugolobi'!E47,'02.08 Nakawa-Bugolobi'!E47,'01.08 Nakawa-Bugolobi-24h'!E47,'03.08 Nakawa-Bugolobi-24h'!E47,'04.08 Nakawa-Bugolobi'!E47)</f>
        <v>13.857142857142858</v>
      </c>
      <c r="F47" s="49">
        <f>AVERAGE('29.07 Nakawa-Bugolobi'!F47,'30.07 Nakawa-Bugolobi'!F47,'31.07 Nakawa-Bugolobi'!F47,'02.08 Nakawa-Bugolobi'!F47,'01.08 Nakawa-Bugolobi-24h'!F47,'03.08 Nakawa-Bugolobi-24h'!F47,'04.08 Nakawa-Bugolobi'!F47)</f>
        <v>17.428571428571427</v>
      </c>
      <c r="G47" s="49">
        <f>AVERAGE('29.07 Nakawa-Bugolobi'!G47,'30.07 Nakawa-Bugolobi'!G47,'31.07 Nakawa-Bugolobi'!G47,'02.08 Nakawa-Bugolobi'!G47,'01.08 Nakawa-Bugolobi-24h'!G47,'03.08 Nakawa-Bugolobi-24h'!G47,'04.08 Nakawa-Bugolobi'!G47)</f>
        <v>0.7142857142857143</v>
      </c>
      <c r="H47" s="49">
        <f>AVERAGE('29.07 Nakawa-Bugolobi'!H47,'30.07 Nakawa-Bugolobi'!H47,'31.07 Nakawa-Bugolobi'!H47,'02.08 Nakawa-Bugolobi'!H47,'01.08 Nakawa-Bugolobi-24h'!H47,'03.08 Nakawa-Bugolobi-24h'!H47,'04.08 Nakawa-Bugolobi'!H47)</f>
        <v>0</v>
      </c>
      <c r="I47" s="49">
        <f>AVERAGE('29.07 Nakawa-Bugolobi'!I47,'30.07 Nakawa-Bugolobi'!I47,'31.07 Nakawa-Bugolobi'!I47,'02.08 Nakawa-Bugolobi'!I47,'01.08 Nakawa-Bugolobi-24h'!I47,'03.08 Nakawa-Bugolobi-24h'!I47,'04.08 Nakawa-Bugolobi'!I47)</f>
        <v>2.8571428571428572</v>
      </c>
      <c r="J47" s="49">
        <f>AVERAGE('29.07 Nakawa-Bugolobi'!J47,'30.07 Nakawa-Bugolobi'!J47,'31.07 Nakawa-Bugolobi'!J47,'02.08 Nakawa-Bugolobi'!J47,'01.08 Nakawa-Bugolobi-24h'!J47,'03.08 Nakawa-Bugolobi-24h'!J47,'04.08 Nakawa-Bugolobi'!J47)</f>
        <v>1.8571428571428572</v>
      </c>
      <c r="K47" s="49">
        <f>AVERAGE('29.07 Nakawa-Bugolobi'!K47,'30.07 Nakawa-Bugolobi'!K47,'31.07 Nakawa-Bugolobi'!K47,'02.08 Nakawa-Bugolobi'!K47,'01.08 Nakawa-Bugolobi-24h'!K47,'03.08 Nakawa-Bugolobi-24h'!K47,'04.08 Nakawa-Bugolobi'!K47)</f>
        <v>0</v>
      </c>
      <c r="L47" s="49">
        <f>AVERAGE('29.07 Nakawa-Bugolobi'!L47,'30.07 Nakawa-Bugolobi'!L47,'31.07 Nakawa-Bugolobi'!L47,'02.08 Nakawa-Bugolobi'!L47,'01.08 Nakawa-Bugolobi-24h'!L47,'03.08 Nakawa-Bugolobi-24h'!L47,'04.08 Nakawa-Bugolobi'!L47)</f>
        <v>0.2857142857142857</v>
      </c>
      <c r="M47" s="49">
        <f>AVERAGE('29.07 Nakawa-Bugolobi'!M47,'30.07 Nakawa-Bugolobi'!M47,'31.07 Nakawa-Bugolobi'!M47,'02.08 Nakawa-Bugolobi'!M47,'01.08 Nakawa-Bugolobi-24h'!M47,'03.08 Nakawa-Bugolobi-24h'!M47,'04.08 Nakawa-Bugolobi'!M47)</f>
        <v>98</v>
      </c>
      <c r="N47" s="49">
        <f>AVERAGE('29.07 Nakawa-Bugolobi'!N47,'30.07 Nakawa-Bugolobi'!N47,'31.07 Nakawa-Bugolobi'!N47,'02.08 Nakawa-Bugolobi'!N47,'01.08 Nakawa-Bugolobi-24h'!N47,'03.08 Nakawa-Bugolobi-24h'!N47,'04.08 Nakawa-Bugolobi'!N47)</f>
        <v>0</v>
      </c>
      <c r="O47" s="15">
        <f t="shared" si="0"/>
        <v>145.71428571428572</v>
      </c>
      <c r="P47" s="15">
        <f t="shared" si="1"/>
        <v>243.71428571428572</v>
      </c>
      <c r="R47" s="8"/>
      <c r="T47"/>
    </row>
    <row r="48" spans="2:32" ht="23.1" customHeight="1" x14ac:dyDescent="0.25">
      <c r="B48" s="24" t="s">
        <v>75</v>
      </c>
      <c r="C48" s="49">
        <f>AVERAGE('29.07 Nakawa-Bugolobi'!C48,'30.07 Nakawa-Bugolobi'!C48,'31.07 Nakawa-Bugolobi'!C48,'02.08 Nakawa-Bugolobi'!C48,'01.08 Nakawa-Bugolobi-24h'!C48,'03.08 Nakawa-Bugolobi-24h'!C48,'04.08 Nakawa-Bugolobi'!C48)</f>
        <v>82.285714285714292</v>
      </c>
      <c r="D48" s="49">
        <f>AVERAGE('29.07 Nakawa-Bugolobi'!D48,'30.07 Nakawa-Bugolobi'!D48,'31.07 Nakawa-Bugolobi'!D48,'02.08 Nakawa-Bugolobi'!D48,'01.08 Nakawa-Bugolobi-24h'!D48,'03.08 Nakawa-Bugolobi-24h'!D48,'04.08 Nakawa-Bugolobi'!D48)</f>
        <v>17</v>
      </c>
      <c r="E48" s="49">
        <f>AVERAGE('29.07 Nakawa-Bugolobi'!E48,'30.07 Nakawa-Bugolobi'!E48,'31.07 Nakawa-Bugolobi'!E48,'02.08 Nakawa-Bugolobi'!E48,'01.08 Nakawa-Bugolobi-24h'!E48,'03.08 Nakawa-Bugolobi-24h'!E48,'04.08 Nakawa-Bugolobi'!E48)</f>
        <v>18.714285714285715</v>
      </c>
      <c r="F48" s="49">
        <f>AVERAGE('29.07 Nakawa-Bugolobi'!F48,'30.07 Nakawa-Bugolobi'!F48,'31.07 Nakawa-Bugolobi'!F48,'02.08 Nakawa-Bugolobi'!F48,'01.08 Nakawa-Bugolobi-24h'!F48,'03.08 Nakawa-Bugolobi-24h'!F48,'04.08 Nakawa-Bugolobi'!F48)</f>
        <v>19.714285714285715</v>
      </c>
      <c r="G48" s="49">
        <f>AVERAGE('29.07 Nakawa-Bugolobi'!G48,'30.07 Nakawa-Bugolobi'!G48,'31.07 Nakawa-Bugolobi'!G48,'02.08 Nakawa-Bugolobi'!G48,'01.08 Nakawa-Bugolobi-24h'!G48,'03.08 Nakawa-Bugolobi-24h'!G48,'04.08 Nakawa-Bugolobi'!G48)</f>
        <v>0.7142857142857143</v>
      </c>
      <c r="H48" s="49">
        <f>AVERAGE('29.07 Nakawa-Bugolobi'!H48,'30.07 Nakawa-Bugolobi'!H48,'31.07 Nakawa-Bugolobi'!H48,'02.08 Nakawa-Bugolobi'!H48,'01.08 Nakawa-Bugolobi-24h'!H48,'03.08 Nakawa-Bugolobi-24h'!H48,'04.08 Nakawa-Bugolobi'!H48)</f>
        <v>0.14285714285714285</v>
      </c>
      <c r="I48" s="49">
        <f>AVERAGE('29.07 Nakawa-Bugolobi'!I48,'30.07 Nakawa-Bugolobi'!I48,'31.07 Nakawa-Bugolobi'!I48,'02.08 Nakawa-Bugolobi'!I48,'01.08 Nakawa-Bugolobi-24h'!I48,'03.08 Nakawa-Bugolobi-24h'!I48,'04.08 Nakawa-Bugolobi'!I48)</f>
        <v>3.1428571428571428</v>
      </c>
      <c r="J48" s="49">
        <f>AVERAGE('29.07 Nakawa-Bugolobi'!J48,'30.07 Nakawa-Bugolobi'!J48,'31.07 Nakawa-Bugolobi'!J48,'02.08 Nakawa-Bugolobi'!J48,'01.08 Nakawa-Bugolobi-24h'!J48,'03.08 Nakawa-Bugolobi-24h'!J48,'04.08 Nakawa-Bugolobi'!J48)</f>
        <v>1.4285714285714286</v>
      </c>
      <c r="K48" s="49">
        <f>AVERAGE('29.07 Nakawa-Bugolobi'!K48,'30.07 Nakawa-Bugolobi'!K48,'31.07 Nakawa-Bugolobi'!K48,'02.08 Nakawa-Bugolobi'!K48,'01.08 Nakawa-Bugolobi-24h'!K48,'03.08 Nakawa-Bugolobi-24h'!K48,'04.08 Nakawa-Bugolobi'!K48)</f>
        <v>0.14285714285714285</v>
      </c>
      <c r="L48" s="49">
        <f>AVERAGE('29.07 Nakawa-Bugolobi'!L48,'30.07 Nakawa-Bugolobi'!L48,'31.07 Nakawa-Bugolobi'!L48,'02.08 Nakawa-Bugolobi'!L48,'01.08 Nakawa-Bugolobi-24h'!L48,'03.08 Nakawa-Bugolobi-24h'!L48,'04.08 Nakawa-Bugolobi'!L48)</f>
        <v>0</v>
      </c>
      <c r="M48" s="49">
        <f>AVERAGE('29.07 Nakawa-Bugolobi'!M48,'30.07 Nakawa-Bugolobi'!M48,'31.07 Nakawa-Bugolobi'!M48,'02.08 Nakawa-Bugolobi'!M48,'01.08 Nakawa-Bugolobi-24h'!M48,'03.08 Nakawa-Bugolobi-24h'!M48,'04.08 Nakawa-Bugolobi'!M48)</f>
        <v>108.14285714285714</v>
      </c>
      <c r="N48" s="49">
        <f>AVERAGE('29.07 Nakawa-Bugolobi'!N48,'30.07 Nakawa-Bugolobi'!N48,'31.07 Nakawa-Bugolobi'!N48,'02.08 Nakawa-Bugolobi'!N48,'01.08 Nakawa-Bugolobi-24h'!N48,'03.08 Nakawa-Bugolobi-24h'!N48,'04.08 Nakawa-Bugolobi'!N48)</f>
        <v>0</v>
      </c>
      <c r="O48" s="15">
        <f t="shared" si="0"/>
        <v>143.28571428571428</v>
      </c>
      <c r="P48" s="15">
        <f t="shared" si="1"/>
        <v>251.42857142857142</v>
      </c>
      <c r="R48" s="8"/>
      <c r="T48"/>
    </row>
    <row r="49" spans="2:20" ht="23.1" customHeight="1" x14ac:dyDescent="0.25">
      <c r="B49" s="23" t="s">
        <v>76</v>
      </c>
      <c r="C49" s="49">
        <f>AVERAGE('29.07 Nakawa-Bugolobi'!C49,'30.07 Nakawa-Bugolobi'!C49,'31.07 Nakawa-Bugolobi'!C49,'02.08 Nakawa-Bugolobi'!C49,'01.08 Nakawa-Bugolobi-24h'!C49,'03.08 Nakawa-Bugolobi-24h'!C49,'04.08 Nakawa-Bugolobi'!C49)</f>
        <v>99</v>
      </c>
      <c r="D49" s="49">
        <f>AVERAGE('29.07 Nakawa-Bugolobi'!D49,'30.07 Nakawa-Bugolobi'!D49,'31.07 Nakawa-Bugolobi'!D49,'02.08 Nakawa-Bugolobi'!D49,'01.08 Nakawa-Bugolobi-24h'!D49,'03.08 Nakawa-Bugolobi-24h'!D49,'04.08 Nakawa-Bugolobi'!D49)</f>
        <v>27.428571428571427</v>
      </c>
      <c r="E49" s="49">
        <f>AVERAGE('29.07 Nakawa-Bugolobi'!E49,'30.07 Nakawa-Bugolobi'!E49,'31.07 Nakawa-Bugolobi'!E49,'02.08 Nakawa-Bugolobi'!E49,'01.08 Nakawa-Bugolobi-24h'!E49,'03.08 Nakawa-Bugolobi-24h'!E49,'04.08 Nakawa-Bugolobi'!E49)</f>
        <v>16.285714285714285</v>
      </c>
      <c r="F49" s="49">
        <f>AVERAGE('29.07 Nakawa-Bugolobi'!F49,'30.07 Nakawa-Bugolobi'!F49,'31.07 Nakawa-Bugolobi'!F49,'02.08 Nakawa-Bugolobi'!F49,'01.08 Nakawa-Bugolobi-24h'!F49,'03.08 Nakawa-Bugolobi-24h'!F49,'04.08 Nakawa-Bugolobi'!F49)</f>
        <v>18.428571428571427</v>
      </c>
      <c r="G49" s="49">
        <f>AVERAGE('29.07 Nakawa-Bugolobi'!G49,'30.07 Nakawa-Bugolobi'!G49,'31.07 Nakawa-Bugolobi'!G49,'02.08 Nakawa-Bugolobi'!G49,'01.08 Nakawa-Bugolobi-24h'!G49,'03.08 Nakawa-Bugolobi-24h'!G49,'04.08 Nakawa-Bugolobi'!G49)</f>
        <v>0.7142857142857143</v>
      </c>
      <c r="H49" s="49">
        <f>AVERAGE('29.07 Nakawa-Bugolobi'!H49,'30.07 Nakawa-Bugolobi'!H49,'31.07 Nakawa-Bugolobi'!H49,'02.08 Nakawa-Bugolobi'!H49,'01.08 Nakawa-Bugolobi-24h'!H49,'03.08 Nakawa-Bugolobi-24h'!H49,'04.08 Nakawa-Bugolobi'!H49)</f>
        <v>0</v>
      </c>
      <c r="I49" s="49">
        <f>AVERAGE('29.07 Nakawa-Bugolobi'!I49,'30.07 Nakawa-Bugolobi'!I49,'31.07 Nakawa-Bugolobi'!I49,'02.08 Nakawa-Bugolobi'!I49,'01.08 Nakawa-Bugolobi-24h'!I49,'03.08 Nakawa-Bugolobi-24h'!I49,'04.08 Nakawa-Bugolobi'!I49)</f>
        <v>3</v>
      </c>
      <c r="J49" s="49">
        <f>AVERAGE('29.07 Nakawa-Bugolobi'!J49,'30.07 Nakawa-Bugolobi'!J49,'31.07 Nakawa-Bugolobi'!J49,'02.08 Nakawa-Bugolobi'!J49,'01.08 Nakawa-Bugolobi-24h'!J49,'03.08 Nakawa-Bugolobi-24h'!J49,'04.08 Nakawa-Bugolobi'!J49)</f>
        <v>1.4285714285714286</v>
      </c>
      <c r="K49" s="49">
        <f>AVERAGE('29.07 Nakawa-Bugolobi'!K49,'30.07 Nakawa-Bugolobi'!K49,'31.07 Nakawa-Bugolobi'!K49,'02.08 Nakawa-Bugolobi'!K49,'01.08 Nakawa-Bugolobi-24h'!K49,'03.08 Nakawa-Bugolobi-24h'!K49,'04.08 Nakawa-Bugolobi'!K49)</f>
        <v>0.2857142857142857</v>
      </c>
      <c r="L49" s="49">
        <f>AVERAGE('29.07 Nakawa-Bugolobi'!L49,'30.07 Nakawa-Bugolobi'!L49,'31.07 Nakawa-Bugolobi'!L49,'02.08 Nakawa-Bugolobi'!L49,'01.08 Nakawa-Bugolobi-24h'!L49,'03.08 Nakawa-Bugolobi-24h'!L49,'04.08 Nakawa-Bugolobi'!L49)</f>
        <v>0</v>
      </c>
      <c r="M49" s="49">
        <f>AVERAGE('29.07 Nakawa-Bugolobi'!M49,'30.07 Nakawa-Bugolobi'!M49,'31.07 Nakawa-Bugolobi'!M49,'02.08 Nakawa-Bugolobi'!M49,'01.08 Nakawa-Bugolobi-24h'!M49,'03.08 Nakawa-Bugolobi-24h'!M49,'04.08 Nakawa-Bugolobi'!M49)</f>
        <v>117.42857142857143</v>
      </c>
      <c r="N49" s="49">
        <f>AVERAGE('29.07 Nakawa-Bugolobi'!N49,'30.07 Nakawa-Bugolobi'!N49,'31.07 Nakawa-Bugolobi'!N49,'02.08 Nakawa-Bugolobi'!N49,'01.08 Nakawa-Bugolobi-24h'!N49,'03.08 Nakawa-Bugolobi-24h'!N49,'04.08 Nakawa-Bugolobi'!N49)</f>
        <v>0</v>
      </c>
      <c r="O49" s="15">
        <f t="shared" si="0"/>
        <v>166.57142857142856</v>
      </c>
      <c r="P49" s="15">
        <f t="shared" si="1"/>
        <v>284</v>
      </c>
      <c r="R49" s="8"/>
      <c r="T49"/>
    </row>
    <row r="50" spans="2:20" ht="23.1" customHeight="1" x14ac:dyDescent="0.25">
      <c r="B50" s="24" t="s">
        <v>77</v>
      </c>
      <c r="C50" s="49">
        <f>AVERAGE('29.07 Nakawa-Bugolobi'!C50,'30.07 Nakawa-Bugolobi'!C50,'31.07 Nakawa-Bugolobi'!C50,'02.08 Nakawa-Bugolobi'!C50,'01.08 Nakawa-Bugolobi-24h'!C50,'03.08 Nakawa-Bugolobi-24h'!C50,'04.08 Nakawa-Bugolobi'!C50)</f>
        <v>93.571428571428569</v>
      </c>
      <c r="D50" s="49">
        <f>AVERAGE('29.07 Nakawa-Bugolobi'!D50,'30.07 Nakawa-Bugolobi'!D50,'31.07 Nakawa-Bugolobi'!D50,'02.08 Nakawa-Bugolobi'!D50,'01.08 Nakawa-Bugolobi-24h'!D50,'03.08 Nakawa-Bugolobi-24h'!D50,'04.08 Nakawa-Bugolobi'!D50)</f>
        <v>23.142857142857142</v>
      </c>
      <c r="E50" s="49">
        <f>AVERAGE('29.07 Nakawa-Bugolobi'!E50,'30.07 Nakawa-Bugolobi'!E50,'31.07 Nakawa-Bugolobi'!E50,'02.08 Nakawa-Bugolobi'!E50,'01.08 Nakawa-Bugolobi-24h'!E50,'03.08 Nakawa-Bugolobi-24h'!E50,'04.08 Nakawa-Bugolobi'!E50)</f>
        <v>16.428571428571427</v>
      </c>
      <c r="F50" s="49">
        <f>AVERAGE('29.07 Nakawa-Bugolobi'!F50,'30.07 Nakawa-Bugolobi'!F50,'31.07 Nakawa-Bugolobi'!F50,'02.08 Nakawa-Bugolobi'!F50,'01.08 Nakawa-Bugolobi-24h'!F50,'03.08 Nakawa-Bugolobi-24h'!F50,'04.08 Nakawa-Bugolobi'!F50)</f>
        <v>18.142857142857142</v>
      </c>
      <c r="G50" s="49">
        <f>AVERAGE('29.07 Nakawa-Bugolobi'!G50,'30.07 Nakawa-Bugolobi'!G50,'31.07 Nakawa-Bugolobi'!G50,'02.08 Nakawa-Bugolobi'!G50,'01.08 Nakawa-Bugolobi-24h'!G50,'03.08 Nakawa-Bugolobi-24h'!G50,'04.08 Nakawa-Bugolobi'!G50)</f>
        <v>0.7142857142857143</v>
      </c>
      <c r="H50" s="49">
        <f>AVERAGE('29.07 Nakawa-Bugolobi'!H50,'30.07 Nakawa-Bugolobi'!H50,'31.07 Nakawa-Bugolobi'!H50,'02.08 Nakawa-Bugolobi'!H50,'01.08 Nakawa-Bugolobi-24h'!H50,'03.08 Nakawa-Bugolobi-24h'!H50,'04.08 Nakawa-Bugolobi'!H50)</f>
        <v>0</v>
      </c>
      <c r="I50" s="49">
        <f>AVERAGE('29.07 Nakawa-Bugolobi'!I50,'30.07 Nakawa-Bugolobi'!I50,'31.07 Nakawa-Bugolobi'!I50,'02.08 Nakawa-Bugolobi'!I50,'01.08 Nakawa-Bugolobi-24h'!I50,'03.08 Nakawa-Bugolobi-24h'!I50,'04.08 Nakawa-Bugolobi'!I50)</f>
        <v>2.7142857142857144</v>
      </c>
      <c r="J50" s="49">
        <f>AVERAGE('29.07 Nakawa-Bugolobi'!J50,'30.07 Nakawa-Bugolobi'!J50,'31.07 Nakawa-Bugolobi'!J50,'02.08 Nakawa-Bugolobi'!J50,'01.08 Nakawa-Bugolobi-24h'!J50,'03.08 Nakawa-Bugolobi-24h'!J50,'04.08 Nakawa-Bugolobi'!J50)</f>
        <v>1.1428571428571428</v>
      </c>
      <c r="K50" s="49">
        <f>AVERAGE('29.07 Nakawa-Bugolobi'!K50,'30.07 Nakawa-Bugolobi'!K50,'31.07 Nakawa-Bugolobi'!K50,'02.08 Nakawa-Bugolobi'!K50,'01.08 Nakawa-Bugolobi-24h'!K50,'03.08 Nakawa-Bugolobi-24h'!K50,'04.08 Nakawa-Bugolobi'!K50)</f>
        <v>0.14285714285714285</v>
      </c>
      <c r="L50" s="49">
        <f>AVERAGE('29.07 Nakawa-Bugolobi'!L50,'30.07 Nakawa-Bugolobi'!L50,'31.07 Nakawa-Bugolobi'!L50,'02.08 Nakawa-Bugolobi'!L50,'01.08 Nakawa-Bugolobi-24h'!L50,'03.08 Nakawa-Bugolobi-24h'!L50,'04.08 Nakawa-Bugolobi'!L50)</f>
        <v>0.2857142857142857</v>
      </c>
      <c r="M50" s="49">
        <f>AVERAGE('29.07 Nakawa-Bugolobi'!M50,'30.07 Nakawa-Bugolobi'!M50,'31.07 Nakawa-Bugolobi'!M50,'02.08 Nakawa-Bugolobi'!M50,'01.08 Nakawa-Bugolobi-24h'!M50,'03.08 Nakawa-Bugolobi-24h'!M50,'04.08 Nakawa-Bugolobi'!M50)</f>
        <v>131</v>
      </c>
      <c r="N50" s="49">
        <f>AVERAGE('29.07 Nakawa-Bugolobi'!N50,'30.07 Nakawa-Bugolobi'!N50,'31.07 Nakawa-Bugolobi'!N50,'02.08 Nakawa-Bugolobi'!N50,'01.08 Nakawa-Bugolobi-24h'!N50,'03.08 Nakawa-Bugolobi-24h'!N50,'04.08 Nakawa-Bugolobi'!N50)</f>
        <v>0</v>
      </c>
      <c r="O50" s="15">
        <f t="shared" si="0"/>
        <v>156.28571428571428</v>
      </c>
      <c r="P50" s="15">
        <f t="shared" si="1"/>
        <v>287.28571428571428</v>
      </c>
      <c r="R50" s="8"/>
      <c r="T50"/>
    </row>
    <row r="51" spans="2:20" ht="23.1" customHeight="1" x14ac:dyDescent="0.25">
      <c r="B51" s="24" t="s">
        <v>78</v>
      </c>
      <c r="C51" s="49">
        <f>AVERAGE('29.07 Nakawa-Bugolobi'!C51,'30.07 Nakawa-Bugolobi'!C51,'31.07 Nakawa-Bugolobi'!C51,'02.08 Nakawa-Bugolobi'!C51,'01.08 Nakawa-Bugolobi-24h'!C51,'03.08 Nakawa-Bugolobi-24h'!C51,'04.08 Nakawa-Bugolobi'!C51)</f>
        <v>91.571428571428569</v>
      </c>
      <c r="D51" s="49">
        <f>AVERAGE('29.07 Nakawa-Bugolobi'!D51,'30.07 Nakawa-Bugolobi'!D51,'31.07 Nakawa-Bugolobi'!D51,'02.08 Nakawa-Bugolobi'!D51,'01.08 Nakawa-Bugolobi-24h'!D51,'03.08 Nakawa-Bugolobi-24h'!D51,'04.08 Nakawa-Bugolobi'!D51)</f>
        <v>18.428571428571427</v>
      </c>
      <c r="E51" s="49">
        <f>AVERAGE('29.07 Nakawa-Bugolobi'!E51,'30.07 Nakawa-Bugolobi'!E51,'31.07 Nakawa-Bugolobi'!E51,'02.08 Nakawa-Bugolobi'!E51,'01.08 Nakawa-Bugolobi-24h'!E51,'03.08 Nakawa-Bugolobi-24h'!E51,'04.08 Nakawa-Bugolobi'!E51)</f>
        <v>14.142857142857142</v>
      </c>
      <c r="F51" s="49">
        <f>AVERAGE('29.07 Nakawa-Bugolobi'!F51,'30.07 Nakawa-Bugolobi'!F51,'31.07 Nakawa-Bugolobi'!F51,'02.08 Nakawa-Bugolobi'!F51,'01.08 Nakawa-Bugolobi-24h'!F51,'03.08 Nakawa-Bugolobi-24h'!F51,'04.08 Nakawa-Bugolobi'!F51)</f>
        <v>12.857142857142858</v>
      </c>
      <c r="G51" s="49">
        <f>AVERAGE('29.07 Nakawa-Bugolobi'!G51,'30.07 Nakawa-Bugolobi'!G51,'31.07 Nakawa-Bugolobi'!G51,'02.08 Nakawa-Bugolobi'!G51,'01.08 Nakawa-Bugolobi-24h'!G51,'03.08 Nakawa-Bugolobi-24h'!G51,'04.08 Nakawa-Bugolobi'!G51)</f>
        <v>0.2857142857142857</v>
      </c>
      <c r="H51" s="49">
        <f>AVERAGE('29.07 Nakawa-Bugolobi'!H51,'30.07 Nakawa-Bugolobi'!H51,'31.07 Nakawa-Bugolobi'!H51,'02.08 Nakawa-Bugolobi'!H51,'01.08 Nakawa-Bugolobi-24h'!H51,'03.08 Nakawa-Bugolobi-24h'!H51,'04.08 Nakawa-Bugolobi'!H51)</f>
        <v>0.2857142857142857</v>
      </c>
      <c r="I51" s="49">
        <f>AVERAGE('29.07 Nakawa-Bugolobi'!I51,'30.07 Nakawa-Bugolobi'!I51,'31.07 Nakawa-Bugolobi'!I51,'02.08 Nakawa-Bugolobi'!I51,'01.08 Nakawa-Bugolobi-24h'!I51,'03.08 Nakawa-Bugolobi-24h'!I51,'04.08 Nakawa-Bugolobi'!I51)</f>
        <v>2.1428571428571428</v>
      </c>
      <c r="J51" s="49">
        <f>AVERAGE('29.07 Nakawa-Bugolobi'!J51,'30.07 Nakawa-Bugolobi'!J51,'31.07 Nakawa-Bugolobi'!J51,'02.08 Nakawa-Bugolobi'!J51,'01.08 Nakawa-Bugolobi-24h'!J51,'03.08 Nakawa-Bugolobi-24h'!J51,'04.08 Nakawa-Bugolobi'!J51)</f>
        <v>1.7142857142857142</v>
      </c>
      <c r="K51" s="49">
        <f>AVERAGE('29.07 Nakawa-Bugolobi'!K51,'30.07 Nakawa-Bugolobi'!K51,'31.07 Nakawa-Bugolobi'!K51,'02.08 Nakawa-Bugolobi'!K51,'01.08 Nakawa-Bugolobi-24h'!K51,'03.08 Nakawa-Bugolobi-24h'!K51,'04.08 Nakawa-Bugolobi'!K51)</f>
        <v>0</v>
      </c>
      <c r="L51" s="49">
        <f>AVERAGE('29.07 Nakawa-Bugolobi'!L51,'30.07 Nakawa-Bugolobi'!L51,'31.07 Nakawa-Bugolobi'!L51,'02.08 Nakawa-Bugolobi'!L51,'01.08 Nakawa-Bugolobi-24h'!L51,'03.08 Nakawa-Bugolobi-24h'!L51,'04.08 Nakawa-Bugolobi'!L51)</f>
        <v>0.2857142857142857</v>
      </c>
      <c r="M51" s="49">
        <f>AVERAGE('29.07 Nakawa-Bugolobi'!M51,'30.07 Nakawa-Bugolobi'!M51,'31.07 Nakawa-Bugolobi'!M51,'02.08 Nakawa-Bugolobi'!M51,'01.08 Nakawa-Bugolobi-24h'!M51,'03.08 Nakawa-Bugolobi-24h'!M51,'04.08 Nakawa-Bugolobi'!M51)</f>
        <v>126.57142857142857</v>
      </c>
      <c r="N51" s="49">
        <f>AVERAGE('29.07 Nakawa-Bugolobi'!N51,'30.07 Nakawa-Bugolobi'!N51,'31.07 Nakawa-Bugolobi'!N51,'02.08 Nakawa-Bugolobi'!N51,'01.08 Nakawa-Bugolobi-24h'!N51,'03.08 Nakawa-Bugolobi-24h'!N51,'04.08 Nakawa-Bugolobi'!N51)</f>
        <v>0</v>
      </c>
      <c r="O51" s="15">
        <f t="shared" si="0"/>
        <v>141.71428571428569</v>
      </c>
      <c r="P51" s="15">
        <f t="shared" si="1"/>
        <v>268.28571428571428</v>
      </c>
    </row>
    <row r="52" spans="2:20" ht="23.1" customHeight="1" x14ac:dyDescent="0.25">
      <c r="B52" s="24" t="s">
        <v>79</v>
      </c>
      <c r="C52" s="49">
        <f>AVERAGE('29.07 Nakawa-Bugolobi'!C52,'30.07 Nakawa-Bugolobi'!C52,'31.07 Nakawa-Bugolobi'!C52,'02.08 Nakawa-Bugolobi'!C52,'01.08 Nakawa-Bugolobi-24h'!C52,'03.08 Nakawa-Bugolobi-24h'!C52,'04.08 Nakawa-Bugolobi'!C52)</f>
        <v>99.428571428571431</v>
      </c>
      <c r="D52" s="49">
        <f>AVERAGE('29.07 Nakawa-Bugolobi'!D52,'30.07 Nakawa-Bugolobi'!D52,'31.07 Nakawa-Bugolobi'!D52,'02.08 Nakawa-Bugolobi'!D52,'01.08 Nakawa-Bugolobi-24h'!D52,'03.08 Nakawa-Bugolobi-24h'!D52,'04.08 Nakawa-Bugolobi'!D52)</f>
        <v>22.857142857142858</v>
      </c>
      <c r="E52" s="49">
        <f>AVERAGE('29.07 Nakawa-Bugolobi'!E52,'30.07 Nakawa-Bugolobi'!E52,'31.07 Nakawa-Bugolobi'!E52,'02.08 Nakawa-Bugolobi'!E52,'01.08 Nakawa-Bugolobi-24h'!E52,'03.08 Nakawa-Bugolobi-24h'!E52,'04.08 Nakawa-Bugolobi'!E52)</f>
        <v>14</v>
      </c>
      <c r="F52" s="49">
        <f>AVERAGE('29.07 Nakawa-Bugolobi'!F52,'30.07 Nakawa-Bugolobi'!F52,'31.07 Nakawa-Bugolobi'!F52,'02.08 Nakawa-Bugolobi'!F52,'01.08 Nakawa-Bugolobi-24h'!F52,'03.08 Nakawa-Bugolobi-24h'!F52,'04.08 Nakawa-Bugolobi'!F52)</f>
        <v>14.571428571428571</v>
      </c>
      <c r="G52" s="49">
        <f>AVERAGE('29.07 Nakawa-Bugolobi'!G52,'30.07 Nakawa-Bugolobi'!G52,'31.07 Nakawa-Bugolobi'!G52,'02.08 Nakawa-Bugolobi'!G52,'01.08 Nakawa-Bugolobi-24h'!G52,'03.08 Nakawa-Bugolobi-24h'!G52,'04.08 Nakawa-Bugolobi'!G52)</f>
        <v>0.8571428571428571</v>
      </c>
      <c r="H52" s="49">
        <f>AVERAGE('29.07 Nakawa-Bugolobi'!H52,'30.07 Nakawa-Bugolobi'!H52,'31.07 Nakawa-Bugolobi'!H52,'02.08 Nakawa-Bugolobi'!H52,'01.08 Nakawa-Bugolobi-24h'!H52,'03.08 Nakawa-Bugolobi-24h'!H52,'04.08 Nakawa-Bugolobi'!H52)</f>
        <v>0.14285714285714285</v>
      </c>
      <c r="I52" s="49">
        <f>AVERAGE('29.07 Nakawa-Bugolobi'!I52,'30.07 Nakawa-Bugolobi'!I52,'31.07 Nakawa-Bugolobi'!I52,'02.08 Nakawa-Bugolobi'!I52,'01.08 Nakawa-Bugolobi-24h'!I52,'03.08 Nakawa-Bugolobi-24h'!I52,'04.08 Nakawa-Bugolobi'!I52)</f>
        <v>2.2857142857142856</v>
      </c>
      <c r="J52" s="49">
        <f>AVERAGE('29.07 Nakawa-Bugolobi'!J52,'30.07 Nakawa-Bugolobi'!J52,'31.07 Nakawa-Bugolobi'!J52,'02.08 Nakawa-Bugolobi'!J52,'01.08 Nakawa-Bugolobi-24h'!J52,'03.08 Nakawa-Bugolobi-24h'!J52,'04.08 Nakawa-Bugolobi'!J52)</f>
        <v>1.2857142857142858</v>
      </c>
      <c r="K52" s="49">
        <f>AVERAGE('29.07 Nakawa-Bugolobi'!K52,'30.07 Nakawa-Bugolobi'!K52,'31.07 Nakawa-Bugolobi'!K52,'02.08 Nakawa-Bugolobi'!K52,'01.08 Nakawa-Bugolobi-24h'!K52,'03.08 Nakawa-Bugolobi-24h'!K52,'04.08 Nakawa-Bugolobi'!K52)</f>
        <v>0</v>
      </c>
      <c r="L52" s="49">
        <f>AVERAGE('29.07 Nakawa-Bugolobi'!L52,'30.07 Nakawa-Bugolobi'!L52,'31.07 Nakawa-Bugolobi'!L52,'02.08 Nakawa-Bugolobi'!L52,'01.08 Nakawa-Bugolobi-24h'!L52,'03.08 Nakawa-Bugolobi-24h'!L52,'04.08 Nakawa-Bugolobi'!L52)</f>
        <v>0.14285714285714285</v>
      </c>
      <c r="M52" s="49">
        <f>AVERAGE('29.07 Nakawa-Bugolobi'!M52,'30.07 Nakawa-Bugolobi'!M52,'31.07 Nakawa-Bugolobi'!M52,'02.08 Nakawa-Bugolobi'!M52,'01.08 Nakawa-Bugolobi-24h'!M52,'03.08 Nakawa-Bugolobi-24h'!M52,'04.08 Nakawa-Bugolobi'!M52)</f>
        <v>140.42857142857142</v>
      </c>
      <c r="N52" s="49">
        <f>AVERAGE('29.07 Nakawa-Bugolobi'!N52,'30.07 Nakawa-Bugolobi'!N52,'31.07 Nakawa-Bugolobi'!N52,'02.08 Nakawa-Bugolobi'!N52,'01.08 Nakawa-Bugolobi-24h'!N52,'03.08 Nakawa-Bugolobi-24h'!N52,'04.08 Nakawa-Bugolobi'!N52)</f>
        <v>0</v>
      </c>
      <c r="O52" s="15">
        <f t="shared" si="0"/>
        <v>155.57142857142856</v>
      </c>
      <c r="P52" s="15">
        <f t="shared" si="1"/>
        <v>296</v>
      </c>
    </row>
    <row r="53" spans="2:20" ht="23.1" customHeight="1" x14ac:dyDescent="0.25">
      <c r="B53" s="23" t="s">
        <v>80</v>
      </c>
      <c r="C53" s="49">
        <f>AVERAGE('29.07 Nakawa-Bugolobi'!C53,'30.07 Nakawa-Bugolobi'!C53,'31.07 Nakawa-Bugolobi'!C53,'02.08 Nakawa-Bugolobi'!C53,'01.08 Nakawa-Bugolobi-24h'!C53,'03.08 Nakawa-Bugolobi-24h'!C53,'04.08 Nakawa-Bugolobi'!C53)</f>
        <v>107</v>
      </c>
      <c r="D53" s="49">
        <f>AVERAGE('29.07 Nakawa-Bugolobi'!D53,'30.07 Nakawa-Bugolobi'!D53,'31.07 Nakawa-Bugolobi'!D53,'02.08 Nakawa-Bugolobi'!D53,'01.08 Nakawa-Bugolobi-24h'!D53,'03.08 Nakawa-Bugolobi-24h'!D53,'04.08 Nakawa-Bugolobi'!D53)</f>
        <v>25.714285714285715</v>
      </c>
      <c r="E53" s="49">
        <f>AVERAGE('29.07 Nakawa-Bugolobi'!E53,'30.07 Nakawa-Bugolobi'!E53,'31.07 Nakawa-Bugolobi'!E53,'02.08 Nakawa-Bugolobi'!E53,'01.08 Nakawa-Bugolobi-24h'!E53,'03.08 Nakawa-Bugolobi-24h'!E53,'04.08 Nakawa-Bugolobi'!E53)</f>
        <v>13.142857142857142</v>
      </c>
      <c r="F53" s="49">
        <f>AVERAGE('29.07 Nakawa-Bugolobi'!F53,'30.07 Nakawa-Bugolobi'!F53,'31.07 Nakawa-Bugolobi'!F53,'02.08 Nakawa-Bugolobi'!F53,'01.08 Nakawa-Bugolobi-24h'!F53,'03.08 Nakawa-Bugolobi-24h'!F53,'04.08 Nakawa-Bugolobi'!F53)</f>
        <v>17</v>
      </c>
      <c r="G53" s="49">
        <f>AVERAGE('29.07 Nakawa-Bugolobi'!G53,'30.07 Nakawa-Bugolobi'!G53,'31.07 Nakawa-Bugolobi'!G53,'02.08 Nakawa-Bugolobi'!G53,'01.08 Nakawa-Bugolobi-24h'!G53,'03.08 Nakawa-Bugolobi-24h'!G53,'04.08 Nakawa-Bugolobi'!G53)</f>
        <v>1</v>
      </c>
      <c r="H53" s="49">
        <f>AVERAGE('29.07 Nakawa-Bugolobi'!H53,'30.07 Nakawa-Bugolobi'!H53,'31.07 Nakawa-Bugolobi'!H53,'02.08 Nakawa-Bugolobi'!H53,'01.08 Nakawa-Bugolobi-24h'!H53,'03.08 Nakawa-Bugolobi-24h'!H53,'04.08 Nakawa-Bugolobi'!H53)</f>
        <v>0</v>
      </c>
      <c r="I53" s="49">
        <f>AVERAGE('29.07 Nakawa-Bugolobi'!I53,'30.07 Nakawa-Bugolobi'!I53,'31.07 Nakawa-Bugolobi'!I53,'02.08 Nakawa-Bugolobi'!I53,'01.08 Nakawa-Bugolobi-24h'!I53,'03.08 Nakawa-Bugolobi-24h'!I53,'04.08 Nakawa-Bugolobi'!I53)</f>
        <v>2.2857142857142856</v>
      </c>
      <c r="J53" s="49">
        <f>AVERAGE('29.07 Nakawa-Bugolobi'!J53,'30.07 Nakawa-Bugolobi'!J53,'31.07 Nakawa-Bugolobi'!J53,'02.08 Nakawa-Bugolobi'!J53,'01.08 Nakawa-Bugolobi-24h'!J53,'03.08 Nakawa-Bugolobi-24h'!J53,'04.08 Nakawa-Bugolobi'!J53)</f>
        <v>0.8571428571428571</v>
      </c>
      <c r="K53" s="49">
        <f>AVERAGE('29.07 Nakawa-Bugolobi'!K53,'30.07 Nakawa-Bugolobi'!K53,'31.07 Nakawa-Bugolobi'!K53,'02.08 Nakawa-Bugolobi'!K53,'01.08 Nakawa-Bugolobi-24h'!K53,'03.08 Nakawa-Bugolobi-24h'!K53,'04.08 Nakawa-Bugolobi'!K53)</f>
        <v>0.14285714285714285</v>
      </c>
      <c r="L53" s="49">
        <f>AVERAGE('29.07 Nakawa-Bugolobi'!L53,'30.07 Nakawa-Bugolobi'!L53,'31.07 Nakawa-Bugolobi'!L53,'02.08 Nakawa-Bugolobi'!L53,'01.08 Nakawa-Bugolobi-24h'!L53,'03.08 Nakawa-Bugolobi-24h'!L53,'04.08 Nakawa-Bugolobi'!L53)</f>
        <v>0.14285714285714285</v>
      </c>
      <c r="M53" s="49">
        <f>AVERAGE('29.07 Nakawa-Bugolobi'!M53,'30.07 Nakawa-Bugolobi'!M53,'31.07 Nakawa-Bugolobi'!M53,'02.08 Nakawa-Bugolobi'!M53,'01.08 Nakawa-Bugolobi-24h'!M53,'03.08 Nakawa-Bugolobi-24h'!M53,'04.08 Nakawa-Bugolobi'!M53)</f>
        <v>134</v>
      </c>
      <c r="N53" s="49">
        <f>AVERAGE('29.07 Nakawa-Bugolobi'!N53,'30.07 Nakawa-Bugolobi'!N53,'31.07 Nakawa-Bugolobi'!N53,'02.08 Nakawa-Bugolobi'!N53,'01.08 Nakawa-Bugolobi-24h'!N53,'03.08 Nakawa-Bugolobi-24h'!N53,'04.08 Nakawa-Bugolobi'!N53)</f>
        <v>0</v>
      </c>
      <c r="O53" s="15">
        <f t="shared" si="0"/>
        <v>167.28571428571428</v>
      </c>
      <c r="P53" s="15">
        <f t="shared" si="1"/>
        <v>301.28571428571428</v>
      </c>
    </row>
    <row r="54" spans="2:20" ht="23.1" customHeight="1" x14ac:dyDescent="0.25">
      <c r="B54" s="23" t="s">
        <v>81</v>
      </c>
      <c r="C54" s="49">
        <f>AVERAGE('29.07 Nakawa-Bugolobi'!C54,'30.07 Nakawa-Bugolobi'!C54,'31.07 Nakawa-Bugolobi'!C54,'02.08 Nakawa-Bugolobi'!C54,'01.08 Nakawa-Bugolobi-24h'!C54,'03.08 Nakawa-Bugolobi-24h'!C54,'04.08 Nakawa-Bugolobi'!C54)</f>
        <v>74.428571428571431</v>
      </c>
      <c r="D54" s="49">
        <f>AVERAGE('29.07 Nakawa-Bugolobi'!D54,'30.07 Nakawa-Bugolobi'!D54,'31.07 Nakawa-Bugolobi'!D54,'02.08 Nakawa-Bugolobi'!D54,'01.08 Nakawa-Bugolobi-24h'!D54,'03.08 Nakawa-Bugolobi-24h'!D54,'04.08 Nakawa-Bugolobi'!D54)</f>
        <v>20.285714285714285</v>
      </c>
      <c r="E54" s="49">
        <f>AVERAGE('29.07 Nakawa-Bugolobi'!E54,'30.07 Nakawa-Bugolobi'!E54,'31.07 Nakawa-Bugolobi'!E54,'02.08 Nakawa-Bugolobi'!E54,'01.08 Nakawa-Bugolobi-24h'!E54,'03.08 Nakawa-Bugolobi-24h'!E54,'04.08 Nakawa-Bugolobi'!E54)</f>
        <v>13.285714285714286</v>
      </c>
      <c r="F54" s="49">
        <f>AVERAGE('29.07 Nakawa-Bugolobi'!F54,'30.07 Nakawa-Bugolobi'!F54,'31.07 Nakawa-Bugolobi'!F54,'02.08 Nakawa-Bugolobi'!F54,'01.08 Nakawa-Bugolobi-24h'!F54,'03.08 Nakawa-Bugolobi-24h'!F54,'04.08 Nakawa-Bugolobi'!F54)</f>
        <v>17.571428571428573</v>
      </c>
      <c r="G54" s="49">
        <f>AVERAGE('29.07 Nakawa-Bugolobi'!G54,'30.07 Nakawa-Bugolobi'!G54,'31.07 Nakawa-Bugolobi'!G54,'02.08 Nakawa-Bugolobi'!G54,'01.08 Nakawa-Bugolobi-24h'!G54,'03.08 Nakawa-Bugolobi-24h'!G54,'04.08 Nakawa-Bugolobi'!G54)</f>
        <v>0.8571428571428571</v>
      </c>
      <c r="H54" s="49">
        <f>AVERAGE('29.07 Nakawa-Bugolobi'!H54,'30.07 Nakawa-Bugolobi'!H54,'31.07 Nakawa-Bugolobi'!H54,'02.08 Nakawa-Bugolobi'!H54,'01.08 Nakawa-Bugolobi-24h'!H54,'03.08 Nakawa-Bugolobi-24h'!H54,'04.08 Nakawa-Bugolobi'!H54)</f>
        <v>0.14285714285714285</v>
      </c>
      <c r="I54" s="49">
        <f>AVERAGE('29.07 Nakawa-Bugolobi'!I54,'30.07 Nakawa-Bugolobi'!I54,'31.07 Nakawa-Bugolobi'!I54,'02.08 Nakawa-Bugolobi'!I54,'01.08 Nakawa-Bugolobi-24h'!I54,'03.08 Nakawa-Bugolobi-24h'!I54,'04.08 Nakawa-Bugolobi'!I54)</f>
        <v>2.7142857142857144</v>
      </c>
      <c r="J54" s="49">
        <f>AVERAGE('29.07 Nakawa-Bugolobi'!J54,'30.07 Nakawa-Bugolobi'!J54,'31.07 Nakawa-Bugolobi'!J54,'02.08 Nakawa-Bugolobi'!J54,'01.08 Nakawa-Bugolobi-24h'!J54,'03.08 Nakawa-Bugolobi-24h'!J54,'04.08 Nakawa-Bugolobi'!J54)</f>
        <v>1.2857142857142858</v>
      </c>
      <c r="K54" s="49">
        <f>AVERAGE('29.07 Nakawa-Bugolobi'!K54,'30.07 Nakawa-Bugolobi'!K54,'31.07 Nakawa-Bugolobi'!K54,'02.08 Nakawa-Bugolobi'!K54,'01.08 Nakawa-Bugolobi-24h'!K54,'03.08 Nakawa-Bugolobi-24h'!K54,'04.08 Nakawa-Bugolobi'!K54)</f>
        <v>0</v>
      </c>
      <c r="L54" s="49">
        <f>AVERAGE('29.07 Nakawa-Bugolobi'!L54,'30.07 Nakawa-Bugolobi'!L54,'31.07 Nakawa-Bugolobi'!L54,'02.08 Nakawa-Bugolobi'!L54,'01.08 Nakawa-Bugolobi-24h'!L54,'03.08 Nakawa-Bugolobi-24h'!L54,'04.08 Nakawa-Bugolobi'!L54)</f>
        <v>0.2857142857142857</v>
      </c>
      <c r="M54" s="49">
        <f>AVERAGE('29.07 Nakawa-Bugolobi'!M54,'30.07 Nakawa-Bugolobi'!M54,'31.07 Nakawa-Bugolobi'!M54,'02.08 Nakawa-Bugolobi'!M54,'01.08 Nakawa-Bugolobi-24h'!M54,'03.08 Nakawa-Bugolobi-24h'!M54,'04.08 Nakawa-Bugolobi'!M54)</f>
        <v>114.85714285714286</v>
      </c>
      <c r="N54" s="49">
        <f>AVERAGE('29.07 Nakawa-Bugolobi'!N54,'30.07 Nakawa-Bugolobi'!N54,'31.07 Nakawa-Bugolobi'!N54,'02.08 Nakawa-Bugolobi'!N54,'01.08 Nakawa-Bugolobi-24h'!N54,'03.08 Nakawa-Bugolobi-24h'!N54,'04.08 Nakawa-Bugolobi'!N54)</f>
        <v>0</v>
      </c>
      <c r="O54" s="15">
        <f t="shared" si="0"/>
        <v>130.85714285714286</v>
      </c>
      <c r="P54" s="15">
        <f t="shared" si="1"/>
        <v>245.71428571428572</v>
      </c>
    </row>
    <row r="55" spans="2:20" ht="23.1" customHeight="1" x14ac:dyDescent="0.25">
      <c r="B55" s="23" t="s">
        <v>82</v>
      </c>
      <c r="C55" s="49">
        <f>AVERAGE('29.07 Nakawa-Bugolobi'!C55,'30.07 Nakawa-Bugolobi'!C55,'31.07 Nakawa-Bugolobi'!C55,'02.08 Nakawa-Bugolobi'!C55,'01.08 Nakawa-Bugolobi-24h'!C55,'03.08 Nakawa-Bugolobi-24h'!C55,'04.08 Nakawa-Bugolobi'!C55)</f>
        <v>76.142857142857139</v>
      </c>
      <c r="D55" s="49">
        <f>AVERAGE('29.07 Nakawa-Bugolobi'!D55,'30.07 Nakawa-Bugolobi'!D55,'31.07 Nakawa-Bugolobi'!D55,'02.08 Nakawa-Bugolobi'!D55,'01.08 Nakawa-Bugolobi-24h'!D55,'03.08 Nakawa-Bugolobi-24h'!D55,'04.08 Nakawa-Bugolobi'!D55)</f>
        <v>17.428571428571427</v>
      </c>
      <c r="E55" s="49">
        <f>AVERAGE('29.07 Nakawa-Bugolobi'!E55,'30.07 Nakawa-Bugolobi'!E55,'31.07 Nakawa-Bugolobi'!E55,'02.08 Nakawa-Bugolobi'!E55,'01.08 Nakawa-Bugolobi-24h'!E55,'03.08 Nakawa-Bugolobi-24h'!E55,'04.08 Nakawa-Bugolobi'!E55)</f>
        <v>11.142857142857142</v>
      </c>
      <c r="F55" s="49">
        <f>AVERAGE('29.07 Nakawa-Bugolobi'!F55,'30.07 Nakawa-Bugolobi'!F55,'31.07 Nakawa-Bugolobi'!F55,'02.08 Nakawa-Bugolobi'!F55,'01.08 Nakawa-Bugolobi-24h'!F55,'03.08 Nakawa-Bugolobi-24h'!F55,'04.08 Nakawa-Bugolobi'!F55)</f>
        <v>13.857142857142858</v>
      </c>
      <c r="G55" s="49">
        <f>AVERAGE('29.07 Nakawa-Bugolobi'!G55,'30.07 Nakawa-Bugolobi'!G55,'31.07 Nakawa-Bugolobi'!G55,'02.08 Nakawa-Bugolobi'!G55,'01.08 Nakawa-Bugolobi-24h'!G55,'03.08 Nakawa-Bugolobi-24h'!G55,'04.08 Nakawa-Bugolobi'!G55)</f>
        <v>0.2857142857142857</v>
      </c>
      <c r="H55" s="49">
        <f>AVERAGE('29.07 Nakawa-Bugolobi'!H55,'30.07 Nakawa-Bugolobi'!H55,'31.07 Nakawa-Bugolobi'!H55,'02.08 Nakawa-Bugolobi'!H55,'01.08 Nakawa-Bugolobi-24h'!H55,'03.08 Nakawa-Bugolobi-24h'!H55,'04.08 Nakawa-Bugolobi'!H55)</f>
        <v>0</v>
      </c>
      <c r="I55" s="49">
        <f>AVERAGE('29.07 Nakawa-Bugolobi'!I55,'30.07 Nakawa-Bugolobi'!I55,'31.07 Nakawa-Bugolobi'!I55,'02.08 Nakawa-Bugolobi'!I55,'01.08 Nakawa-Bugolobi-24h'!I55,'03.08 Nakawa-Bugolobi-24h'!I55,'04.08 Nakawa-Bugolobi'!I55)</f>
        <v>2.4285714285714284</v>
      </c>
      <c r="J55" s="49">
        <f>AVERAGE('29.07 Nakawa-Bugolobi'!J55,'30.07 Nakawa-Bugolobi'!J55,'31.07 Nakawa-Bugolobi'!J55,'02.08 Nakawa-Bugolobi'!J55,'01.08 Nakawa-Bugolobi-24h'!J55,'03.08 Nakawa-Bugolobi-24h'!J55,'04.08 Nakawa-Bugolobi'!J55)</f>
        <v>1.1428571428571428</v>
      </c>
      <c r="K55" s="49">
        <f>AVERAGE('29.07 Nakawa-Bugolobi'!K55,'30.07 Nakawa-Bugolobi'!K55,'31.07 Nakawa-Bugolobi'!K55,'02.08 Nakawa-Bugolobi'!K55,'01.08 Nakawa-Bugolobi-24h'!K55,'03.08 Nakawa-Bugolobi-24h'!K55,'04.08 Nakawa-Bugolobi'!K55)</f>
        <v>0</v>
      </c>
      <c r="L55" s="49">
        <f>AVERAGE('29.07 Nakawa-Bugolobi'!L55,'30.07 Nakawa-Bugolobi'!L55,'31.07 Nakawa-Bugolobi'!L55,'02.08 Nakawa-Bugolobi'!L55,'01.08 Nakawa-Bugolobi-24h'!L55,'03.08 Nakawa-Bugolobi-24h'!L55,'04.08 Nakawa-Bugolobi'!L55)</f>
        <v>0.14285714285714285</v>
      </c>
      <c r="M55" s="49">
        <f>AVERAGE('29.07 Nakawa-Bugolobi'!M55,'30.07 Nakawa-Bugolobi'!M55,'31.07 Nakawa-Bugolobi'!M55,'02.08 Nakawa-Bugolobi'!M55,'01.08 Nakawa-Bugolobi-24h'!M55,'03.08 Nakawa-Bugolobi-24h'!M55,'04.08 Nakawa-Bugolobi'!M55)</f>
        <v>127.28571428571429</v>
      </c>
      <c r="N55" s="49">
        <f>AVERAGE('29.07 Nakawa-Bugolobi'!N55,'30.07 Nakawa-Bugolobi'!N55,'31.07 Nakawa-Bugolobi'!N55,'02.08 Nakawa-Bugolobi'!N55,'01.08 Nakawa-Bugolobi-24h'!N55,'03.08 Nakawa-Bugolobi-24h'!N55,'04.08 Nakawa-Bugolobi'!N55)</f>
        <v>0</v>
      </c>
      <c r="O55" s="15">
        <f t="shared" si="0"/>
        <v>122.57142857142857</v>
      </c>
      <c r="P55" s="15">
        <f t="shared" si="1"/>
        <v>249.85714285714286</v>
      </c>
    </row>
    <row r="56" spans="2:20" ht="23.1" customHeight="1" x14ac:dyDescent="0.25">
      <c r="B56" s="23" t="s">
        <v>83</v>
      </c>
      <c r="C56" s="49">
        <f>AVERAGE('29.07 Nakawa-Bugolobi'!C56,'30.07 Nakawa-Bugolobi'!C56,'31.07 Nakawa-Bugolobi'!C56,'02.08 Nakawa-Bugolobi'!C56,'01.08 Nakawa-Bugolobi-24h'!C56,'03.08 Nakawa-Bugolobi-24h'!C56,'04.08 Nakawa-Bugolobi'!C56)</f>
        <v>80.428571428571431</v>
      </c>
      <c r="D56" s="49">
        <f>AVERAGE('29.07 Nakawa-Bugolobi'!D56,'30.07 Nakawa-Bugolobi'!D56,'31.07 Nakawa-Bugolobi'!D56,'02.08 Nakawa-Bugolobi'!D56,'01.08 Nakawa-Bugolobi-24h'!D56,'03.08 Nakawa-Bugolobi-24h'!D56,'04.08 Nakawa-Bugolobi'!D56)</f>
        <v>14.571428571428571</v>
      </c>
      <c r="E56" s="49">
        <f>AVERAGE('29.07 Nakawa-Bugolobi'!E56,'30.07 Nakawa-Bugolobi'!E56,'31.07 Nakawa-Bugolobi'!E56,'02.08 Nakawa-Bugolobi'!E56,'01.08 Nakawa-Bugolobi-24h'!E56,'03.08 Nakawa-Bugolobi-24h'!E56,'04.08 Nakawa-Bugolobi'!E56)</f>
        <v>14.428571428571429</v>
      </c>
      <c r="F56" s="49">
        <f>AVERAGE('29.07 Nakawa-Bugolobi'!F56,'30.07 Nakawa-Bugolobi'!F56,'31.07 Nakawa-Bugolobi'!F56,'02.08 Nakawa-Bugolobi'!F56,'01.08 Nakawa-Bugolobi-24h'!F56,'03.08 Nakawa-Bugolobi-24h'!F56,'04.08 Nakawa-Bugolobi'!F56)</f>
        <v>16.285714285714285</v>
      </c>
      <c r="G56" s="49">
        <f>AVERAGE('29.07 Nakawa-Bugolobi'!G56,'30.07 Nakawa-Bugolobi'!G56,'31.07 Nakawa-Bugolobi'!G56,'02.08 Nakawa-Bugolobi'!G56,'01.08 Nakawa-Bugolobi-24h'!G56,'03.08 Nakawa-Bugolobi-24h'!G56,'04.08 Nakawa-Bugolobi'!G56)</f>
        <v>0.7142857142857143</v>
      </c>
      <c r="H56" s="49">
        <f>AVERAGE('29.07 Nakawa-Bugolobi'!H56,'30.07 Nakawa-Bugolobi'!H56,'31.07 Nakawa-Bugolobi'!H56,'02.08 Nakawa-Bugolobi'!H56,'01.08 Nakawa-Bugolobi-24h'!H56,'03.08 Nakawa-Bugolobi-24h'!H56,'04.08 Nakawa-Bugolobi'!H56)</f>
        <v>0</v>
      </c>
      <c r="I56" s="49">
        <f>AVERAGE('29.07 Nakawa-Bugolobi'!I56,'30.07 Nakawa-Bugolobi'!I56,'31.07 Nakawa-Bugolobi'!I56,'02.08 Nakawa-Bugolobi'!I56,'01.08 Nakawa-Bugolobi-24h'!I56,'03.08 Nakawa-Bugolobi-24h'!I56,'04.08 Nakawa-Bugolobi'!I56)</f>
        <v>1.5714285714285714</v>
      </c>
      <c r="J56" s="49">
        <f>AVERAGE('29.07 Nakawa-Bugolobi'!J56,'30.07 Nakawa-Bugolobi'!J56,'31.07 Nakawa-Bugolobi'!J56,'02.08 Nakawa-Bugolobi'!J56,'01.08 Nakawa-Bugolobi-24h'!J56,'03.08 Nakawa-Bugolobi-24h'!J56,'04.08 Nakawa-Bugolobi'!J56)</f>
        <v>0.2857142857142857</v>
      </c>
      <c r="K56" s="49">
        <f>AVERAGE('29.07 Nakawa-Bugolobi'!K56,'30.07 Nakawa-Bugolobi'!K56,'31.07 Nakawa-Bugolobi'!K56,'02.08 Nakawa-Bugolobi'!K56,'01.08 Nakawa-Bugolobi-24h'!K56,'03.08 Nakawa-Bugolobi-24h'!K56,'04.08 Nakawa-Bugolobi'!K56)</f>
        <v>0</v>
      </c>
      <c r="L56" s="49">
        <f>AVERAGE('29.07 Nakawa-Bugolobi'!L56,'30.07 Nakawa-Bugolobi'!L56,'31.07 Nakawa-Bugolobi'!L56,'02.08 Nakawa-Bugolobi'!L56,'01.08 Nakawa-Bugolobi-24h'!L56,'03.08 Nakawa-Bugolobi-24h'!L56,'04.08 Nakawa-Bugolobi'!L56)</f>
        <v>0.2857142857142857</v>
      </c>
      <c r="M56" s="49">
        <f>AVERAGE('29.07 Nakawa-Bugolobi'!M56,'30.07 Nakawa-Bugolobi'!M56,'31.07 Nakawa-Bugolobi'!M56,'02.08 Nakawa-Bugolobi'!M56,'01.08 Nakawa-Bugolobi-24h'!M56,'03.08 Nakawa-Bugolobi-24h'!M56,'04.08 Nakawa-Bugolobi'!M56)</f>
        <v>103.28571428571429</v>
      </c>
      <c r="N56" s="49">
        <f>AVERAGE('29.07 Nakawa-Bugolobi'!N56,'30.07 Nakawa-Bugolobi'!N56,'31.07 Nakawa-Bugolobi'!N56,'02.08 Nakawa-Bugolobi'!N56,'01.08 Nakawa-Bugolobi-24h'!N56,'03.08 Nakawa-Bugolobi-24h'!N56,'04.08 Nakawa-Bugolobi'!N56)</f>
        <v>0</v>
      </c>
      <c r="O56" s="15">
        <f t="shared" si="0"/>
        <v>128.57142857142856</v>
      </c>
      <c r="P56" s="15">
        <f t="shared" si="1"/>
        <v>231.85714285714283</v>
      </c>
    </row>
    <row r="57" spans="2:20" ht="23.1" customHeight="1" x14ac:dyDescent="0.25">
      <c r="B57" s="23" t="s">
        <v>84</v>
      </c>
      <c r="C57" s="49">
        <f>AVERAGE('29.07 Nakawa-Bugolobi'!C57,'30.07 Nakawa-Bugolobi'!C57,'31.07 Nakawa-Bugolobi'!C57,'02.08 Nakawa-Bugolobi'!C57,'01.08 Nakawa-Bugolobi-24h'!C57,'03.08 Nakawa-Bugolobi-24h'!C57,'04.08 Nakawa-Bugolobi'!C57)</f>
        <v>74.714285714285708</v>
      </c>
      <c r="D57" s="49">
        <f>AVERAGE('29.07 Nakawa-Bugolobi'!D57,'30.07 Nakawa-Bugolobi'!D57,'31.07 Nakawa-Bugolobi'!D57,'02.08 Nakawa-Bugolobi'!D57,'01.08 Nakawa-Bugolobi-24h'!D57,'03.08 Nakawa-Bugolobi-24h'!D57,'04.08 Nakawa-Bugolobi'!D57)</f>
        <v>16.428571428571427</v>
      </c>
      <c r="E57" s="49">
        <f>AVERAGE('29.07 Nakawa-Bugolobi'!E57,'30.07 Nakawa-Bugolobi'!E57,'31.07 Nakawa-Bugolobi'!E57,'02.08 Nakawa-Bugolobi'!E57,'01.08 Nakawa-Bugolobi-24h'!E57,'03.08 Nakawa-Bugolobi-24h'!E57,'04.08 Nakawa-Bugolobi'!E57)</f>
        <v>11.428571428571429</v>
      </c>
      <c r="F57" s="49">
        <f>AVERAGE('29.07 Nakawa-Bugolobi'!F57,'30.07 Nakawa-Bugolobi'!F57,'31.07 Nakawa-Bugolobi'!F57,'02.08 Nakawa-Bugolobi'!F57,'01.08 Nakawa-Bugolobi-24h'!F57,'03.08 Nakawa-Bugolobi-24h'!F57,'04.08 Nakawa-Bugolobi'!F57)</f>
        <v>18.285714285714285</v>
      </c>
      <c r="G57" s="49">
        <f>AVERAGE('29.07 Nakawa-Bugolobi'!G57,'30.07 Nakawa-Bugolobi'!G57,'31.07 Nakawa-Bugolobi'!G57,'02.08 Nakawa-Bugolobi'!G57,'01.08 Nakawa-Bugolobi-24h'!G57,'03.08 Nakawa-Bugolobi-24h'!G57,'04.08 Nakawa-Bugolobi'!G57)</f>
        <v>0.8571428571428571</v>
      </c>
      <c r="H57" s="49">
        <f>AVERAGE('29.07 Nakawa-Bugolobi'!H57,'30.07 Nakawa-Bugolobi'!H57,'31.07 Nakawa-Bugolobi'!H57,'02.08 Nakawa-Bugolobi'!H57,'01.08 Nakawa-Bugolobi-24h'!H57,'03.08 Nakawa-Bugolobi-24h'!H57,'04.08 Nakawa-Bugolobi'!H57)</f>
        <v>0.2857142857142857</v>
      </c>
      <c r="I57" s="49">
        <f>AVERAGE('29.07 Nakawa-Bugolobi'!I57,'30.07 Nakawa-Bugolobi'!I57,'31.07 Nakawa-Bugolobi'!I57,'02.08 Nakawa-Bugolobi'!I57,'01.08 Nakawa-Bugolobi-24h'!I57,'03.08 Nakawa-Bugolobi-24h'!I57,'04.08 Nakawa-Bugolobi'!I57)</f>
        <v>3</v>
      </c>
      <c r="J57" s="49">
        <f>AVERAGE('29.07 Nakawa-Bugolobi'!J57,'30.07 Nakawa-Bugolobi'!J57,'31.07 Nakawa-Bugolobi'!J57,'02.08 Nakawa-Bugolobi'!J57,'01.08 Nakawa-Bugolobi-24h'!J57,'03.08 Nakawa-Bugolobi-24h'!J57,'04.08 Nakawa-Bugolobi'!J57)</f>
        <v>1</v>
      </c>
      <c r="K57" s="49">
        <f>AVERAGE('29.07 Nakawa-Bugolobi'!K57,'30.07 Nakawa-Bugolobi'!K57,'31.07 Nakawa-Bugolobi'!K57,'02.08 Nakawa-Bugolobi'!K57,'01.08 Nakawa-Bugolobi-24h'!K57,'03.08 Nakawa-Bugolobi-24h'!K57,'04.08 Nakawa-Bugolobi'!K57)</f>
        <v>0.14285714285714285</v>
      </c>
      <c r="L57" s="49">
        <f>AVERAGE('29.07 Nakawa-Bugolobi'!L57,'30.07 Nakawa-Bugolobi'!L57,'31.07 Nakawa-Bugolobi'!L57,'02.08 Nakawa-Bugolobi'!L57,'01.08 Nakawa-Bugolobi-24h'!L57,'03.08 Nakawa-Bugolobi-24h'!L57,'04.08 Nakawa-Bugolobi'!L57)</f>
        <v>0</v>
      </c>
      <c r="M57" s="49">
        <f>AVERAGE('29.07 Nakawa-Bugolobi'!M57,'30.07 Nakawa-Bugolobi'!M57,'31.07 Nakawa-Bugolobi'!M57,'02.08 Nakawa-Bugolobi'!M57,'01.08 Nakawa-Bugolobi-24h'!M57,'03.08 Nakawa-Bugolobi-24h'!M57,'04.08 Nakawa-Bugolobi'!M57)</f>
        <v>111.42857142857143</v>
      </c>
      <c r="N57" s="49">
        <f>AVERAGE('29.07 Nakawa-Bugolobi'!N57,'30.07 Nakawa-Bugolobi'!N57,'31.07 Nakawa-Bugolobi'!N57,'02.08 Nakawa-Bugolobi'!N57,'01.08 Nakawa-Bugolobi-24h'!N57,'03.08 Nakawa-Bugolobi-24h'!N57,'04.08 Nakawa-Bugolobi'!N57)</f>
        <v>0</v>
      </c>
      <c r="O57" s="15">
        <f t="shared" si="0"/>
        <v>126.14285714285715</v>
      </c>
      <c r="P57" s="15">
        <f t="shared" si="1"/>
        <v>237.57142857142858</v>
      </c>
    </row>
    <row r="58" spans="2:20" ht="23.1" customHeight="1" x14ac:dyDescent="0.25">
      <c r="B58" s="23" t="s">
        <v>99</v>
      </c>
      <c r="C58" s="49">
        <f>AVERAGE('01.08 Nakawa-Bugolobi-24h'!C58,'03.08 Nakawa-Bugolobi-24h'!C58)</f>
        <v>69</v>
      </c>
      <c r="D58" s="49">
        <f>AVERAGE('01.08 Nakawa-Bugolobi-24h'!D58,'03.08 Nakawa-Bugolobi-24h'!D58)</f>
        <v>11.5</v>
      </c>
      <c r="E58" s="49">
        <f>AVERAGE('01.08 Nakawa-Bugolobi-24h'!E58,'03.08 Nakawa-Bugolobi-24h'!E58)</f>
        <v>13.5</v>
      </c>
      <c r="F58" s="49">
        <f>AVERAGE('01.08 Nakawa-Bugolobi-24h'!F58,'03.08 Nakawa-Bugolobi-24h'!F58)</f>
        <v>18.5</v>
      </c>
      <c r="G58" s="49">
        <f>AVERAGE('01.08 Nakawa-Bugolobi-24h'!G58,'03.08 Nakawa-Bugolobi-24h'!G58)</f>
        <v>0.5</v>
      </c>
      <c r="H58" s="49">
        <f>AVERAGE('01.08 Nakawa-Bugolobi-24h'!H58,'03.08 Nakawa-Bugolobi-24h'!H58)</f>
        <v>0</v>
      </c>
      <c r="I58" s="49">
        <f>AVERAGE('01.08 Nakawa-Bugolobi-24h'!I58,'03.08 Nakawa-Bugolobi-24h'!I58)</f>
        <v>4</v>
      </c>
      <c r="J58" s="49">
        <f>AVERAGE('01.08 Nakawa-Bugolobi-24h'!J58,'03.08 Nakawa-Bugolobi-24h'!J58)</f>
        <v>1.5</v>
      </c>
      <c r="K58" s="49">
        <f>AVERAGE('01.08 Nakawa-Bugolobi-24h'!K58,'03.08 Nakawa-Bugolobi-24h'!K58)</f>
        <v>0</v>
      </c>
      <c r="L58" s="49">
        <f>AVERAGE('01.08 Nakawa-Bugolobi-24h'!L58,'03.08 Nakawa-Bugolobi-24h'!L58)</f>
        <v>0</v>
      </c>
      <c r="M58" s="49">
        <f>AVERAGE('01.08 Nakawa-Bugolobi-24h'!M58,'03.08 Nakawa-Bugolobi-24h'!M58)</f>
        <v>79.5</v>
      </c>
      <c r="N58" s="49">
        <f>AVERAGE('01.08 Nakawa-Bugolobi-24h'!N58,'03.08 Nakawa-Bugolobi-24h'!N58)</f>
        <v>0</v>
      </c>
      <c r="O58" s="15">
        <f t="shared" si="0"/>
        <v>118.5</v>
      </c>
      <c r="P58" s="15">
        <f t="shared" si="1"/>
        <v>198</v>
      </c>
      <c r="R58" s="8"/>
      <c r="T58"/>
    </row>
    <row r="59" spans="2:20" ht="23.1" customHeight="1" x14ac:dyDescent="0.25">
      <c r="B59" s="23" t="s">
        <v>100</v>
      </c>
      <c r="C59" s="49">
        <f>AVERAGE('01.08 Nakawa-Bugolobi-24h'!C59,'03.08 Nakawa-Bugolobi-24h'!C59)</f>
        <v>67.5</v>
      </c>
      <c r="D59" s="49">
        <f>AVERAGE('01.08 Nakawa-Bugolobi-24h'!D59,'03.08 Nakawa-Bugolobi-24h'!D59)</f>
        <v>16</v>
      </c>
      <c r="E59" s="49">
        <f>AVERAGE('01.08 Nakawa-Bugolobi-24h'!E59,'03.08 Nakawa-Bugolobi-24h'!E59)</f>
        <v>17</v>
      </c>
      <c r="F59" s="49">
        <f>AVERAGE('01.08 Nakawa-Bugolobi-24h'!F59,'03.08 Nakawa-Bugolobi-24h'!F59)</f>
        <v>6.5</v>
      </c>
      <c r="G59" s="49">
        <f>AVERAGE('01.08 Nakawa-Bugolobi-24h'!G59,'03.08 Nakawa-Bugolobi-24h'!G59)</f>
        <v>1</v>
      </c>
      <c r="H59" s="49">
        <f>AVERAGE('01.08 Nakawa-Bugolobi-24h'!H59,'03.08 Nakawa-Bugolobi-24h'!H59)</f>
        <v>0</v>
      </c>
      <c r="I59" s="49">
        <f>AVERAGE('01.08 Nakawa-Bugolobi-24h'!I59,'03.08 Nakawa-Bugolobi-24h'!I59)</f>
        <v>5</v>
      </c>
      <c r="J59" s="49">
        <f>AVERAGE('01.08 Nakawa-Bugolobi-24h'!J59,'03.08 Nakawa-Bugolobi-24h'!J59)</f>
        <v>0.5</v>
      </c>
      <c r="K59" s="49">
        <f>AVERAGE('01.08 Nakawa-Bugolobi-24h'!K59,'03.08 Nakawa-Bugolobi-24h'!K59)</f>
        <v>0</v>
      </c>
      <c r="L59" s="49">
        <f>AVERAGE('01.08 Nakawa-Bugolobi-24h'!L59,'03.08 Nakawa-Bugolobi-24h'!L59)</f>
        <v>0.5</v>
      </c>
      <c r="M59" s="49">
        <f>AVERAGE('01.08 Nakawa-Bugolobi-24h'!M59,'03.08 Nakawa-Bugolobi-24h'!M59)</f>
        <v>75.5</v>
      </c>
      <c r="N59" s="49">
        <f>AVERAGE('01.08 Nakawa-Bugolobi-24h'!N59,'03.08 Nakawa-Bugolobi-24h'!N59)</f>
        <v>0</v>
      </c>
      <c r="O59" s="15">
        <f t="shared" si="0"/>
        <v>114</v>
      </c>
      <c r="P59" s="15">
        <f t="shared" si="1"/>
        <v>189.5</v>
      </c>
      <c r="R59" s="8"/>
      <c r="T59"/>
    </row>
    <row r="60" spans="2:20" ht="23.1" customHeight="1" x14ac:dyDescent="0.25">
      <c r="B60" s="23" t="s">
        <v>101</v>
      </c>
      <c r="C60" s="49">
        <f>AVERAGE('01.08 Nakawa-Bugolobi-24h'!C60,'03.08 Nakawa-Bugolobi-24h'!C60)</f>
        <v>55</v>
      </c>
      <c r="D60" s="49">
        <f>AVERAGE('01.08 Nakawa-Bugolobi-24h'!D60,'03.08 Nakawa-Bugolobi-24h'!D60)</f>
        <v>7</v>
      </c>
      <c r="E60" s="49">
        <f>AVERAGE('01.08 Nakawa-Bugolobi-24h'!E60,'03.08 Nakawa-Bugolobi-24h'!E60)</f>
        <v>14.5</v>
      </c>
      <c r="F60" s="49">
        <f>AVERAGE('01.08 Nakawa-Bugolobi-24h'!F60,'03.08 Nakawa-Bugolobi-24h'!F60)</f>
        <v>10</v>
      </c>
      <c r="G60" s="49">
        <f>AVERAGE('01.08 Nakawa-Bugolobi-24h'!G60,'03.08 Nakawa-Bugolobi-24h'!G60)</f>
        <v>0.5</v>
      </c>
      <c r="H60" s="49">
        <f>AVERAGE('01.08 Nakawa-Bugolobi-24h'!H60,'03.08 Nakawa-Bugolobi-24h'!H60)</f>
        <v>0</v>
      </c>
      <c r="I60" s="49">
        <f>AVERAGE('01.08 Nakawa-Bugolobi-24h'!I60,'03.08 Nakawa-Bugolobi-24h'!I60)</f>
        <v>4.5</v>
      </c>
      <c r="J60" s="49">
        <f>AVERAGE('01.08 Nakawa-Bugolobi-24h'!J60,'03.08 Nakawa-Bugolobi-24h'!J60)</f>
        <v>0</v>
      </c>
      <c r="K60" s="49">
        <f>AVERAGE('01.08 Nakawa-Bugolobi-24h'!K60,'03.08 Nakawa-Bugolobi-24h'!K60)</f>
        <v>1</v>
      </c>
      <c r="L60" s="49">
        <f>AVERAGE('01.08 Nakawa-Bugolobi-24h'!L60,'03.08 Nakawa-Bugolobi-24h'!L60)</f>
        <v>0</v>
      </c>
      <c r="M60" s="49">
        <f>AVERAGE('01.08 Nakawa-Bugolobi-24h'!M60,'03.08 Nakawa-Bugolobi-24h'!M60)</f>
        <v>81</v>
      </c>
      <c r="N60" s="49">
        <f>AVERAGE('01.08 Nakawa-Bugolobi-24h'!N60,'03.08 Nakawa-Bugolobi-24h'!N60)</f>
        <v>0</v>
      </c>
      <c r="O60" s="15">
        <f t="shared" si="0"/>
        <v>92.5</v>
      </c>
      <c r="P60" s="15">
        <f t="shared" si="1"/>
        <v>173.5</v>
      </c>
      <c r="R60" s="8"/>
      <c r="T60"/>
    </row>
    <row r="61" spans="2:20" ht="23.1" customHeight="1" x14ac:dyDescent="0.25">
      <c r="B61" s="23" t="s">
        <v>102</v>
      </c>
      <c r="C61" s="49">
        <f>AVERAGE('01.08 Nakawa-Bugolobi-24h'!C61,'03.08 Nakawa-Bugolobi-24h'!C61)</f>
        <v>57.5</v>
      </c>
      <c r="D61" s="49">
        <f>AVERAGE('01.08 Nakawa-Bugolobi-24h'!D61,'03.08 Nakawa-Bugolobi-24h'!D61)</f>
        <v>10.5</v>
      </c>
      <c r="E61" s="49">
        <f>AVERAGE('01.08 Nakawa-Bugolobi-24h'!E61,'03.08 Nakawa-Bugolobi-24h'!E61)</f>
        <v>14.5</v>
      </c>
      <c r="F61" s="49">
        <f>AVERAGE('01.08 Nakawa-Bugolobi-24h'!F61,'03.08 Nakawa-Bugolobi-24h'!F61)</f>
        <v>12.5</v>
      </c>
      <c r="G61" s="49">
        <f>AVERAGE('01.08 Nakawa-Bugolobi-24h'!G61,'03.08 Nakawa-Bugolobi-24h'!G61)</f>
        <v>0.5</v>
      </c>
      <c r="H61" s="49">
        <f>AVERAGE('01.08 Nakawa-Bugolobi-24h'!H61,'03.08 Nakawa-Bugolobi-24h'!H61)</f>
        <v>0</v>
      </c>
      <c r="I61" s="49">
        <f>AVERAGE('01.08 Nakawa-Bugolobi-24h'!I61,'03.08 Nakawa-Bugolobi-24h'!I61)</f>
        <v>4.5</v>
      </c>
      <c r="J61" s="49">
        <f>AVERAGE('01.08 Nakawa-Bugolobi-24h'!J61,'03.08 Nakawa-Bugolobi-24h'!J61)</f>
        <v>0.5</v>
      </c>
      <c r="K61" s="49">
        <f>AVERAGE('01.08 Nakawa-Bugolobi-24h'!K61,'03.08 Nakawa-Bugolobi-24h'!K61)</f>
        <v>0</v>
      </c>
      <c r="L61" s="49">
        <f>AVERAGE('01.08 Nakawa-Bugolobi-24h'!L61,'03.08 Nakawa-Bugolobi-24h'!L61)</f>
        <v>0</v>
      </c>
      <c r="M61" s="49">
        <f>AVERAGE('01.08 Nakawa-Bugolobi-24h'!M61,'03.08 Nakawa-Bugolobi-24h'!M61)</f>
        <v>74</v>
      </c>
      <c r="N61" s="49">
        <f>AVERAGE('01.08 Nakawa-Bugolobi-24h'!N61,'03.08 Nakawa-Bugolobi-24h'!N61)</f>
        <v>0</v>
      </c>
      <c r="O61" s="15">
        <f t="shared" si="0"/>
        <v>100.5</v>
      </c>
      <c r="P61" s="15">
        <f t="shared" si="1"/>
        <v>174.5</v>
      </c>
      <c r="R61" s="8"/>
      <c r="T61"/>
    </row>
    <row r="62" spans="2:20" ht="23.1" customHeight="1" x14ac:dyDescent="0.25">
      <c r="B62" s="23" t="s">
        <v>107</v>
      </c>
      <c r="C62" s="49">
        <f>AVERAGE('01.08 Nakawa-Bugolobi-24h'!C62,'03.08 Nakawa-Bugolobi-24h'!C62)</f>
        <v>46</v>
      </c>
      <c r="D62" s="49">
        <f>AVERAGE('01.08 Nakawa-Bugolobi-24h'!D62,'03.08 Nakawa-Bugolobi-24h'!D62)</f>
        <v>10.5</v>
      </c>
      <c r="E62" s="49">
        <f>AVERAGE('01.08 Nakawa-Bugolobi-24h'!E62,'03.08 Nakawa-Bugolobi-24h'!E62)</f>
        <v>10.5</v>
      </c>
      <c r="F62" s="49">
        <f>AVERAGE('01.08 Nakawa-Bugolobi-24h'!F62,'03.08 Nakawa-Bugolobi-24h'!F62)</f>
        <v>13.5</v>
      </c>
      <c r="G62" s="49">
        <f>AVERAGE('01.08 Nakawa-Bugolobi-24h'!G62,'03.08 Nakawa-Bugolobi-24h'!G62)</f>
        <v>0.5</v>
      </c>
      <c r="H62" s="49">
        <f>AVERAGE('01.08 Nakawa-Bugolobi-24h'!H62,'03.08 Nakawa-Bugolobi-24h'!H62)</f>
        <v>0</v>
      </c>
      <c r="I62" s="49">
        <f>AVERAGE('01.08 Nakawa-Bugolobi-24h'!I62,'03.08 Nakawa-Bugolobi-24h'!I62)</f>
        <v>2.5</v>
      </c>
      <c r="J62" s="49">
        <f>AVERAGE('01.08 Nakawa-Bugolobi-24h'!J62,'03.08 Nakawa-Bugolobi-24h'!J62)</f>
        <v>1</v>
      </c>
      <c r="K62" s="49">
        <f>AVERAGE('01.08 Nakawa-Bugolobi-24h'!K62,'03.08 Nakawa-Bugolobi-24h'!K62)</f>
        <v>0</v>
      </c>
      <c r="L62" s="49">
        <f>AVERAGE('01.08 Nakawa-Bugolobi-24h'!L62,'03.08 Nakawa-Bugolobi-24h'!L62)</f>
        <v>0</v>
      </c>
      <c r="M62" s="49">
        <f>AVERAGE('01.08 Nakawa-Bugolobi-24h'!M62,'03.08 Nakawa-Bugolobi-24h'!M62)</f>
        <v>70</v>
      </c>
      <c r="N62" s="49">
        <f>AVERAGE('01.08 Nakawa-Bugolobi-24h'!N62,'03.08 Nakawa-Bugolobi-24h'!N62)</f>
        <v>0</v>
      </c>
      <c r="O62" s="15">
        <f t="shared" si="0"/>
        <v>84.5</v>
      </c>
      <c r="P62" s="15">
        <f t="shared" si="1"/>
        <v>154.5</v>
      </c>
      <c r="R62" s="8"/>
      <c r="T62"/>
    </row>
    <row r="63" spans="2:20" ht="23.1" customHeight="1" x14ac:dyDescent="0.25">
      <c r="B63" s="23" t="s">
        <v>108</v>
      </c>
      <c r="C63" s="49">
        <f>AVERAGE('01.08 Nakawa-Bugolobi-24h'!C63,'03.08 Nakawa-Bugolobi-24h'!C63)</f>
        <v>46.5</v>
      </c>
      <c r="D63" s="49">
        <f>AVERAGE('01.08 Nakawa-Bugolobi-24h'!D63,'03.08 Nakawa-Bugolobi-24h'!D63)</f>
        <v>12</v>
      </c>
      <c r="E63" s="49">
        <f>AVERAGE('01.08 Nakawa-Bugolobi-24h'!E63,'03.08 Nakawa-Bugolobi-24h'!E63)</f>
        <v>8</v>
      </c>
      <c r="F63" s="49">
        <f>AVERAGE('01.08 Nakawa-Bugolobi-24h'!F63,'03.08 Nakawa-Bugolobi-24h'!F63)</f>
        <v>12.5</v>
      </c>
      <c r="G63" s="49">
        <f>AVERAGE('01.08 Nakawa-Bugolobi-24h'!G63,'03.08 Nakawa-Bugolobi-24h'!G63)</f>
        <v>0</v>
      </c>
      <c r="H63" s="49">
        <f>AVERAGE('01.08 Nakawa-Bugolobi-24h'!H63,'03.08 Nakawa-Bugolobi-24h'!H63)</f>
        <v>0</v>
      </c>
      <c r="I63" s="49">
        <f>AVERAGE('01.08 Nakawa-Bugolobi-24h'!I63,'03.08 Nakawa-Bugolobi-24h'!I63)</f>
        <v>0.5</v>
      </c>
      <c r="J63" s="49">
        <f>AVERAGE('01.08 Nakawa-Bugolobi-24h'!J63,'03.08 Nakawa-Bugolobi-24h'!J63)</f>
        <v>0</v>
      </c>
      <c r="K63" s="49">
        <f>AVERAGE('01.08 Nakawa-Bugolobi-24h'!K63,'03.08 Nakawa-Bugolobi-24h'!K63)</f>
        <v>1</v>
      </c>
      <c r="L63" s="49">
        <f>AVERAGE('01.08 Nakawa-Bugolobi-24h'!L63,'03.08 Nakawa-Bugolobi-24h'!L63)</f>
        <v>0.5</v>
      </c>
      <c r="M63" s="49">
        <f>AVERAGE('01.08 Nakawa-Bugolobi-24h'!M63,'03.08 Nakawa-Bugolobi-24h'!M63)</f>
        <v>70</v>
      </c>
      <c r="N63" s="49">
        <f>AVERAGE('01.08 Nakawa-Bugolobi-24h'!N63,'03.08 Nakawa-Bugolobi-24h'!N63)</f>
        <v>0</v>
      </c>
      <c r="O63" s="15">
        <f t="shared" si="0"/>
        <v>81</v>
      </c>
      <c r="P63" s="15">
        <f t="shared" si="1"/>
        <v>151</v>
      </c>
      <c r="R63" s="8"/>
      <c r="T63"/>
    </row>
    <row r="64" spans="2:20" ht="23.1" customHeight="1" x14ac:dyDescent="0.25">
      <c r="B64" s="23" t="s">
        <v>109</v>
      </c>
      <c r="C64" s="49">
        <f>AVERAGE('01.08 Nakawa-Bugolobi-24h'!C64,'03.08 Nakawa-Bugolobi-24h'!C64)</f>
        <v>44</v>
      </c>
      <c r="D64" s="49">
        <f>AVERAGE('01.08 Nakawa-Bugolobi-24h'!D64,'03.08 Nakawa-Bugolobi-24h'!D64)</f>
        <v>6.5</v>
      </c>
      <c r="E64" s="49">
        <f>AVERAGE('01.08 Nakawa-Bugolobi-24h'!E64,'03.08 Nakawa-Bugolobi-24h'!E64)</f>
        <v>12</v>
      </c>
      <c r="F64" s="49">
        <f>AVERAGE('01.08 Nakawa-Bugolobi-24h'!F64,'03.08 Nakawa-Bugolobi-24h'!F64)</f>
        <v>12.5</v>
      </c>
      <c r="G64" s="49">
        <f>AVERAGE('01.08 Nakawa-Bugolobi-24h'!G64,'03.08 Nakawa-Bugolobi-24h'!G64)</f>
        <v>0</v>
      </c>
      <c r="H64" s="49">
        <f>AVERAGE('01.08 Nakawa-Bugolobi-24h'!H64,'03.08 Nakawa-Bugolobi-24h'!H64)</f>
        <v>0</v>
      </c>
      <c r="I64" s="49">
        <f>AVERAGE('01.08 Nakawa-Bugolobi-24h'!I64,'03.08 Nakawa-Bugolobi-24h'!I64)</f>
        <v>1.5</v>
      </c>
      <c r="J64" s="49">
        <f>AVERAGE('01.08 Nakawa-Bugolobi-24h'!J64,'03.08 Nakawa-Bugolobi-24h'!J64)</f>
        <v>0</v>
      </c>
      <c r="K64" s="49">
        <f>AVERAGE('01.08 Nakawa-Bugolobi-24h'!K64,'03.08 Nakawa-Bugolobi-24h'!K64)</f>
        <v>0</v>
      </c>
      <c r="L64" s="49">
        <f>AVERAGE('01.08 Nakawa-Bugolobi-24h'!L64,'03.08 Nakawa-Bugolobi-24h'!L64)</f>
        <v>0</v>
      </c>
      <c r="M64" s="49">
        <f>AVERAGE('01.08 Nakawa-Bugolobi-24h'!M64,'03.08 Nakawa-Bugolobi-24h'!M64)</f>
        <v>51</v>
      </c>
      <c r="N64" s="49">
        <f>AVERAGE('01.08 Nakawa-Bugolobi-24h'!N64,'03.08 Nakawa-Bugolobi-24h'!N64)</f>
        <v>0</v>
      </c>
      <c r="O64" s="15">
        <f t="shared" si="0"/>
        <v>76.5</v>
      </c>
      <c r="P64" s="15">
        <f t="shared" si="1"/>
        <v>127.5</v>
      </c>
      <c r="R64" s="8"/>
      <c r="T64"/>
    </row>
    <row r="65" spans="2:20" ht="23.1" customHeight="1" x14ac:dyDescent="0.25">
      <c r="B65" s="23" t="s">
        <v>158</v>
      </c>
      <c r="C65" s="49">
        <f>AVERAGE('01.08 Nakawa-Bugolobi-24h'!C65,'03.08 Nakawa-Bugolobi-24h'!C65)</f>
        <v>56</v>
      </c>
      <c r="D65" s="49">
        <f>AVERAGE('01.08 Nakawa-Bugolobi-24h'!D65,'03.08 Nakawa-Bugolobi-24h'!D65)</f>
        <v>11</v>
      </c>
      <c r="E65" s="49">
        <f>AVERAGE('01.08 Nakawa-Bugolobi-24h'!E65,'03.08 Nakawa-Bugolobi-24h'!E65)</f>
        <v>9.5</v>
      </c>
      <c r="F65" s="49">
        <f>AVERAGE('01.08 Nakawa-Bugolobi-24h'!F65,'03.08 Nakawa-Bugolobi-24h'!F65)</f>
        <v>9</v>
      </c>
      <c r="G65" s="49">
        <f>AVERAGE('01.08 Nakawa-Bugolobi-24h'!G65,'03.08 Nakawa-Bugolobi-24h'!G65)</f>
        <v>0</v>
      </c>
      <c r="H65" s="49">
        <f>AVERAGE('01.08 Nakawa-Bugolobi-24h'!H65,'03.08 Nakawa-Bugolobi-24h'!H65)</f>
        <v>0</v>
      </c>
      <c r="I65" s="49">
        <f>AVERAGE('01.08 Nakawa-Bugolobi-24h'!I65,'03.08 Nakawa-Bugolobi-24h'!I65)</f>
        <v>1.5</v>
      </c>
      <c r="J65" s="49">
        <f>AVERAGE('01.08 Nakawa-Bugolobi-24h'!J65,'03.08 Nakawa-Bugolobi-24h'!J65)</f>
        <v>1.5</v>
      </c>
      <c r="K65" s="49">
        <f>AVERAGE('01.08 Nakawa-Bugolobi-24h'!K65,'03.08 Nakawa-Bugolobi-24h'!K65)</f>
        <v>0</v>
      </c>
      <c r="L65" s="49">
        <f>AVERAGE('01.08 Nakawa-Bugolobi-24h'!L65,'03.08 Nakawa-Bugolobi-24h'!L65)</f>
        <v>0</v>
      </c>
      <c r="M65" s="49">
        <f>AVERAGE('01.08 Nakawa-Bugolobi-24h'!M65,'03.08 Nakawa-Bugolobi-24h'!M65)</f>
        <v>61</v>
      </c>
      <c r="N65" s="49">
        <f>AVERAGE('01.08 Nakawa-Bugolobi-24h'!N65,'03.08 Nakawa-Bugolobi-24h'!N65)</f>
        <v>0</v>
      </c>
      <c r="O65" s="15">
        <f t="shared" si="0"/>
        <v>88.5</v>
      </c>
      <c r="P65" s="15">
        <f t="shared" si="1"/>
        <v>149.5</v>
      </c>
      <c r="R65" s="8"/>
      <c r="T65"/>
    </row>
    <row r="66" spans="2:20" ht="23.1" customHeight="1" x14ac:dyDescent="0.25">
      <c r="B66" s="23" t="s">
        <v>103</v>
      </c>
      <c r="C66" s="49">
        <f>AVERAGE('01.08 Nakawa-Bugolobi-24h'!C66,'03.08 Nakawa-Bugolobi-24h'!C66)</f>
        <v>41</v>
      </c>
      <c r="D66" s="49">
        <f>AVERAGE('01.08 Nakawa-Bugolobi-24h'!D66,'03.08 Nakawa-Bugolobi-24h'!D66)</f>
        <v>8</v>
      </c>
      <c r="E66" s="49">
        <f>AVERAGE('01.08 Nakawa-Bugolobi-24h'!E66,'03.08 Nakawa-Bugolobi-24h'!E66)</f>
        <v>10</v>
      </c>
      <c r="F66" s="49">
        <f>AVERAGE('01.08 Nakawa-Bugolobi-24h'!F66,'03.08 Nakawa-Bugolobi-24h'!F66)</f>
        <v>12</v>
      </c>
      <c r="G66" s="49">
        <f>AVERAGE('01.08 Nakawa-Bugolobi-24h'!G66,'03.08 Nakawa-Bugolobi-24h'!G66)</f>
        <v>0</v>
      </c>
      <c r="H66" s="49">
        <f>AVERAGE('01.08 Nakawa-Bugolobi-24h'!H66,'03.08 Nakawa-Bugolobi-24h'!H66)</f>
        <v>0</v>
      </c>
      <c r="I66" s="49">
        <f>AVERAGE('01.08 Nakawa-Bugolobi-24h'!I66,'03.08 Nakawa-Bugolobi-24h'!I66)</f>
        <v>2</v>
      </c>
      <c r="J66" s="49">
        <f>AVERAGE('01.08 Nakawa-Bugolobi-24h'!J66,'03.08 Nakawa-Bugolobi-24h'!J66)</f>
        <v>0.5</v>
      </c>
      <c r="K66" s="49">
        <f>AVERAGE('01.08 Nakawa-Bugolobi-24h'!K66,'03.08 Nakawa-Bugolobi-24h'!K66)</f>
        <v>0</v>
      </c>
      <c r="L66" s="49">
        <f>AVERAGE('01.08 Nakawa-Bugolobi-24h'!L66,'03.08 Nakawa-Bugolobi-24h'!L66)</f>
        <v>0</v>
      </c>
      <c r="M66" s="49">
        <f>AVERAGE('01.08 Nakawa-Bugolobi-24h'!M66,'03.08 Nakawa-Bugolobi-24h'!M66)</f>
        <v>54</v>
      </c>
      <c r="N66" s="49">
        <f>AVERAGE('01.08 Nakawa-Bugolobi-24h'!N66,'03.08 Nakawa-Bugolobi-24h'!N66)</f>
        <v>0</v>
      </c>
      <c r="O66" s="15">
        <f t="shared" si="0"/>
        <v>73.5</v>
      </c>
      <c r="P66" s="15">
        <f t="shared" si="1"/>
        <v>127.5</v>
      </c>
      <c r="R66" s="8"/>
      <c r="T66"/>
    </row>
    <row r="67" spans="2:20" ht="23.1" customHeight="1" x14ac:dyDescent="0.25">
      <c r="B67" s="23" t="s">
        <v>104</v>
      </c>
      <c r="C67" s="49">
        <f>AVERAGE('01.08 Nakawa-Bugolobi-24h'!C67,'03.08 Nakawa-Bugolobi-24h'!C67)</f>
        <v>47.5</v>
      </c>
      <c r="D67" s="49">
        <f>AVERAGE('01.08 Nakawa-Bugolobi-24h'!D67,'03.08 Nakawa-Bugolobi-24h'!D67)</f>
        <v>8.5</v>
      </c>
      <c r="E67" s="49">
        <f>AVERAGE('01.08 Nakawa-Bugolobi-24h'!E67,'03.08 Nakawa-Bugolobi-24h'!E67)</f>
        <v>10</v>
      </c>
      <c r="F67" s="49">
        <f>AVERAGE('01.08 Nakawa-Bugolobi-24h'!F67,'03.08 Nakawa-Bugolobi-24h'!F67)</f>
        <v>11</v>
      </c>
      <c r="G67" s="49">
        <f>AVERAGE('01.08 Nakawa-Bugolobi-24h'!G67,'03.08 Nakawa-Bugolobi-24h'!G67)</f>
        <v>0</v>
      </c>
      <c r="H67" s="49">
        <f>AVERAGE('01.08 Nakawa-Bugolobi-24h'!H67,'03.08 Nakawa-Bugolobi-24h'!H67)</f>
        <v>0</v>
      </c>
      <c r="I67" s="49">
        <f>AVERAGE('01.08 Nakawa-Bugolobi-24h'!I67,'03.08 Nakawa-Bugolobi-24h'!I67)</f>
        <v>0.5</v>
      </c>
      <c r="J67" s="49">
        <f>AVERAGE('01.08 Nakawa-Bugolobi-24h'!J67,'03.08 Nakawa-Bugolobi-24h'!J67)</f>
        <v>0</v>
      </c>
      <c r="K67" s="49">
        <f>AVERAGE('01.08 Nakawa-Bugolobi-24h'!K67,'03.08 Nakawa-Bugolobi-24h'!K67)</f>
        <v>0</v>
      </c>
      <c r="L67" s="49">
        <f>AVERAGE('01.08 Nakawa-Bugolobi-24h'!L67,'03.08 Nakawa-Bugolobi-24h'!L67)</f>
        <v>0</v>
      </c>
      <c r="M67" s="49">
        <f>AVERAGE('01.08 Nakawa-Bugolobi-24h'!M67,'03.08 Nakawa-Bugolobi-24h'!M67)</f>
        <v>57.5</v>
      </c>
      <c r="N67" s="49">
        <f>AVERAGE('01.08 Nakawa-Bugolobi-24h'!N67,'03.08 Nakawa-Bugolobi-24h'!N67)</f>
        <v>0</v>
      </c>
      <c r="O67" s="15">
        <f t="shared" si="0"/>
        <v>77.5</v>
      </c>
      <c r="P67" s="15">
        <f t="shared" si="1"/>
        <v>135</v>
      </c>
      <c r="R67" s="8"/>
      <c r="T67"/>
    </row>
    <row r="68" spans="2:20" ht="23.1" customHeight="1" x14ac:dyDescent="0.25">
      <c r="B68" s="23" t="s">
        <v>105</v>
      </c>
      <c r="C68" s="49">
        <f>AVERAGE('01.08 Nakawa-Bugolobi-24h'!C68,'03.08 Nakawa-Bugolobi-24h'!C68)</f>
        <v>58.5</v>
      </c>
      <c r="D68" s="49">
        <f>AVERAGE('01.08 Nakawa-Bugolobi-24h'!D68,'03.08 Nakawa-Bugolobi-24h'!D68)</f>
        <v>16.5</v>
      </c>
      <c r="E68" s="49">
        <f>AVERAGE('01.08 Nakawa-Bugolobi-24h'!E68,'03.08 Nakawa-Bugolobi-24h'!E68)</f>
        <v>5</v>
      </c>
      <c r="F68" s="49">
        <f>AVERAGE('01.08 Nakawa-Bugolobi-24h'!F68,'03.08 Nakawa-Bugolobi-24h'!F68)</f>
        <v>8.5</v>
      </c>
      <c r="G68" s="49">
        <f>AVERAGE('01.08 Nakawa-Bugolobi-24h'!G68,'03.08 Nakawa-Bugolobi-24h'!G68)</f>
        <v>0</v>
      </c>
      <c r="H68" s="49">
        <f>AVERAGE('01.08 Nakawa-Bugolobi-24h'!H68,'03.08 Nakawa-Bugolobi-24h'!H68)</f>
        <v>0</v>
      </c>
      <c r="I68" s="49">
        <f>AVERAGE('01.08 Nakawa-Bugolobi-24h'!I68,'03.08 Nakawa-Bugolobi-24h'!I68)</f>
        <v>0.5</v>
      </c>
      <c r="J68" s="49">
        <f>AVERAGE('01.08 Nakawa-Bugolobi-24h'!J68,'03.08 Nakawa-Bugolobi-24h'!J68)</f>
        <v>0.5</v>
      </c>
      <c r="K68" s="49">
        <f>AVERAGE('01.08 Nakawa-Bugolobi-24h'!K68,'03.08 Nakawa-Bugolobi-24h'!K68)</f>
        <v>0.5</v>
      </c>
      <c r="L68" s="49">
        <f>AVERAGE('01.08 Nakawa-Bugolobi-24h'!L68,'03.08 Nakawa-Bugolobi-24h'!L68)</f>
        <v>0</v>
      </c>
      <c r="M68" s="49">
        <f>AVERAGE('01.08 Nakawa-Bugolobi-24h'!M68,'03.08 Nakawa-Bugolobi-24h'!M68)</f>
        <v>58</v>
      </c>
      <c r="N68" s="49">
        <f>AVERAGE('01.08 Nakawa-Bugolobi-24h'!N68,'03.08 Nakawa-Bugolobi-24h'!N68)</f>
        <v>0</v>
      </c>
      <c r="O68" s="15">
        <f t="shared" si="0"/>
        <v>90</v>
      </c>
      <c r="P68" s="15">
        <f t="shared" si="1"/>
        <v>148</v>
      </c>
      <c r="R68" s="8"/>
      <c r="T68"/>
    </row>
    <row r="69" spans="2:20" ht="23.1" customHeight="1" x14ac:dyDescent="0.25">
      <c r="B69" s="23" t="s">
        <v>106</v>
      </c>
      <c r="C69" s="49">
        <f>AVERAGE('01.08 Nakawa-Bugolobi-24h'!C69,'03.08 Nakawa-Bugolobi-24h'!C69)</f>
        <v>50</v>
      </c>
      <c r="D69" s="49">
        <f>AVERAGE('01.08 Nakawa-Bugolobi-24h'!D69,'03.08 Nakawa-Bugolobi-24h'!D69)</f>
        <v>9</v>
      </c>
      <c r="E69" s="49">
        <f>AVERAGE('01.08 Nakawa-Bugolobi-24h'!E69,'03.08 Nakawa-Bugolobi-24h'!E69)</f>
        <v>2</v>
      </c>
      <c r="F69" s="49">
        <f>AVERAGE('01.08 Nakawa-Bugolobi-24h'!F69,'03.08 Nakawa-Bugolobi-24h'!F69)</f>
        <v>14</v>
      </c>
      <c r="G69" s="49">
        <f>AVERAGE('01.08 Nakawa-Bugolobi-24h'!G69,'03.08 Nakawa-Bugolobi-24h'!G69)</f>
        <v>0</v>
      </c>
      <c r="H69" s="49">
        <f>AVERAGE('01.08 Nakawa-Bugolobi-24h'!H69,'03.08 Nakawa-Bugolobi-24h'!H69)</f>
        <v>0</v>
      </c>
      <c r="I69" s="49">
        <f>AVERAGE('01.08 Nakawa-Bugolobi-24h'!I69,'03.08 Nakawa-Bugolobi-24h'!I69)</f>
        <v>1</v>
      </c>
      <c r="J69" s="49">
        <f>AVERAGE('01.08 Nakawa-Bugolobi-24h'!J69,'03.08 Nakawa-Bugolobi-24h'!J69)</f>
        <v>0</v>
      </c>
      <c r="K69" s="49">
        <f>AVERAGE('01.08 Nakawa-Bugolobi-24h'!K69,'03.08 Nakawa-Bugolobi-24h'!K69)</f>
        <v>0.5</v>
      </c>
      <c r="L69" s="49">
        <f>AVERAGE('01.08 Nakawa-Bugolobi-24h'!L69,'03.08 Nakawa-Bugolobi-24h'!L69)</f>
        <v>0</v>
      </c>
      <c r="M69" s="49">
        <f>AVERAGE('01.08 Nakawa-Bugolobi-24h'!M69,'03.08 Nakawa-Bugolobi-24h'!M69)</f>
        <v>38.5</v>
      </c>
      <c r="N69" s="49">
        <f>AVERAGE('01.08 Nakawa-Bugolobi-24h'!N69,'03.08 Nakawa-Bugolobi-24h'!N69)</f>
        <v>0</v>
      </c>
      <c r="O69" s="15">
        <f t="shared" si="0"/>
        <v>76.5</v>
      </c>
      <c r="P69" s="15">
        <f t="shared" si="1"/>
        <v>115</v>
      </c>
      <c r="R69" s="8"/>
      <c r="T69"/>
    </row>
    <row r="70" spans="2:20" ht="23.1" customHeight="1" x14ac:dyDescent="0.25">
      <c r="B70" s="23" t="s">
        <v>110</v>
      </c>
      <c r="C70" s="49">
        <f>AVERAGE('01.08 Nakawa-Bugolobi-24h'!C70,'03.08 Nakawa-Bugolobi-24h'!C70)</f>
        <v>54</v>
      </c>
      <c r="D70" s="49">
        <f>AVERAGE('01.08 Nakawa-Bugolobi-24h'!D70,'03.08 Nakawa-Bugolobi-24h'!D70)</f>
        <v>9.5</v>
      </c>
      <c r="E70" s="49">
        <f>AVERAGE('01.08 Nakawa-Bugolobi-24h'!E70,'03.08 Nakawa-Bugolobi-24h'!E70)</f>
        <v>9.5</v>
      </c>
      <c r="F70" s="49">
        <f>AVERAGE('01.08 Nakawa-Bugolobi-24h'!F70,'03.08 Nakawa-Bugolobi-24h'!F70)</f>
        <v>10</v>
      </c>
      <c r="G70" s="49">
        <f>AVERAGE('01.08 Nakawa-Bugolobi-24h'!G70,'03.08 Nakawa-Bugolobi-24h'!G70)</f>
        <v>0</v>
      </c>
      <c r="H70" s="49">
        <f>AVERAGE('01.08 Nakawa-Bugolobi-24h'!H70,'03.08 Nakawa-Bugolobi-24h'!H70)</f>
        <v>0</v>
      </c>
      <c r="I70" s="49">
        <f>AVERAGE('01.08 Nakawa-Bugolobi-24h'!I70,'03.08 Nakawa-Bugolobi-24h'!I70)</f>
        <v>1</v>
      </c>
      <c r="J70" s="49">
        <f>AVERAGE('01.08 Nakawa-Bugolobi-24h'!J70,'03.08 Nakawa-Bugolobi-24h'!J70)</f>
        <v>0.5</v>
      </c>
      <c r="K70" s="49">
        <f>AVERAGE('01.08 Nakawa-Bugolobi-24h'!K70,'03.08 Nakawa-Bugolobi-24h'!K70)</f>
        <v>0</v>
      </c>
      <c r="L70" s="49">
        <f>AVERAGE('01.08 Nakawa-Bugolobi-24h'!L70,'03.08 Nakawa-Bugolobi-24h'!L70)</f>
        <v>0</v>
      </c>
      <c r="M70" s="49">
        <f>AVERAGE('01.08 Nakawa-Bugolobi-24h'!M70,'03.08 Nakawa-Bugolobi-24h'!M70)</f>
        <v>54</v>
      </c>
      <c r="N70" s="49">
        <f>AVERAGE('01.08 Nakawa-Bugolobi-24h'!N70,'03.08 Nakawa-Bugolobi-24h'!N70)</f>
        <v>0</v>
      </c>
      <c r="O70" s="15">
        <f t="shared" si="0"/>
        <v>84.5</v>
      </c>
      <c r="P70" s="15">
        <f t="shared" si="1"/>
        <v>138.5</v>
      </c>
      <c r="R70" s="8"/>
      <c r="T70"/>
    </row>
    <row r="71" spans="2:20" ht="23.1" customHeight="1" x14ac:dyDescent="0.25">
      <c r="B71" s="23" t="s">
        <v>111</v>
      </c>
      <c r="C71" s="49">
        <f>AVERAGE('01.08 Nakawa-Bugolobi-24h'!C71,'03.08 Nakawa-Bugolobi-24h'!C71)</f>
        <v>38.5</v>
      </c>
      <c r="D71" s="49">
        <f>AVERAGE('01.08 Nakawa-Bugolobi-24h'!D71,'03.08 Nakawa-Bugolobi-24h'!D71)</f>
        <v>4.5</v>
      </c>
      <c r="E71" s="49">
        <f>AVERAGE('01.08 Nakawa-Bugolobi-24h'!E71,'03.08 Nakawa-Bugolobi-24h'!E71)</f>
        <v>9</v>
      </c>
      <c r="F71" s="49">
        <f>AVERAGE('01.08 Nakawa-Bugolobi-24h'!F71,'03.08 Nakawa-Bugolobi-24h'!F71)</f>
        <v>9</v>
      </c>
      <c r="G71" s="49">
        <f>AVERAGE('01.08 Nakawa-Bugolobi-24h'!G71,'03.08 Nakawa-Bugolobi-24h'!G71)</f>
        <v>0.5</v>
      </c>
      <c r="H71" s="49">
        <f>AVERAGE('01.08 Nakawa-Bugolobi-24h'!H71,'03.08 Nakawa-Bugolobi-24h'!H71)</f>
        <v>0</v>
      </c>
      <c r="I71" s="49">
        <f>AVERAGE('01.08 Nakawa-Bugolobi-24h'!I71,'03.08 Nakawa-Bugolobi-24h'!I71)</f>
        <v>0.5</v>
      </c>
      <c r="J71" s="49">
        <f>AVERAGE('01.08 Nakawa-Bugolobi-24h'!J71,'03.08 Nakawa-Bugolobi-24h'!J71)</f>
        <v>0</v>
      </c>
      <c r="K71" s="49">
        <f>AVERAGE('01.08 Nakawa-Bugolobi-24h'!K71,'03.08 Nakawa-Bugolobi-24h'!K71)</f>
        <v>0</v>
      </c>
      <c r="L71" s="49">
        <f>AVERAGE('01.08 Nakawa-Bugolobi-24h'!L71,'03.08 Nakawa-Bugolobi-24h'!L71)</f>
        <v>0</v>
      </c>
      <c r="M71" s="49">
        <f>AVERAGE('01.08 Nakawa-Bugolobi-24h'!M71,'03.08 Nakawa-Bugolobi-24h'!M71)</f>
        <v>44</v>
      </c>
      <c r="N71" s="49">
        <f>AVERAGE('01.08 Nakawa-Bugolobi-24h'!N71,'03.08 Nakawa-Bugolobi-24h'!N71)</f>
        <v>0</v>
      </c>
      <c r="O71" s="15">
        <f t="shared" si="0"/>
        <v>62</v>
      </c>
      <c r="P71" s="15">
        <f t="shared" si="1"/>
        <v>106</v>
      </c>
      <c r="R71" s="8"/>
      <c r="T71"/>
    </row>
    <row r="72" spans="2:20" ht="23.1" customHeight="1" x14ac:dyDescent="0.25">
      <c r="B72" s="23" t="s">
        <v>112</v>
      </c>
      <c r="C72" s="49">
        <f>AVERAGE('01.08 Nakawa-Bugolobi-24h'!C72,'03.08 Nakawa-Bugolobi-24h'!C72)</f>
        <v>38</v>
      </c>
      <c r="D72" s="49">
        <f>AVERAGE('01.08 Nakawa-Bugolobi-24h'!D72,'03.08 Nakawa-Bugolobi-24h'!D72)</f>
        <v>10.5</v>
      </c>
      <c r="E72" s="49">
        <f>AVERAGE('01.08 Nakawa-Bugolobi-24h'!E72,'03.08 Nakawa-Bugolobi-24h'!E72)</f>
        <v>4</v>
      </c>
      <c r="F72" s="49">
        <f>AVERAGE('01.08 Nakawa-Bugolobi-24h'!F72,'03.08 Nakawa-Bugolobi-24h'!F72)</f>
        <v>8</v>
      </c>
      <c r="G72" s="49">
        <f>AVERAGE('01.08 Nakawa-Bugolobi-24h'!G72,'03.08 Nakawa-Bugolobi-24h'!G72)</f>
        <v>0</v>
      </c>
      <c r="H72" s="49">
        <f>AVERAGE('01.08 Nakawa-Bugolobi-24h'!H72,'03.08 Nakawa-Bugolobi-24h'!H72)</f>
        <v>0</v>
      </c>
      <c r="I72" s="49">
        <f>AVERAGE('01.08 Nakawa-Bugolobi-24h'!I72,'03.08 Nakawa-Bugolobi-24h'!I72)</f>
        <v>0</v>
      </c>
      <c r="J72" s="49">
        <f>AVERAGE('01.08 Nakawa-Bugolobi-24h'!J72,'03.08 Nakawa-Bugolobi-24h'!J72)</f>
        <v>1.5</v>
      </c>
      <c r="K72" s="49">
        <f>AVERAGE('01.08 Nakawa-Bugolobi-24h'!K72,'03.08 Nakawa-Bugolobi-24h'!K72)</f>
        <v>0</v>
      </c>
      <c r="L72" s="49">
        <f>AVERAGE('01.08 Nakawa-Bugolobi-24h'!L72,'03.08 Nakawa-Bugolobi-24h'!L72)</f>
        <v>0</v>
      </c>
      <c r="M72" s="49">
        <f>AVERAGE('01.08 Nakawa-Bugolobi-24h'!M72,'03.08 Nakawa-Bugolobi-24h'!M72)</f>
        <v>38.5</v>
      </c>
      <c r="N72" s="49">
        <f>AVERAGE('01.08 Nakawa-Bugolobi-24h'!N72,'03.08 Nakawa-Bugolobi-24h'!N72)</f>
        <v>0</v>
      </c>
      <c r="O72" s="15">
        <f t="shared" si="0"/>
        <v>62</v>
      </c>
      <c r="P72" s="15">
        <f t="shared" si="1"/>
        <v>100.5</v>
      </c>
      <c r="R72" s="8"/>
      <c r="T72"/>
    </row>
    <row r="73" spans="2:20" ht="23.1" customHeight="1" x14ac:dyDescent="0.25">
      <c r="B73" s="23" t="s">
        <v>113</v>
      </c>
      <c r="C73" s="49">
        <f>AVERAGE('01.08 Nakawa-Bugolobi-24h'!C73,'03.08 Nakawa-Bugolobi-24h'!C73)</f>
        <v>35.5</v>
      </c>
      <c r="D73" s="49">
        <f>AVERAGE('01.08 Nakawa-Bugolobi-24h'!D73,'03.08 Nakawa-Bugolobi-24h'!D73)</f>
        <v>5</v>
      </c>
      <c r="E73" s="49">
        <f>AVERAGE('01.08 Nakawa-Bugolobi-24h'!E73,'03.08 Nakawa-Bugolobi-24h'!E73)</f>
        <v>8</v>
      </c>
      <c r="F73" s="49">
        <f>AVERAGE('01.08 Nakawa-Bugolobi-24h'!F73,'03.08 Nakawa-Bugolobi-24h'!F73)</f>
        <v>9</v>
      </c>
      <c r="G73" s="49">
        <f>AVERAGE('01.08 Nakawa-Bugolobi-24h'!G73,'03.08 Nakawa-Bugolobi-24h'!G73)</f>
        <v>0</v>
      </c>
      <c r="H73" s="49">
        <f>AVERAGE('01.08 Nakawa-Bugolobi-24h'!H73,'03.08 Nakawa-Bugolobi-24h'!H73)</f>
        <v>0</v>
      </c>
      <c r="I73" s="49">
        <f>AVERAGE('01.08 Nakawa-Bugolobi-24h'!I73,'03.08 Nakawa-Bugolobi-24h'!I73)</f>
        <v>0.5</v>
      </c>
      <c r="J73" s="49">
        <f>AVERAGE('01.08 Nakawa-Bugolobi-24h'!J73,'03.08 Nakawa-Bugolobi-24h'!J73)</f>
        <v>0</v>
      </c>
      <c r="K73" s="49">
        <f>AVERAGE('01.08 Nakawa-Bugolobi-24h'!K73,'03.08 Nakawa-Bugolobi-24h'!K73)</f>
        <v>0.5</v>
      </c>
      <c r="L73" s="49">
        <f>AVERAGE('01.08 Nakawa-Bugolobi-24h'!L73,'03.08 Nakawa-Bugolobi-24h'!L73)</f>
        <v>0</v>
      </c>
      <c r="M73" s="49">
        <f>AVERAGE('01.08 Nakawa-Bugolobi-24h'!M73,'03.08 Nakawa-Bugolobi-24h'!M73)</f>
        <v>35</v>
      </c>
      <c r="N73" s="49">
        <f>AVERAGE('01.08 Nakawa-Bugolobi-24h'!N73,'03.08 Nakawa-Bugolobi-24h'!N73)</f>
        <v>0</v>
      </c>
      <c r="O73" s="15">
        <f t="shared" si="0"/>
        <v>58.5</v>
      </c>
      <c r="P73" s="15">
        <f t="shared" si="1"/>
        <v>93.5</v>
      </c>
      <c r="R73" s="8"/>
      <c r="T73"/>
    </row>
    <row r="74" spans="2:20" ht="23.1" customHeight="1" x14ac:dyDescent="0.25">
      <c r="B74" s="23" t="s">
        <v>114</v>
      </c>
      <c r="C74" s="49">
        <f>AVERAGE('01.08 Nakawa-Bugolobi-24h'!C74,'03.08 Nakawa-Bugolobi-24h'!C74)</f>
        <v>44</v>
      </c>
      <c r="D74" s="49">
        <f>AVERAGE('01.08 Nakawa-Bugolobi-24h'!D74,'03.08 Nakawa-Bugolobi-24h'!D74)</f>
        <v>12</v>
      </c>
      <c r="E74" s="49">
        <f>AVERAGE('01.08 Nakawa-Bugolobi-24h'!E74,'03.08 Nakawa-Bugolobi-24h'!E74)</f>
        <v>6.5</v>
      </c>
      <c r="F74" s="49">
        <f>AVERAGE('01.08 Nakawa-Bugolobi-24h'!F74,'03.08 Nakawa-Bugolobi-24h'!F74)</f>
        <v>5.5</v>
      </c>
      <c r="G74" s="49">
        <f>AVERAGE('01.08 Nakawa-Bugolobi-24h'!G74,'03.08 Nakawa-Bugolobi-24h'!G74)</f>
        <v>0.5</v>
      </c>
      <c r="H74" s="49">
        <f>AVERAGE('01.08 Nakawa-Bugolobi-24h'!H74,'03.08 Nakawa-Bugolobi-24h'!H74)</f>
        <v>0</v>
      </c>
      <c r="I74" s="49">
        <f>AVERAGE('01.08 Nakawa-Bugolobi-24h'!I74,'03.08 Nakawa-Bugolobi-24h'!I74)</f>
        <v>0.5</v>
      </c>
      <c r="J74" s="49">
        <f>AVERAGE('01.08 Nakawa-Bugolobi-24h'!J74,'03.08 Nakawa-Bugolobi-24h'!J74)</f>
        <v>0</v>
      </c>
      <c r="K74" s="49">
        <f>AVERAGE('01.08 Nakawa-Bugolobi-24h'!K74,'03.08 Nakawa-Bugolobi-24h'!K74)</f>
        <v>0</v>
      </c>
      <c r="L74" s="49">
        <f>AVERAGE('01.08 Nakawa-Bugolobi-24h'!L74,'03.08 Nakawa-Bugolobi-24h'!L74)</f>
        <v>0</v>
      </c>
      <c r="M74" s="49">
        <f>AVERAGE('01.08 Nakawa-Bugolobi-24h'!M74,'03.08 Nakawa-Bugolobi-24h'!M74)</f>
        <v>46.5</v>
      </c>
      <c r="N74" s="49">
        <f>AVERAGE('01.08 Nakawa-Bugolobi-24h'!N74,'03.08 Nakawa-Bugolobi-24h'!N74)</f>
        <v>0</v>
      </c>
      <c r="O74" s="15">
        <f t="shared" ref="O74:O105" si="35">SUM(C74:L74,N74)</f>
        <v>69</v>
      </c>
      <c r="P74" s="15">
        <f t="shared" ref="P74:P105" si="36">SUM(C74:N74)</f>
        <v>115.5</v>
      </c>
      <c r="R74" s="8"/>
      <c r="T74"/>
    </row>
    <row r="75" spans="2:20" ht="23.1" customHeight="1" x14ac:dyDescent="0.25">
      <c r="B75" s="23" t="s">
        <v>115</v>
      </c>
      <c r="C75" s="49">
        <f>AVERAGE('01.08 Nakawa-Bugolobi-24h'!C75,'03.08 Nakawa-Bugolobi-24h'!C75)</f>
        <v>25</v>
      </c>
      <c r="D75" s="49">
        <f>AVERAGE('01.08 Nakawa-Bugolobi-24h'!D75,'03.08 Nakawa-Bugolobi-24h'!D75)</f>
        <v>7</v>
      </c>
      <c r="E75" s="49">
        <f>AVERAGE('01.08 Nakawa-Bugolobi-24h'!E75,'03.08 Nakawa-Bugolobi-24h'!E75)</f>
        <v>3</v>
      </c>
      <c r="F75" s="49">
        <f>AVERAGE('01.08 Nakawa-Bugolobi-24h'!F75,'03.08 Nakawa-Bugolobi-24h'!F75)</f>
        <v>1</v>
      </c>
      <c r="G75" s="49">
        <f>AVERAGE('01.08 Nakawa-Bugolobi-24h'!G75,'03.08 Nakawa-Bugolobi-24h'!G75)</f>
        <v>0</v>
      </c>
      <c r="H75" s="49">
        <f>AVERAGE('01.08 Nakawa-Bugolobi-24h'!H75,'03.08 Nakawa-Bugolobi-24h'!H75)</f>
        <v>0</v>
      </c>
      <c r="I75" s="49">
        <f>AVERAGE('01.08 Nakawa-Bugolobi-24h'!I75,'03.08 Nakawa-Bugolobi-24h'!I75)</f>
        <v>0.5</v>
      </c>
      <c r="J75" s="49">
        <f>AVERAGE('01.08 Nakawa-Bugolobi-24h'!J75,'03.08 Nakawa-Bugolobi-24h'!J75)</f>
        <v>1</v>
      </c>
      <c r="K75" s="49">
        <f>AVERAGE('01.08 Nakawa-Bugolobi-24h'!K75,'03.08 Nakawa-Bugolobi-24h'!K75)</f>
        <v>0</v>
      </c>
      <c r="L75" s="49">
        <f>AVERAGE('01.08 Nakawa-Bugolobi-24h'!L75,'03.08 Nakawa-Bugolobi-24h'!L75)</f>
        <v>0</v>
      </c>
      <c r="M75" s="49">
        <f>AVERAGE('01.08 Nakawa-Bugolobi-24h'!M75,'03.08 Nakawa-Bugolobi-24h'!M75)</f>
        <v>36</v>
      </c>
      <c r="N75" s="49">
        <f>AVERAGE('01.08 Nakawa-Bugolobi-24h'!N75,'03.08 Nakawa-Bugolobi-24h'!N75)</f>
        <v>0</v>
      </c>
      <c r="O75" s="15">
        <f t="shared" si="35"/>
        <v>37.5</v>
      </c>
      <c r="P75" s="15">
        <f t="shared" si="36"/>
        <v>73.5</v>
      </c>
      <c r="R75" s="8"/>
      <c r="T75"/>
    </row>
    <row r="76" spans="2:20" ht="23.1" customHeight="1" x14ac:dyDescent="0.25">
      <c r="B76" s="23" t="s">
        <v>116</v>
      </c>
      <c r="C76" s="49">
        <f>AVERAGE('01.08 Nakawa-Bugolobi-24h'!C76,'03.08 Nakawa-Bugolobi-24h'!C76)</f>
        <v>32</v>
      </c>
      <c r="D76" s="49">
        <f>AVERAGE('01.08 Nakawa-Bugolobi-24h'!D76,'03.08 Nakawa-Bugolobi-24h'!D76)</f>
        <v>4.5</v>
      </c>
      <c r="E76" s="49">
        <f>AVERAGE('01.08 Nakawa-Bugolobi-24h'!E76,'03.08 Nakawa-Bugolobi-24h'!E76)</f>
        <v>4</v>
      </c>
      <c r="F76" s="49">
        <f>AVERAGE('01.08 Nakawa-Bugolobi-24h'!F76,'03.08 Nakawa-Bugolobi-24h'!F76)</f>
        <v>1.5</v>
      </c>
      <c r="G76" s="49">
        <f>AVERAGE('01.08 Nakawa-Bugolobi-24h'!G76,'03.08 Nakawa-Bugolobi-24h'!G76)</f>
        <v>0</v>
      </c>
      <c r="H76" s="49">
        <f>AVERAGE('01.08 Nakawa-Bugolobi-24h'!H76,'03.08 Nakawa-Bugolobi-24h'!H76)</f>
        <v>0</v>
      </c>
      <c r="I76" s="49">
        <f>AVERAGE('01.08 Nakawa-Bugolobi-24h'!I76,'03.08 Nakawa-Bugolobi-24h'!I76)</f>
        <v>1</v>
      </c>
      <c r="J76" s="49">
        <f>AVERAGE('01.08 Nakawa-Bugolobi-24h'!J76,'03.08 Nakawa-Bugolobi-24h'!J76)</f>
        <v>0</v>
      </c>
      <c r="K76" s="49">
        <f>AVERAGE('01.08 Nakawa-Bugolobi-24h'!K76,'03.08 Nakawa-Bugolobi-24h'!K76)</f>
        <v>0</v>
      </c>
      <c r="L76" s="49">
        <f>AVERAGE('01.08 Nakawa-Bugolobi-24h'!L76,'03.08 Nakawa-Bugolobi-24h'!L76)</f>
        <v>0</v>
      </c>
      <c r="M76" s="49">
        <f>AVERAGE('01.08 Nakawa-Bugolobi-24h'!M76,'03.08 Nakawa-Bugolobi-24h'!M76)</f>
        <v>33</v>
      </c>
      <c r="N76" s="49">
        <f>AVERAGE('01.08 Nakawa-Bugolobi-24h'!N76,'03.08 Nakawa-Bugolobi-24h'!N76)</f>
        <v>0</v>
      </c>
      <c r="O76" s="15">
        <f t="shared" si="35"/>
        <v>43</v>
      </c>
      <c r="P76" s="15">
        <f t="shared" si="36"/>
        <v>76</v>
      </c>
      <c r="R76" s="8"/>
      <c r="T76"/>
    </row>
    <row r="77" spans="2:20" ht="23.1" customHeight="1" x14ac:dyDescent="0.25">
      <c r="B77" s="23" t="s">
        <v>117</v>
      </c>
      <c r="C77" s="49">
        <f>AVERAGE('01.08 Nakawa-Bugolobi-24h'!C77,'03.08 Nakawa-Bugolobi-24h'!C77)</f>
        <v>35.5</v>
      </c>
      <c r="D77" s="49">
        <f>AVERAGE('01.08 Nakawa-Bugolobi-24h'!D77,'03.08 Nakawa-Bugolobi-24h'!D77)</f>
        <v>2</v>
      </c>
      <c r="E77" s="49">
        <f>AVERAGE('01.08 Nakawa-Bugolobi-24h'!E77,'03.08 Nakawa-Bugolobi-24h'!E77)</f>
        <v>5</v>
      </c>
      <c r="F77" s="49">
        <f>AVERAGE('01.08 Nakawa-Bugolobi-24h'!F77,'03.08 Nakawa-Bugolobi-24h'!F77)</f>
        <v>0.5</v>
      </c>
      <c r="G77" s="49">
        <f>AVERAGE('01.08 Nakawa-Bugolobi-24h'!G77,'03.08 Nakawa-Bugolobi-24h'!G77)</f>
        <v>0</v>
      </c>
      <c r="H77" s="49">
        <f>AVERAGE('01.08 Nakawa-Bugolobi-24h'!H77,'03.08 Nakawa-Bugolobi-24h'!H77)</f>
        <v>0</v>
      </c>
      <c r="I77" s="49">
        <f>AVERAGE('01.08 Nakawa-Bugolobi-24h'!I77,'03.08 Nakawa-Bugolobi-24h'!I77)</f>
        <v>0</v>
      </c>
      <c r="J77" s="49">
        <f>AVERAGE('01.08 Nakawa-Bugolobi-24h'!J77,'03.08 Nakawa-Bugolobi-24h'!J77)</f>
        <v>0</v>
      </c>
      <c r="K77" s="49">
        <f>AVERAGE('01.08 Nakawa-Bugolobi-24h'!K77,'03.08 Nakawa-Bugolobi-24h'!K77)</f>
        <v>0</v>
      </c>
      <c r="L77" s="49">
        <f>AVERAGE('01.08 Nakawa-Bugolobi-24h'!L77,'03.08 Nakawa-Bugolobi-24h'!L77)</f>
        <v>0</v>
      </c>
      <c r="M77" s="49">
        <f>AVERAGE('01.08 Nakawa-Bugolobi-24h'!M77,'03.08 Nakawa-Bugolobi-24h'!M77)</f>
        <v>36.5</v>
      </c>
      <c r="N77" s="49">
        <f>AVERAGE('01.08 Nakawa-Bugolobi-24h'!N77,'03.08 Nakawa-Bugolobi-24h'!N77)</f>
        <v>0</v>
      </c>
      <c r="O77" s="15">
        <f t="shared" si="35"/>
        <v>43</v>
      </c>
      <c r="P77" s="15">
        <f t="shared" si="36"/>
        <v>79.5</v>
      </c>
      <c r="R77" s="8"/>
      <c r="T77"/>
    </row>
    <row r="78" spans="2:20" ht="23.1" customHeight="1" x14ac:dyDescent="0.25">
      <c r="B78" s="24" t="s">
        <v>118</v>
      </c>
      <c r="C78" s="49">
        <f>AVERAGE('01.08 Nakawa-Bugolobi-24h'!C78,'03.08 Nakawa-Bugolobi-24h'!C78)</f>
        <v>26</v>
      </c>
      <c r="D78" s="49">
        <f>AVERAGE('01.08 Nakawa-Bugolobi-24h'!D78,'03.08 Nakawa-Bugolobi-24h'!D78)</f>
        <v>3</v>
      </c>
      <c r="E78" s="49">
        <f>AVERAGE('01.08 Nakawa-Bugolobi-24h'!E78,'03.08 Nakawa-Bugolobi-24h'!E78)</f>
        <v>0.5</v>
      </c>
      <c r="F78" s="49">
        <f>AVERAGE('01.08 Nakawa-Bugolobi-24h'!F78,'03.08 Nakawa-Bugolobi-24h'!F78)</f>
        <v>2</v>
      </c>
      <c r="G78" s="49">
        <f>AVERAGE('01.08 Nakawa-Bugolobi-24h'!G78,'03.08 Nakawa-Bugolobi-24h'!G78)</f>
        <v>0</v>
      </c>
      <c r="H78" s="49">
        <f>AVERAGE('01.08 Nakawa-Bugolobi-24h'!H78,'03.08 Nakawa-Bugolobi-24h'!H78)</f>
        <v>0</v>
      </c>
      <c r="I78" s="49">
        <f>AVERAGE('01.08 Nakawa-Bugolobi-24h'!I78,'03.08 Nakawa-Bugolobi-24h'!I78)</f>
        <v>0</v>
      </c>
      <c r="J78" s="49">
        <f>AVERAGE('01.08 Nakawa-Bugolobi-24h'!J78,'03.08 Nakawa-Bugolobi-24h'!J78)</f>
        <v>0</v>
      </c>
      <c r="K78" s="49">
        <f>AVERAGE('01.08 Nakawa-Bugolobi-24h'!K78,'03.08 Nakawa-Bugolobi-24h'!K78)</f>
        <v>0</v>
      </c>
      <c r="L78" s="49">
        <f>AVERAGE('01.08 Nakawa-Bugolobi-24h'!L78,'03.08 Nakawa-Bugolobi-24h'!L78)</f>
        <v>0</v>
      </c>
      <c r="M78" s="49">
        <f>AVERAGE('01.08 Nakawa-Bugolobi-24h'!M78,'03.08 Nakawa-Bugolobi-24h'!M78)</f>
        <v>26</v>
      </c>
      <c r="N78" s="49">
        <f>AVERAGE('01.08 Nakawa-Bugolobi-24h'!N78,'03.08 Nakawa-Bugolobi-24h'!N78)</f>
        <v>0</v>
      </c>
      <c r="O78" s="15">
        <f t="shared" si="35"/>
        <v>31.5</v>
      </c>
      <c r="P78" s="15">
        <f t="shared" si="36"/>
        <v>57.5</v>
      </c>
      <c r="R78" s="8"/>
      <c r="T78"/>
    </row>
    <row r="79" spans="2:20" ht="23.1" customHeight="1" x14ac:dyDescent="0.25">
      <c r="B79" s="23" t="s">
        <v>119</v>
      </c>
      <c r="C79" s="49">
        <f>AVERAGE('01.08 Nakawa-Bugolobi-24h'!C79,'03.08 Nakawa-Bugolobi-24h'!C79)</f>
        <v>30.5</v>
      </c>
      <c r="D79" s="49">
        <f>AVERAGE('01.08 Nakawa-Bugolobi-24h'!D79,'03.08 Nakawa-Bugolobi-24h'!D79)</f>
        <v>2.5</v>
      </c>
      <c r="E79" s="49">
        <f>AVERAGE('01.08 Nakawa-Bugolobi-24h'!E79,'03.08 Nakawa-Bugolobi-24h'!E79)</f>
        <v>0.5</v>
      </c>
      <c r="F79" s="49">
        <f>AVERAGE('01.08 Nakawa-Bugolobi-24h'!F79,'03.08 Nakawa-Bugolobi-24h'!F79)</f>
        <v>0.5</v>
      </c>
      <c r="G79" s="49">
        <f>AVERAGE('01.08 Nakawa-Bugolobi-24h'!G79,'03.08 Nakawa-Bugolobi-24h'!G79)</f>
        <v>0</v>
      </c>
      <c r="H79" s="49">
        <f>AVERAGE('01.08 Nakawa-Bugolobi-24h'!H79,'03.08 Nakawa-Bugolobi-24h'!H79)</f>
        <v>0</v>
      </c>
      <c r="I79" s="49">
        <f>AVERAGE('01.08 Nakawa-Bugolobi-24h'!I79,'03.08 Nakawa-Bugolobi-24h'!I79)</f>
        <v>0</v>
      </c>
      <c r="J79" s="49">
        <f>AVERAGE('01.08 Nakawa-Bugolobi-24h'!J79,'03.08 Nakawa-Bugolobi-24h'!J79)</f>
        <v>0</v>
      </c>
      <c r="K79" s="49">
        <f>AVERAGE('01.08 Nakawa-Bugolobi-24h'!K79,'03.08 Nakawa-Bugolobi-24h'!K79)</f>
        <v>0</v>
      </c>
      <c r="L79" s="49">
        <f>AVERAGE('01.08 Nakawa-Bugolobi-24h'!L79,'03.08 Nakawa-Bugolobi-24h'!L79)</f>
        <v>0</v>
      </c>
      <c r="M79" s="49">
        <f>AVERAGE('01.08 Nakawa-Bugolobi-24h'!M79,'03.08 Nakawa-Bugolobi-24h'!M79)</f>
        <v>23.5</v>
      </c>
      <c r="N79" s="49">
        <f>AVERAGE('01.08 Nakawa-Bugolobi-24h'!N79,'03.08 Nakawa-Bugolobi-24h'!N79)</f>
        <v>0</v>
      </c>
      <c r="O79" s="15">
        <f t="shared" si="35"/>
        <v>34</v>
      </c>
      <c r="P79" s="15">
        <f t="shared" si="36"/>
        <v>57.5</v>
      </c>
      <c r="R79" s="8"/>
      <c r="T79"/>
    </row>
    <row r="80" spans="2:20" ht="23.1" customHeight="1" x14ac:dyDescent="0.25">
      <c r="B80" s="25" t="s">
        <v>120</v>
      </c>
      <c r="C80" s="49">
        <f>AVERAGE('01.08 Nakawa-Bugolobi-24h'!C80,'03.08 Nakawa-Bugolobi-24h'!C80)</f>
        <v>29</v>
      </c>
      <c r="D80" s="49">
        <f>AVERAGE('01.08 Nakawa-Bugolobi-24h'!D80,'03.08 Nakawa-Bugolobi-24h'!D80)</f>
        <v>1.5</v>
      </c>
      <c r="E80" s="49">
        <f>AVERAGE('01.08 Nakawa-Bugolobi-24h'!E80,'03.08 Nakawa-Bugolobi-24h'!E80)</f>
        <v>0.5</v>
      </c>
      <c r="F80" s="49">
        <f>AVERAGE('01.08 Nakawa-Bugolobi-24h'!F80,'03.08 Nakawa-Bugolobi-24h'!F80)</f>
        <v>0.5</v>
      </c>
      <c r="G80" s="49">
        <f>AVERAGE('01.08 Nakawa-Bugolobi-24h'!G80,'03.08 Nakawa-Bugolobi-24h'!G80)</f>
        <v>0</v>
      </c>
      <c r="H80" s="49">
        <f>AVERAGE('01.08 Nakawa-Bugolobi-24h'!H80,'03.08 Nakawa-Bugolobi-24h'!H80)</f>
        <v>0</v>
      </c>
      <c r="I80" s="49">
        <f>AVERAGE('01.08 Nakawa-Bugolobi-24h'!I80,'03.08 Nakawa-Bugolobi-24h'!I80)</f>
        <v>0</v>
      </c>
      <c r="J80" s="49">
        <f>AVERAGE('01.08 Nakawa-Bugolobi-24h'!J80,'03.08 Nakawa-Bugolobi-24h'!J80)</f>
        <v>0.5</v>
      </c>
      <c r="K80" s="49">
        <f>AVERAGE('01.08 Nakawa-Bugolobi-24h'!K80,'03.08 Nakawa-Bugolobi-24h'!K80)</f>
        <v>0</v>
      </c>
      <c r="L80" s="49">
        <f>AVERAGE('01.08 Nakawa-Bugolobi-24h'!L80,'03.08 Nakawa-Bugolobi-24h'!L80)</f>
        <v>0</v>
      </c>
      <c r="M80" s="49">
        <f>AVERAGE('01.08 Nakawa-Bugolobi-24h'!M80,'03.08 Nakawa-Bugolobi-24h'!M80)</f>
        <v>20</v>
      </c>
      <c r="N80" s="49">
        <f>AVERAGE('01.08 Nakawa-Bugolobi-24h'!N80,'03.08 Nakawa-Bugolobi-24h'!N80)</f>
        <v>0</v>
      </c>
      <c r="O80" s="15">
        <f t="shared" si="35"/>
        <v>32</v>
      </c>
      <c r="P80" s="15">
        <f t="shared" si="36"/>
        <v>52</v>
      </c>
      <c r="R80" s="8"/>
      <c r="T80"/>
    </row>
    <row r="81" spans="2:20" ht="23.1" customHeight="1" x14ac:dyDescent="0.25">
      <c r="B81" s="23" t="s">
        <v>121</v>
      </c>
      <c r="C81" s="49">
        <f>AVERAGE('01.08 Nakawa-Bugolobi-24h'!C81,'03.08 Nakawa-Bugolobi-24h'!C81)</f>
        <v>12.5</v>
      </c>
      <c r="D81" s="49">
        <f>AVERAGE('01.08 Nakawa-Bugolobi-24h'!D81,'03.08 Nakawa-Bugolobi-24h'!D81)</f>
        <v>4.5</v>
      </c>
      <c r="E81" s="49">
        <f>AVERAGE('01.08 Nakawa-Bugolobi-24h'!E81,'03.08 Nakawa-Bugolobi-24h'!E81)</f>
        <v>0</v>
      </c>
      <c r="F81" s="49">
        <f>AVERAGE('01.08 Nakawa-Bugolobi-24h'!F81,'03.08 Nakawa-Bugolobi-24h'!F81)</f>
        <v>0</v>
      </c>
      <c r="G81" s="49">
        <f>AVERAGE('01.08 Nakawa-Bugolobi-24h'!G81,'03.08 Nakawa-Bugolobi-24h'!G81)</f>
        <v>0</v>
      </c>
      <c r="H81" s="49">
        <f>AVERAGE('01.08 Nakawa-Bugolobi-24h'!H81,'03.08 Nakawa-Bugolobi-24h'!H81)</f>
        <v>0</v>
      </c>
      <c r="I81" s="49">
        <f>AVERAGE('01.08 Nakawa-Bugolobi-24h'!I81,'03.08 Nakawa-Bugolobi-24h'!I81)</f>
        <v>0.5</v>
      </c>
      <c r="J81" s="49">
        <f>AVERAGE('01.08 Nakawa-Bugolobi-24h'!J81,'03.08 Nakawa-Bugolobi-24h'!J81)</f>
        <v>0.5</v>
      </c>
      <c r="K81" s="49">
        <f>AVERAGE('01.08 Nakawa-Bugolobi-24h'!K81,'03.08 Nakawa-Bugolobi-24h'!K81)</f>
        <v>0</v>
      </c>
      <c r="L81" s="49">
        <f>AVERAGE('01.08 Nakawa-Bugolobi-24h'!L81,'03.08 Nakawa-Bugolobi-24h'!L81)</f>
        <v>0</v>
      </c>
      <c r="M81" s="49">
        <f>AVERAGE('01.08 Nakawa-Bugolobi-24h'!M81,'03.08 Nakawa-Bugolobi-24h'!M81)</f>
        <v>21.5</v>
      </c>
      <c r="N81" s="49">
        <f>AVERAGE('01.08 Nakawa-Bugolobi-24h'!N81,'03.08 Nakawa-Bugolobi-24h'!N81)</f>
        <v>0</v>
      </c>
      <c r="O81" s="15">
        <f t="shared" si="35"/>
        <v>18</v>
      </c>
      <c r="P81" s="15">
        <f t="shared" si="36"/>
        <v>39.5</v>
      </c>
      <c r="R81" s="8"/>
      <c r="T81"/>
    </row>
    <row r="82" spans="2:20" ht="23.1" customHeight="1" x14ac:dyDescent="0.25">
      <c r="B82" s="24" t="s">
        <v>122</v>
      </c>
      <c r="C82" s="49">
        <f>AVERAGE('01.08 Nakawa-Bugolobi-24h'!C82,'03.08 Nakawa-Bugolobi-24h'!C82)</f>
        <v>21</v>
      </c>
      <c r="D82" s="49">
        <f>AVERAGE('01.08 Nakawa-Bugolobi-24h'!D82,'03.08 Nakawa-Bugolobi-24h'!D82)</f>
        <v>3</v>
      </c>
      <c r="E82" s="49">
        <f>AVERAGE('01.08 Nakawa-Bugolobi-24h'!E82,'03.08 Nakawa-Bugolobi-24h'!E82)</f>
        <v>1.5</v>
      </c>
      <c r="F82" s="49">
        <f>AVERAGE('01.08 Nakawa-Bugolobi-24h'!F82,'03.08 Nakawa-Bugolobi-24h'!F82)</f>
        <v>1</v>
      </c>
      <c r="G82" s="49">
        <f>AVERAGE('01.08 Nakawa-Bugolobi-24h'!G82,'03.08 Nakawa-Bugolobi-24h'!G82)</f>
        <v>0.5</v>
      </c>
      <c r="H82" s="49">
        <f>AVERAGE('01.08 Nakawa-Bugolobi-24h'!H82,'03.08 Nakawa-Bugolobi-24h'!H82)</f>
        <v>0</v>
      </c>
      <c r="I82" s="49">
        <f>AVERAGE('01.08 Nakawa-Bugolobi-24h'!I82,'03.08 Nakawa-Bugolobi-24h'!I82)</f>
        <v>0</v>
      </c>
      <c r="J82" s="49">
        <f>AVERAGE('01.08 Nakawa-Bugolobi-24h'!J82,'03.08 Nakawa-Bugolobi-24h'!J82)</f>
        <v>0.5</v>
      </c>
      <c r="K82" s="49">
        <f>AVERAGE('01.08 Nakawa-Bugolobi-24h'!K82,'03.08 Nakawa-Bugolobi-24h'!K82)</f>
        <v>0</v>
      </c>
      <c r="L82" s="49">
        <f>AVERAGE('01.08 Nakawa-Bugolobi-24h'!L82,'03.08 Nakawa-Bugolobi-24h'!L82)</f>
        <v>0</v>
      </c>
      <c r="M82" s="49">
        <f>AVERAGE('01.08 Nakawa-Bugolobi-24h'!M82,'03.08 Nakawa-Bugolobi-24h'!M82)</f>
        <v>20.5</v>
      </c>
      <c r="N82" s="49">
        <f>AVERAGE('01.08 Nakawa-Bugolobi-24h'!N82,'03.08 Nakawa-Bugolobi-24h'!N82)</f>
        <v>0</v>
      </c>
      <c r="O82" s="15">
        <f t="shared" si="35"/>
        <v>27.5</v>
      </c>
      <c r="P82" s="15">
        <f t="shared" si="36"/>
        <v>48</v>
      </c>
      <c r="R82" s="8"/>
      <c r="T82"/>
    </row>
    <row r="83" spans="2:20" ht="23.1" customHeight="1" x14ac:dyDescent="0.25">
      <c r="B83" s="23" t="s">
        <v>123</v>
      </c>
      <c r="C83" s="49">
        <f>AVERAGE('01.08 Nakawa-Bugolobi-24h'!C83,'03.08 Nakawa-Bugolobi-24h'!C83)</f>
        <v>15.5</v>
      </c>
      <c r="D83" s="49">
        <f>AVERAGE('01.08 Nakawa-Bugolobi-24h'!D83,'03.08 Nakawa-Bugolobi-24h'!D83)</f>
        <v>2.5</v>
      </c>
      <c r="E83" s="49">
        <f>AVERAGE('01.08 Nakawa-Bugolobi-24h'!E83,'03.08 Nakawa-Bugolobi-24h'!E83)</f>
        <v>0.5</v>
      </c>
      <c r="F83" s="49">
        <f>AVERAGE('01.08 Nakawa-Bugolobi-24h'!F83,'03.08 Nakawa-Bugolobi-24h'!F83)</f>
        <v>1</v>
      </c>
      <c r="G83" s="49">
        <f>AVERAGE('01.08 Nakawa-Bugolobi-24h'!G83,'03.08 Nakawa-Bugolobi-24h'!G83)</f>
        <v>0</v>
      </c>
      <c r="H83" s="49">
        <f>AVERAGE('01.08 Nakawa-Bugolobi-24h'!H83,'03.08 Nakawa-Bugolobi-24h'!H83)</f>
        <v>0</v>
      </c>
      <c r="I83" s="49">
        <f>AVERAGE('01.08 Nakawa-Bugolobi-24h'!I83,'03.08 Nakawa-Bugolobi-24h'!I83)</f>
        <v>0</v>
      </c>
      <c r="J83" s="49">
        <f>AVERAGE('01.08 Nakawa-Bugolobi-24h'!J83,'03.08 Nakawa-Bugolobi-24h'!J83)</f>
        <v>0</v>
      </c>
      <c r="K83" s="49">
        <f>AVERAGE('01.08 Nakawa-Bugolobi-24h'!K83,'03.08 Nakawa-Bugolobi-24h'!K83)</f>
        <v>0</v>
      </c>
      <c r="L83" s="49">
        <f>AVERAGE('01.08 Nakawa-Bugolobi-24h'!L83,'03.08 Nakawa-Bugolobi-24h'!L83)</f>
        <v>0</v>
      </c>
      <c r="M83" s="49">
        <f>AVERAGE('01.08 Nakawa-Bugolobi-24h'!M83,'03.08 Nakawa-Bugolobi-24h'!M83)</f>
        <v>16</v>
      </c>
      <c r="N83" s="49">
        <f>AVERAGE('01.08 Nakawa-Bugolobi-24h'!N83,'03.08 Nakawa-Bugolobi-24h'!N83)</f>
        <v>0</v>
      </c>
      <c r="O83" s="15">
        <f t="shared" si="35"/>
        <v>19.5</v>
      </c>
      <c r="P83" s="15">
        <f t="shared" si="36"/>
        <v>35.5</v>
      </c>
      <c r="R83" s="8"/>
      <c r="T83"/>
    </row>
    <row r="84" spans="2:20" ht="23.1" customHeight="1" x14ac:dyDescent="0.25">
      <c r="B84" s="25" t="s">
        <v>124</v>
      </c>
      <c r="C84" s="49">
        <f>AVERAGE('01.08 Nakawa-Bugolobi-24h'!C84,'03.08 Nakawa-Bugolobi-24h'!C84)</f>
        <v>9</v>
      </c>
      <c r="D84" s="49">
        <f>AVERAGE('01.08 Nakawa-Bugolobi-24h'!D84,'03.08 Nakawa-Bugolobi-24h'!D84)</f>
        <v>1.5</v>
      </c>
      <c r="E84" s="49">
        <f>AVERAGE('01.08 Nakawa-Bugolobi-24h'!E84,'03.08 Nakawa-Bugolobi-24h'!E84)</f>
        <v>1.5</v>
      </c>
      <c r="F84" s="49">
        <f>AVERAGE('01.08 Nakawa-Bugolobi-24h'!F84,'03.08 Nakawa-Bugolobi-24h'!F84)</f>
        <v>0.5</v>
      </c>
      <c r="G84" s="49">
        <f>AVERAGE('01.08 Nakawa-Bugolobi-24h'!G84,'03.08 Nakawa-Bugolobi-24h'!G84)</f>
        <v>0</v>
      </c>
      <c r="H84" s="49">
        <f>AVERAGE('01.08 Nakawa-Bugolobi-24h'!H84,'03.08 Nakawa-Bugolobi-24h'!H84)</f>
        <v>0</v>
      </c>
      <c r="I84" s="49">
        <f>AVERAGE('01.08 Nakawa-Bugolobi-24h'!I84,'03.08 Nakawa-Bugolobi-24h'!I84)</f>
        <v>0.5</v>
      </c>
      <c r="J84" s="49">
        <f>AVERAGE('01.08 Nakawa-Bugolobi-24h'!J84,'03.08 Nakawa-Bugolobi-24h'!J84)</f>
        <v>0</v>
      </c>
      <c r="K84" s="49">
        <f>AVERAGE('01.08 Nakawa-Bugolobi-24h'!K84,'03.08 Nakawa-Bugolobi-24h'!K84)</f>
        <v>0.5</v>
      </c>
      <c r="L84" s="49">
        <f>AVERAGE('01.08 Nakawa-Bugolobi-24h'!L84,'03.08 Nakawa-Bugolobi-24h'!L84)</f>
        <v>0</v>
      </c>
      <c r="M84" s="49">
        <f>AVERAGE('01.08 Nakawa-Bugolobi-24h'!M84,'03.08 Nakawa-Bugolobi-24h'!M84)</f>
        <v>16.5</v>
      </c>
      <c r="N84" s="49">
        <f>AVERAGE('01.08 Nakawa-Bugolobi-24h'!N84,'03.08 Nakawa-Bugolobi-24h'!N84)</f>
        <v>0</v>
      </c>
      <c r="O84" s="15">
        <f t="shared" si="35"/>
        <v>13.5</v>
      </c>
      <c r="P84" s="15">
        <f t="shared" si="36"/>
        <v>30</v>
      </c>
      <c r="R84" s="8"/>
      <c r="T84"/>
    </row>
    <row r="85" spans="2:20" ht="23.1" customHeight="1" x14ac:dyDescent="0.25">
      <c r="B85" s="23" t="s">
        <v>125</v>
      </c>
      <c r="C85" s="49">
        <f>AVERAGE('01.08 Nakawa-Bugolobi-24h'!C85,'03.08 Nakawa-Bugolobi-24h'!C85)</f>
        <v>11.5</v>
      </c>
      <c r="D85" s="49">
        <f>AVERAGE('01.08 Nakawa-Bugolobi-24h'!D85,'03.08 Nakawa-Bugolobi-24h'!D85)</f>
        <v>1.5</v>
      </c>
      <c r="E85" s="49">
        <f>AVERAGE('01.08 Nakawa-Bugolobi-24h'!E85,'03.08 Nakawa-Bugolobi-24h'!E85)</f>
        <v>1</v>
      </c>
      <c r="F85" s="49">
        <f>AVERAGE('01.08 Nakawa-Bugolobi-24h'!F85,'03.08 Nakawa-Bugolobi-24h'!F85)</f>
        <v>0.5</v>
      </c>
      <c r="G85" s="49">
        <f>AVERAGE('01.08 Nakawa-Bugolobi-24h'!G85,'03.08 Nakawa-Bugolobi-24h'!G85)</f>
        <v>0</v>
      </c>
      <c r="H85" s="49">
        <f>AVERAGE('01.08 Nakawa-Bugolobi-24h'!H85,'03.08 Nakawa-Bugolobi-24h'!H85)</f>
        <v>0</v>
      </c>
      <c r="I85" s="49">
        <f>AVERAGE('01.08 Nakawa-Bugolobi-24h'!I85,'03.08 Nakawa-Bugolobi-24h'!I85)</f>
        <v>0.5</v>
      </c>
      <c r="J85" s="49">
        <f>AVERAGE('01.08 Nakawa-Bugolobi-24h'!J85,'03.08 Nakawa-Bugolobi-24h'!J85)</f>
        <v>0</v>
      </c>
      <c r="K85" s="49">
        <f>AVERAGE('01.08 Nakawa-Bugolobi-24h'!K85,'03.08 Nakawa-Bugolobi-24h'!K85)</f>
        <v>0</v>
      </c>
      <c r="L85" s="49">
        <f>AVERAGE('01.08 Nakawa-Bugolobi-24h'!L85,'03.08 Nakawa-Bugolobi-24h'!L85)</f>
        <v>0</v>
      </c>
      <c r="M85" s="49">
        <f>AVERAGE('01.08 Nakawa-Bugolobi-24h'!M85,'03.08 Nakawa-Bugolobi-24h'!M85)</f>
        <v>10.5</v>
      </c>
      <c r="N85" s="49">
        <f>AVERAGE('01.08 Nakawa-Bugolobi-24h'!N85,'03.08 Nakawa-Bugolobi-24h'!N85)</f>
        <v>0</v>
      </c>
      <c r="O85" s="15">
        <f t="shared" si="35"/>
        <v>15</v>
      </c>
      <c r="P85" s="15">
        <f t="shared" si="36"/>
        <v>25.5</v>
      </c>
      <c r="R85" s="8"/>
      <c r="T85"/>
    </row>
    <row r="86" spans="2:20" ht="23.1" customHeight="1" x14ac:dyDescent="0.25">
      <c r="B86" s="24" t="s">
        <v>126</v>
      </c>
      <c r="C86" s="49">
        <f>AVERAGE('01.08 Nakawa-Bugolobi-24h'!C86,'03.08 Nakawa-Bugolobi-24h'!C86)</f>
        <v>10.5</v>
      </c>
      <c r="D86" s="49">
        <f>AVERAGE('01.08 Nakawa-Bugolobi-24h'!D86,'03.08 Nakawa-Bugolobi-24h'!D86)</f>
        <v>1</v>
      </c>
      <c r="E86" s="49">
        <f>AVERAGE('01.08 Nakawa-Bugolobi-24h'!E86,'03.08 Nakawa-Bugolobi-24h'!E86)</f>
        <v>1.5</v>
      </c>
      <c r="F86" s="49">
        <f>AVERAGE('01.08 Nakawa-Bugolobi-24h'!F86,'03.08 Nakawa-Bugolobi-24h'!F86)</f>
        <v>2</v>
      </c>
      <c r="G86" s="49">
        <f>AVERAGE('01.08 Nakawa-Bugolobi-24h'!G86,'03.08 Nakawa-Bugolobi-24h'!G86)</f>
        <v>0</v>
      </c>
      <c r="H86" s="49">
        <f>AVERAGE('01.08 Nakawa-Bugolobi-24h'!H86,'03.08 Nakawa-Bugolobi-24h'!H86)</f>
        <v>0</v>
      </c>
      <c r="I86" s="49">
        <f>AVERAGE('01.08 Nakawa-Bugolobi-24h'!I86,'03.08 Nakawa-Bugolobi-24h'!I86)</f>
        <v>0</v>
      </c>
      <c r="J86" s="49">
        <f>AVERAGE('01.08 Nakawa-Bugolobi-24h'!J86,'03.08 Nakawa-Bugolobi-24h'!J86)</f>
        <v>0</v>
      </c>
      <c r="K86" s="49">
        <f>AVERAGE('01.08 Nakawa-Bugolobi-24h'!K86,'03.08 Nakawa-Bugolobi-24h'!K86)</f>
        <v>0</v>
      </c>
      <c r="L86" s="49">
        <f>AVERAGE('01.08 Nakawa-Bugolobi-24h'!L86,'03.08 Nakawa-Bugolobi-24h'!L86)</f>
        <v>0</v>
      </c>
      <c r="M86" s="49">
        <f>AVERAGE('01.08 Nakawa-Bugolobi-24h'!M86,'03.08 Nakawa-Bugolobi-24h'!M86)</f>
        <v>16</v>
      </c>
      <c r="N86" s="49">
        <f>AVERAGE('01.08 Nakawa-Bugolobi-24h'!N86,'03.08 Nakawa-Bugolobi-24h'!N86)</f>
        <v>0</v>
      </c>
      <c r="O86" s="15">
        <f t="shared" si="35"/>
        <v>15</v>
      </c>
      <c r="P86" s="15">
        <f t="shared" si="36"/>
        <v>31</v>
      </c>
      <c r="R86" s="8"/>
      <c r="T86"/>
    </row>
    <row r="87" spans="2:20" ht="23.1" customHeight="1" x14ac:dyDescent="0.25">
      <c r="B87" s="23" t="s">
        <v>127</v>
      </c>
      <c r="C87" s="49">
        <f>AVERAGE('01.08 Nakawa-Bugolobi-24h'!C87,'03.08 Nakawa-Bugolobi-24h'!C87)</f>
        <v>7.5</v>
      </c>
      <c r="D87" s="49">
        <f>AVERAGE('01.08 Nakawa-Bugolobi-24h'!D87,'03.08 Nakawa-Bugolobi-24h'!D87)</f>
        <v>2</v>
      </c>
      <c r="E87" s="49">
        <f>AVERAGE('01.08 Nakawa-Bugolobi-24h'!E87,'03.08 Nakawa-Bugolobi-24h'!E87)</f>
        <v>0.5</v>
      </c>
      <c r="F87" s="49">
        <f>AVERAGE('01.08 Nakawa-Bugolobi-24h'!F87,'03.08 Nakawa-Bugolobi-24h'!F87)</f>
        <v>1</v>
      </c>
      <c r="G87" s="49">
        <f>AVERAGE('01.08 Nakawa-Bugolobi-24h'!G87,'03.08 Nakawa-Bugolobi-24h'!G87)</f>
        <v>0</v>
      </c>
      <c r="H87" s="49">
        <f>AVERAGE('01.08 Nakawa-Bugolobi-24h'!H87,'03.08 Nakawa-Bugolobi-24h'!H87)</f>
        <v>0</v>
      </c>
      <c r="I87" s="49">
        <f>AVERAGE('01.08 Nakawa-Bugolobi-24h'!I87,'03.08 Nakawa-Bugolobi-24h'!I87)</f>
        <v>0</v>
      </c>
      <c r="J87" s="49">
        <f>AVERAGE('01.08 Nakawa-Bugolobi-24h'!J87,'03.08 Nakawa-Bugolobi-24h'!J87)</f>
        <v>0</v>
      </c>
      <c r="K87" s="49">
        <f>AVERAGE('01.08 Nakawa-Bugolobi-24h'!K87,'03.08 Nakawa-Bugolobi-24h'!K87)</f>
        <v>0.5</v>
      </c>
      <c r="L87" s="49">
        <f>AVERAGE('01.08 Nakawa-Bugolobi-24h'!L87,'03.08 Nakawa-Bugolobi-24h'!L87)</f>
        <v>0</v>
      </c>
      <c r="M87" s="49">
        <f>AVERAGE('01.08 Nakawa-Bugolobi-24h'!M87,'03.08 Nakawa-Bugolobi-24h'!M87)</f>
        <v>12.5</v>
      </c>
      <c r="N87" s="49">
        <f>AVERAGE('01.08 Nakawa-Bugolobi-24h'!N87,'03.08 Nakawa-Bugolobi-24h'!N87)</f>
        <v>0</v>
      </c>
      <c r="O87" s="15">
        <f t="shared" si="35"/>
        <v>11.5</v>
      </c>
      <c r="P87" s="15">
        <f t="shared" si="36"/>
        <v>24</v>
      </c>
      <c r="R87" s="8"/>
      <c r="T87"/>
    </row>
    <row r="88" spans="2:20" ht="23.1" customHeight="1" x14ac:dyDescent="0.25">
      <c r="B88" s="25" t="s">
        <v>128</v>
      </c>
      <c r="C88" s="49">
        <f>AVERAGE('01.08 Nakawa-Bugolobi-24h'!C88,'03.08 Nakawa-Bugolobi-24h'!C88)</f>
        <v>7.5</v>
      </c>
      <c r="D88" s="49">
        <f>AVERAGE('01.08 Nakawa-Bugolobi-24h'!D88,'03.08 Nakawa-Bugolobi-24h'!D88)</f>
        <v>2</v>
      </c>
      <c r="E88" s="49">
        <f>AVERAGE('01.08 Nakawa-Bugolobi-24h'!E88,'03.08 Nakawa-Bugolobi-24h'!E88)</f>
        <v>0</v>
      </c>
      <c r="F88" s="49">
        <f>AVERAGE('01.08 Nakawa-Bugolobi-24h'!F88,'03.08 Nakawa-Bugolobi-24h'!F88)</f>
        <v>1</v>
      </c>
      <c r="G88" s="49">
        <f>AVERAGE('01.08 Nakawa-Bugolobi-24h'!G88,'03.08 Nakawa-Bugolobi-24h'!G88)</f>
        <v>0</v>
      </c>
      <c r="H88" s="49">
        <f>AVERAGE('01.08 Nakawa-Bugolobi-24h'!H88,'03.08 Nakawa-Bugolobi-24h'!H88)</f>
        <v>0</v>
      </c>
      <c r="I88" s="49">
        <f>AVERAGE('01.08 Nakawa-Bugolobi-24h'!I88,'03.08 Nakawa-Bugolobi-24h'!I88)</f>
        <v>0</v>
      </c>
      <c r="J88" s="49">
        <f>AVERAGE('01.08 Nakawa-Bugolobi-24h'!J88,'03.08 Nakawa-Bugolobi-24h'!J88)</f>
        <v>0.5</v>
      </c>
      <c r="K88" s="49">
        <f>AVERAGE('01.08 Nakawa-Bugolobi-24h'!K88,'03.08 Nakawa-Bugolobi-24h'!K88)</f>
        <v>0</v>
      </c>
      <c r="L88" s="49">
        <f>AVERAGE('01.08 Nakawa-Bugolobi-24h'!L88,'03.08 Nakawa-Bugolobi-24h'!L88)</f>
        <v>0</v>
      </c>
      <c r="M88" s="49">
        <f>AVERAGE('01.08 Nakawa-Bugolobi-24h'!M88,'03.08 Nakawa-Bugolobi-24h'!M88)</f>
        <v>14</v>
      </c>
      <c r="N88" s="49">
        <f>AVERAGE('01.08 Nakawa-Bugolobi-24h'!N88,'03.08 Nakawa-Bugolobi-24h'!N88)</f>
        <v>0</v>
      </c>
      <c r="O88" s="15">
        <f t="shared" si="35"/>
        <v>11</v>
      </c>
      <c r="P88" s="15">
        <f t="shared" si="36"/>
        <v>25</v>
      </c>
      <c r="R88" s="8"/>
      <c r="T88"/>
    </row>
    <row r="89" spans="2:20" ht="23.1" customHeight="1" x14ac:dyDescent="0.25">
      <c r="B89" s="23" t="s">
        <v>129</v>
      </c>
      <c r="C89" s="49">
        <f>AVERAGE('01.08 Nakawa-Bugolobi-24h'!C89,'03.08 Nakawa-Bugolobi-24h'!C89)</f>
        <v>9.5</v>
      </c>
      <c r="D89" s="49">
        <f>AVERAGE('01.08 Nakawa-Bugolobi-24h'!D89,'03.08 Nakawa-Bugolobi-24h'!D89)</f>
        <v>1</v>
      </c>
      <c r="E89" s="49">
        <f>AVERAGE('01.08 Nakawa-Bugolobi-24h'!E89,'03.08 Nakawa-Bugolobi-24h'!E89)</f>
        <v>0</v>
      </c>
      <c r="F89" s="49">
        <f>AVERAGE('01.08 Nakawa-Bugolobi-24h'!F89,'03.08 Nakawa-Bugolobi-24h'!F89)</f>
        <v>0</v>
      </c>
      <c r="G89" s="49">
        <f>AVERAGE('01.08 Nakawa-Bugolobi-24h'!G89,'03.08 Nakawa-Bugolobi-24h'!G89)</f>
        <v>0</v>
      </c>
      <c r="H89" s="49">
        <f>AVERAGE('01.08 Nakawa-Bugolobi-24h'!H89,'03.08 Nakawa-Bugolobi-24h'!H89)</f>
        <v>0</v>
      </c>
      <c r="I89" s="49">
        <f>AVERAGE('01.08 Nakawa-Bugolobi-24h'!I89,'03.08 Nakawa-Bugolobi-24h'!I89)</f>
        <v>0</v>
      </c>
      <c r="J89" s="49">
        <f>AVERAGE('01.08 Nakawa-Bugolobi-24h'!J89,'03.08 Nakawa-Bugolobi-24h'!J89)</f>
        <v>0</v>
      </c>
      <c r="K89" s="49">
        <f>AVERAGE('01.08 Nakawa-Bugolobi-24h'!K89,'03.08 Nakawa-Bugolobi-24h'!K89)</f>
        <v>0</v>
      </c>
      <c r="L89" s="49">
        <f>AVERAGE('01.08 Nakawa-Bugolobi-24h'!L89,'03.08 Nakawa-Bugolobi-24h'!L89)</f>
        <v>0</v>
      </c>
      <c r="M89" s="49">
        <f>AVERAGE('01.08 Nakawa-Bugolobi-24h'!M89,'03.08 Nakawa-Bugolobi-24h'!M89)</f>
        <v>10</v>
      </c>
      <c r="N89" s="49">
        <f>AVERAGE('01.08 Nakawa-Bugolobi-24h'!N89,'03.08 Nakawa-Bugolobi-24h'!N89)</f>
        <v>0</v>
      </c>
      <c r="O89" s="15">
        <f t="shared" si="35"/>
        <v>10.5</v>
      </c>
      <c r="P89" s="15">
        <f t="shared" si="36"/>
        <v>20.5</v>
      </c>
      <c r="R89" s="8"/>
      <c r="T89"/>
    </row>
    <row r="90" spans="2:20" ht="23.1" customHeight="1" x14ac:dyDescent="0.25">
      <c r="B90" s="24" t="s">
        <v>130</v>
      </c>
      <c r="C90" s="49">
        <f>AVERAGE('01.08 Nakawa-Bugolobi-24h'!C90,'03.08 Nakawa-Bugolobi-24h'!C90)</f>
        <v>8.5</v>
      </c>
      <c r="D90" s="49">
        <f>AVERAGE('01.08 Nakawa-Bugolobi-24h'!D90,'03.08 Nakawa-Bugolobi-24h'!D90)</f>
        <v>1</v>
      </c>
      <c r="E90" s="49">
        <f>AVERAGE('01.08 Nakawa-Bugolobi-24h'!E90,'03.08 Nakawa-Bugolobi-24h'!E90)</f>
        <v>0</v>
      </c>
      <c r="F90" s="49">
        <f>AVERAGE('01.08 Nakawa-Bugolobi-24h'!F90,'03.08 Nakawa-Bugolobi-24h'!F90)</f>
        <v>0</v>
      </c>
      <c r="G90" s="49">
        <f>AVERAGE('01.08 Nakawa-Bugolobi-24h'!G90,'03.08 Nakawa-Bugolobi-24h'!G90)</f>
        <v>0</v>
      </c>
      <c r="H90" s="49">
        <f>AVERAGE('01.08 Nakawa-Bugolobi-24h'!H90,'03.08 Nakawa-Bugolobi-24h'!H90)</f>
        <v>0</v>
      </c>
      <c r="I90" s="49">
        <f>AVERAGE('01.08 Nakawa-Bugolobi-24h'!I90,'03.08 Nakawa-Bugolobi-24h'!I90)</f>
        <v>0</v>
      </c>
      <c r="J90" s="49">
        <f>AVERAGE('01.08 Nakawa-Bugolobi-24h'!J90,'03.08 Nakawa-Bugolobi-24h'!J90)</f>
        <v>0</v>
      </c>
      <c r="K90" s="49">
        <f>AVERAGE('01.08 Nakawa-Bugolobi-24h'!K90,'03.08 Nakawa-Bugolobi-24h'!K90)</f>
        <v>0</v>
      </c>
      <c r="L90" s="49">
        <f>AVERAGE('01.08 Nakawa-Bugolobi-24h'!L90,'03.08 Nakawa-Bugolobi-24h'!L90)</f>
        <v>0</v>
      </c>
      <c r="M90" s="49">
        <f>AVERAGE('01.08 Nakawa-Bugolobi-24h'!M90,'03.08 Nakawa-Bugolobi-24h'!M90)</f>
        <v>10</v>
      </c>
      <c r="N90" s="49">
        <f>AVERAGE('01.08 Nakawa-Bugolobi-24h'!N90,'03.08 Nakawa-Bugolobi-24h'!N90)</f>
        <v>0</v>
      </c>
      <c r="O90" s="15">
        <f t="shared" si="35"/>
        <v>9.5</v>
      </c>
      <c r="P90" s="15">
        <f t="shared" si="36"/>
        <v>19.5</v>
      </c>
      <c r="R90" s="8"/>
      <c r="T90"/>
    </row>
    <row r="91" spans="2:20" ht="23.1" customHeight="1" x14ac:dyDescent="0.25">
      <c r="B91" s="23" t="s">
        <v>131</v>
      </c>
      <c r="C91" s="49">
        <f>AVERAGE('01.08 Nakawa-Bugolobi-24h'!C91,'03.08 Nakawa-Bugolobi-24h'!C91)</f>
        <v>8.5</v>
      </c>
      <c r="D91" s="49">
        <f>AVERAGE('01.08 Nakawa-Bugolobi-24h'!D91,'03.08 Nakawa-Bugolobi-24h'!D91)</f>
        <v>1</v>
      </c>
      <c r="E91" s="49">
        <f>AVERAGE('01.08 Nakawa-Bugolobi-24h'!E91,'03.08 Nakawa-Bugolobi-24h'!E91)</f>
        <v>1</v>
      </c>
      <c r="F91" s="49">
        <f>AVERAGE('01.08 Nakawa-Bugolobi-24h'!F91,'03.08 Nakawa-Bugolobi-24h'!F91)</f>
        <v>0</v>
      </c>
      <c r="G91" s="49">
        <f>AVERAGE('01.08 Nakawa-Bugolobi-24h'!G91,'03.08 Nakawa-Bugolobi-24h'!G91)</f>
        <v>0</v>
      </c>
      <c r="H91" s="49">
        <f>AVERAGE('01.08 Nakawa-Bugolobi-24h'!H91,'03.08 Nakawa-Bugolobi-24h'!H91)</f>
        <v>0</v>
      </c>
      <c r="I91" s="49">
        <f>AVERAGE('01.08 Nakawa-Bugolobi-24h'!I91,'03.08 Nakawa-Bugolobi-24h'!I91)</f>
        <v>0</v>
      </c>
      <c r="J91" s="49">
        <f>AVERAGE('01.08 Nakawa-Bugolobi-24h'!J91,'03.08 Nakawa-Bugolobi-24h'!J91)</f>
        <v>0</v>
      </c>
      <c r="K91" s="49">
        <f>AVERAGE('01.08 Nakawa-Bugolobi-24h'!K91,'03.08 Nakawa-Bugolobi-24h'!K91)</f>
        <v>0</v>
      </c>
      <c r="L91" s="49">
        <f>AVERAGE('01.08 Nakawa-Bugolobi-24h'!L91,'03.08 Nakawa-Bugolobi-24h'!L91)</f>
        <v>0</v>
      </c>
      <c r="M91" s="49">
        <f>AVERAGE('01.08 Nakawa-Bugolobi-24h'!M91,'03.08 Nakawa-Bugolobi-24h'!M91)</f>
        <v>4</v>
      </c>
      <c r="N91" s="49">
        <f>AVERAGE('01.08 Nakawa-Bugolobi-24h'!N91,'03.08 Nakawa-Bugolobi-24h'!N91)</f>
        <v>0</v>
      </c>
      <c r="O91" s="15">
        <f t="shared" si="35"/>
        <v>10.5</v>
      </c>
      <c r="P91" s="15">
        <f t="shared" si="36"/>
        <v>14.5</v>
      </c>
      <c r="R91" s="8"/>
      <c r="T91"/>
    </row>
    <row r="92" spans="2:20" ht="23.1" customHeight="1" x14ac:dyDescent="0.25">
      <c r="B92" s="25" t="s">
        <v>132</v>
      </c>
      <c r="C92" s="49">
        <f>AVERAGE('01.08 Nakawa-Bugolobi-24h'!C92,'03.08 Nakawa-Bugolobi-24h'!C92)</f>
        <v>7.5</v>
      </c>
      <c r="D92" s="49">
        <f>AVERAGE('01.08 Nakawa-Bugolobi-24h'!D92,'03.08 Nakawa-Bugolobi-24h'!D92)</f>
        <v>0.5</v>
      </c>
      <c r="E92" s="49">
        <f>AVERAGE('01.08 Nakawa-Bugolobi-24h'!E92,'03.08 Nakawa-Bugolobi-24h'!E92)</f>
        <v>0.5</v>
      </c>
      <c r="F92" s="49">
        <f>AVERAGE('01.08 Nakawa-Bugolobi-24h'!F92,'03.08 Nakawa-Bugolobi-24h'!F92)</f>
        <v>0</v>
      </c>
      <c r="G92" s="49">
        <f>AVERAGE('01.08 Nakawa-Bugolobi-24h'!G92,'03.08 Nakawa-Bugolobi-24h'!G92)</f>
        <v>0</v>
      </c>
      <c r="H92" s="49">
        <f>AVERAGE('01.08 Nakawa-Bugolobi-24h'!H92,'03.08 Nakawa-Bugolobi-24h'!H92)</f>
        <v>0</v>
      </c>
      <c r="I92" s="49">
        <f>AVERAGE('01.08 Nakawa-Bugolobi-24h'!I92,'03.08 Nakawa-Bugolobi-24h'!I92)</f>
        <v>0</v>
      </c>
      <c r="J92" s="49">
        <f>AVERAGE('01.08 Nakawa-Bugolobi-24h'!J92,'03.08 Nakawa-Bugolobi-24h'!J92)</f>
        <v>0</v>
      </c>
      <c r="K92" s="49">
        <f>AVERAGE('01.08 Nakawa-Bugolobi-24h'!K92,'03.08 Nakawa-Bugolobi-24h'!K92)</f>
        <v>0</v>
      </c>
      <c r="L92" s="49">
        <f>AVERAGE('01.08 Nakawa-Bugolobi-24h'!L92,'03.08 Nakawa-Bugolobi-24h'!L92)</f>
        <v>0</v>
      </c>
      <c r="M92" s="49">
        <f>AVERAGE('01.08 Nakawa-Bugolobi-24h'!M92,'03.08 Nakawa-Bugolobi-24h'!M92)</f>
        <v>12</v>
      </c>
      <c r="N92" s="49">
        <f>AVERAGE('01.08 Nakawa-Bugolobi-24h'!N92,'03.08 Nakawa-Bugolobi-24h'!N92)</f>
        <v>0</v>
      </c>
      <c r="O92" s="15">
        <f t="shared" si="35"/>
        <v>8.5</v>
      </c>
      <c r="P92" s="15">
        <f t="shared" si="36"/>
        <v>20.5</v>
      </c>
      <c r="R92" s="8"/>
      <c r="T92"/>
    </row>
    <row r="93" spans="2:20" ht="23.1" customHeight="1" x14ac:dyDescent="0.25">
      <c r="B93" s="23" t="s">
        <v>133</v>
      </c>
      <c r="C93" s="49">
        <f>AVERAGE('01.08 Nakawa-Bugolobi-24h'!C93,'03.08 Nakawa-Bugolobi-24h'!C93)</f>
        <v>17</v>
      </c>
      <c r="D93" s="49">
        <f>AVERAGE('01.08 Nakawa-Bugolobi-24h'!D93,'03.08 Nakawa-Bugolobi-24h'!D93)</f>
        <v>0.5</v>
      </c>
      <c r="E93" s="49">
        <f>AVERAGE('01.08 Nakawa-Bugolobi-24h'!E93,'03.08 Nakawa-Bugolobi-24h'!E93)</f>
        <v>0.5</v>
      </c>
      <c r="F93" s="49">
        <f>AVERAGE('01.08 Nakawa-Bugolobi-24h'!F93,'03.08 Nakawa-Bugolobi-24h'!F93)</f>
        <v>0.5</v>
      </c>
      <c r="G93" s="49">
        <f>AVERAGE('01.08 Nakawa-Bugolobi-24h'!G93,'03.08 Nakawa-Bugolobi-24h'!G93)</f>
        <v>0</v>
      </c>
      <c r="H93" s="49">
        <f>AVERAGE('01.08 Nakawa-Bugolobi-24h'!H93,'03.08 Nakawa-Bugolobi-24h'!H93)</f>
        <v>0</v>
      </c>
      <c r="I93" s="49">
        <f>AVERAGE('01.08 Nakawa-Bugolobi-24h'!I93,'03.08 Nakawa-Bugolobi-24h'!I93)</f>
        <v>0</v>
      </c>
      <c r="J93" s="49">
        <f>AVERAGE('01.08 Nakawa-Bugolobi-24h'!J93,'03.08 Nakawa-Bugolobi-24h'!J93)</f>
        <v>0.5</v>
      </c>
      <c r="K93" s="49">
        <f>AVERAGE('01.08 Nakawa-Bugolobi-24h'!K93,'03.08 Nakawa-Bugolobi-24h'!K93)</f>
        <v>0</v>
      </c>
      <c r="L93" s="49">
        <f>AVERAGE('01.08 Nakawa-Bugolobi-24h'!L93,'03.08 Nakawa-Bugolobi-24h'!L93)</f>
        <v>0</v>
      </c>
      <c r="M93" s="49">
        <f>AVERAGE('01.08 Nakawa-Bugolobi-24h'!M93,'03.08 Nakawa-Bugolobi-24h'!M93)</f>
        <v>18.5</v>
      </c>
      <c r="N93" s="49">
        <f>AVERAGE('01.08 Nakawa-Bugolobi-24h'!N93,'03.08 Nakawa-Bugolobi-24h'!N93)</f>
        <v>0</v>
      </c>
      <c r="O93" s="15">
        <f t="shared" si="35"/>
        <v>19</v>
      </c>
      <c r="P93" s="15">
        <f t="shared" si="36"/>
        <v>37.5</v>
      </c>
      <c r="R93" s="8"/>
      <c r="T93"/>
    </row>
    <row r="94" spans="2:20" ht="23.1" customHeight="1" x14ac:dyDescent="0.25">
      <c r="B94" s="24" t="s">
        <v>134</v>
      </c>
      <c r="C94" s="49">
        <f>AVERAGE('01.08 Nakawa-Bugolobi-24h'!C94,'03.08 Nakawa-Bugolobi-24h'!C94)</f>
        <v>7</v>
      </c>
      <c r="D94" s="49">
        <f>AVERAGE('01.08 Nakawa-Bugolobi-24h'!D94,'03.08 Nakawa-Bugolobi-24h'!D94)</f>
        <v>1.5</v>
      </c>
      <c r="E94" s="49">
        <f>AVERAGE('01.08 Nakawa-Bugolobi-24h'!E94,'03.08 Nakawa-Bugolobi-24h'!E94)</f>
        <v>2.5</v>
      </c>
      <c r="F94" s="49">
        <f>AVERAGE('01.08 Nakawa-Bugolobi-24h'!F94,'03.08 Nakawa-Bugolobi-24h'!F94)</f>
        <v>0</v>
      </c>
      <c r="G94" s="49">
        <f>AVERAGE('01.08 Nakawa-Bugolobi-24h'!G94,'03.08 Nakawa-Bugolobi-24h'!G94)</f>
        <v>0</v>
      </c>
      <c r="H94" s="49">
        <f>AVERAGE('01.08 Nakawa-Bugolobi-24h'!H94,'03.08 Nakawa-Bugolobi-24h'!H94)</f>
        <v>0</v>
      </c>
      <c r="I94" s="49">
        <f>AVERAGE('01.08 Nakawa-Bugolobi-24h'!I94,'03.08 Nakawa-Bugolobi-24h'!I94)</f>
        <v>0</v>
      </c>
      <c r="J94" s="49">
        <f>AVERAGE('01.08 Nakawa-Bugolobi-24h'!J94,'03.08 Nakawa-Bugolobi-24h'!J94)</f>
        <v>0</v>
      </c>
      <c r="K94" s="49">
        <f>AVERAGE('01.08 Nakawa-Bugolobi-24h'!K94,'03.08 Nakawa-Bugolobi-24h'!K94)</f>
        <v>0</v>
      </c>
      <c r="L94" s="49">
        <f>AVERAGE('01.08 Nakawa-Bugolobi-24h'!L94,'03.08 Nakawa-Bugolobi-24h'!L94)</f>
        <v>0</v>
      </c>
      <c r="M94" s="49">
        <f>AVERAGE('01.08 Nakawa-Bugolobi-24h'!M94,'03.08 Nakawa-Bugolobi-24h'!M94)</f>
        <v>15.5</v>
      </c>
      <c r="N94" s="49">
        <f>AVERAGE('01.08 Nakawa-Bugolobi-24h'!N94,'03.08 Nakawa-Bugolobi-24h'!N94)</f>
        <v>0</v>
      </c>
      <c r="O94" s="15">
        <f t="shared" si="35"/>
        <v>11</v>
      </c>
      <c r="P94" s="15">
        <f t="shared" si="36"/>
        <v>26.5</v>
      </c>
      <c r="R94" s="8"/>
      <c r="T94"/>
    </row>
    <row r="95" spans="2:20" ht="23.1" customHeight="1" x14ac:dyDescent="0.25">
      <c r="B95" s="23" t="s">
        <v>135</v>
      </c>
      <c r="C95" s="49">
        <f>AVERAGE('01.08 Nakawa-Bugolobi-24h'!C95,'03.08 Nakawa-Bugolobi-24h'!C95)</f>
        <v>11.5</v>
      </c>
      <c r="D95" s="49">
        <f>AVERAGE('01.08 Nakawa-Bugolobi-24h'!D95,'03.08 Nakawa-Bugolobi-24h'!D95)</f>
        <v>1</v>
      </c>
      <c r="E95" s="49">
        <f>AVERAGE('01.08 Nakawa-Bugolobi-24h'!E95,'03.08 Nakawa-Bugolobi-24h'!E95)</f>
        <v>1</v>
      </c>
      <c r="F95" s="49">
        <f>AVERAGE('01.08 Nakawa-Bugolobi-24h'!F95,'03.08 Nakawa-Bugolobi-24h'!F95)</f>
        <v>0</v>
      </c>
      <c r="G95" s="49">
        <f>AVERAGE('01.08 Nakawa-Bugolobi-24h'!G95,'03.08 Nakawa-Bugolobi-24h'!G95)</f>
        <v>0</v>
      </c>
      <c r="H95" s="49">
        <f>AVERAGE('01.08 Nakawa-Bugolobi-24h'!H95,'03.08 Nakawa-Bugolobi-24h'!H95)</f>
        <v>0</v>
      </c>
      <c r="I95" s="49">
        <f>AVERAGE('01.08 Nakawa-Bugolobi-24h'!I95,'03.08 Nakawa-Bugolobi-24h'!I95)</f>
        <v>0</v>
      </c>
      <c r="J95" s="49">
        <f>AVERAGE('01.08 Nakawa-Bugolobi-24h'!J95,'03.08 Nakawa-Bugolobi-24h'!J95)</f>
        <v>0</v>
      </c>
      <c r="K95" s="49">
        <f>AVERAGE('01.08 Nakawa-Bugolobi-24h'!K95,'03.08 Nakawa-Bugolobi-24h'!K95)</f>
        <v>0</v>
      </c>
      <c r="L95" s="49">
        <f>AVERAGE('01.08 Nakawa-Bugolobi-24h'!L95,'03.08 Nakawa-Bugolobi-24h'!L95)</f>
        <v>0</v>
      </c>
      <c r="M95" s="49">
        <f>AVERAGE('01.08 Nakawa-Bugolobi-24h'!M95,'03.08 Nakawa-Bugolobi-24h'!M95)</f>
        <v>18.5</v>
      </c>
      <c r="N95" s="49">
        <f>AVERAGE('01.08 Nakawa-Bugolobi-24h'!N95,'03.08 Nakawa-Bugolobi-24h'!N95)</f>
        <v>0</v>
      </c>
      <c r="O95" s="15">
        <f t="shared" si="35"/>
        <v>13.5</v>
      </c>
      <c r="P95" s="15">
        <f t="shared" si="36"/>
        <v>32</v>
      </c>
      <c r="R95" s="8"/>
      <c r="T95"/>
    </row>
    <row r="96" spans="2:20" ht="23.1" customHeight="1" x14ac:dyDescent="0.25">
      <c r="B96" s="25" t="s">
        <v>136</v>
      </c>
      <c r="C96" s="49">
        <f>AVERAGE('01.08 Nakawa-Bugolobi-24h'!C96,'03.08 Nakawa-Bugolobi-24h'!C96)</f>
        <v>10</v>
      </c>
      <c r="D96" s="49">
        <f>AVERAGE('01.08 Nakawa-Bugolobi-24h'!D96,'03.08 Nakawa-Bugolobi-24h'!D96)</f>
        <v>3.5</v>
      </c>
      <c r="E96" s="49">
        <f>AVERAGE('01.08 Nakawa-Bugolobi-24h'!E96,'03.08 Nakawa-Bugolobi-24h'!E96)</f>
        <v>0</v>
      </c>
      <c r="F96" s="49">
        <f>AVERAGE('01.08 Nakawa-Bugolobi-24h'!F96,'03.08 Nakawa-Bugolobi-24h'!F96)</f>
        <v>0</v>
      </c>
      <c r="G96" s="49">
        <f>AVERAGE('01.08 Nakawa-Bugolobi-24h'!G96,'03.08 Nakawa-Bugolobi-24h'!G96)</f>
        <v>0</v>
      </c>
      <c r="H96" s="49">
        <f>AVERAGE('01.08 Nakawa-Bugolobi-24h'!H96,'03.08 Nakawa-Bugolobi-24h'!H96)</f>
        <v>0</v>
      </c>
      <c r="I96" s="49">
        <f>AVERAGE('01.08 Nakawa-Bugolobi-24h'!I96,'03.08 Nakawa-Bugolobi-24h'!I96)</f>
        <v>0.5</v>
      </c>
      <c r="J96" s="49">
        <f>AVERAGE('01.08 Nakawa-Bugolobi-24h'!J96,'03.08 Nakawa-Bugolobi-24h'!J96)</f>
        <v>0.5</v>
      </c>
      <c r="K96" s="49">
        <f>AVERAGE('01.08 Nakawa-Bugolobi-24h'!K96,'03.08 Nakawa-Bugolobi-24h'!K96)</f>
        <v>0</v>
      </c>
      <c r="L96" s="49">
        <f>AVERAGE('01.08 Nakawa-Bugolobi-24h'!L96,'03.08 Nakawa-Bugolobi-24h'!L96)</f>
        <v>0</v>
      </c>
      <c r="M96" s="49">
        <f>AVERAGE('01.08 Nakawa-Bugolobi-24h'!M96,'03.08 Nakawa-Bugolobi-24h'!M96)</f>
        <v>14</v>
      </c>
      <c r="N96" s="49">
        <f>AVERAGE('01.08 Nakawa-Bugolobi-24h'!N96,'03.08 Nakawa-Bugolobi-24h'!N96)</f>
        <v>0</v>
      </c>
      <c r="O96" s="15">
        <f t="shared" si="35"/>
        <v>14.5</v>
      </c>
      <c r="P96" s="15">
        <f t="shared" si="36"/>
        <v>28.5</v>
      </c>
      <c r="R96" s="8"/>
      <c r="T96"/>
    </row>
    <row r="97" spans="2:20" ht="23.1" customHeight="1" x14ac:dyDescent="0.25">
      <c r="B97" s="23" t="s">
        <v>137</v>
      </c>
      <c r="C97" s="49">
        <f>AVERAGE('01.08 Nakawa-Bugolobi-24h'!C97,'03.08 Nakawa-Bugolobi-24h'!C97)</f>
        <v>10</v>
      </c>
      <c r="D97" s="49">
        <f>AVERAGE('01.08 Nakawa-Bugolobi-24h'!D97,'03.08 Nakawa-Bugolobi-24h'!D97)</f>
        <v>2</v>
      </c>
      <c r="E97" s="49">
        <f>AVERAGE('01.08 Nakawa-Bugolobi-24h'!E97,'03.08 Nakawa-Bugolobi-24h'!E97)</f>
        <v>3</v>
      </c>
      <c r="F97" s="49">
        <f>AVERAGE('01.08 Nakawa-Bugolobi-24h'!F97,'03.08 Nakawa-Bugolobi-24h'!F97)</f>
        <v>1.5</v>
      </c>
      <c r="G97" s="49">
        <f>AVERAGE('01.08 Nakawa-Bugolobi-24h'!G97,'03.08 Nakawa-Bugolobi-24h'!G97)</f>
        <v>0</v>
      </c>
      <c r="H97" s="49">
        <f>AVERAGE('01.08 Nakawa-Bugolobi-24h'!H97,'03.08 Nakawa-Bugolobi-24h'!H97)</f>
        <v>0</v>
      </c>
      <c r="I97" s="49">
        <f>AVERAGE('01.08 Nakawa-Bugolobi-24h'!I97,'03.08 Nakawa-Bugolobi-24h'!I97)</f>
        <v>0</v>
      </c>
      <c r="J97" s="49">
        <f>AVERAGE('01.08 Nakawa-Bugolobi-24h'!J97,'03.08 Nakawa-Bugolobi-24h'!J97)</f>
        <v>0</v>
      </c>
      <c r="K97" s="49">
        <f>AVERAGE('01.08 Nakawa-Bugolobi-24h'!K97,'03.08 Nakawa-Bugolobi-24h'!K97)</f>
        <v>0</v>
      </c>
      <c r="L97" s="49">
        <f>AVERAGE('01.08 Nakawa-Bugolobi-24h'!L97,'03.08 Nakawa-Bugolobi-24h'!L97)</f>
        <v>0</v>
      </c>
      <c r="M97" s="49">
        <f>AVERAGE('01.08 Nakawa-Bugolobi-24h'!M97,'03.08 Nakawa-Bugolobi-24h'!M97)</f>
        <v>17</v>
      </c>
      <c r="N97" s="49">
        <f>AVERAGE('01.08 Nakawa-Bugolobi-24h'!N97,'03.08 Nakawa-Bugolobi-24h'!N97)</f>
        <v>0</v>
      </c>
      <c r="O97" s="15">
        <f t="shared" si="35"/>
        <v>16.5</v>
      </c>
      <c r="P97" s="15">
        <f t="shared" si="36"/>
        <v>33.5</v>
      </c>
      <c r="R97" s="8"/>
      <c r="T97"/>
    </row>
    <row r="98" spans="2:20" ht="23.1" customHeight="1" x14ac:dyDescent="0.25">
      <c r="B98" s="24" t="s">
        <v>138</v>
      </c>
      <c r="C98" s="49">
        <f>AVERAGE('01.08 Nakawa-Bugolobi-24h'!C98,'03.08 Nakawa-Bugolobi-24h'!C98)</f>
        <v>2</v>
      </c>
      <c r="D98" s="49">
        <f>AVERAGE('01.08 Nakawa-Bugolobi-24h'!D98,'03.08 Nakawa-Bugolobi-24h'!D98)</f>
        <v>0.5</v>
      </c>
      <c r="E98" s="49">
        <f>AVERAGE('01.08 Nakawa-Bugolobi-24h'!E98,'03.08 Nakawa-Bugolobi-24h'!E98)</f>
        <v>0</v>
      </c>
      <c r="F98" s="49">
        <f>AVERAGE('01.08 Nakawa-Bugolobi-24h'!F98,'03.08 Nakawa-Bugolobi-24h'!F98)</f>
        <v>0.5</v>
      </c>
      <c r="G98" s="49">
        <f>AVERAGE('01.08 Nakawa-Bugolobi-24h'!G98,'03.08 Nakawa-Bugolobi-24h'!G98)</f>
        <v>0</v>
      </c>
      <c r="H98" s="49">
        <f>AVERAGE('01.08 Nakawa-Bugolobi-24h'!H98,'03.08 Nakawa-Bugolobi-24h'!H98)</f>
        <v>0</v>
      </c>
      <c r="I98" s="49">
        <f>AVERAGE('01.08 Nakawa-Bugolobi-24h'!I98,'03.08 Nakawa-Bugolobi-24h'!I98)</f>
        <v>0</v>
      </c>
      <c r="J98" s="49">
        <f>AVERAGE('01.08 Nakawa-Bugolobi-24h'!J98,'03.08 Nakawa-Bugolobi-24h'!J98)</f>
        <v>0.5</v>
      </c>
      <c r="K98" s="49">
        <f>AVERAGE('01.08 Nakawa-Bugolobi-24h'!K98,'03.08 Nakawa-Bugolobi-24h'!K98)</f>
        <v>0</v>
      </c>
      <c r="L98" s="49">
        <f>AVERAGE('01.08 Nakawa-Bugolobi-24h'!L98,'03.08 Nakawa-Bugolobi-24h'!L98)</f>
        <v>0</v>
      </c>
      <c r="M98" s="49">
        <f>AVERAGE('01.08 Nakawa-Bugolobi-24h'!M98,'03.08 Nakawa-Bugolobi-24h'!M98)</f>
        <v>14</v>
      </c>
      <c r="N98" s="49">
        <f>AVERAGE('01.08 Nakawa-Bugolobi-24h'!N98,'03.08 Nakawa-Bugolobi-24h'!N98)</f>
        <v>0</v>
      </c>
      <c r="O98" s="15">
        <f t="shared" si="35"/>
        <v>3.5</v>
      </c>
      <c r="P98" s="15">
        <f t="shared" si="36"/>
        <v>17.5</v>
      </c>
      <c r="R98" s="8"/>
      <c r="T98"/>
    </row>
    <row r="99" spans="2:20" ht="23.1" customHeight="1" x14ac:dyDescent="0.25">
      <c r="B99" s="23" t="s">
        <v>139</v>
      </c>
      <c r="C99" s="49">
        <f>AVERAGE('01.08 Nakawa-Bugolobi-24h'!C99,'03.08 Nakawa-Bugolobi-24h'!C99)</f>
        <v>9.5</v>
      </c>
      <c r="D99" s="49">
        <f>AVERAGE('01.08 Nakawa-Bugolobi-24h'!D99,'03.08 Nakawa-Bugolobi-24h'!D99)</f>
        <v>1.5</v>
      </c>
      <c r="E99" s="49">
        <f>AVERAGE('01.08 Nakawa-Bugolobi-24h'!E99,'03.08 Nakawa-Bugolobi-24h'!E99)</f>
        <v>1.5</v>
      </c>
      <c r="F99" s="49">
        <f>AVERAGE('01.08 Nakawa-Bugolobi-24h'!F99,'03.08 Nakawa-Bugolobi-24h'!F99)</f>
        <v>1.5</v>
      </c>
      <c r="G99" s="49">
        <f>AVERAGE('01.08 Nakawa-Bugolobi-24h'!G99,'03.08 Nakawa-Bugolobi-24h'!G99)</f>
        <v>0</v>
      </c>
      <c r="H99" s="49">
        <f>AVERAGE('01.08 Nakawa-Bugolobi-24h'!H99,'03.08 Nakawa-Bugolobi-24h'!H99)</f>
        <v>0</v>
      </c>
      <c r="I99" s="49">
        <f>AVERAGE('01.08 Nakawa-Bugolobi-24h'!I99,'03.08 Nakawa-Bugolobi-24h'!I99)</f>
        <v>0</v>
      </c>
      <c r="J99" s="49">
        <f>AVERAGE('01.08 Nakawa-Bugolobi-24h'!J99,'03.08 Nakawa-Bugolobi-24h'!J99)</f>
        <v>0</v>
      </c>
      <c r="K99" s="49">
        <f>AVERAGE('01.08 Nakawa-Bugolobi-24h'!K99,'03.08 Nakawa-Bugolobi-24h'!K99)</f>
        <v>0</v>
      </c>
      <c r="L99" s="49">
        <f>AVERAGE('01.08 Nakawa-Bugolobi-24h'!L99,'03.08 Nakawa-Bugolobi-24h'!L99)</f>
        <v>0</v>
      </c>
      <c r="M99" s="49">
        <f>AVERAGE('01.08 Nakawa-Bugolobi-24h'!M99,'03.08 Nakawa-Bugolobi-24h'!M99)</f>
        <v>12</v>
      </c>
      <c r="N99" s="49">
        <f>AVERAGE('01.08 Nakawa-Bugolobi-24h'!N99,'03.08 Nakawa-Bugolobi-24h'!N99)</f>
        <v>0</v>
      </c>
      <c r="O99" s="15">
        <f t="shared" si="35"/>
        <v>14</v>
      </c>
      <c r="P99" s="15">
        <f t="shared" si="36"/>
        <v>26</v>
      </c>
      <c r="R99" s="8"/>
      <c r="T99"/>
    </row>
    <row r="100" spans="2:20" ht="23.1" customHeight="1" x14ac:dyDescent="0.25">
      <c r="B100" s="25" t="s">
        <v>140</v>
      </c>
      <c r="C100" s="49">
        <f>AVERAGE('01.08 Nakawa-Bugolobi-24h'!C100,'03.08 Nakawa-Bugolobi-24h'!C100)</f>
        <v>7.5</v>
      </c>
      <c r="D100" s="49">
        <f>AVERAGE('01.08 Nakawa-Bugolobi-24h'!D100,'03.08 Nakawa-Bugolobi-24h'!D100)</f>
        <v>2</v>
      </c>
      <c r="E100" s="49">
        <f>AVERAGE('01.08 Nakawa-Bugolobi-24h'!E100,'03.08 Nakawa-Bugolobi-24h'!E100)</f>
        <v>1</v>
      </c>
      <c r="F100" s="49">
        <f>AVERAGE('01.08 Nakawa-Bugolobi-24h'!F100,'03.08 Nakawa-Bugolobi-24h'!F100)</f>
        <v>1</v>
      </c>
      <c r="G100" s="49">
        <f>AVERAGE('01.08 Nakawa-Bugolobi-24h'!G100,'03.08 Nakawa-Bugolobi-24h'!G100)</f>
        <v>0</v>
      </c>
      <c r="H100" s="49">
        <f>AVERAGE('01.08 Nakawa-Bugolobi-24h'!H100,'03.08 Nakawa-Bugolobi-24h'!H100)</f>
        <v>0</v>
      </c>
      <c r="I100" s="49">
        <f>AVERAGE('01.08 Nakawa-Bugolobi-24h'!I100,'03.08 Nakawa-Bugolobi-24h'!I100)</f>
        <v>0.5</v>
      </c>
      <c r="J100" s="49">
        <f>AVERAGE('01.08 Nakawa-Bugolobi-24h'!J100,'03.08 Nakawa-Bugolobi-24h'!J100)</f>
        <v>0.5</v>
      </c>
      <c r="K100" s="49">
        <f>AVERAGE('01.08 Nakawa-Bugolobi-24h'!K100,'03.08 Nakawa-Bugolobi-24h'!K100)</f>
        <v>0</v>
      </c>
      <c r="L100" s="49">
        <f>AVERAGE('01.08 Nakawa-Bugolobi-24h'!L100,'03.08 Nakawa-Bugolobi-24h'!L100)</f>
        <v>0</v>
      </c>
      <c r="M100" s="49">
        <f>AVERAGE('01.08 Nakawa-Bugolobi-24h'!M100,'03.08 Nakawa-Bugolobi-24h'!M100)</f>
        <v>17</v>
      </c>
      <c r="N100" s="49">
        <f>AVERAGE('01.08 Nakawa-Bugolobi-24h'!N100,'03.08 Nakawa-Bugolobi-24h'!N100)</f>
        <v>0</v>
      </c>
      <c r="O100" s="15">
        <f t="shared" si="35"/>
        <v>12.5</v>
      </c>
      <c r="P100" s="15">
        <f t="shared" si="36"/>
        <v>29.5</v>
      </c>
      <c r="R100" s="8"/>
      <c r="T100"/>
    </row>
    <row r="101" spans="2:20" ht="23.1" customHeight="1" x14ac:dyDescent="0.25">
      <c r="B101" s="23" t="s">
        <v>141</v>
      </c>
      <c r="C101" s="49">
        <f>AVERAGE('01.08 Nakawa-Bugolobi-24h'!C101,'03.08 Nakawa-Bugolobi-24h'!C101)</f>
        <v>15.5</v>
      </c>
      <c r="D101" s="49">
        <f>AVERAGE('01.08 Nakawa-Bugolobi-24h'!D101,'03.08 Nakawa-Bugolobi-24h'!D101)</f>
        <v>0.5</v>
      </c>
      <c r="E101" s="49">
        <f>AVERAGE('01.08 Nakawa-Bugolobi-24h'!E101,'03.08 Nakawa-Bugolobi-24h'!E101)</f>
        <v>0.5</v>
      </c>
      <c r="F101" s="49">
        <f>AVERAGE('01.08 Nakawa-Bugolobi-24h'!F101,'03.08 Nakawa-Bugolobi-24h'!F101)</f>
        <v>2</v>
      </c>
      <c r="G101" s="49">
        <f>AVERAGE('01.08 Nakawa-Bugolobi-24h'!G101,'03.08 Nakawa-Bugolobi-24h'!G101)</f>
        <v>0.5</v>
      </c>
      <c r="H101" s="49">
        <f>AVERAGE('01.08 Nakawa-Bugolobi-24h'!H101,'03.08 Nakawa-Bugolobi-24h'!H101)</f>
        <v>0</v>
      </c>
      <c r="I101" s="49">
        <f>AVERAGE('01.08 Nakawa-Bugolobi-24h'!I101,'03.08 Nakawa-Bugolobi-24h'!I101)</f>
        <v>0</v>
      </c>
      <c r="J101" s="49">
        <f>AVERAGE('01.08 Nakawa-Bugolobi-24h'!J101,'03.08 Nakawa-Bugolobi-24h'!J101)</f>
        <v>0</v>
      </c>
      <c r="K101" s="49">
        <f>AVERAGE('01.08 Nakawa-Bugolobi-24h'!K101,'03.08 Nakawa-Bugolobi-24h'!K101)</f>
        <v>0</v>
      </c>
      <c r="L101" s="49">
        <f>AVERAGE('01.08 Nakawa-Bugolobi-24h'!L101,'03.08 Nakawa-Bugolobi-24h'!L101)</f>
        <v>0</v>
      </c>
      <c r="M101" s="49">
        <f>AVERAGE('01.08 Nakawa-Bugolobi-24h'!M101,'03.08 Nakawa-Bugolobi-24h'!M101)</f>
        <v>23</v>
      </c>
      <c r="N101" s="49">
        <f>AVERAGE('01.08 Nakawa-Bugolobi-24h'!N101,'03.08 Nakawa-Bugolobi-24h'!N101)</f>
        <v>0</v>
      </c>
      <c r="O101" s="15">
        <f t="shared" si="35"/>
        <v>19</v>
      </c>
      <c r="P101" s="15">
        <f t="shared" si="36"/>
        <v>42</v>
      </c>
      <c r="R101" s="8"/>
      <c r="T101"/>
    </row>
    <row r="102" spans="2:20" ht="23.1" customHeight="1" x14ac:dyDescent="0.25">
      <c r="B102" s="24" t="s">
        <v>142</v>
      </c>
      <c r="C102" s="49">
        <f>AVERAGE('01.08 Nakawa-Bugolobi-24h'!C102,'03.08 Nakawa-Bugolobi-24h'!C102)</f>
        <v>21</v>
      </c>
      <c r="D102" s="49">
        <f>AVERAGE('01.08 Nakawa-Bugolobi-24h'!D102,'03.08 Nakawa-Bugolobi-24h'!D102)</f>
        <v>2.5</v>
      </c>
      <c r="E102" s="49">
        <f>AVERAGE('01.08 Nakawa-Bugolobi-24h'!E102,'03.08 Nakawa-Bugolobi-24h'!E102)</f>
        <v>1</v>
      </c>
      <c r="F102" s="49">
        <f>AVERAGE('01.08 Nakawa-Bugolobi-24h'!F102,'03.08 Nakawa-Bugolobi-24h'!F102)</f>
        <v>5</v>
      </c>
      <c r="G102" s="49">
        <f>AVERAGE('01.08 Nakawa-Bugolobi-24h'!G102,'03.08 Nakawa-Bugolobi-24h'!G102)</f>
        <v>0</v>
      </c>
      <c r="H102" s="49">
        <f>AVERAGE('01.08 Nakawa-Bugolobi-24h'!H102,'03.08 Nakawa-Bugolobi-24h'!H102)</f>
        <v>0</v>
      </c>
      <c r="I102" s="49">
        <f>AVERAGE('01.08 Nakawa-Bugolobi-24h'!I102,'03.08 Nakawa-Bugolobi-24h'!I102)</f>
        <v>0</v>
      </c>
      <c r="J102" s="49">
        <f>AVERAGE('01.08 Nakawa-Bugolobi-24h'!J102,'03.08 Nakawa-Bugolobi-24h'!J102)</f>
        <v>0</v>
      </c>
      <c r="K102" s="49">
        <f>AVERAGE('01.08 Nakawa-Bugolobi-24h'!K102,'03.08 Nakawa-Bugolobi-24h'!K102)</f>
        <v>0</v>
      </c>
      <c r="L102" s="49">
        <f>AVERAGE('01.08 Nakawa-Bugolobi-24h'!L102,'03.08 Nakawa-Bugolobi-24h'!L102)</f>
        <v>0</v>
      </c>
      <c r="M102" s="49">
        <f>AVERAGE('01.08 Nakawa-Bugolobi-24h'!M102,'03.08 Nakawa-Bugolobi-24h'!M102)</f>
        <v>25</v>
      </c>
      <c r="N102" s="49">
        <f>AVERAGE('01.08 Nakawa-Bugolobi-24h'!N102,'03.08 Nakawa-Bugolobi-24h'!N102)</f>
        <v>0</v>
      </c>
      <c r="O102" s="15">
        <f t="shared" si="35"/>
        <v>29.5</v>
      </c>
      <c r="P102" s="15">
        <f t="shared" si="36"/>
        <v>54.5</v>
      </c>
      <c r="R102" s="8"/>
      <c r="T102"/>
    </row>
    <row r="103" spans="2:20" ht="23.1" customHeight="1" x14ac:dyDescent="0.25">
      <c r="B103" s="23" t="s">
        <v>143</v>
      </c>
      <c r="C103" s="49">
        <f>AVERAGE('01.08 Nakawa-Bugolobi-24h'!C103,'03.08 Nakawa-Bugolobi-24h'!C103)</f>
        <v>34</v>
      </c>
      <c r="D103" s="49">
        <f>AVERAGE('01.08 Nakawa-Bugolobi-24h'!D103,'03.08 Nakawa-Bugolobi-24h'!D103)</f>
        <v>4</v>
      </c>
      <c r="E103" s="49">
        <f>AVERAGE('01.08 Nakawa-Bugolobi-24h'!E103,'03.08 Nakawa-Bugolobi-24h'!E103)</f>
        <v>2.5</v>
      </c>
      <c r="F103" s="49">
        <f>AVERAGE('01.08 Nakawa-Bugolobi-24h'!F103,'03.08 Nakawa-Bugolobi-24h'!F103)</f>
        <v>6.5</v>
      </c>
      <c r="G103" s="49">
        <f>AVERAGE('01.08 Nakawa-Bugolobi-24h'!G103,'03.08 Nakawa-Bugolobi-24h'!G103)</f>
        <v>0</v>
      </c>
      <c r="H103" s="49">
        <f>AVERAGE('01.08 Nakawa-Bugolobi-24h'!H103,'03.08 Nakawa-Bugolobi-24h'!H103)</f>
        <v>0</v>
      </c>
      <c r="I103" s="49">
        <f>AVERAGE('01.08 Nakawa-Bugolobi-24h'!I103,'03.08 Nakawa-Bugolobi-24h'!I103)</f>
        <v>1.5</v>
      </c>
      <c r="J103" s="49">
        <f>AVERAGE('01.08 Nakawa-Bugolobi-24h'!J103,'03.08 Nakawa-Bugolobi-24h'!J103)</f>
        <v>0</v>
      </c>
      <c r="K103" s="49">
        <f>AVERAGE('01.08 Nakawa-Bugolobi-24h'!K103,'03.08 Nakawa-Bugolobi-24h'!K103)</f>
        <v>0</v>
      </c>
      <c r="L103" s="49">
        <f>AVERAGE('01.08 Nakawa-Bugolobi-24h'!L103,'03.08 Nakawa-Bugolobi-24h'!L103)</f>
        <v>0</v>
      </c>
      <c r="M103" s="49">
        <f>AVERAGE('01.08 Nakawa-Bugolobi-24h'!M103,'03.08 Nakawa-Bugolobi-24h'!M103)</f>
        <v>12.5</v>
      </c>
      <c r="N103" s="49">
        <f>AVERAGE('01.08 Nakawa-Bugolobi-24h'!N103,'03.08 Nakawa-Bugolobi-24h'!N103)</f>
        <v>0</v>
      </c>
      <c r="O103" s="15">
        <f t="shared" si="35"/>
        <v>48.5</v>
      </c>
      <c r="P103" s="15">
        <f t="shared" si="36"/>
        <v>61</v>
      </c>
      <c r="R103" s="8"/>
      <c r="T103"/>
    </row>
    <row r="104" spans="2:20" ht="23.1" customHeight="1" x14ac:dyDescent="0.25">
      <c r="B104" s="25" t="s">
        <v>144</v>
      </c>
      <c r="C104" s="49">
        <f>AVERAGE('01.08 Nakawa-Bugolobi-24h'!C104,'03.08 Nakawa-Bugolobi-24h'!C104)</f>
        <v>25</v>
      </c>
      <c r="D104" s="49">
        <f>AVERAGE('01.08 Nakawa-Bugolobi-24h'!D104,'03.08 Nakawa-Bugolobi-24h'!D104)</f>
        <v>3.5</v>
      </c>
      <c r="E104" s="49">
        <f>AVERAGE('01.08 Nakawa-Bugolobi-24h'!E104,'03.08 Nakawa-Bugolobi-24h'!E104)</f>
        <v>2</v>
      </c>
      <c r="F104" s="49">
        <f>AVERAGE('01.08 Nakawa-Bugolobi-24h'!F104,'03.08 Nakawa-Bugolobi-24h'!F104)</f>
        <v>8</v>
      </c>
      <c r="G104" s="49">
        <f>AVERAGE('01.08 Nakawa-Bugolobi-24h'!G104,'03.08 Nakawa-Bugolobi-24h'!G104)</f>
        <v>0</v>
      </c>
      <c r="H104" s="49">
        <f>AVERAGE('01.08 Nakawa-Bugolobi-24h'!H104,'03.08 Nakawa-Bugolobi-24h'!H104)</f>
        <v>0</v>
      </c>
      <c r="I104" s="49">
        <f>AVERAGE('01.08 Nakawa-Bugolobi-24h'!I104,'03.08 Nakawa-Bugolobi-24h'!I104)</f>
        <v>0.5</v>
      </c>
      <c r="J104" s="49">
        <f>AVERAGE('01.08 Nakawa-Bugolobi-24h'!J104,'03.08 Nakawa-Bugolobi-24h'!J104)</f>
        <v>1</v>
      </c>
      <c r="K104" s="49">
        <f>AVERAGE('01.08 Nakawa-Bugolobi-24h'!K104,'03.08 Nakawa-Bugolobi-24h'!K104)</f>
        <v>0.5</v>
      </c>
      <c r="L104" s="49">
        <f>AVERAGE('01.08 Nakawa-Bugolobi-24h'!L104,'03.08 Nakawa-Bugolobi-24h'!L104)</f>
        <v>0</v>
      </c>
      <c r="M104" s="49">
        <f>AVERAGE('01.08 Nakawa-Bugolobi-24h'!M104,'03.08 Nakawa-Bugolobi-24h'!M104)</f>
        <v>31.5</v>
      </c>
      <c r="N104" s="49">
        <f>AVERAGE('01.08 Nakawa-Bugolobi-24h'!N104,'03.08 Nakawa-Bugolobi-24h'!N104)</f>
        <v>0</v>
      </c>
      <c r="O104" s="15">
        <f t="shared" si="35"/>
        <v>40.5</v>
      </c>
      <c r="P104" s="15">
        <f t="shared" si="36"/>
        <v>72</v>
      </c>
      <c r="R104" s="8"/>
      <c r="T104"/>
    </row>
    <row r="105" spans="2:20" ht="23.1" customHeight="1" x14ac:dyDescent="0.25">
      <c r="B105" s="23" t="s">
        <v>145</v>
      </c>
      <c r="C105" s="49">
        <f>AVERAGE('01.08 Nakawa-Bugolobi-24h'!C105,'03.08 Nakawa-Bugolobi-24h'!C105)</f>
        <v>25</v>
      </c>
      <c r="D105" s="49">
        <f>AVERAGE('01.08 Nakawa-Bugolobi-24h'!D105,'03.08 Nakawa-Bugolobi-24h'!D105)</f>
        <v>3</v>
      </c>
      <c r="E105" s="49">
        <f>AVERAGE('01.08 Nakawa-Bugolobi-24h'!E105,'03.08 Nakawa-Bugolobi-24h'!E105)</f>
        <v>2</v>
      </c>
      <c r="F105" s="49">
        <f>AVERAGE('01.08 Nakawa-Bugolobi-24h'!F105,'03.08 Nakawa-Bugolobi-24h'!F105)</f>
        <v>12.5</v>
      </c>
      <c r="G105" s="49">
        <f>AVERAGE('01.08 Nakawa-Bugolobi-24h'!G105,'03.08 Nakawa-Bugolobi-24h'!G105)</f>
        <v>0</v>
      </c>
      <c r="H105" s="49">
        <f>AVERAGE('01.08 Nakawa-Bugolobi-24h'!H105,'03.08 Nakawa-Bugolobi-24h'!H105)</f>
        <v>0</v>
      </c>
      <c r="I105" s="49">
        <f>AVERAGE('01.08 Nakawa-Bugolobi-24h'!I105,'03.08 Nakawa-Bugolobi-24h'!I105)</f>
        <v>1</v>
      </c>
      <c r="J105" s="49">
        <f>AVERAGE('01.08 Nakawa-Bugolobi-24h'!J105,'03.08 Nakawa-Bugolobi-24h'!J105)</f>
        <v>0</v>
      </c>
      <c r="K105" s="49">
        <f>AVERAGE('01.08 Nakawa-Bugolobi-24h'!K105,'03.08 Nakawa-Bugolobi-24h'!K105)</f>
        <v>0</v>
      </c>
      <c r="L105" s="49">
        <f>AVERAGE('01.08 Nakawa-Bugolobi-24h'!L105,'03.08 Nakawa-Bugolobi-24h'!L105)</f>
        <v>0</v>
      </c>
      <c r="M105" s="49">
        <f>AVERAGE('01.08 Nakawa-Bugolobi-24h'!M105,'03.08 Nakawa-Bugolobi-24h'!M105)</f>
        <v>39.5</v>
      </c>
      <c r="N105" s="49">
        <f>AVERAGE('01.08 Nakawa-Bugolobi-24h'!N105,'03.08 Nakawa-Bugolobi-24h'!N105)</f>
        <v>0</v>
      </c>
      <c r="O105" s="15">
        <f t="shared" si="35"/>
        <v>43.5</v>
      </c>
      <c r="P105" s="15">
        <f t="shared" si="36"/>
        <v>83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4859.2142857142853</v>
      </c>
      <c r="D106" s="16">
        <f t="shared" ref="D106:P106" si="37">SUM(D10:D105)</f>
        <v>1098.2142857142858</v>
      </c>
      <c r="E106" s="16">
        <f t="shared" si="37"/>
        <v>868.5</v>
      </c>
      <c r="F106" s="16">
        <f t="shared" si="37"/>
        <v>1184.1428571428573</v>
      </c>
      <c r="G106" s="16">
        <f t="shared" si="37"/>
        <v>31.285714285714288</v>
      </c>
      <c r="H106" s="16">
        <f t="shared" si="37"/>
        <v>5.5714285714285712</v>
      </c>
      <c r="I106" s="16">
        <f t="shared" si="37"/>
        <v>167.78571428571433</v>
      </c>
      <c r="J106" s="16">
        <f t="shared" si="37"/>
        <v>64</v>
      </c>
      <c r="K106" s="16">
        <f t="shared" si="37"/>
        <v>13.857142857142858</v>
      </c>
      <c r="L106" s="16">
        <f t="shared" si="37"/>
        <v>9.4285714285714306</v>
      </c>
      <c r="M106" s="16">
        <f t="shared" si="37"/>
        <v>6753.2142857142871</v>
      </c>
      <c r="N106" s="16">
        <f t="shared" si="37"/>
        <v>0.42857142857142855</v>
      </c>
      <c r="O106" s="16">
        <f t="shared" si="37"/>
        <v>8302.4285714285688</v>
      </c>
      <c r="P106" s="16">
        <f t="shared" si="37"/>
        <v>15055.642857142855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0.3227503688697641</v>
      </c>
      <c r="D107" s="43">
        <f t="shared" si="38"/>
        <v>7.2943699324885328E-2</v>
      </c>
      <c r="E107" s="43">
        <f t="shared" si="38"/>
        <v>5.7686012363660527E-2</v>
      </c>
      <c r="F107" s="43">
        <f t="shared" si="38"/>
        <v>7.8651099018403184E-2</v>
      </c>
      <c r="G107" s="43">
        <f t="shared" si="38"/>
        <v>2.0780058734503918E-3</v>
      </c>
      <c r="H107" s="43">
        <f t="shared" si="38"/>
        <v>3.7005584047746697E-4</v>
      </c>
      <c r="I107" s="43">
        <f t="shared" si="38"/>
        <v>1.1144373965148335E-2</v>
      </c>
      <c r="J107" s="43">
        <f t="shared" si="38"/>
        <v>4.2508978598437231E-3</v>
      </c>
      <c r="K107" s="43">
        <f t="shared" si="38"/>
        <v>9.2039529554652048E-4</v>
      </c>
      <c r="L107" s="43">
        <f t="shared" si="38"/>
        <v>6.2624834542340574E-4</v>
      </c>
      <c r="M107" s="43">
        <f t="shared" si="38"/>
        <v>0.44855037740951437</v>
      </c>
      <c r="N107" s="43">
        <f t="shared" si="38"/>
        <v>2.8465833882882073E-5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0.58527625307569231</v>
      </c>
      <c r="D108" s="44">
        <f t="shared" ref="D108:N108" si="39">D106/$O$106</f>
        <v>0.1322762702823615</v>
      </c>
      <c r="E108" s="44">
        <f t="shared" si="39"/>
        <v>0.10460794603988509</v>
      </c>
      <c r="F108" s="44">
        <f t="shared" si="39"/>
        <v>0.14262608186933262</v>
      </c>
      <c r="G108" s="44">
        <f t="shared" si="39"/>
        <v>3.7682605777999566E-3</v>
      </c>
      <c r="H108" s="44">
        <f t="shared" si="39"/>
        <v>6.7106010289588259E-4</v>
      </c>
      <c r="I108" s="44">
        <f t="shared" si="39"/>
        <v>2.0209233098749089E-2</v>
      </c>
      <c r="J108" s="44">
        <f t="shared" si="39"/>
        <v>7.7085878486501391E-3</v>
      </c>
      <c r="K108" s="44">
        <f t="shared" si="39"/>
        <v>1.6690469225871954E-3</v>
      </c>
      <c r="L108" s="44">
        <f t="shared" si="39"/>
        <v>1.135640174131494E-3</v>
      </c>
      <c r="M108" s="44"/>
      <c r="N108" s="44">
        <f t="shared" si="39"/>
        <v>5.1620007915067897E-5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M34" zoomScale="60" workbookViewId="0">
      <selection activeCell="AD55" sqref="AD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Nakawa-Bugolobi'!C3:G3</f>
        <v>MCC - C1 - STN45 - NEW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'Avg Week Nakawa-Bugolobi'!G5:H5</f>
        <v>Business Park</v>
      </c>
      <c r="H5" s="64"/>
      <c r="I5" s="14"/>
      <c r="J5" s="2" t="s">
        <v>5</v>
      </c>
      <c r="K5" s="63" t="str">
        <f>'Avg Week Nakawa-Bugolobi'!K5:L5</f>
        <v>Osigai George/Mujuni Peter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Nakawa-Bugolobi'!K6:L6</f>
        <v>Felix and 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Bugolobi-Nakawa'!C10+'Avg Week Nakawa-Bugolobi'!C10</f>
        <v>124.14285714285714</v>
      </c>
      <c r="D10" s="49">
        <f>'Avg Week Bugolobi-Nakawa'!D10+'Avg Week Nakawa-Bugolobi'!D10</f>
        <v>40.285714285714285</v>
      </c>
      <c r="E10" s="49">
        <f>'Avg Week Bugolobi-Nakawa'!E10+'Avg Week Nakawa-Bugolobi'!E10</f>
        <v>30.571428571428569</v>
      </c>
      <c r="F10" s="49">
        <f>'Avg Week Bugolobi-Nakawa'!F10+'Avg Week Nakawa-Bugolobi'!F10</f>
        <v>55</v>
      </c>
      <c r="G10" s="49">
        <f>'Avg Week Bugolobi-Nakawa'!G10+'Avg Week Nakawa-Bugolobi'!G10</f>
        <v>1</v>
      </c>
      <c r="H10" s="49">
        <f>'Avg Week Bugolobi-Nakawa'!H10+'Avg Week Nakawa-Bugolobi'!H10</f>
        <v>0</v>
      </c>
      <c r="I10" s="49">
        <f>'Avg Week Bugolobi-Nakawa'!I10+'Avg Week Nakawa-Bugolobi'!I10</f>
        <v>5</v>
      </c>
      <c r="J10" s="49">
        <f>'Avg Week Bugolobi-Nakawa'!J10+'Avg Week Nakawa-Bugolobi'!J10</f>
        <v>0.5714285714285714</v>
      </c>
      <c r="K10" s="49">
        <f>'Avg Week Bugolobi-Nakawa'!K10+'Avg Week Nakawa-Bugolobi'!K10</f>
        <v>0.2857142857142857</v>
      </c>
      <c r="L10" s="49">
        <f>'Avg Week Bugolobi-Nakawa'!L10+'Avg Week Nakawa-Bugolobi'!L10</f>
        <v>0.42857142857142855</v>
      </c>
      <c r="M10" s="49">
        <f>'Avg Week Bugolobi-Nakawa'!M10+'Avg Week Nakawa-Bugolobi'!M10</f>
        <v>141.85714285714283</v>
      </c>
      <c r="N10" s="49">
        <f>'Avg Week Bugolobi-Nakawa'!N10+'Avg Week Nakawa-Bugolobi'!N10</f>
        <v>0</v>
      </c>
      <c r="O10" s="15">
        <f t="shared" ref="O10:O73" si="0">SUM(C10:L10,N10)</f>
        <v>257.28571428571428</v>
      </c>
      <c r="P10" s="15">
        <f t="shared" ref="P10:P73" si="1">SUM(C10:N10)</f>
        <v>399.14285714285711</v>
      </c>
      <c r="R10" s="1" t="s">
        <v>6</v>
      </c>
      <c r="S10" s="17">
        <f t="shared" ref="S10:AF10" si="2">SUM(C10:C13)</f>
        <v>522.57142857142856</v>
      </c>
      <c r="T10" s="17">
        <f t="shared" si="2"/>
        <v>191.85714285714283</v>
      </c>
      <c r="U10" s="17">
        <f t="shared" si="2"/>
        <v>132.71428571428572</v>
      </c>
      <c r="V10" s="17">
        <f t="shared" si="2"/>
        <v>249.71428571428569</v>
      </c>
      <c r="W10" s="17">
        <f t="shared" si="2"/>
        <v>3.4285714285714288</v>
      </c>
      <c r="X10" s="17">
        <f t="shared" si="2"/>
        <v>0.99999999999999989</v>
      </c>
      <c r="Y10" s="17">
        <f t="shared" si="2"/>
        <v>13</v>
      </c>
      <c r="Z10" s="17">
        <f t="shared" si="2"/>
        <v>5.5714285714285712</v>
      </c>
      <c r="AA10" s="17">
        <f t="shared" si="2"/>
        <v>0.99999999999999989</v>
      </c>
      <c r="AB10" s="17">
        <f t="shared" si="2"/>
        <v>1.714285714285714</v>
      </c>
      <c r="AC10" s="17">
        <f t="shared" si="2"/>
        <v>600.28571428571422</v>
      </c>
      <c r="AD10" s="17">
        <f t="shared" si="2"/>
        <v>0</v>
      </c>
      <c r="AE10" s="31">
        <f t="shared" si="2"/>
        <v>1122.5714285714287</v>
      </c>
      <c r="AF10" s="31">
        <f t="shared" si="2"/>
        <v>1722.8571428571429</v>
      </c>
    </row>
    <row r="11" spans="2:32" s="6" customFormat="1" ht="23.1" customHeight="1" x14ac:dyDescent="0.25">
      <c r="B11" s="23" t="s">
        <v>38</v>
      </c>
      <c r="C11" s="49">
        <f>'Avg Week Bugolobi-Nakawa'!C11+'Avg Week Nakawa-Bugolobi'!C11</f>
        <v>116.71428571428572</v>
      </c>
      <c r="D11" s="49">
        <f>'Avg Week Bugolobi-Nakawa'!D11+'Avg Week Nakawa-Bugolobi'!D11</f>
        <v>43.857142857142854</v>
      </c>
      <c r="E11" s="49">
        <f>'Avg Week Bugolobi-Nakawa'!E11+'Avg Week Nakawa-Bugolobi'!E11</f>
        <v>24.285714285714285</v>
      </c>
      <c r="F11" s="49">
        <f>'Avg Week Bugolobi-Nakawa'!F11+'Avg Week Nakawa-Bugolobi'!F11</f>
        <v>52.428571428571431</v>
      </c>
      <c r="G11" s="49">
        <f>'Avg Week Bugolobi-Nakawa'!G11+'Avg Week Nakawa-Bugolobi'!G11</f>
        <v>1.1428571428571428</v>
      </c>
      <c r="H11" s="49">
        <f>'Avg Week Bugolobi-Nakawa'!H11+'Avg Week Nakawa-Bugolobi'!H11</f>
        <v>0.2857142857142857</v>
      </c>
      <c r="I11" s="49">
        <f>'Avg Week Bugolobi-Nakawa'!I11+'Avg Week Nakawa-Bugolobi'!I11</f>
        <v>1.7142857142857144</v>
      </c>
      <c r="J11" s="49">
        <f>'Avg Week Bugolobi-Nakawa'!J11+'Avg Week Nakawa-Bugolobi'!J11</f>
        <v>1.1428571428571428</v>
      </c>
      <c r="K11" s="49">
        <f>'Avg Week Bugolobi-Nakawa'!K11+'Avg Week Nakawa-Bugolobi'!K11</f>
        <v>0.42857142857142855</v>
      </c>
      <c r="L11" s="49">
        <f>'Avg Week Bugolobi-Nakawa'!L11+'Avg Week Nakawa-Bugolobi'!L11</f>
        <v>0.2857142857142857</v>
      </c>
      <c r="M11" s="49">
        <f>'Avg Week Bugolobi-Nakawa'!M11+'Avg Week Nakawa-Bugolobi'!M11</f>
        <v>139.85714285714286</v>
      </c>
      <c r="N11" s="49">
        <f>'Avg Week Bugolobi-Nakawa'!N11+'Avg Week Nakawa-Bugolobi'!N11</f>
        <v>0</v>
      </c>
      <c r="O11" s="15">
        <f t="shared" si="0"/>
        <v>242.28571428571425</v>
      </c>
      <c r="P11" s="15">
        <f t="shared" si="1"/>
        <v>382.14285714285711</v>
      </c>
      <c r="R11" s="1" t="s">
        <v>7</v>
      </c>
      <c r="S11" s="17">
        <f t="shared" ref="S11:AF11" si="3">SUM(C14:C17)</f>
        <v>630.57142857142856</v>
      </c>
      <c r="T11" s="17">
        <f t="shared" si="3"/>
        <v>203</v>
      </c>
      <c r="U11" s="17">
        <f t="shared" si="3"/>
        <v>135.57142857142858</v>
      </c>
      <c r="V11" s="17">
        <f t="shared" si="3"/>
        <v>266.71428571428572</v>
      </c>
      <c r="W11" s="17">
        <f t="shared" si="3"/>
        <v>3</v>
      </c>
      <c r="X11" s="17">
        <f t="shared" si="3"/>
        <v>2.1428571428571428</v>
      </c>
      <c r="Y11" s="17">
        <f t="shared" si="3"/>
        <v>19.285714285714285</v>
      </c>
      <c r="Z11" s="17">
        <f t="shared" si="3"/>
        <v>5.8571428571428568</v>
      </c>
      <c r="AA11" s="17">
        <f t="shared" si="3"/>
        <v>1.5714285714285714</v>
      </c>
      <c r="AB11" s="17">
        <f t="shared" si="3"/>
        <v>1.4285714285714284</v>
      </c>
      <c r="AC11" s="17">
        <f t="shared" si="3"/>
        <v>766.28571428571422</v>
      </c>
      <c r="AD11" s="17">
        <f t="shared" si="3"/>
        <v>0</v>
      </c>
      <c r="AE11" s="31">
        <f t="shared" si="3"/>
        <v>1269.1428571428571</v>
      </c>
      <c r="AF11" s="31">
        <f t="shared" si="3"/>
        <v>2035.4285714285716</v>
      </c>
    </row>
    <row r="12" spans="2:32" ht="23.1" customHeight="1" x14ac:dyDescent="0.25">
      <c r="B12" s="23" t="s">
        <v>39</v>
      </c>
      <c r="C12" s="49">
        <f>'Avg Week Bugolobi-Nakawa'!C12+'Avg Week Nakawa-Bugolobi'!C12</f>
        <v>120.14285714285714</v>
      </c>
      <c r="D12" s="49">
        <f>'Avg Week Bugolobi-Nakawa'!D12+'Avg Week Nakawa-Bugolobi'!D12</f>
        <v>48.285714285714285</v>
      </c>
      <c r="E12" s="49">
        <f>'Avg Week Bugolobi-Nakawa'!E12+'Avg Week Nakawa-Bugolobi'!E12</f>
        <v>40.142857142857139</v>
      </c>
      <c r="F12" s="49">
        <f>'Avg Week Bugolobi-Nakawa'!F12+'Avg Week Nakawa-Bugolobi'!F12</f>
        <v>73.142857142857139</v>
      </c>
      <c r="G12" s="49">
        <f>'Avg Week Bugolobi-Nakawa'!G12+'Avg Week Nakawa-Bugolobi'!G12</f>
        <v>0.7142857142857143</v>
      </c>
      <c r="H12" s="49">
        <f>'Avg Week Bugolobi-Nakawa'!H12+'Avg Week Nakawa-Bugolobi'!H12</f>
        <v>0.42857142857142855</v>
      </c>
      <c r="I12" s="49">
        <f>'Avg Week Bugolobi-Nakawa'!I12+'Avg Week Nakawa-Bugolobi'!I12</f>
        <v>4.1428571428571423</v>
      </c>
      <c r="J12" s="49">
        <f>'Avg Week Bugolobi-Nakawa'!J12+'Avg Week Nakawa-Bugolobi'!J12</f>
        <v>1</v>
      </c>
      <c r="K12" s="49">
        <f>'Avg Week Bugolobi-Nakawa'!K12+'Avg Week Nakawa-Bugolobi'!K12</f>
        <v>0</v>
      </c>
      <c r="L12" s="49">
        <f>'Avg Week Bugolobi-Nakawa'!L12+'Avg Week Nakawa-Bugolobi'!L12</f>
        <v>0.14285714285714285</v>
      </c>
      <c r="M12" s="49">
        <f>'Avg Week Bugolobi-Nakawa'!M12+'Avg Week Nakawa-Bugolobi'!M12</f>
        <v>154.57142857142856</v>
      </c>
      <c r="N12" s="49">
        <f>'Avg Week Bugolobi-Nakawa'!N12+'Avg Week Nakawa-Bugolobi'!N12</f>
        <v>0</v>
      </c>
      <c r="O12" s="15">
        <f t="shared" si="0"/>
        <v>288.14285714285717</v>
      </c>
      <c r="P12" s="15">
        <f t="shared" si="1"/>
        <v>442.71428571428572</v>
      </c>
      <c r="R12" s="1" t="s">
        <v>8</v>
      </c>
      <c r="S12" s="17">
        <f t="shared" ref="S12:AF12" si="4">SUM(C18:C21)</f>
        <v>606.57142857142867</v>
      </c>
      <c r="T12" s="17">
        <f t="shared" si="4"/>
        <v>193</v>
      </c>
      <c r="U12" s="17">
        <f t="shared" si="4"/>
        <v>144</v>
      </c>
      <c r="V12" s="17">
        <f t="shared" si="4"/>
        <v>225</v>
      </c>
      <c r="W12" s="17">
        <f t="shared" si="4"/>
        <v>3.4285714285714284</v>
      </c>
      <c r="X12" s="17">
        <f t="shared" si="4"/>
        <v>1.7142857142857142</v>
      </c>
      <c r="Y12" s="17">
        <f t="shared" si="4"/>
        <v>20.714285714285715</v>
      </c>
      <c r="Z12" s="17">
        <f t="shared" si="4"/>
        <v>8.428571428571427</v>
      </c>
      <c r="AA12" s="17">
        <f t="shared" si="4"/>
        <v>1.8571428571428572</v>
      </c>
      <c r="AB12" s="17">
        <f t="shared" si="4"/>
        <v>0.5714285714285714</v>
      </c>
      <c r="AC12" s="17">
        <f t="shared" si="4"/>
        <v>794.42857142857144</v>
      </c>
      <c r="AD12" s="17">
        <f t="shared" si="4"/>
        <v>0.14285714285714285</v>
      </c>
      <c r="AE12" s="31">
        <f t="shared" si="4"/>
        <v>1205.4285714285716</v>
      </c>
      <c r="AF12" s="31">
        <f t="shared" si="4"/>
        <v>1999.8571428571429</v>
      </c>
    </row>
    <row r="13" spans="2:32" ht="23.1" customHeight="1" x14ac:dyDescent="0.25">
      <c r="B13" s="23" t="s">
        <v>40</v>
      </c>
      <c r="C13" s="49">
        <f>'Avg Week Bugolobi-Nakawa'!C13+'Avg Week Nakawa-Bugolobi'!C13</f>
        <v>161.57142857142858</v>
      </c>
      <c r="D13" s="49">
        <f>'Avg Week Bugolobi-Nakawa'!D13+'Avg Week Nakawa-Bugolobi'!D13</f>
        <v>59.428571428571431</v>
      </c>
      <c r="E13" s="49">
        <f>'Avg Week Bugolobi-Nakawa'!E13+'Avg Week Nakawa-Bugolobi'!E13</f>
        <v>37.714285714285715</v>
      </c>
      <c r="F13" s="49">
        <f>'Avg Week Bugolobi-Nakawa'!F13+'Avg Week Nakawa-Bugolobi'!F13</f>
        <v>69.142857142857139</v>
      </c>
      <c r="G13" s="49">
        <f>'Avg Week Bugolobi-Nakawa'!G13+'Avg Week Nakawa-Bugolobi'!G13</f>
        <v>0.5714285714285714</v>
      </c>
      <c r="H13" s="49">
        <f>'Avg Week Bugolobi-Nakawa'!H13+'Avg Week Nakawa-Bugolobi'!H13</f>
        <v>0.2857142857142857</v>
      </c>
      <c r="I13" s="49">
        <f>'Avg Week Bugolobi-Nakawa'!I13+'Avg Week Nakawa-Bugolobi'!I13</f>
        <v>2.1428571428571428</v>
      </c>
      <c r="J13" s="49">
        <f>'Avg Week Bugolobi-Nakawa'!J13+'Avg Week Nakawa-Bugolobi'!J13</f>
        <v>2.8571428571428572</v>
      </c>
      <c r="K13" s="49">
        <f>'Avg Week Bugolobi-Nakawa'!K13+'Avg Week Nakawa-Bugolobi'!K13</f>
        <v>0.2857142857142857</v>
      </c>
      <c r="L13" s="49">
        <f>'Avg Week Bugolobi-Nakawa'!L13+'Avg Week Nakawa-Bugolobi'!L13</f>
        <v>0.8571428571428571</v>
      </c>
      <c r="M13" s="49">
        <f>'Avg Week Bugolobi-Nakawa'!M13+'Avg Week Nakawa-Bugolobi'!M13</f>
        <v>164</v>
      </c>
      <c r="N13" s="49">
        <f>'Avg Week Bugolobi-Nakawa'!N13+'Avg Week Nakawa-Bugolobi'!N13</f>
        <v>0</v>
      </c>
      <c r="O13" s="15">
        <f t="shared" si="0"/>
        <v>334.85714285714283</v>
      </c>
      <c r="P13" s="15">
        <f t="shared" si="1"/>
        <v>498.85714285714283</v>
      </c>
      <c r="R13" s="1" t="s">
        <v>9</v>
      </c>
      <c r="S13" s="17">
        <f t="shared" ref="S13:AF13" si="5">SUM(C22:C25)</f>
        <v>539</v>
      </c>
      <c r="T13" s="17">
        <f t="shared" si="5"/>
        <v>173.14285714285714</v>
      </c>
      <c r="U13" s="17">
        <f t="shared" si="5"/>
        <v>132.14285714285717</v>
      </c>
      <c r="V13" s="17">
        <f t="shared" si="5"/>
        <v>196</v>
      </c>
      <c r="W13" s="17">
        <f t="shared" si="5"/>
        <v>2.714285714285714</v>
      </c>
      <c r="X13" s="17">
        <f t="shared" si="5"/>
        <v>1</v>
      </c>
      <c r="Y13" s="17">
        <f t="shared" si="5"/>
        <v>19.857142857142858</v>
      </c>
      <c r="Z13" s="17">
        <f t="shared" si="5"/>
        <v>12.857142857142856</v>
      </c>
      <c r="AA13" s="17">
        <f t="shared" si="5"/>
        <v>0.99999999999999989</v>
      </c>
      <c r="AB13" s="17">
        <f t="shared" si="5"/>
        <v>1.2857142857142856</v>
      </c>
      <c r="AC13" s="17">
        <f t="shared" si="5"/>
        <v>709.85714285714289</v>
      </c>
      <c r="AD13" s="17">
        <f t="shared" si="5"/>
        <v>0.14285714285714285</v>
      </c>
      <c r="AE13" s="31">
        <f t="shared" si="5"/>
        <v>1079.1428571428571</v>
      </c>
      <c r="AF13" s="31">
        <f t="shared" si="5"/>
        <v>1789</v>
      </c>
    </row>
    <row r="14" spans="2:32" ht="23.1" customHeight="1" x14ac:dyDescent="0.25">
      <c r="B14" s="23" t="s">
        <v>41</v>
      </c>
      <c r="C14" s="49">
        <f>'Avg Week Bugolobi-Nakawa'!C14+'Avg Week Nakawa-Bugolobi'!C14</f>
        <v>149</v>
      </c>
      <c r="D14" s="49">
        <f>'Avg Week Bugolobi-Nakawa'!D14+'Avg Week Nakawa-Bugolobi'!D14</f>
        <v>52.571428571428569</v>
      </c>
      <c r="E14" s="49">
        <f>'Avg Week Bugolobi-Nakawa'!E14+'Avg Week Nakawa-Bugolobi'!E14</f>
        <v>36.285714285714285</v>
      </c>
      <c r="F14" s="49">
        <f>'Avg Week Bugolobi-Nakawa'!F14+'Avg Week Nakawa-Bugolobi'!F14</f>
        <v>75.285714285714278</v>
      </c>
      <c r="G14" s="49">
        <f>'Avg Week Bugolobi-Nakawa'!G14+'Avg Week Nakawa-Bugolobi'!G14</f>
        <v>0.8571428571428571</v>
      </c>
      <c r="H14" s="49">
        <f>'Avg Week Bugolobi-Nakawa'!H14+'Avg Week Nakawa-Bugolobi'!H14</f>
        <v>0</v>
      </c>
      <c r="I14" s="49">
        <f>'Avg Week Bugolobi-Nakawa'!I14+'Avg Week Nakawa-Bugolobi'!I14</f>
        <v>5.2857142857142856</v>
      </c>
      <c r="J14" s="49">
        <f>'Avg Week Bugolobi-Nakawa'!J14+'Avg Week Nakawa-Bugolobi'!J14</f>
        <v>1.1428571428571428</v>
      </c>
      <c r="K14" s="49">
        <f>'Avg Week Bugolobi-Nakawa'!K14+'Avg Week Nakawa-Bugolobi'!K14</f>
        <v>0.14285714285714285</v>
      </c>
      <c r="L14" s="49">
        <f>'Avg Week Bugolobi-Nakawa'!L14+'Avg Week Nakawa-Bugolobi'!L14</f>
        <v>0.42857142857142855</v>
      </c>
      <c r="M14" s="49">
        <f>'Avg Week Bugolobi-Nakawa'!M14+'Avg Week Nakawa-Bugolobi'!M14</f>
        <v>181.85714285714283</v>
      </c>
      <c r="N14" s="49">
        <f>'Avg Week Bugolobi-Nakawa'!N14+'Avg Week Nakawa-Bugolobi'!N14</f>
        <v>0</v>
      </c>
      <c r="O14" s="15">
        <f t="shared" si="0"/>
        <v>321</v>
      </c>
      <c r="P14" s="15">
        <f t="shared" si="1"/>
        <v>502.85714285714283</v>
      </c>
      <c r="R14" s="1" t="s">
        <v>10</v>
      </c>
      <c r="S14" s="17">
        <f t="shared" ref="S14:AF14" si="6">SUM(C26:C29)</f>
        <v>522.14285714285711</v>
      </c>
      <c r="T14" s="17">
        <f t="shared" si="6"/>
        <v>184.14285714285717</v>
      </c>
      <c r="U14" s="17">
        <f t="shared" si="6"/>
        <v>131.28571428571428</v>
      </c>
      <c r="V14" s="17">
        <f t="shared" si="6"/>
        <v>209</v>
      </c>
      <c r="W14" s="17">
        <f t="shared" si="6"/>
        <v>3.7142857142857144</v>
      </c>
      <c r="X14" s="17">
        <f t="shared" si="6"/>
        <v>1.4285714285714284</v>
      </c>
      <c r="Y14" s="17">
        <f t="shared" si="6"/>
        <v>25.571428571428577</v>
      </c>
      <c r="Z14" s="17">
        <f t="shared" si="6"/>
        <v>10.714285714285714</v>
      </c>
      <c r="AA14" s="17">
        <f t="shared" si="6"/>
        <v>0.99999999999999989</v>
      </c>
      <c r="AB14" s="17">
        <f t="shared" si="6"/>
        <v>1</v>
      </c>
      <c r="AC14" s="17">
        <f t="shared" si="6"/>
        <v>659.14285714285711</v>
      </c>
      <c r="AD14" s="17">
        <f t="shared" si="6"/>
        <v>0.14285714285714285</v>
      </c>
      <c r="AE14" s="31">
        <f t="shared" si="6"/>
        <v>1090.1428571428573</v>
      </c>
      <c r="AF14" s="31">
        <f t="shared" si="6"/>
        <v>1749.2857142857144</v>
      </c>
    </row>
    <row r="15" spans="2:32" ht="23.1" customHeight="1" x14ac:dyDescent="0.25">
      <c r="B15" s="23" t="s">
        <v>42</v>
      </c>
      <c r="C15" s="49">
        <f>'Avg Week Bugolobi-Nakawa'!C15+'Avg Week Nakawa-Bugolobi'!C15</f>
        <v>162.57142857142856</v>
      </c>
      <c r="D15" s="49">
        <f>'Avg Week Bugolobi-Nakawa'!D15+'Avg Week Nakawa-Bugolobi'!D15</f>
        <v>49.142857142857139</v>
      </c>
      <c r="E15" s="49">
        <f>'Avg Week Bugolobi-Nakawa'!E15+'Avg Week Nakawa-Bugolobi'!E15</f>
        <v>33.857142857142861</v>
      </c>
      <c r="F15" s="49">
        <f>'Avg Week Bugolobi-Nakawa'!F15+'Avg Week Nakawa-Bugolobi'!F15</f>
        <v>57.857142857142861</v>
      </c>
      <c r="G15" s="49">
        <f>'Avg Week Bugolobi-Nakawa'!G15+'Avg Week Nakawa-Bugolobi'!G15</f>
        <v>1</v>
      </c>
      <c r="H15" s="49">
        <f>'Avg Week Bugolobi-Nakawa'!H15+'Avg Week Nakawa-Bugolobi'!H15</f>
        <v>0.42857142857142855</v>
      </c>
      <c r="I15" s="49">
        <f>'Avg Week Bugolobi-Nakawa'!I15+'Avg Week Nakawa-Bugolobi'!I15</f>
        <v>4</v>
      </c>
      <c r="J15" s="49">
        <f>'Avg Week Bugolobi-Nakawa'!J15+'Avg Week Nakawa-Bugolobi'!J15</f>
        <v>1.2857142857142856</v>
      </c>
      <c r="K15" s="49">
        <f>'Avg Week Bugolobi-Nakawa'!K15+'Avg Week Nakawa-Bugolobi'!K15</f>
        <v>0.8571428571428571</v>
      </c>
      <c r="L15" s="49">
        <f>'Avg Week Bugolobi-Nakawa'!L15+'Avg Week Nakawa-Bugolobi'!L15</f>
        <v>0.42857142857142855</v>
      </c>
      <c r="M15" s="49">
        <f>'Avg Week Bugolobi-Nakawa'!M15+'Avg Week Nakawa-Bugolobi'!M15</f>
        <v>189.71428571428572</v>
      </c>
      <c r="N15" s="49">
        <f>'Avg Week Bugolobi-Nakawa'!N15+'Avg Week Nakawa-Bugolobi'!N15</f>
        <v>0</v>
      </c>
      <c r="O15" s="15">
        <f t="shared" si="0"/>
        <v>311.42857142857144</v>
      </c>
      <c r="P15" s="15">
        <f t="shared" si="1"/>
        <v>501.14285714285717</v>
      </c>
      <c r="R15" s="1" t="s">
        <v>11</v>
      </c>
      <c r="S15" s="17">
        <f t="shared" ref="S15:AF15" si="7">SUM(C30:C33)</f>
        <v>568.57142857142844</v>
      </c>
      <c r="T15" s="17">
        <f t="shared" si="7"/>
        <v>177.28571428571428</v>
      </c>
      <c r="U15" s="17">
        <f t="shared" si="7"/>
        <v>122.57142857142857</v>
      </c>
      <c r="V15" s="17">
        <f t="shared" si="7"/>
        <v>189</v>
      </c>
      <c r="W15" s="17">
        <f t="shared" si="7"/>
        <v>3.1428571428571423</v>
      </c>
      <c r="X15" s="17">
        <f t="shared" si="7"/>
        <v>1.2857142857142856</v>
      </c>
      <c r="Y15" s="17">
        <f t="shared" si="7"/>
        <v>25.571428571428569</v>
      </c>
      <c r="Z15" s="17">
        <f t="shared" si="7"/>
        <v>10.714285714285712</v>
      </c>
      <c r="AA15" s="17">
        <f t="shared" si="7"/>
        <v>1.2857142857142856</v>
      </c>
      <c r="AB15" s="17">
        <f t="shared" si="7"/>
        <v>2.2857142857142856</v>
      </c>
      <c r="AC15" s="17">
        <f t="shared" si="7"/>
        <v>675.42857142857144</v>
      </c>
      <c r="AD15" s="17">
        <f t="shared" si="7"/>
        <v>0.14285714285714285</v>
      </c>
      <c r="AE15" s="31">
        <f t="shared" si="7"/>
        <v>1101.8571428571429</v>
      </c>
      <c r="AF15" s="31">
        <f t="shared" si="7"/>
        <v>1777.2857142857142</v>
      </c>
    </row>
    <row r="16" spans="2:32" ht="23.1" customHeight="1" x14ac:dyDescent="0.25">
      <c r="B16" s="23" t="s">
        <v>43</v>
      </c>
      <c r="C16" s="49">
        <f>'Avg Week Bugolobi-Nakawa'!C16+'Avg Week Nakawa-Bugolobi'!C16</f>
        <v>155.28571428571428</v>
      </c>
      <c r="D16" s="49">
        <f>'Avg Week Bugolobi-Nakawa'!D16+'Avg Week Nakawa-Bugolobi'!D16</f>
        <v>46.571428571428569</v>
      </c>
      <c r="E16" s="49">
        <f>'Avg Week Bugolobi-Nakawa'!E16+'Avg Week Nakawa-Bugolobi'!E16</f>
        <v>35.714285714285715</v>
      </c>
      <c r="F16" s="49">
        <f>'Avg Week Bugolobi-Nakawa'!F16+'Avg Week Nakawa-Bugolobi'!F16</f>
        <v>68.142857142857139</v>
      </c>
      <c r="G16" s="49">
        <f>'Avg Week Bugolobi-Nakawa'!G16+'Avg Week Nakawa-Bugolobi'!G16</f>
        <v>0.42857142857142855</v>
      </c>
      <c r="H16" s="49">
        <f>'Avg Week Bugolobi-Nakawa'!H16+'Avg Week Nakawa-Bugolobi'!H16</f>
        <v>0.85714285714285721</v>
      </c>
      <c r="I16" s="49">
        <f>'Avg Week Bugolobi-Nakawa'!I16+'Avg Week Nakawa-Bugolobi'!I16</f>
        <v>4.1428571428571423</v>
      </c>
      <c r="J16" s="49">
        <f>'Avg Week Bugolobi-Nakawa'!J16+'Avg Week Nakawa-Bugolobi'!J16</f>
        <v>1.7142857142857144</v>
      </c>
      <c r="K16" s="49">
        <f>'Avg Week Bugolobi-Nakawa'!K16+'Avg Week Nakawa-Bugolobi'!K16</f>
        <v>0.42857142857142855</v>
      </c>
      <c r="L16" s="49">
        <f>'Avg Week Bugolobi-Nakawa'!L16+'Avg Week Nakawa-Bugolobi'!L16</f>
        <v>0.42857142857142855</v>
      </c>
      <c r="M16" s="49">
        <f>'Avg Week Bugolobi-Nakawa'!M16+'Avg Week Nakawa-Bugolobi'!M16</f>
        <v>187.71428571428572</v>
      </c>
      <c r="N16" s="49">
        <f>'Avg Week Bugolobi-Nakawa'!N16+'Avg Week Nakawa-Bugolobi'!N16</f>
        <v>0</v>
      </c>
      <c r="O16" s="15">
        <f t="shared" si="0"/>
        <v>313.71428571428572</v>
      </c>
      <c r="P16" s="15">
        <f t="shared" si="1"/>
        <v>501.42857142857144</v>
      </c>
      <c r="R16" s="1" t="s">
        <v>12</v>
      </c>
      <c r="S16" s="17">
        <f t="shared" ref="S16:AF16" si="8">SUM(C34:C37)</f>
        <v>489.42857142857144</v>
      </c>
      <c r="T16" s="17">
        <f t="shared" si="8"/>
        <v>166</v>
      </c>
      <c r="U16" s="17">
        <f t="shared" si="8"/>
        <v>137.57142857142856</v>
      </c>
      <c r="V16" s="17">
        <f t="shared" si="8"/>
        <v>196</v>
      </c>
      <c r="W16" s="17">
        <f t="shared" si="8"/>
        <v>2</v>
      </c>
      <c r="X16" s="17">
        <f t="shared" si="8"/>
        <v>0.14285714285714285</v>
      </c>
      <c r="Y16" s="17">
        <f t="shared" si="8"/>
        <v>20</v>
      </c>
      <c r="Z16" s="17">
        <f t="shared" si="8"/>
        <v>11.285714285714285</v>
      </c>
      <c r="AA16" s="17">
        <f t="shared" si="8"/>
        <v>1.4285714285714284</v>
      </c>
      <c r="AB16" s="17">
        <f t="shared" si="8"/>
        <v>1.9999999999999998</v>
      </c>
      <c r="AC16" s="17">
        <f t="shared" si="8"/>
        <v>599</v>
      </c>
      <c r="AD16" s="17">
        <f t="shared" si="8"/>
        <v>0</v>
      </c>
      <c r="AE16" s="31">
        <f t="shared" si="8"/>
        <v>1025.8571428571429</v>
      </c>
      <c r="AF16" s="31">
        <f t="shared" si="8"/>
        <v>1624.8571428571429</v>
      </c>
    </row>
    <row r="17" spans="2:32" ht="23.1" customHeight="1" x14ac:dyDescent="0.25">
      <c r="B17" s="23" t="s">
        <v>44</v>
      </c>
      <c r="C17" s="49">
        <f>'Avg Week Bugolobi-Nakawa'!C17+'Avg Week Nakawa-Bugolobi'!C17</f>
        <v>163.71428571428572</v>
      </c>
      <c r="D17" s="49">
        <f>'Avg Week Bugolobi-Nakawa'!D17+'Avg Week Nakawa-Bugolobi'!D17</f>
        <v>54.714285714285708</v>
      </c>
      <c r="E17" s="49">
        <f>'Avg Week Bugolobi-Nakawa'!E17+'Avg Week Nakawa-Bugolobi'!E17</f>
        <v>29.714285714285715</v>
      </c>
      <c r="F17" s="49">
        <f>'Avg Week Bugolobi-Nakawa'!F17+'Avg Week Nakawa-Bugolobi'!F17</f>
        <v>65.428571428571431</v>
      </c>
      <c r="G17" s="49">
        <f>'Avg Week Bugolobi-Nakawa'!G17+'Avg Week Nakawa-Bugolobi'!G17</f>
        <v>0.71428571428571419</v>
      </c>
      <c r="H17" s="49">
        <f>'Avg Week Bugolobi-Nakawa'!H17+'Avg Week Nakawa-Bugolobi'!H17</f>
        <v>0.8571428571428571</v>
      </c>
      <c r="I17" s="49">
        <f>'Avg Week Bugolobi-Nakawa'!I17+'Avg Week Nakawa-Bugolobi'!I17</f>
        <v>5.8571428571428577</v>
      </c>
      <c r="J17" s="49">
        <f>'Avg Week Bugolobi-Nakawa'!J17+'Avg Week Nakawa-Bugolobi'!J17</f>
        <v>1.7142857142857144</v>
      </c>
      <c r="K17" s="49">
        <f>'Avg Week Bugolobi-Nakawa'!K17+'Avg Week Nakawa-Bugolobi'!K17</f>
        <v>0.14285714285714285</v>
      </c>
      <c r="L17" s="49">
        <f>'Avg Week Bugolobi-Nakawa'!L17+'Avg Week Nakawa-Bugolobi'!L17</f>
        <v>0.14285714285714285</v>
      </c>
      <c r="M17" s="49">
        <f>'Avg Week Bugolobi-Nakawa'!M17+'Avg Week Nakawa-Bugolobi'!M17</f>
        <v>207</v>
      </c>
      <c r="N17" s="49">
        <f>'Avg Week Bugolobi-Nakawa'!N17+'Avg Week Nakawa-Bugolobi'!N17</f>
        <v>0</v>
      </c>
      <c r="O17" s="15">
        <f t="shared" si="0"/>
        <v>323.00000000000006</v>
      </c>
      <c r="P17" s="15">
        <f t="shared" si="1"/>
        <v>530</v>
      </c>
      <c r="R17" s="1" t="s">
        <v>13</v>
      </c>
      <c r="S17" s="17">
        <f t="shared" ref="S17:AF17" si="9">SUM(C38:C41)</f>
        <v>605.14285714285711</v>
      </c>
      <c r="T17" s="17">
        <f t="shared" si="9"/>
        <v>160.71428571428572</v>
      </c>
      <c r="U17" s="17">
        <f t="shared" si="9"/>
        <v>114.71428571428571</v>
      </c>
      <c r="V17" s="17">
        <f t="shared" si="9"/>
        <v>191</v>
      </c>
      <c r="W17" s="17">
        <f t="shared" si="9"/>
        <v>2.7142857142857144</v>
      </c>
      <c r="X17" s="17">
        <f t="shared" si="9"/>
        <v>0.85714285714285698</v>
      </c>
      <c r="Y17" s="17">
        <f t="shared" si="9"/>
        <v>21.142857142857142</v>
      </c>
      <c r="Z17" s="17">
        <f t="shared" si="9"/>
        <v>10</v>
      </c>
      <c r="AA17" s="17">
        <f t="shared" si="9"/>
        <v>3.2857142857142851</v>
      </c>
      <c r="AB17" s="17">
        <f t="shared" si="9"/>
        <v>1.9999999999999998</v>
      </c>
      <c r="AC17" s="17">
        <f t="shared" si="9"/>
        <v>678.71428571428578</v>
      </c>
      <c r="AD17" s="17">
        <f t="shared" si="9"/>
        <v>0</v>
      </c>
      <c r="AE17" s="31">
        <f t="shared" si="9"/>
        <v>1111.5714285714289</v>
      </c>
      <c r="AF17" s="31">
        <f t="shared" si="9"/>
        <v>1790.2857142857142</v>
      </c>
    </row>
    <row r="18" spans="2:32" ht="23.1" customHeight="1" x14ac:dyDescent="0.25">
      <c r="B18" s="23" t="s">
        <v>45</v>
      </c>
      <c r="C18" s="49">
        <f>'Avg Week Bugolobi-Nakawa'!C18+'Avg Week Nakawa-Bugolobi'!C18</f>
        <v>162.42857142857144</v>
      </c>
      <c r="D18" s="49">
        <f>'Avg Week Bugolobi-Nakawa'!D18+'Avg Week Nakawa-Bugolobi'!D18</f>
        <v>61.428571428571431</v>
      </c>
      <c r="E18" s="49">
        <f>'Avg Week Bugolobi-Nakawa'!E18+'Avg Week Nakawa-Bugolobi'!E18</f>
        <v>42.857142857142854</v>
      </c>
      <c r="F18" s="49">
        <f>'Avg Week Bugolobi-Nakawa'!F18+'Avg Week Nakawa-Bugolobi'!F18</f>
        <v>71.142857142857139</v>
      </c>
      <c r="G18" s="49">
        <f>'Avg Week Bugolobi-Nakawa'!G18+'Avg Week Nakawa-Bugolobi'!G18</f>
        <v>0.8571428571428571</v>
      </c>
      <c r="H18" s="49">
        <f>'Avg Week Bugolobi-Nakawa'!H18+'Avg Week Nakawa-Bugolobi'!H18</f>
        <v>0.5714285714285714</v>
      </c>
      <c r="I18" s="49">
        <f>'Avg Week Bugolobi-Nakawa'!I18+'Avg Week Nakawa-Bugolobi'!I18</f>
        <v>6.4285714285714288</v>
      </c>
      <c r="J18" s="49">
        <f>'Avg Week Bugolobi-Nakawa'!J18+'Avg Week Nakawa-Bugolobi'!J18</f>
        <v>2.1428571428571428</v>
      </c>
      <c r="K18" s="49">
        <f>'Avg Week Bugolobi-Nakawa'!K18+'Avg Week Nakawa-Bugolobi'!K18</f>
        <v>0.5714285714285714</v>
      </c>
      <c r="L18" s="49">
        <f>'Avg Week Bugolobi-Nakawa'!L18+'Avg Week Nakawa-Bugolobi'!L18</f>
        <v>0</v>
      </c>
      <c r="M18" s="49">
        <f>'Avg Week Bugolobi-Nakawa'!M18+'Avg Week Nakawa-Bugolobi'!M18</f>
        <v>204.14285714285717</v>
      </c>
      <c r="N18" s="49">
        <f>'Avg Week Bugolobi-Nakawa'!N18+'Avg Week Nakawa-Bugolobi'!N18</f>
        <v>0</v>
      </c>
      <c r="O18" s="15">
        <f t="shared" si="0"/>
        <v>348.42857142857144</v>
      </c>
      <c r="P18" s="15">
        <f t="shared" si="1"/>
        <v>552.57142857142867</v>
      </c>
      <c r="R18" s="1" t="s">
        <v>14</v>
      </c>
      <c r="S18" s="17">
        <f t="shared" ref="S18:AF18" si="10">SUM(C42:C45)</f>
        <v>631</v>
      </c>
      <c r="T18" s="17">
        <f t="shared" si="10"/>
        <v>154</v>
      </c>
      <c r="U18" s="17">
        <f t="shared" si="10"/>
        <v>119.57142857142858</v>
      </c>
      <c r="V18" s="17">
        <f t="shared" si="10"/>
        <v>177.42857142857142</v>
      </c>
      <c r="W18" s="17">
        <f t="shared" si="10"/>
        <v>1.857142857142857</v>
      </c>
      <c r="X18" s="17">
        <f t="shared" si="10"/>
        <v>0.8571428571428571</v>
      </c>
      <c r="Y18" s="17">
        <f t="shared" si="10"/>
        <v>19.142857142857142</v>
      </c>
      <c r="Z18" s="17">
        <f t="shared" si="10"/>
        <v>8.7142857142857153</v>
      </c>
      <c r="AA18" s="17">
        <f t="shared" si="10"/>
        <v>1.857142857142857</v>
      </c>
      <c r="AB18" s="17">
        <f t="shared" si="10"/>
        <v>0.85714285714285698</v>
      </c>
      <c r="AC18" s="17">
        <f t="shared" si="10"/>
        <v>635</v>
      </c>
      <c r="AD18" s="17">
        <f t="shared" si="10"/>
        <v>0</v>
      </c>
      <c r="AE18" s="31">
        <f t="shared" si="10"/>
        <v>1115.2857142857144</v>
      </c>
      <c r="AF18" s="31">
        <f t="shared" si="10"/>
        <v>1750.2857142857142</v>
      </c>
    </row>
    <row r="19" spans="2:32" ht="23.1" customHeight="1" x14ac:dyDescent="0.25">
      <c r="B19" s="23" t="s">
        <v>46</v>
      </c>
      <c r="C19" s="49">
        <f>'Avg Week Bugolobi-Nakawa'!C19+'Avg Week Nakawa-Bugolobi'!C19</f>
        <v>152</v>
      </c>
      <c r="D19" s="49">
        <f>'Avg Week Bugolobi-Nakawa'!D19+'Avg Week Nakawa-Bugolobi'!D19</f>
        <v>45</v>
      </c>
      <c r="E19" s="49">
        <f>'Avg Week Bugolobi-Nakawa'!E19+'Avg Week Nakawa-Bugolobi'!E19</f>
        <v>34</v>
      </c>
      <c r="F19" s="49">
        <f>'Avg Week Bugolobi-Nakawa'!F19+'Avg Week Nakawa-Bugolobi'!F19</f>
        <v>55.571428571428569</v>
      </c>
      <c r="G19" s="49">
        <f>'Avg Week Bugolobi-Nakawa'!G19+'Avg Week Nakawa-Bugolobi'!G19</f>
        <v>1.2857142857142856</v>
      </c>
      <c r="H19" s="49">
        <f>'Avg Week Bugolobi-Nakawa'!H19+'Avg Week Nakawa-Bugolobi'!H19</f>
        <v>0.42857142857142855</v>
      </c>
      <c r="I19" s="49">
        <f>'Avg Week Bugolobi-Nakawa'!I19+'Avg Week Nakawa-Bugolobi'!I19</f>
        <v>4.8571428571428577</v>
      </c>
      <c r="J19" s="49">
        <f>'Avg Week Bugolobi-Nakawa'!J19+'Avg Week Nakawa-Bugolobi'!J19</f>
        <v>2</v>
      </c>
      <c r="K19" s="49">
        <f>'Avg Week Bugolobi-Nakawa'!K19+'Avg Week Nakawa-Bugolobi'!K19</f>
        <v>0</v>
      </c>
      <c r="L19" s="49">
        <f>'Avg Week Bugolobi-Nakawa'!L19+'Avg Week Nakawa-Bugolobi'!L19</f>
        <v>0.2857142857142857</v>
      </c>
      <c r="M19" s="49">
        <f>'Avg Week Bugolobi-Nakawa'!M19+'Avg Week Nakawa-Bugolobi'!M19</f>
        <v>208.85714285714283</v>
      </c>
      <c r="N19" s="49">
        <f>'Avg Week Bugolobi-Nakawa'!N19+'Avg Week Nakawa-Bugolobi'!N19</f>
        <v>0.14285714285714285</v>
      </c>
      <c r="O19" s="15">
        <f t="shared" si="0"/>
        <v>295.57142857142856</v>
      </c>
      <c r="P19" s="15">
        <f t="shared" si="1"/>
        <v>504.42857142857139</v>
      </c>
      <c r="R19" s="1" t="s">
        <v>15</v>
      </c>
      <c r="S19" s="17">
        <f t="shared" ref="S19:AF19" si="11">SUM(C46:C49)</f>
        <v>698.71428571428567</v>
      </c>
      <c r="T19" s="17">
        <f t="shared" si="11"/>
        <v>207.42857142857144</v>
      </c>
      <c r="U19" s="17">
        <f t="shared" si="11"/>
        <v>140.85714285714283</v>
      </c>
      <c r="V19" s="17">
        <f t="shared" si="11"/>
        <v>201.42857142857144</v>
      </c>
      <c r="W19" s="17">
        <f t="shared" si="11"/>
        <v>3.4285714285714284</v>
      </c>
      <c r="X19" s="17">
        <f t="shared" si="11"/>
        <v>1</v>
      </c>
      <c r="Y19" s="17">
        <f t="shared" si="11"/>
        <v>20.857142857142858</v>
      </c>
      <c r="Z19" s="17">
        <f t="shared" si="11"/>
        <v>13.428571428571429</v>
      </c>
      <c r="AA19" s="17">
        <f t="shared" si="11"/>
        <v>1.7142857142857142</v>
      </c>
      <c r="AB19" s="17">
        <f t="shared" si="11"/>
        <v>1.1428571428571428</v>
      </c>
      <c r="AC19" s="17">
        <f t="shared" si="11"/>
        <v>692.57142857142856</v>
      </c>
      <c r="AD19" s="17">
        <f t="shared" si="11"/>
        <v>0.14285714285714285</v>
      </c>
      <c r="AE19" s="31">
        <f t="shared" si="11"/>
        <v>1290.1428571428573</v>
      </c>
      <c r="AF19" s="31">
        <f t="shared" si="11"/>
        <v>1982.714285714286</v>
      </c>
    </row>
    <row r="20" spans="2:32" ht="23.1" customHeight="1" x14ac:dyDescent="0.25">
      <c r="B20" s="23" t="s">
        <v>47</v>
      </c>
      <c r="C20" s="49">
        <f>'Avg Week Bugolobi-Nakawa'!C20+'Avg Week Nakawa-Bugolobi'!C20</f>
        <v>156.71428571428572</v>
      </c>
      <c r="D20" s="49">
        <f>'Avg Week Bugolobi-Nakawa'!D20+'Avg Week Nakawa-Bugolobi'!D20</f>
        <v>42.142857142857146</v>
      </c>
      <c r="E20" s="49">
        <f>'Avg Week Bugolobi-Nakawa'!E20+'Avg Week Nakawa-Bugolobi'!E20</f>
        <v>36.714285714285715</v>
      </c>
      <c r="F20" s="49">
        <f>'Avg Week Bugolobi-Nakawa'!F20+'Avg Week Nakawa-Bugolobi'!F20</f>
        <v>51</v>
      </c>
      <c r="G20" s="49">
        <f>'Avg Week Bugolobi-Nakawa'!G20+'Avg Week Nakawa-Bugolobi'!G20</f>
        <v>0.85714285714285721</v>
      </c>
      <c r="H20" s="49">
        <f>'Avg Week Bugolobi-Nakawa'!H20+'Avg Week Nakawa-Bugolobi'!H20</f>
        <v>0.2857142857142857</v>
      </c>
      <c r="I20" s="49">
        <f>'Avg Week Bugolobi-Nakawa'!I20+'Avg Week Nakawa-Bugolobi'!I20</f>
        <v>3.5714285714285712</v>
      </c>
      <c r="J20" s="49">
        <f>'Avg Week Bugolobi-Nakawa'!J20+'Avg Week Nakawa-Bugolobi'!J20</f>
        <v>2</v>
      </c>
      <c r="K20" s="49">
        <f>'Avg Week Bugolobi-Nakawa'!K20+'Avg Week Nakawa-Bugolobi'!K20</f>
        <v>0.42857142857142855</v>
      </c>
      <c r="L20" s="49">
        <f>'Avg Week Bugolobi-Nakawa'!L20+'Avg Week Nakawa-Bugolobi'!L20</f>
        <v>0.14285714285714285</v>
      </c>
      <c r="M20" s="49">
        <f>'Avg Week Bugolobi-Nakawa'!M20+'Avg Week Nakawa-Bugolobi'!M20</f>
        <v>191.85714285714286</v>
      </c>
      <c r="N20" s="49">
        <f>'Avg Week Bugolobi-Nakawa'!N20+'Avg Week Nakawa-Bugolobi'!N20</f>
        <v>0</v>
      </c>
      <c r="O20" s="15">
        <f t="shared" si="0"/>
        <v>293.85714285714283</v>
      </c>
      <c r="P20" s="15">
        <f t="shared" si="1"/>
        <v>485.71428571428567</v>
      </c>
      <c r="R20" s="1" t="s">
        <v>16</v>
      </c>
      <c r="S20" s="17">
        <f t="shared" ref="S20:AF20" si="12">SUM(C50:C53)</f>
        <v>893.57142857142856</v>
      </c>
      <c r="T20" s="17">
        <f t="shared" si="12"/>
        <v>290.85714285714283</v>
      </c>
      <c r="U20" s="17">
        <f t="shared" si="12"/>
        <v>166.42857142857144</v>
      </c>
      <c r="V20" s="17">
        <f t="shared" si="12"/>
        <v>209.42857142857144</v>
      </c>
      <c r="W20" s="17">
        <f t="shared" si="12"/>
        <v>4.1428571428571423</v>
      </c>
      <c r="X20" s="17">
        <f t="shared" si="12"/>
        <v>1.2857142857142856</v>
      </c>
      <c r="Y20" s="17">
        <f t="shared" si="12"/>
        <v>19.571428571428569</v>
      </c>
      <c r="Z20" s="17">
        <f t="shared" si="12"/>
        <v>9.5714285714285712</v>
      </c>
      <c r="AA20" s="17">
        <f t="shared" si="12"/>
        <v>1.2857142857142856</v>
      </c>
      <c r="AB20" s="17">
        <f t="shared" si="12"/>
        <v>1.1428571428571428</v>
      </c>
      <c r="AC20" s="17">
        <f t="shared" si="12"/>
        <v>847.28571428571422</v>
      </c>
      <c r="AD20" s="17">
        <f t="shared" si="12"/>
        <v>0</v>
      </c>
      <c r="AE20" s="31">
        <f t="shared" si="12"/>
        <v>1597.2857142857142</v>
      </c>
      <c r="AF20" s="31">
        <f t="shared" si="12"/>
        <v>2444.5714285714284</v>
      </c>
    </row>
    <row r="21" spans="2:32" ht="23.1" customHeight="1" x14ac:dyDescent="0.25">
      <c r="B21" s="23" t="s">
        <v>48</v>
      </c>
      <c r="C21" s="49">
        <f>'Avg Week Bugolobi-Nakawa'!C21+'Avg Week Nakawa-Bugolobi'!C21</f>
        <v>135.42857142857144</v>
      </c>
      <c r="D21" s="49">
        <f>'Avg Week Bugolobi-Nakawa'!D21+'Avg Week Nakawa-Bugolobi'!D21</f>
        <v>44.428571428571431</v>
      </c>
      <c r="E21" s="49">
        <f>'Avg Week Bugolobi-Nakawa'!E21+'Avg Week Nakawa-Bugolobi'!E21</f>
        <v>30.428571428571431</v>
      </c>
      <c r="F21" s="49">
        <f>'Avg Week Bugolobi-Nakawa'!F21+'Avg Week Nakawa-Bugolobi'!F21</f>
        <v>47.285714285714292</v>
      </c>
      <c r="G21" s="49">
        <f>'Avg Week Bugolobi-Nakawa'!G21+'Avg Week Nakawa-Bugolobi'!G21</f>
        <v>0.42857142857142855</v>
      </c>
      <c r="H21" s="49">
        <f>'Avg Week Bugolobi-Nakawa'!H21+'Avg Week Nakawa-Bugolobi'!H21</f>
        <v>0.42857142857142855</v>
      </c>
      <c r="I21" s="49">
        <f>'Avg Week Bugolobi-Nakawa'!I21+'Avg Week Nakawa-Bugolobi'!I21</f>
        <v>5.8571428571428568</v>
      </c>
      <c r="J21" s="49">
        <f>'Avg Week Bugolobi-Nakawa'!J21+'Avg Week Nakawa-Bugolobi'!J21</f>
        <v>2.2857142857142856</v>
      </c>
      <c r="K21" s="49">
        <f>'Avg Week Bugolobi-Nakawa'!K21+'Avg Week Nakawa-Bugolobi'!K21</f>
        <v>0.85714285714285721</v>
      </c>
      <c r="L21" s="49">
        <f>'Avg Week Bugolobi-Nakawa'!L21+'Avg Week Nakawa-Bugolobi'!L21</f>
        <v>0.14285714285714285</v>
      </c>
      <c r="M21" s="49">
        <f>'Avg Week Bugolobi-Nakawa'!M21+'Avg Week Nakawa-Bugolobi'!M21</f>
        <v>189.57142857142856</v>
      </c>
      <c r="N21" s="49">
        <f>'Avg Week Bugolobi-Nakawa'!N21+'Avg Week Nakawa-Bugolobi'!N21</f>
        <v>0</v>
      </c>
      <c r="O21" s="15">
        <f t="shared" si="0"/>
        <v>267.57142857142861</v>
      </c>
      <c r="P21" s="15">
        <f t="shared" si="1"/>
        <v>457.14285714285717</v>
      </c>
      <c r="R21" s="36" t="s">
        <v>20</v>
      </c>
      <c r="S21" s="34">
        <f t="shared" ref="S21:AF21" si="13">SUM(C54:C57)</f>
        <v>869</v>
      </c>
      <c r="T21" s="17">
        <f t="shared" si="13"/>
        <v>271.71428571428572</v>
      </c>
      <c r="U21" s="17">
        <f t="shared" si="13"/>
        <v>201.57142857142856</v>
      </c>
      <c r="V21" s="17">
        <f t="shared" si="13"/>
        <v>176.71428571428572</v>
      </c>
      <c r="W21" s="17">
        <f t="shared" si="13"/>
        <v>4.2857142857142847</v>
      </c>
      <c r="X21" s="17">
        <f t="shared" si="13"/>
        <v>0.71428571428571419</v>
      </c>
      <c r="Y21" s="17">
        <f t="shared" si="13"/>
        <v>24.571428571428569</v>
      </c>
      <c r="Z21" s="17">
        <f t="shared" si="13"/>
        <v>9.4285714285714288</v>
      </c>
      <c r="AA21" s="17">
        <f t="shared" si="13"/>
        <v>0.71428571428571419</v>
      </c>
      <c r="AB21" s="17">
        <f t="shared" si="13"/>
        <v>1</v>
      </c>
      <c r="AC21" s="17">
        <f t="shared" si="13"/>
        <v>762.85714285714289</v>
      </c>
      <c r="AD21" s="17">
        <f t="shared" si="13"/>
        <v>0</v>
      </c>
      <c r="AE21" s="31">
        <f t="shared" si="13"/>
        <v>1559.7142857142858</v>
      </c>
      <c r="AF21" s="31">
        <f t="shared" si="13"/>
        <v>2322.5714285714284</v>
      </c>
    </row>
    <row r="22" spans="2:32" ht="23.1" customHeight="1" x14ac:dyDescent="0.25">
      <c r="B22" s="23" t="s">
        <v>49</v>
      </c>
      <c r="C22" s="49">
        <f>'Avg Week Bugolobi-Nakawa'!C22+'Avg Week Nakawa-Bugolobi'!C22</f>
        <v>137.42857142857142</v>
      </c>
      <c r="D22" s="49">
        <f>'Avg Week Bugolobi-Nakawa'!D22+'Avg Week Nakawa-Bugolobi'!D22</f>
        <v>44.142857142857139</v>
      </c>
      <c r="E22" s="49">
        <f>'Avg Week Bugolobi-Nakawa'!E22+'Avg Week Nakawa-Bugolobi'!E22</f>
        <v>31.142857142857142</v>
      </c>
      <c r="F22" s="49">
        <f>'Avg Week Bugolobi-Nakawa'!F22+'Avg Week Nakawa-Bugolobi'!F22</f>
        <v>48.571428571428569</v>
      </c>
      <c r="G22" s="49">
        <f>'Avg Week Bugolobi-Nakawa'!G22+'Avg Week Nakawa-Bugolobi'!G22</f>
        <v>0.42857142857142855</v>
      </c>
      <c r="H22" s="49">
        <f>'Avg Week Bugolobi-Nakawa'!H22+'Avg Week Nakawa-Bugolobi'!H22</f>
        <v>0</v>
      </c>
      <c r="I22" s="49">
        <f>'Avg Week Bugolobi-Nakawa'!I22+'Avg Week Nakawa-Bugolobi'!I22</f>
        <v>4.8571428571428577</v>
      </c>
      <c r="J22" s="49">
        <f>'Avg Week Bugolobi-Nakawa'!J22+'Avg Week Nakawa-Bugolobi'!J22</f>
        <v>2.7142857142857144</v>
      </c>
      <c r="K22" s="49">
        <f>'Avg Week Bugolobi-Nakawa'!K22+'Avg Week Nakawa-Bugolobi'!K22</f>
        <v>0.14285714285714285</v>
      </c>
      <c r="L22" s="49">
        <f>'Avg Week Bugolobi-Nakawa'!L22+'Avg Week Nakawa-Bugolobi'!L22</f>
        <v>0.2857142857142857</v>
      </c>
      <c r="M22" s="49">
        <f>'Avg Week Bugolobi-Nakawa'!M22+'Avg Week Nakawa-Bugolobi'!M22</f>
        <v>179.85714285714286</v>
      </c>
      <c r="N22" s="49">
        <f>'Avg Week Bugolobi-Nakawa'!N22+'Avg Week Nakawa-Bugolobi'!N22</f>
        <v>0</v>
      </c>
      <c r="O22" s="15">
        <f t="shared" si="0"/>
        <v>269.71428571428572</v>
      </c>
      <c r="P22" s="15">
        <f t="shared" si="1"/>
        <v>449.57142857142856</v>
      </c>
      <c r="R22" s="1" t="s">
        <v>146</v>
      </c>
      <c r="S22" s="34">
        <f>SUM(C58:C61)</f>
        <v>439.5</v>
      </c>
      <c r="T22" s="34">
        <f t="shared" ref="T22:AF22" si="14">SUM(D58:D61)</f>
        <v>159.5</v>
      </c>
      <c r="U22" s="34">
        <f t="shared" si="14"/>
        <v>115</v>
      </c>
      <c r="V22" s="34">
        <f t="shared" si="14"/>
        <v>146.5</v>
      </c>
      <c r="W22" s="34">
        <f t="shared" si="14"/>
        <v>3.5</v>
      </c>
      <c r="X22" s="34">
        <f t="shared" si="14"/>
        <v>0</v>
      </c>
      <c r="Y22" s="34">
        <f t="shared" si="14"/>
        <v>34.5</v>
      </c>
      <c r="Z22" s="34">
        <f t="shared" si="14"/>
        <v>8.5</v>
      </c>
      <c r="AA22" s="34">
        <f t="shared" si="14"/>
        <v>2</v>
      </c>
      <c r="AB22" s="34">
        <f t="shared" si="14"/>
        <v>1</v>
      </c>
      <c r="AC22" s="34">
        <f t="shared" si="14"/>
        <v>561</v>
      </c>
      <c r="AD22" s="34">
        <f t="shared" si="14"/>
        <v>0</v>
      </c>
      <c r="AE22" s="31">
        <f t="shared" si="14"/>
        <v>910</v>
      </c>
      <c r="AF22" s="31">
        <f t="shared" si="14"/>
        <v>1471</v>
      </c>
    </row>
    <row r="23" spans="2:32" ht="23.1" customHeight="1" x14ac:dyDescent="0.25">
      <c r="B23" s="23" t="s">
        <v>50</v>
      </c>
      <c r="C23" s="49">
        <f>'Avg Week Bugolobi-Nakawa'!C23+'Avg Week Nakawa-Bugolobi'!C23</f>
        <v>135.14285714285714</v>
      </c>
      <c r="D23" s="49">
        <f>'Avg Week Bugolobi-Nakawa'!D23+'Avg Week Nakawa-Bugolobi'!D23</f>
        <v>44.428571428571431</v>
      </c>
      <c r="E23" s="49">
        <f>'Avg Week Bugolobi-Nakawa'!E23+'Avg Week Nakawa-Bugolobi'!E23</f>
        <v>35.285714285714292</v>
      </c>
      <c r="F23" s="49">
        <f>'Avg Week Bugolobi-Nakawa'!F23+'Avg Week Nakawa-Bugolobi'!F23</f>
        <v>47.714285714285715</v>
      </c>
      <c r="G23" s="49">
        <f>'Avg Week Bugolobi-Nakawa'!G23+'Avg Week Nakawa-Bugolobi'!G23</f>
        <v>1</v>
      </c>
      <c r="H23" s="49">
        <f>'Avg Week Bugolobi-Nakawa'!H23+'Avg Week Nakawa-Bugolobi'!H23</f>
        <v>0.2857142857142857</v>
      </c>
      <c r="I23" s="49">
        <f>'Avg Week Bugolobi-Nakawa'!I23+'Avg Week Nakawa-Bugolobi'!I23</f>
        <v>5.4285714285714288</v>
      </c>
      <c r="J23" s="49">
        <f>'Avg Week Bugolobi-Nakawa'!J23+'Avg Week Nakawa-Bugolobi'!J23</f>
        <v>3.5714285714285712</v>
      </c>
      <c r="K23" s="49">
        <f>'Avg Week Bugolobi-Nakawa'!K23+'Avg Week Nakawa-Bugolobi'!K23</f>
        <v>0.42857142857142855</v>
      </c>
      <c r="L23" s="49">
        <f>'Avg Week Bugolobi-Nakawa'!L23+'Avg Week Nakawa-Bugolobi'!L23</f>
        <v>0.2857142857142857</v>
      </c>
      <c r="M23" s="49">
        <f>'Avg Week Bugolobi-Nakawa'!M23+'Avg Week Nakawa-Bugolobi'!M23</f>
        <v>178.85714285714286</v>
      </c>
      <c r="N23" s="49">
        <f>'Avg Week Bugolobi-Nakawa'!N23+'Avg Week Nakawa-Bugolobi'!N23</f>
        <v>0</v>
      </c>
      <c r="O23" s="15">
        <f t="shared" si="0"/>
        <v>273.57142857142856</v>
      </c>
      <c r="P23" s="15">
        <f t="shared" si="1"/>
        <v>452.42857142857144</v>
      </c>
      <c r="R23" s="1" t="s">
        <v>147</v>
      </c>
      <c r="S23" s="34">
        <f>SUM(C62:C65)</f>
        <v>384</v>
      </c>
      <c r="T23" s="34">
        <f t="shared" ref="T23:AF23" si="15">SUM(D62:D65)</f>
        <v>110.5</v>
      </c>
      <c r="U23" s="34">
        <f t="shared" si="15"/>
        <v>81.5</v>
      </c>
      <c r="V23" s="34">
        <f t="shared" si="15"/>
        <v>122.5</v>
      </c>
      <c r="W23" s="34">
        <f t="shared" si="15"/>
        <v>2.5</v>
      </c>
      <c r="X23" s="34">
        <f t="shared" si="15"/>
        <v>0</v>
      </c>
      <c r="Y23" s="34">
        <f t="shared" si="15"/>
        <v>14</v>
      </c>
      <c r="Z23" s="34">
        <f t="shared" si="15"/>
        <v>4</v>
      </c>
      <c r="AA23" s="34">
        <f t="shared" si="15"/>
        <v>1</v>
      </c>
      <c r="AB23" s="34">
        <f t="shared" si="15"/>
        <v>1.5</v>
      </c>
      <c r="AC23" s="34">
        <f t="shared" si="15"/>
        <v>464.5</v>
      </c>
      <c r="AD23" s="34">
        <f t="shared" si="15"/>
        <v>0</v>
      </c>
      <c r="AE23" s="31">
        <f t="shared" si="15"/>
        <v>721.5</v>
      </c>
      <c r="AF23" s="31">
        <f t="shared" si="15"/>
        <v>1186</v>
      </c>
    </row>
    <row r="24" spans="2:32" ht="23.1" customHeight="1" x14ac:dyDescent="0.25">
      <c r="B24" s="23" t="s">
        <v>51</v>
      </c>
      <c r="C24" s="49">
        <f>'Avg Week Bugolobi-Nakawa'!C24+'Avg Week Nakawa-Bugolobi'!C24</f>
        <v>130.14285714285714</v>
      </c>
      <c r="D24" s="49">
        <f>'Avg Week Bugolobi-Nakawa'!D24+'Avg Week Nakawa-Bugolobi'!D24</f>
        <v>41.571428571428569</v>
      </c>
      <c r="E24" s="49">
        <f>'Avg Week Bugolobi-Nakawa'!E24+'Avg Week Nakawa-Bugolobi'!E24</f>
        <v>29.142857142857146</v>
      </c>
      <c r="F24" s="49">
        <f>'Avg Week Bugolobi-Nakawa'!F24+'Avg Week Nakawa-Bugolobi'!F24</f>
        <v>52.857142857142861</v>
      </c>
      <c r="G24" s="49">
        <f>'Avg Week Bugolobi-Nakawa'!G24+'Avg Week Nakawa-Bugolobi'!G24</f>
        <v>0.85714285714285721</v>
      </c>
      <c r="H24" s="49">
        <f>'Avg Week Bugolobi-Nakawa'!H24+'Avg Week Nakawa-Bugolobi'!H24</f>
        <v>0.2857142857142857</v>
      </c>
      <c r="I24" s="49">
        <f>'Avg Week Bugolobi-Nakawa'!I24+'Avg Week Nakawa-Bugolobi'!I24</f>
        <v>4.1428571428571423</v>
      </c>
      <c r="J24" s="49">
        <f>'Avg Week Bugolobi-Nakawa'!J24+'Avg Week Nakawa-Bugolobi'!J24</f>
        <v>4</v>
      </c>
      <c r="K24" s="49">
        <f>'Avg Week Bugolobi-Nakawa'!K24+'Avg Week Nakawa-Bugolobi'!K24</f>
        <v>0.14285714285714285</v>
      </c>
      <c r="L24" s="49">
        <f>'Avg Week Bugolobi-Nakawa'!L24+'Avg Week Nakawa-Bugolobi'!L24</f>
        <v>0.42857142857142855</v>
      </c>
      <c r="M24" s="49">
        <f>'Avg Week Bugolobi-Nakawa'!M24+'Avg Week Nakawa-Bugolobi'!M24</f>
        <v>160.85714285714286</v>
      </c>
      <c r="N24" s="49">
        <f>'Avg Week Bugolobi-Nakawa'!N24+'Avg Week Nakawa-Bugolobi'!N24</f>
        <v>0.14285714285714285</v>
      </c>
      <c r="O24" s="15">
        <f t="shared" si="0"/>
        <v>263.71428571428578</v>
      </c>
      <c r="P24" s="15">
        <f t="shared" si="1"/>
        <v>424.57142857142861</v>
      </c>
      <c r="R24" s="1" t="s">
        <v>148</v>
      </c>
      <c r="S24" s="34">
        <f>SUM(C66:C69)</f>
        <v>357</v>
      </c>
      <c r="T24" s="34">
        <f t="shared" ref="T24:AF24" si="16">SUM(D66:D69)</f>
        <v>108</v>
      </c>
      <c r="U24" s="34">
        <f t="shared" si="16"/>
        <v>62</v>
      </c>
      <c r="V24" s="34">
        <f t="shared" si="16"/>
        <v>131</v>
      </c>
      <c r="W24" s="34">
        <f t="shared" si="16"/>
        <v>0</v>
      </c>
      <c r="X24" s="34">
        <f t="shared" si="16"/>
        <v>1</v>
      </c>
      <c r="Y24" s="34">
        <f t="shared" si="16"/>
        <v>6.5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373.5</v>
      </c>
      <c r="AD24" s="34">
        <f t="shared" si="16"/>
        <v>0</v>
      </c>
      <c r="AE24" s="31">
        <f t="shared" si="16"/>
        <v>667.5</v>
      </c>
      <c r="AF24" s="31">
        <f t="shared" si="16"/>
        <v>1041</v>
      </c>
    </row>
    <row r="25" spans="2:32" ht="23.1" customHeight="1" x14ac:dyDescent="0.25">
      <c r="B25" s="23" t="s">
        <v>52</v>
      </c>
      <c r="C25" s="49">
        <f>'Avg Week Bugolobi-Nakawa'!C25+'Avg Week Nakawa-Bugolobi'!C25</f>
        <v>136.28571428571428</v>
      </c>
      <c r="D25" s="49">
        <f>'Avg Week Bugolobi-Nakawa'!D25+'Avg Week Nakawa-Bugolobi'!D25</f>
        <v>43</v>
      </c>
      <c r="E25" s="49">
        <f>'Avg Week Bugolobi-Nakawa'!E25+'Avg Week Nakawa-Bugolobi'!E25</f>
        <v>36.571428571428569</v>
      </c>
      <c r="F25" s="49">
        <f>'Avg Week Bugolobi-Nakawa'!F25+'Avg Week Nakawa-Bugolobi'!F25</f>
        <v>46.857142857142861</v>
      </c>
      <c r="G25" s="49">
        <f>'Avg Week Bugolobi-Nakawa'!G25+'Avg Week Nakawa-Bugolobi'!G25</f>
        <v>0.42857142857142855</v>
      </c>
      <c r="H25" s="49">
        <f>'Avg Week Bugolobi-Nakawa'!H25+'Avg Week Nakawa-Bugolobi'!H25</f>
        <v>0.42857142857142855</v>
      </c>
      <c r="I25" s="49">
        <f>'Avg Week Bugolobi-Nakawa'!I25+'Avg Week Nakawa-Bugolobi'!I25</f>
        <v>5.4285714285714288</v>
      </c>
      <c r="J25" s="49">
        <f>'Avg Week Bugolobi-Nakawa'!J25+'Avg Week Nakawa-Bugolobi'!J25</f>
        <v>2.5714285714285712</v>
      </c>
      <c r="K25" s="49">
        <f>'Avg Week Bugolobi-Nakawa'!K25+'Avg Week Nakawa-Bugolobi'!K25</f>
        <v>0.2857142857142857</v>
      </c>
      <c r="L25" s="49">
        <f>'Avg Week Bugolobi-Nakawa'!L25+'Avg Week Nakawa-Bugolobi'!L25</f>
        <v>0.2857142857142857</v>
      </c>
      <c r="M25" s="49">
        <f>'Avg Week Bugolobi-Nakawa'!M25+'Avg Week Nakawa-Bugolobi'!M25</f>
        <v>190.28571428571428</v>
      </c>
      <c r="N25" s="49">
        <f>'Avg Week Bugolobi-Nakawa'!N25+'Avg Week Nakawa-Bugolobi'!N25</f>
        <v>0</v>
      </c>
      <c r="O25" s="15">
        <f t="shared" si="0"/>
        <v>272.14285714285711</v>
      </c>
      <c r="P25" s="15">
        <f t="shared" si="1"/>
        <v>462.42857142857139</v>
      </c>
      <c r="R25" s="1" t="s">
        <v>149</v>
      </c>
      <c r="S25" s="34">
        <f>SUM(C70:C73)</f>
        <v>282.5</v>
      </c>
      <c r="T25" s="34">
        <f t="shared" ref="T25:AF25" si="17">SUM(D70:D73)</f>
        <v>80.5</v>
      </c>
      <c r="U25" s="34">
        <f t="shared" si="17"/>
        <v>49</v>
      </c>
      <c r="V25" s="34">
        <f t="shared" si="17"/>
        <v>98.5</v>
      </c>
      <c r="W25" s="34">
        <f t="shared" si="17"/>
        <v>0.5</v>
      </c>
      <c r="X25" s="34">
        <f t="shared" si="17"/>
        <v>0.5</v>
      </c>
      <c r="Y25" s="34">
        <f t="shared" si="17"/>
        <v>4.5</v>
      </c>
      <c r="Z25" s="34">
        <f t="shared" si="17"/>
        <v>2.5</v>
      </c>
      <c r="AA25" s="34">
        <f t="shared" si="17"/>
        <v>1.5</v>
      </c>
      <c r="AB25" s="34">
        <f t="shared" si="17"/>
        <v>1</v>
      </c>
      <c r="AC25" s="34">
        <f t="shared" si="17"/>
        <v>301</v>
      </c>
      <c r="AD25" s="34">
        <f t="shared" si="17"/>
        <v>0</v>
      </c>
      <c r="AE25" s="31">
        <f t="shared" si="17"/>
        <v>521</v>
      </c>
      <c r="AF25" s="31">
        <f t="shared" si="17"/>
        <v>822</v>
      </c>
    </row>
    <row r="26" spans="2:32" ht="23.1" customHeight="1" x14ac:dyDescent="0.25">
      <c r="B26" s="23" t="s">
        <v>53</v>
      </c>
      <c r="C26" s="49">
        <f>'Avg Week Bugolobi-Nakawa'!C26+'Avg Week Nakawa-Bugolobi'!C26</f>
        <v>132.71428571428572</v>
      </c>
      <c r="D26" s="49">
        <f>'Avg Week Bugolobi-Nakawa'!D26+'Avg Week Nakawa-Bugolobi'!D26</f>
        <v>50.142857142857139</v>
      </c>
      <c r="E26" s="49">
        <f>'Avg Week Bugolobi-Nakawa'!E26+'Avg Week Nakawa-Bugolobi'!E26</f>
        <v>36.857142857142861</v>
      </c>
      <c r="F26" s="49">
        <f>'Avg Week Bugolobi-Nakawa'!F26+'Avg Week Nakawa-Bugolobi'!F26</f>
        <v>56</v>
      </c>
      <c r="G26" s="49">
        <f>'Avg Week Bugolobi-Nakawa'!G26+'Avg Week Nakawa-Bugolobi'!G26</f>
        <v>1.4285714285714284</v>
      </c>
      <c r="H26" s="49">
        <f>'Avg Week Bugolobi-Nakawa'!H26+'Avg Week Nakawa-Bugolobi'!H26</f>
        <v>0.8571428571428571</v>
      </c>
      <c r="I26" s="49">
        <f>'Avg Week Bugolobi-Nakawa'!I26+'Avg Week Nakawa-Bugolobi'!I26</f>
        <v>6.1428571428571432</v>
      </c>
      <c r="J26" s="49">
        <f>'Avg Week Bugolobi-Nakawa'!J26+'Avg Week Nakawa-Bugolobi'!J26</f>
        <v>3.1428571428571428</v>
      </c>
      <c r="K26" s="49">
        <f>'Avg Week Bugolobi-Nakawa'!K26+'Avg Week Nakawa-Bugolobi'!K26</f>
        <v>0.2857142857142857</v>
      </c>
      <c r="L26" s="49">
        <f>'Avg Week Bugolobi-Nakawa'!L26+'Avg Week Nakawa-Bugolobi'!L26</f>
        <v>0.42857142857142855</v>
      </c>
      <c r="M26" s="49">
        <f>'Avg Week Bugolobi-Nakawa'!M26+'Avg Week Nakawa-Bugolobi'!M26</f>
        <v>179</v>
      </c>
      <c r="N26" s="49">
        <f>'Avg Week Bugolobi-Nakawa'!N26+'Avg Week Nakawa-Bugolobi'!N26</f>
        <v>0</v>
      </c>
      <c r="O26" s="15">
        <f t="shared" si="0"/>
        <v>288.00000000000006</v>
      </c>
      <c r="P26" s="15">
        <f t="shared" si="1"/>
        <v>467.00000000000006</v>
      </c>
      <c r="R26" s="1" t="s">
        <v>150</v>
      </c>
      <c r="S26" s="34">
        <f>SUM(C74:C77)</f>
        <v>267.5</v>
      </c>
      <c r="T26" s="34">
        <f t="shared" ref="T26:AF26" si="18">SUM(D74:D77)</f>
        <v>47</v>
      </c>
      <c r="U26" s="34">
        <f t="shared" si="18"/>
        <v>41.5</v>
      </c>
      <c r="V26" s="34">
        <f t="shared" si="18"/>
        <v>51</v>
      </c>
      <c r="W26" s="34">
        <f t="shared" si="18"/>
        <v>0.5</v>
      </c>
      <c r="X26" s="34">
        <f t="shared" si="18"/>
        <v>0</v>
      </c>
      <c r="Y26" s="34">
        <f t="shared" si="18"/>
        <v>4.5</v>
      </c>
      <c r="Z26" s="34">
        <f t="shared" si="18"/>
        <v>3</v>
      </c>
      <c r="AA26" s="34">
        <f t="shared" si="18"/>
        <v>1</v>
      </c>
      <c r="AB26" s="34">
        <f t="shared" si="18"/>
        <v>0.5</v>
      </c>
      <c r="AC26" s="34">
        <f t="shared" si="18"/>
        <v>293.5</v>
      </c>
      <c r="AD26" s="34">
        <f t="shared" si="18"/>
        <v>0</v>
      </c>
      <c r="AE26" s="31">
        <f t="shared" si="18"/>
        <v>416.5</v>
      </c>
      <c r="AF26" s="31">
        <f t="shared" si="18"/>
        <v>710</v>
      </c>
    </row>
    <row r="27" spans="2:32" ht="23.1" customHeight="1" x14ac:dyDescent="0.25">
      <c r="B27" s="23" t="s">
        <v>54</v>
      </c>
      <c r="C27" s="49">
        <f>'Avg Week Bugolobi-Nakawa'!C27+'Avg Week Nakawa-Bugolobi'!C27</f>
        <v>130.14285714285714</v>
      </c>
      <c r="D27" s="49">
        <f>'Avg Week Bugolobi-Nakawa'!D27+'Avg Week Nakawa-Bugolobi'!D27</f>
        <v>44</v>
      </c>
      <c r="E27" s="49">
        <f>'Avg Week Bugolobi-Nakawa'!E27+'Avg Week Nakawa-Bugolobi'!E27</f>
        <v>31.714285714285715</v>
      </c>
      <c r="F27" s="49">
        <f>'Avg Week Bugolobi-Nakawa'!F27+'Avg Week Nakawa-Bugolobi'!F27</f>
        <v>54.714285714285715</v>
      </c>
      <c r="G27" s="49">
        <f>'Avg Week Bugolobi-Nakawa'!G27+'Avg Week Nakawa-Bugolobi'!G27</f>
        <v>0.85714285714285721</v>
      </c>
      <c r="H27" s="49">
        <f>'Avg Week Bugolobi-Nakawa'!H27+'Avg Week Nakawa-Bugolobi'!H27</f>
        <v>0.2857142857142857</v>
      </c>
      <c r="I27" s="49">
        <f>'Avg Week Bugolobi-Nakawa'!I27+'Avg Week Nakawa-Bugolobi'!I27</f>
        <v>5.7142857142857144</v>
      </c>
      <c r="J27" s="49">
        <f>'Avg Week Bugolobi-Nakawa'!J27+'Avg Week Nakawa-Bugolobi'!J27</f>
        <v>2.2857142857142856</v>
      </c>
      <c r="K27" s="49">
        <f>'Avg Week Bugolobi-Nakawa'!K27+'Avg Week Nakawa-Bugolobi'!K27</f>
        <v>0.2857142857142857</v>
      </c>
      <c r="L27" s="49">
        <f>'Avg Week Bugolobi-Nakawa'!L27+'Avg Week Nakawa-Bugolobi'!L27</f>
        <v>0.14285714285714285</v>
      </c>
      <c r="M27" s="49">
        <f>'Avg Week Bugolobi-Nakawa'!M27+'Avg Week Nakawa-Bugolobi'!M27</f>
        <v>159.57142857142856</v>
      </c>
      <c r="N27" s="49">
        <f>'Avg Week Bugolobi-Nakawa'!N27+'Avg Week Nakawa-Bugolobi'!N27</f>
        <v>0.14285714285714285</v>
      </c>
      <c r="O27" s="15">
        <f t="shared" si="0"/>
        <v>270.28571428571428</v>
      </c>
      <c r="P27" s="15">
        <f t="shared" si="1"/>
        <v>429.85714285714283</v>
      </c>
      <c r="R27" s="1" t="s">
        <v>151</v>
      </c>
      <c r="S27" s="34">
        <f>SUM(C78:C81)</f>
        <v>166</v>
      </c>
      <c r="T27" s="34">
        <f t="shared" ref="T27:AF27" si="19">SUM(D78:D81)</f>
        <v>33</v>
      </c>
      <c r="U27" s="34">
        <f t="shared" si="19"/>
        <v>17</v>
      </c>
      <c r="V27" s="34">
        <f t="shared" si="19"/>
        <v>22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1.5</v>
      </c>
      <c r="AA27" s="34">
        <f t="shared" si="19"/>
        <v>0.5</v>
      </c>
      <c r="AB27" s="34">
        <f t="shared" si="19"/>
        <v>0.5</v>
      </c>
      <c r="AC27" s="34">
        <f t="shared" si="19"/>
        <v>177.5</v>
      </c>
      <c r="AD27" s="34">
        <f t="shared" si="19"/>
        <v>0</v>
      </c>
      <c r="AE27" s="31">
        <f t="shared" si="19"/>
        <v>242.5</v>
      </c>
      <c r="AF27" s="31">
        <f t="shared" si="19"/>
        <v>420</v>
      </c>
    </row>
    <row r="28" spans="2:32" ht="23.1" customHeight="1" x14ac:dyDescent="0.25">
      <c r="B28" s="23" t="s">
        <v>55</v>
      </c>
      <c r="C28" s="49">
        <f>'Avg Week Bugolobi-Nakawa'!C28+'Avg Week Nakawa-Bugolobi'!C28</f>
        <v>124.28571428571429</v>
      </c>
      <c r="D28" s="49">
        <f>'Avg Week Bugolobi-Nakawa'!D28+'Avg Week Nakawa-Bugolobi'!D28</f>
        <v>47.571428571428569</v>
      </c>
      <c r="E28" s="49">
        <f>'Avg Week Bugolobi-Nakawa'!E28+'Avg Week Nakawa-Bugolobi'!E28</f>
        <v>30.142857142857142</v>
      </c>
      <c r="F28" s="49">
        <f>'Avg Week Bugolobi-Nakawa'!F28+'Avg Week Nakawa-Bugolobi'!F28</f>
        <v>47.142857142857139</v>
      </c>
      <c r="G28" s="49">
        <f>'Avg Week Bugolobi-Nakawa'!G28+'Avg Week Nakawa-Bugolobi'!G28</f>
        <v>0.8571428571428571</v>
      </c>
      <c r="H28" s="49">
        <f>'Avg Week Bugolobi-Nakawa'!H28+'Avg Week Nakawa-Bugolobi'!H28</f>
        <v>0.14285714285714285</v>
      </c>
      <c r="I28" s="49">
        <f>'Avg Week Bugolobi-Nakawa'!I28+'Avg Week Nakawa-Bugolobi'!I28</f>
        <v>7.2857142857142865</v>
      </c>
      <c r="J28" s="49">
        <f>'Avg Week Bugolobi-Nakawa'!J28+'Avg Week Nakawa-Bugolobi'!J28</f>
        <v>2.1428571428571428</v>
      </c>
      <c r="K28" s="49">
        <f>'Avg Week Bugolobi-Nakawa'!K28+'Avg Week Nakawa-Bugolobi'!K28</f>
        <v>0.14285714285714285</v>
      </c>
      <c r="L28" s="49">
        <f>'Avg Week Bugolobi-Nakawa'!L28+'Avg Week Nakawa-Bugolobi'!L28</f>
        <v>0.2857142857142857</v>
      </c>
      <c r="M28" s="49">
        <f>'Avg Week Bugolobi-Nakawa'!M28+'Avg Week Nakawa-Bugolobi'!M28</f>
        <v>151.28571428571428</v>
      </c>
      <c r="N28" s="49">
        <f>'Avg Week Bugolobi-Nakawa'!N28+'Avg Week Nakawa-Bugolobi'!N28</f>
        <v>0</v>
      </c>
      <c r="O28" s="15">
        <f t="shared" si="0"/>
        <v>260.00000000000006</v>
      </c>
      <c r="P28" s="15">
        <f t="shared" si="1"/>
        <v>411.28571428571433</v>
      </c>
      <c r="R28" s="1" t="s">
        <v>152</v>
      </c>
      <c r="S28" s="34">
        <f>SUM(C82:C85)</f>
        <v>109</v>
      </c>
      <c r="T28" s="34">
        <f t="shared" ref="T28:AF28" si="20">SUM(D82:D85)</f>
        <v>19</v>
      </c>
      <c r="U28" s="34">
        <f t="shared" si="20"/>
        <v>7</v>
      </c>
      <c r="V28" s="34">
        <f t="shared" si="20"/>
        <v>7</v>
      </c>
      <c r="W28" s="34">
        <f t="shared" si="20"/>
        <v>0.5</v>
      </c>
      <c r="X28" s="34">
        <f t="shared" si="20"/>
        <v>0</v>
      </c>
      <c r="Y28" s="34">
        <f t="shared" si="20"/>
        <v>2</v>
      </c>
      <c r="Z28" s="34">
        <f t="shared" si="20"/>
        <v>0.5</v>
      </c>
      <c r="AA28" s="34">
        <f t="shared" si="20"/>
        <v>0.5</v>
      </c>
      <c r="AB28" s="34">
        <f t="shared" si="20"/>
        <v>0.5</v>
      </c>
      <c r="AC28" s="34">
        <f t="shared" si="20"/>
        <v>109</v>
      </c>
      <c r="AD28" s="34">
        <f t="shared" si="20"/>
        <v>0</v>
      </c>
      <c r="AE28" s="31">
        <f t="shared" si="20"/>
        <v>146</v>
      </c>
      <c r="AF28" s="31">
        <f t="shared" si="20"/>
        <v>255</v>
      </c>
    </row>
    <row r="29" spans="2:32" ht="23.1" customHeight="1" x14ac:dyDescent="0.25">
      <c r="B29" s="23" t="s">
        <v>56</v>
      </c>
      <c r="C29" s="49">
        <f>'Avg Week Bugolobi-Nakawa'!C29+'Avg Week Nakawa-Bugolobi'!C29</f>
        <v>135</v>
      </c>
      <c r="D29" s="49">
        <f>'Avg Week Bugolobi-Nakawa'!D29+'Avg Week Nakawa-Bugolobi'!D29</f>
        <v>42.428571428571431</v>
      </c>
      <c r="E29" s="49">
        <f>'Avg Week Bugolobi-Nakawa'!E29+'Avg Week Nakawa-Bugolobi'!E29</f>
        <v>32.571428571428569</v>
      </c>
      <c r="F29" s="49">
        <f>'Avg Week Bugolobi-Nakawa'!F29+'Avg Week Nakawa-Bugolobi'!F29</f>
        <v>51.142857142857139</v>
      </c>
      <c r="G29" s="49">
        <f>'Avg Week Bugolobi-Nakawa'!G29+'Avg Week Nakawa-Bugolobi'!G29</f>
        <v>0.5714285714285714</v>
      </c>
      <c r="H29" s="49">
        <f>'Avg Week Bugolobi-Nakawa'!H29+'Avg Week Nakawa-Bugolobi'!H29</f>
        <v>0.14285714285714285</v>
      </c>
      <c r="I29" s="49">
        <f>'Avg Week Bugolobi-Nakawa'!I29+'Avg Week Nakawa-Bugolobi'!I29</f>
        <v>6.4285714285714288</v>
      </c>
      <c r="J29" s="49">
        <f>'Avg Week Bugolobi-Nakawa'!J29+'Avg Week Nakawa-Bugolobi'!J29</f>
        <v>3.1428571428571428</v>
      </c>
      <c r="K29" s="49">
        <f>'Avg Week Bugolobi-Nakawa'!K29+'Avg Week Nakawa-Bugolobi'!K29</f>
        <v>0.2857142857142857</v>
      </c>
      <c r="L29" s="49">
        <f>'Avg Week Bugolobi-Nakawa'!L29+'Avg Week Nakawa-Bugolobi'!L29</f>
        <v>0.14285714285714285</v>
      </c>
      <c r="M29" s="49">
        <f>'Avg Week Bugolobi-Nakawa'!M29+'Avg Week Nakawa-Bugolobi'!M29</f>
        <v>169.28571428571428</v>
      </c>
      <c r="N29" s="49">
        <f>'Avg Week Bugolobi-Nakawa'!N29+'Avg Week Nakawa-Bugolobi'!N29</f>
        <v>0</v>
      </c>
      <c r="O29" s="15">
        <f t="shared" si="0"/>
        <v>271.85714285714289</v>
      </c>
      <c r="P29" s="15">
        <f t="shared" si="1"/>
        <v>441.14285714285717</v>
      </c>
      <c r="R29" s="1" t="s">
        <v>153</v>
      </c>
      <c r="S29" s="34">
        <f>SUM(C86:C89)</f>
        <v>78.5</v>
      </c>
      <c r="T29" s="34">
        <f t="shared" ref="T29:AF29" si="21">SUM(D86:D89)</f>
        <v>9</v>
      </c>
      <c r="U29" s="34">
        <f t="shared" si="21"/>
        <v>4.5</v>
      </c>
      <c r="V29" s="34">
        <f t="shared" si="21"/>
        <v>4.5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0.5</v>
      </c>
      <c r="AA29" s="34">
        <f t="shared" si="21"/>
        <v>0.5</v>
      </c>
      <c r="AB29" s="34">
        <f t="shared" si="21"/>
        <v>0.5</v>
      </c>
      <c r="AC29" s="34">
        <f t="shared" si="21"/>
        <v>96</v>
      </c>
      <c r="AD29" s="34">
        <f t="shared" si="21"/>
        <v>0</v>
      </c>
      <c r="AE29" s="31">
        <f t="shared" si="21"/>
        <v>98</v>
      </c>
      <c r="AF29" s="31">
        <f t="shared" si="21"/>
        <v>194</v>
      </c>
    </row>
    <row r="30" spans="2:32" ht="23.1" customHeight="1" x14ac:dyDescent="0.25">
      <c r="B30" s="23" t="s">
        <v>57</v>
      </c>
      <c r="C30" s="49">
        <f>'Avg Week Bugolobi-Nakawa'!C30+'Avg Week Nakawa-Bugolobi'!C30</f>
        <v>142.57142857142856</v>
      </c>
      <c r="D30" s="49">
        <f>'Avg Week Bugolobi-Nakawa'!D30+'Avg Week Nakawa-Bugolobi'!D30</f>
        <v>46</v>
      </c>
      <c r="E30" s="49">
        <f>'Avg Week Bugolobi-Nakawa'!E30+'Avg Week Nakawa-Bugolobi'!E30</f>
        <v>29.571428571428569</v>
      </c>
      <c r="F30" s="49">
        <f>'Avg Week Bugolobi-Nakawa'!F30+'Avg Week Nakawa-Bugolobi'!F30</f>
        <v>44.428571428571431</v>
      </c>
      <c r="G30" s="49">
        <f>'Avg Week Bugolobi-Nakawa'!G30+'Avg Week Nakawa-Bugolobi'!G30</f>
        <v>0.2857142857142857</v>
      </c>
      <c r="H30" s="49">
        <f>'Avg Week Bugolobi-Nakawa'!H30+'Avg Week Nakawa-Bugolobi'!H30</f>
        <v>0</v>
      </c>
      <c r="I30" s="49">
        <f>'Avg Week Bugolobi-Nakawa'!I30+'Avg Week Nakawa-Bugolobi'!I30</f>
        <v>8.8571428571428577</v>
      </c>
      <c r="J30" s="49">
        <f>'Avg Week Bugolobi-Nakawa'!J30+'Avg Week Nakawa-Bugolobi'!J30</f>
        <v>4.1428571428571423</v>
      </c>
      <c r="K30" s="49">
        <f>'Avg Week Bugolobi-Nakawa'!K30+'Avg Week Nakawa-Bugolobi'!K30</f>
        <v>0.5714285714285714</v>
      </c>
      <c r="L30" s="49">
        <f>'Avg Week Bugolobi-Nakawa'!L30+'Avg Week Nakawa-Bugolobi'!L30</f>
        <v>0.42857142857142855</v>
      </c>
      <c r="M30" s="49">
        <f>'Avg Week Bugolobi-Nakawa'!M30+'Avg Week Nakawa-Bugolobi'!M30</f>
        <v>166.85714285714286</v>
      </c>
      <c r="N30" s="49">
        <f>'Avg Week Bugolobi-Nakawa'!N30+'Avg Week Nakawa-Bugolobi'!N30</f>
        <v>0.14285714285714285</v>
      </c>
      <c r="O30" s="15">
        <f t="shared" si="0"/>
        <v>277</v>
      </c>
      <c r="P30" s="15">
        <f t="shared" si="1"/>
        <v>443.85714285714283</v>
      </c>
      <c r="R30" s="1" t="s">
        <v>154</v>
      </c>
      <c r="S30" s="34">
        <f>SUM(C90:C93)</f>
        <v>91.5</v>
      </c>
      <c r="T30" s="34">
        <f t="shared" ref="T30:AF30" si="22">SUM(D90:D93)</f>
        <v>8.5</v>
      </c>
      <c r="U30" s="34">
        <f t="shared" si="22"/>
        <v>7.5</v>
      </c>
      <c r="V30" s="34">
        <f t="shared" si="22"/>
        <v>6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0.5</v>
      </c>
      <c r="AA30" s="34">
        <f t="shared" si="22"/>
        <v>0.5</v>
      </c>
      <c r="AB30" s="34">
        <f t="shared" si="22"/>
        <v>1.5</v>
      </c>
      <c r="AC30" s="34">
        <f t="shared" si="22"/>
        <v>91</v>
      </c>
      <c r="AD30" s="34">
        <f t="shared" si="22"/>
        <v>0</v>
      </c>
      <c r="AE30" s="31">
        <f t="shared" si="22"/>
        <v>116.5</v>
      </c>
      <c r="AF30" s="31">
        <f t="shared" si="22"/>
        <v>207.5</v>
      </c>
    </row>
    <row r="31" spans="2:32" ht="23.1" customHeight="1" x14ac:dyDescent="0.25">
      <c r="B31" s="24" t="s">
        <v>58</v>
      </c>
      <c r="C31" s="49">
        <f>'Avg Week Bugolobi-Nakawa'!C31+'Avg Week Nakawa-Bugolobi'!C31</f>
        <v>143.85714285714283</v>
      </c>
      <c r="D31" s="49">
        <f>'Avg Week Bugolobi-Nakawa'!D31+'Avg Week Nakawa-Bugolobi'!D31</f>
        <v>45.714285714285715</v>
      </c>
      <c r="E31" s="49">
        <f>'Avg Week Bugolobi-Nakawa'!E31+'Avg Week Nakawa-Bugolobi'!E31</f>
        <v>29.142857142857142</v>
      </c>
      <c r="F31" s="49">
        <f>'Avg Week Bugolobi-Nakawa'!F31+'Avg Week Nakawa-Bugolobi'!F31</f>
        <v>42.428571428571431</v>
      </c>
      <c r="G31" s="49">
        <f>'Avg Week Bugolobi-Nakawa'!G31+'Avg Week Nakawa-Bugolobi'!G31</f>
        <v>0.71428571428571419</v>
      </c>
      <c r="H31" s="49">
        <f>'Avg Week Bugolobi-Nakawa'!H31+'Avg Week Nakawa-Bugolobi'!H31</f>
        <v>0.5714285714285714</v>
      </c>
      <c r="I31" s="49">
        <f>'Avg Week Bugolobi-Nakawa'!I31+'Avg Week Nakawa-Bugolobi'!I31</f>
        <v>6</v>
      </c>
      <c r="J31" s="49">
        <f>'Avg Week Bugolobi-Nakawa'!J31+'Avg Week Nakawa-Bugolobi'!J31</f>
        <v>2</v>
      </c>
      <c r="K31" s="49">
        <f>'Avg Week Bugolobi-Nakawa'!K31+'Avg Week Nakawa-Bugolobi'!K31</f>
        <v>0.2857142857142857</v>
      </c>
      <c r="L31" s="49">
        <f>'Avg Week Bugolobi-Nakawa'!L31+'Avg Week Nakawa-Bugolobi'!L31</f>
        <v>0.14285714285714285</v>
      </c>
      <c r="M31" s="49">
        <f>'Avg Week Bugolobi-Nakawa'!M31+'Avg Week Nakawa-Bugolobi'!M31</f>
        <v>165.42857142857142</v>
      </c>
      <c r="N31" s="49">
        <f>'Avg Week Bugolobi-Nakawa'!N31+'Avg Week Nakawa-Bugolobi'!N31</f>
        <v>0</v>
      </c>
      <c r="O31" s="15">
        <f t="shared" si="0"/>
        <v>270.85714285714283</v>
      </c>
      <c r="P31" s="15">
        <f t="shared" si="1"/>
        <v>436.28571428571422</v>
      </c>
      <c r="R31" s="1" t="s">
        <v>155</v>
      </c>
      <c r="S31" s="34">
        <f>SUM(C94:C97)</f>
        <v>49.5</v>
      </c>
      <c r="T31" s="34">
        <f t="shared" ref="T31:AF31" si="23">SUM(D94:D97)</f>
        <v>12</v>
      </c>
      <c r="U31" s="34">
        <f t="shared" si="23"/>
        <v>8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1.5</v>
      </c>
      <c r="Z31" s="34">
        <f t="shared" si="23"/>
        <v>1.5</v>
      </c>
      <c r="AA31" s="34">
        <f t="shared" si="23"/>
        <v>0.5</v>
      </c>
      <c r="AB31" s="34">
        <f t="shared" si="23"/>
        <v>1</v>
      </c>
      <c r="AC31" s="34">
        <f t="shared" si="23"/>
        <v>88.5</v>
      </c>
      <c r="AD31" s="34">
        <f t="shared" si="23"/>
        <v>0</v>
      </c>
      <c r="AE31" s="31">
        <f t="shared" si="23"/>
        <v>76</v>
      </c>
      <c r="AF31" s="31">
        <f t="shared" si="23"/>
        <v>164.5</v>
      </c>
    </row>
    <row r="32" spans="2:32" ht="23.1" customHeight="1" x14ac:dyDescent="0.25">
      <c r="B32" s="24" t="s">
        <v>59</v>
      </c>
      <c r="C32" s="49">
        <f>'Avg Week Bugolobi-Nakawa'!C32+'Avg Week Nakawa-Bugolobi'!C32</f>
        <v>136.57142857142856</v>
      </c>
      <c r="D32" s="49">
        <f>'Avg Week Bugolobi-Nakawa'!D32+'Avg Week Nakawa-Bugolobi'!D32</f>
        <v>45.571428571428569</v>
      </c>
      <c r="E32" s="49">
        <f>'Avg Week Bugolobi-Nakawa'!E32+'Avg Week Nakawa-Bugolobi'!E32</f>
        <v>33.285714285714285</v>
      </c>
      <c r="F32" s="49">
        <f>'Avg Week Bugolobi-Nakawa'!F32+'Avg Week Nakawa-Bugolobi'!F32</f>
        <v>49.428571428571431</v>
      </c>
      <c r="G32" s="49">
        <f>'Avg Week Bugolobi-Nakawa'!G32+'Avg Week Nakawa-Bugolobi'!G32</f>
        <v>1.4285714285714286</v>
      </c>
      <c r="H32" s="49">
        <f>'Avg Week Bugolobi-Nakawa'!H32+'Avg Week Nakawa-Bugolobi'!H32</f>
        <v>0.71428571428571419</v>
      </c>
      <c r="I32" s="49">
        <f>'Avg Week Bugolobi-Nakawa'!I32+'Avg Week Nakawa-Bugolobi'!I32</f>
        <v>4</v>
      </c>
      <c r="J32" s="49">
        <f>'Avg Week Bugolobi-Nakawa'!J32+'Avg Week Nakawa-Bugolobi'!J32</f>
        <v>2.2857142857142856</v>
      </c>
      <c r="K32" s="49">
        <f>'Avg Week Bugolobi-Nakawa'!K32+'Avg Week Nakawa-Bugolobi'!K32</f>
        <v>0.2857142857142857</v>
      </c>
      <c r="L32" s="49">
        <f>'Avg Week Bugolobi-Nakawa'!L32+'Avg Week Nakawa-Bugolobi'!L32</f>
        <v>1</v>
      </c>
      <c r="M32" s="49">
        <f>'Avg Week Bugolobi-Nakawa'!M32+'Avg Week Nakawa-Bugolobi'!M32</f>
        <v>163</v>
      </c>
      <c r="N32" s="49">
        <f>'Avg Week Bugolobi-Nakawa'!N32+'Avg Week Nakawa-Bugolobi'!N32</f>
        <v>0</v>
      </c>
      <c r="O32" s="15">
        <f t="shared" si="0"/>
        <v>274.57142857142856</v>
      </c>
      <c r="P32" s="15">
        <f t="shared" si="1"/>
        <v>437.57142857142856</v>
      </c>
      <c r="R32" s="1" t="s">
        <v>156</v>
      </c>
      <c r="S32" s="34">
        <f>SUM(C98:C101)</f>
        <v>67.5</v>
      </c>
      <c r="T32" s="34">
        <f t="shared" ref="T32:AF32" si="24">SUM(D98:D101)</f>
        <v>11</v>
      </c>
      <c r="U32" s="34">
        <f t="shared" si="24"/>
        <v>6.5</v>
      </c>
      <c r="V32" s="34">
        <f t="shared" si="24"/>
        <v>16</v>
      </c>
      <c r="W32" s="34">
        <f t="shared" si="24"/>
        <v>2.5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0.5</v>
      </c>
      <c r="AC32" s="34">
        <f t="shared" si="24"/>
        <v>139.5</v>
      </c>
      <c r="AD32" s="34">
        <f t="shared" si="24"/>
        <v>0</v>
      </c>
      <c r="AE32" s="31">
        <f t="shared" si="24"/>
        <v>106</v>
      </c>
      <c r="AF32" s="31">
        <f t="shared" si="24"/>
        <v>245.5</v>
      </c>
    </row>
    <row r="33" spans="2:32" ht="23.1" customHeight="1" x14ac:dyDescent="0.25">
      <c r="B33" s="23" t="s">
        <v>60</v>
      </c>
      <c r="C33" s="49">
        <f>'Avg Week Bugolobi-Nakawa'!C33+'Avg Week Nakawa-Bugolobi'!C33</f>
        <v>145.57142857142856</v>
      </c>
      <c r="D33" s="49">
        <f>'Avg Week Bugolobi-Nakawa'!D33+'Avg Week Nakawa-Bugolobi'!D33</f>
        <v>40</v>
      </c>
      <c r="E33" s="49">
        <f>'Avg Week Bugolobi-Nakawa'!E33+'Avg Week Nakawa-Bugolobi'!E33</f>
        <v>30.571428571428569</v>
      </c>
      <c r="F33" s="49">
        <f>'Avg Week Bugolobi-Nakawa'!F33+'Avg Week Nakawa-Bugolobi'!F33</f>
        <v>52.714285714285715</v>
      </c>
      <c r="G33" s="49">
        <f>'Avg Week Bugolobi-Nakawa'!G33+'Avg Week Nakawa-Bugolobi'!G33</f>
        <v>0.71428571428571419</v>
      </c>
      <c r="H33" s="49">
        <f>'Avg Week Bugolobi-Nakawa'!H33+'Avg Week Nakawa-Bugolobi'!H33</f>
        <v>0</v>
      </c>
      <c r="I33" s="49">
        <f>'Avg Week Bugolobi-Nakawa'!I33+'Avg Week Nakawa-Bugolobi'!I33</f>
        <v>6.7142857142857135</v>
      </c>
      <c r="J33" s="49">
        <f>'Avg Week Bugolobi-Nakawa'!J33+'Avg Week Nakawa-Bugolobi'!J33</f>
        <v>2.2857142857142856</v>
      </c>
      <c r="K33" s="49">
        <f>'Avg Week Bugolobi-Nakawa'!K33+'Avg Week Nakawa-Bugolobi'!K33</f>
        <v>0.14285714285714285</v>
      </c>
      <c r="L33" s="49">
        <f>'Avg Week Bugolobi-Nakawa'!L33+'Avg Week Nakawa-Bugolobi'!L33</f>
        <v>0.71428571428571419</v>
      </c>
      <c r="M33" s="49">
        <f>'Avg Week Bugolobi-Nakawa'!M33+'Avg Week Nakawa-Bugolobi'!M33</f>
        <v>180.14285714285714</v>
      </c>
      <c r="N33" s="49">
        <f>'Avg Week Bugolobi-Nakawa'!N33+'Avg Week Nakawa-Bugolobi'!N33</f>
        <v>0</v>
      </c>
      <c r="O33" s="15">
        <f t="shared" si="0"/>
        <v>279.42857142857144</v>
      </c>
      <c r="P33" s="15">
        <f t="shared" si="1"/>
        <v>459.57142857142856</v>
      </c>
      <c r="R33" s="1" t="s">
        <v>157</v>
      </c>
      <c r="S33" s="34">
        <f>SUM(C102:C105)</f>
        <v>258</v>
      </c>
      <c r="T33" s="34">
        <f t="shared" ref="T33:AF33" si="25">SUM(D102:D105)</f>
        <v>55</v>
      </c>
      <c r="U33" s="34">
        <f t="shared" si="25"/>
        <v>22</v>
      </c>
      <c r="V33" s="34">
        <f t="shared" si="25"/>
        <v>93.5</v>
      </c>
      <c r="W33" s="34">
        <f t="shared" si="25"/>
        <v>0</v>
      </c>
      <c r="X33" s="34">
        <f t="shared" si="25"/>
        <v>0</v>
      </c>
      <c r="Y33" s="34">
        <f t="shared" si="25"/>
        <v>6</v>
      </c>
      <c r="Z33" s="34">
        <f t="shared" si="25"/>
        <v>1.5</v>
      </c>
      <c r="AA33" s="34">
        <f t="shared" si="25"/>
        <v>0.5</v>
      </c>
      <c r="AB33" s="34">
        <f t="shared" si="25"/>
        <v>1.5</v>
      </c>
      <c r="AC33" s="34">
        <f t="shared" si="25"/>
        <v>278</v>
      </c>
      <c r="AD33" s="34">
        <f t="shared" si="25"/>
        <v>0</v>
      </c>
      <c r="AE33" s="31">
        <f t="shared" si="25"/>
        <v>438</v>
      </c>
      <c r="AF33" s="31">
        <f t="shared" si="25"/>
        <v>716</v>
      </c>
    </row>
    <row r="34" spans="2:32" ht="23.1" customHeight="1" x14ac:dyDescent="0.25">
      <c r="B34" s="24" t="s">
        <v>61</v>
      </c>
      <c r="C34" s="49">
        <f>'Avg Week Bugolobi-Nakawa'!C34+'Avg Week Nakawa-Bugolobi'!C34</f>
        <v>138.71428571428572</v>
      </c>
      <c r="D34" s="49">
        <f>'Avg Week Bugolobi-Nakawa'!D34+'Avg Week Nakawa-Bugolobi'!D34</f>
        <v>43.142857142857139</v>
      </c>
      <c r="E34" s="49">
        <f>'Avg Week Bugolobi-Nakawa'!E34+'Avg Week Nakawa-Bugolobi'!E34</f>
        <v>41.142857142857139</v>
      </c>
      <c r="F34" s="49">
        <f>'Avg Week Bugolobi-Nakawa'!F34+'Avg Week Nakawa-Bugolobi'!F34</f>
        <v>51.714285714285715</v>
      </c>
      <c r="G34" s="49">
        <f>'Avg Week Bugolobi-Nakawa'!G34+'Avg Week Nakawa-Bugolobi'!G34</f>
        <v>0.42857142857142855</v>
      </c>
      <c r="H34" s="49">
        <f>'Avg Week Bugolobi-Nakawa'!H34+'Avg Week Nakawa-Bugolobi'!H34</f>
        <v>0</v>
      </c>
      <c r="I34" s="49">
        <f>'Avg Week Bugolobi-Nakawa'!I34+'Avg Week Nakawa-Bugolobi'!I34</f>
        <v>4.5714285714285712</v>
      </c>
      <c r="J34" s="49">
        <f>'Avg Week Bugolobi-Nakawa'!J34+'Avg Week Nakawa-Bugolobi'!J34</f>
        <v>2.5714285714285712</v>
      </c>
      <c r="K34" s="49">
        <f>'Avg Week Bugolobi-Nakawa'!K34+'Avg Week Nakawa-Bugolobi'!K34</f>
        <v>0.42857142857142855</v>
      </c>
      <c r="L34" s="49">
        <f>'Avg Week Bugolobi-Nakawa'!L34+'Avg Week Nakawa-Bugolobi'!L34</f>
        <v>0.71428571428571419</v>
      </c>
      <c r="M34" s="49">
        <f>'Avg Week Bugolobi-Nakawa'!M34+'Avg Week Nakawa-Bugolobi'!M34</f>
        <v>160.57142857142856</v>
      </c>
      <c r="N34" s="49">
        <f>'Avg Week Bugolobi-Nakawa'!N34+'Avg Week Nakawa-Bugolobi'!N34</f>
        <v>0</v>
      </c>
      <c r="O34" s="15">
        <f t="shared" si="0"/>
        <v>283.42857142857144</v>
      </c>
      <c r="P34" s="15">
        <f t="shared" si="1"/>
        <v>444</v>
      </c>
      <c r="R34" s="38" t="s">
        <v>90</v>
      </c>
      <c r="S34" s="39">
        <f t="shared" ref="S34:AF34" si="26">MAX(S10:S12)</f>
        <v>630.57142857142856</v>
      </c>
      <c r="T34" s="39">
        <f t="shared" si="26"/>
        <v>203</v>
      </c>
      <c r="U34" s="39">
        <f t="shared" si="26"/>
        <v>144</v>
      </c>
      <c r="V34" s="39">
        <f t="shared" si="26"/>
        <v>266.71428571428572</v>
      </c>
      <c r="W34" s="39">
        <f t="shared" si="26"/>
        <v>3.4285714285714288</v>
      </c>
      <c r="X34" s="39">
        <f t="shared" si="26"/>
        <v>2.1428571428571428</v>
      </c>
      <c r="Y34" s="39">
        <f t="shared" si="26"/>
        <v>20.714285714285715</v>
      </c>
      <c r="Z34" s="39">
        <f t="shared" si="26"/>
        <v>8.428571428571427</v>
      </c>
      <c r="AA34" s="39">
        <f t="shared" si="26"/>
        <v>1.8571428571428572</v>
      </c>
      <c r="AB34" s="39">
        <f t="shared" si="26"/>
        <v>1.714285714285714</v>
      </c>
      <c r="AC34" s="39">
        <f t="shared" si="26"/>
        <v>794.42857142857144</v>
      </c>
      <c r="AD34" s="39">
        <f t="shared" si="26"/>
        <v>0.14285714285714285</v>
      </c>
      <c r="AE34" s="40">
        <f t="shared" si="26"/>
        <v>1269.1428571428571</v>
      </c>
      <c r="AF34" s="40">
        <f t="shared" si="26"/>
        <v>2035.4285714285716</v>
      </c>
    </row>
    <row r="35" spans="2:32" ht="23.1" customHeight="1" x14ac:dyDescent="0.25">
      <c r="B35" s="24" t="s">
        <v>62</v>
      </c>
      <c r="C35" s="49">
        <f>'Avg Week Bugolobi-Nakawa'!C35+'Avg Week Nakawa-Bugolobi'!C35</f>
        <v>113.42857142857143</v>
      </c>
      <c r="D35" s="49">
        <f>'Avg Week Bugolobi-Nakawa'!D35+'Avg Week Nakawa-Bugolobi'!D35</f>
        <v>34.857142857142861</v>
      </c>
      <c r="E35" s="49">
        <f>'Avg Week Bugolobi-Nakawa'!E35+'Avg Week Nakawa-Bugolobi'!E35</f>
        <v>31.571428571428573</v>
      </c>
      <c r="F35" s="49">
        <f>'Avg Week Bugolobi-Nakawa'!F35+'Avg Week Nakawa-Bugolobi'!F35</f>
        <v>40.428571428571431</v>
      </c>
      <c r="G35" s="49">
        <f>'Avg Week Bugolobi-Nakawa'!G35+'Avg Week Nakawa-Bugolobi'!G35</f>
        <v>0.5714285714285714</v>
      </c>
      <c r="H35" s="49">
        <f>'Avg Week Bugolobi-Nakawa'!H35+'Avg Week Nakawa-Bugolobi'!H35</f>
        <v>0.14285714285714285</v>
      </c>
      <c r="I35" s="49">
        <f>'Avg Week Bugolobi-Nakawa'!I35+'Avg Week Nakawa-Bugolobi'!I35</f>
        <v>5</v>
      </c>
      <c r="J35" s="49">
        <f>'Avg Week Bugolobi-Nakawa'!J35+'Avg Week Nakawa-Bugolobi'!J35</f>
        <v>2.1428571428571428</v>
      </c>
      <c r="K35" s="49">
        <f>'Avg Week Bugolobi-Nakawa'!K35+'Avg Week Nakawa-Bugolobi'!K35</f>
        <v>0.42857142857142855</v>
      </c>
      <c r="L35" s="49">
        <f>'Avg Week Bugolobi-Nakawa'!L35+'Avg Week Nakawa-Bugolobi'!L35</f>
        <v>0.42857142857142855</v>
      </c>
      <c r="M35" s="49">
        <f>'Avg Week Bugolobi-Nakawa'!M35+'Avg Week Nakawa-Bugolobi'!M35</f>
        <v>154.14285714285714</v>
      </c>
      <c r="N35" s="49">
        <f>'Avg Week Bugolobi-Nakawa'!N35+'Avg Week Nakawa-Bugolobi'!N35</f>
        <v>0</v>
      </c>
      <c r="O35" s="15">
        <f t="shared" si="0"/>
        <v>228.99999999999997</v>
      </c>
      <c r="P35" s="15">
        <f t="shared" si="1"/>
        <v>383.14285714285711</v>
      </c>
      <c r="R35" s="38" t="s">
        <v>91</v>
      </c>
      <c r="S35" s="39">
        <f t="shared" ref="S35:AF35" si="27">MAX(S13:S18)</f>
        <v>631</v>
      </c>
      <c r="T35" s="39">
        <f t="shared" si="27"/>
        <v>184.14285714285717</v>
      </c>
      <c r="U35" s="39">
        <f t="shared" si="27"/>
        <v>137.57142857142856</v>
      </c>
      <c r="V35" s="39">
        <f t="shared" si="27"/>
        <v>209</v>
      </c>
      <c r="W35" s="39">
        <f t="shared" si="27"/>
        <v>3.7142857142857144</v>
      </c>
      <c r="X35" s="39">
        <f t="shared" si="27"/>
        <v>1.4285714285714284</v>
      </c>
      <c r="Y35" s="39">
        <f t="shared" si="27"/>
        <v>25.571428571428577</v>
      </c>
      <c r="Z35" s="39">
        <f t="shared" si="27"/>
        <v>12.857142857142856</v>
      </c>
      <c r="AA35" s="39">
        <f t="shared" si="27"/>
        <v>3.2857142857142851</v>
      </c>
      <c r="AB35" s="39">
        <f t="shared" si="27"/>
        <v>2.2857142857142856</v>
      </c>
      <c r="AC35" s="39">
        <f t="shared" si="27"/>
        <v>709.85714285714289</v>
      </c>
      <c r="AD35" s="39">
        <f t="shared" si="27"/>
        <v>0.14285714285714285</v>
      </c>
      <c r="AE35" s="40">
        <f t="shared" si="27"/>
        <v>1115.2857142857144</v>
      </c>
      <c r="AF35" s="40">
        <f t="shared" si="27"/>
        <v>1790.2857142857142</v>
      </c>
    </row>
    <row r="36" spans="2:32" ht="23.1" customHeight="1" x14ac:dyDescent="0.25">
      <c r="B36" s="24" t="s">
        <v>63</v>
      </c>
      <c r="C36" s="49">
        <f>'Avg Week Bugolobi-Nakawa'!C36+'Avg Week Nakawa-Bugolobi'!C36</f>
        <v>122</v>
      </c>
      <c r="D36" s="49">
        <f>'Avg Week Bugolobi-Nakawa'!D36+'Avg Week Nakawa-Bugolobi'!D36</f>
        <v>41.571428571428569</v>
      </c>
      <c r="E36" s="49">
        <f>'Avg Week Bugolobi-Nakawa'!E36+'Avg Week Nakawa-Bugolobi'!E36</f>
        <v>34.142857142857139</v>
      </c>
      <c r="F36" s="49">
        <f>'Avg Week Bugolobi-Nakawa'!F36+'Avg Week Nakawa-Bugolobi'!F36</f>
        <v>50.571428571428569</v>
      </c>
      <c r="G36" s="49">
        <f>'Avg Week Bugolobi-Nakawa'!G36+'Avg Week Nakawa-Bugolobi'!G36</f>
        <v>0.71428571428571419</v>
      </c>
      <c r="H36" s="49">
        <f>'Avg Week Bugolobi-Nakawa'!H36+'Avg Week Nakawa-Bugolobi'!H36</f>
        <v>0</v>
      </c>
      <c r="I36" s="49">
        <f>'Avg Week Bugolobi-Nakawa'!I36+'Avg Week Nakawa-Bugolobi'!I36</f>
        <v>6.1428571428571423</v>
      </c>
      <c r="J36" s="49">
        <f>'Avg Week Bugolobi-Nakawa'!J36+'Avg Week Nakawa-Bugolobi'!J36</f>
        <v>3.1428571428571432</v>
      </c>
      <c r="K36" s="49">
        <f>'Avg Week Bugolobi-Nakawa'!K36+'Avg Week Nakawa-Bugolobi'!K36</f>
        <v>0</v>
      </c>
      <c r="L36" s="49">
        <f>'Avg Week Bugolobi-Nakawa'!L36+'Avg Week Nakawa-Bugolobi'!L36</f>
        <v>0.2857142857142857</v>
      </c>
      <c r="M36" s="49">
        <f>'Avg Week Bugolobi-Nakawa'!M36+'Avg Week Nakawa-Bugolobi'!M36</f>
        <v>146</v>
      </c>
      <c r="N36" s="49">
        <f>'Avg Week Bugolobi-Nakawa'!N36+'Avg Week Nakawa-Bugolobi'!N36</f>
        <v>0</v>
      </c>
      <c r="O36" s="15">
        <f t="shared" si="0"/>
        <v>258.57142857142856</v>
      </c>
      <c r="P36" s="15">
        <f t="shared" si="1"/>
        <v>404.57142857142856</v>
      </c>
      <c r="R36" s="38" t="s">
        <v>92</v>
      </c>
      <c r="S36" s="39">
        <f t="shared" ref="S36:AF36" si="28">MAX(S19:S21)</f>
        <v>893.57142857142856</v>
      </c>
      <c r="T36" s="39">
        <f t="shared" si="28"/>
        <v>290.85714285714283</v>
      </c>
      <c r="U36" s="39">
        <f t="shared" si="28"/>
        <v>201.57142857142856</v>
      </c>
      <c r="V36" s="39">
        <f t="shared" si="28"/>
        <v>209.42857142857144</v>
      </c>
      <c r="W36" s="39">
        <f t="shared" si="28"/>
        <v>4.2857142857142847</v>
      </c>
      <c r="X36" s="39">
        <f t="shared" si="28"/>
        <v>1.2857142857142856</v>
      </c>
      <c r="Y36" s="39">
        <f t="shared" si="28"/>
        <v>24.571428571428569</v>
      </c>
      <c r="Z36" s="39">
        <f t="shared" si="28"/>
        <v>13.428571428571429</v>
      </c>
      <c r="AA36" s="39">
        <f t="shared" si="28"/>
        <v>1.7142857142857142</v>
      </c>
      <c r="AB36" s="39">
        <f t="shared" si="28"/>
        <v>1.1428571428571428</v>
      </c>
      <c r="AC36" s="39">
        <f t="shared" si="28"/>
        <v>847.28571428571422</v>
      </c>
      <c r="AD36" s="39">
        <f t="shared" si="28"/>
        <v>0.14285714285714285</v>
      </c>
      <c r="AE36" s="40">
        <f t="shared" si="28"/>
        <v>1597.2857142857142</v>
      </c>
      <c r="AF36" s="40">
        <f t="shared" si="28"/>
        <v>2444.5714285714284</v>
      </c>
    </row>
    <row r="37" spans="2:32" ht="23.1" customHeight="1" x14ac:dyDescent="0.25">
      <c r="B37" s="23" t="s">
        <v>64</v>
      </c>
      <c r="C37" s="49">
        <f>'Avg Week Bugolobi-Nakawa'!C37+'Avg Week Nakawa-Bugolobi'!C37</f>
        <v>115.28571428571428</v>
      </c>
      <c r="D37" s="49">
        <f>'Avg Week Bugolobi-Nakawa'!D37+'Avg Week Nakawa-Bugolobi'!D37</f>
        <v>46.428571428571431</v>
      </c>
      <c r="E37" s="49">
        <f>'Avg Week Bugolobi-Nakawa'!E37+'Avg Week Nakawa-Bugolobi'!E37</f>
        <v>30.714285714285715</v>
      </c>
      <c r="F37" s="49">
        <f>'Avg Week Bugolobi-Nakawa'!F37+'Avg Week Nakawa-Bugolobi'!F37</f>
        <v>53.285714285714285</v>
      </c>
      <c r="G37" s="49">
        <f>'Avg Week Bugolobi-Nakawa'!G37+'Avg Week Nakawa-Bugolobi'!G37</f>
        <v>0.2857142857142857</v>
      </c>
      <c r="H37" s="49">
        <f>'Avg Week Bugolobi-Nakawa'!H37+'Avg Week Nakawa-Bugolobi'!H37</f>
        <v>0</v>
      </c>
      <c r="I37" s="49">
        <f>'Avg Week Bugolobi-Nakawa'!I37+'Avg Week Nakawa-Bugolobi'!I37</f>
        <v>4.2857142857142856</v>
      </c>
      <c r="J37" s="49">
        <f>'Avg Week Bugolobi-Nakawa'!J37+'Avg Week Nakawa-Bugolobi'!J37</f>
        <v>3.4285714285714288</v>
      </c>
      <c r="K37" s="49">
        <f>'Avg Week Bugolobi-Nakawa'!K37+'Avg Week Nakawa-Bugolobi'!K37</f>
        <v>0.5714285714285714</v>
      </c>
      <c r="L37" s="49">
        <f>'Avg Week Bugolobi-Nakawa'!L37+'Avg Week Nakawa-Bugolobi'!L37</f>
        <v>0.5714285714285714</v>
      </c>
      <c r="M37" s="49">
        <f>'Avg Week Bugolobi-Nakawa'!M37+'Avg Week Nakawa-Bugolobi'!M37</f>
        <v>138.28571428571428</v>
      </c>
      <c r="N37" s="49">
        <f>'Avg Week Bugolobi-Nakawa'!N37+'Avg Week Nakawa-Bugolobi'!N37</f>
        <v>0</v>
      </c>
      <c r="O37" s="15">
        <f t="shared" si="0"/>
        <v>254.85714285714286</v>
      </c>
      <c r="P37" s="15">
        <f t="shared" si="1"/>
        <v>393.14285714285711</v>
      </c>
      <c r="R37" s="37" t="s">
        <v>85</v>
      </c>
      <c r="S37" s="35">
        <f t="shared" ref="S37:AF37" si="29">SUM(S10:S12)</f>
        <v>1759.7142857142858</v>
      </c>
      <c r="T37" s="16">
        <f t="shared" si="29"/>
        <v>587.85714285714289</v>
      </c>
      <c r="U37" s="16">
        <f t="shared" si="29"/>
        <v>412.28571428571433</v>
      </c>
      <c r="V37" s="16">
        <f t="shared" si="29"/>
        <v>741.42857142857144</v>
      </c>
      <c r="W37" s="16">
        <f t="shared" si="29"/>
        <v>9.8571428571428577</v>
      </c>
      <c r="X37" s="16">
        <f t="shared" si="29"/>
        <v>4.8571428571428568</v>
      </c>
      <c r="Y37" s="16">
        <f t="shared" si="29"/>
        <v>53</v>
      </c>
      <c r="Z37" s="16">
        <f t="shared" si="29"/>
        <v>19.857142857142854</v>
      </c>
      <c r="AA37" s="16">
        <f t="shared" si="29"/>
        <v>4.4285714285714288</v>
      </c>
      <c r="AB37" s="16">
        <f t="shared" si="29"/>
        <v>3.7142857142857135</v>
      </c>
      <c r="AC37" s="16">
        <f t="shared" si="29"/>
        <v>2161</v>
      </c>
      <c r="AD37" s="16">
        <f t="shared" si="29"/>
        <v>0.14285714285714285</v>
      </c>
      <c r="AE37" s="32">
        <f t="shared" si="29"/>
        <v>3597.1428571428573</v>
      </c>
      <c r="AF37" s="32">
        <f t="shared" si="29"/>
        <v>5758.1428571428578</v>
      </c>
    </row>
    <row r="38" spans="2:32" ht="23.1" customHeight="1" x14ac:dyDescent="0.25">
      <c r="B38" s="24" t="s">
        <v>65</v>
      </c>
      <c r="C38" s="49">
        <f>'Avg Week Bugolobi-Nakawa'!C38+'Avg Week Nakawa-Bugolobi'!C38</f>
        <v>143.14285714285717</v>
      </c>
      <c r="D38" s="49">
        <f>'Avg Week Bugolobi-Nakawa'!D38+'Avg Week Nakawa-Bugolobi'!D38</f>
        <v>51.428571428571431</v>
      </c>
      <c r="E38" s="49">
        <f>'Avg Week Bugolobi-Nakawa'!E38+'Avg Week Nakawa-Bugolobi'!E38</f>
        <v>30.142857142857142</v>
      </c>
      <c r="F38" s="49">
        <f>'Avg Week Bugolobi-Nakawa'!F38+'Avg Week Nakawa-Bugolobi'!F38</f>
        <v>54</v>
      </c>
      <c r="G38" s="49">
        <f>'Avg Week Bugolobi-Nakawa'!G38+'Avg Week Nakawa-Bugolobi'!G38</f>
        <v>0.85714285714285721</v>
      </c>
      <c r="H38" s="49">
        <f>'Avg Week Bugolobi-Nakawa'!H38+'Avg Week Nakawa-Bugolobi'!H38</f>
        <v>0.2857142857142857</v>
      </c>
      <c r="I38" s="49">
        <f>'Avg Week Bugolobi-Nakawa'!I38+'Avg Week Nakawa-Bugolobi'!I38</f>
        <v>4.5714285714285712</v>
      </c>
      <c r="J38" s="49">
        <f>'Avg Week Bugolobi-Nakawa'!J38+'Avg Week Nakawa-Bugolobi'!J38</f>
        <v>2</v>
      </c>
      <c r="K38" s="49">
        <f>'Avg Week Bugolobi-Nakawa'!K38+'Avg Week Nakawa-Bugolobi'!K38</f>
        <v>0.71428571428571419</v>
      </c>
      <c r="L38" s="49">
        <f>'Avg Week Bugolobi-Nakawa'!L38+'Avg Week Nakawa-Bugolobi'!L38</f>
        <v>0.42857142857142855</v>
      </c>
      <c r="M38" s="49">
        <f>'Avg Week Bugolobi-Nakawa'!M38+'Avg Week Nakawa-Bugolobi'!M38</f>
        <v>158.14285714285714</v>
      </c>
      <c r="N38" s="49">
        <f>'Avg Week Bugolobi-Nakawa'!N38+'Avg Week Nakawa-Bugolobi'!N38</f>
        <v>0</v>
      </c>
      <c r="O38" s="15">
        <f t="shared" si="0"/>
        <v>287.57142857142861</v>
      </c>
      <c r="P38" s="15">
        <f t="shared" si="1"/>
        <v>445.71428571428578</v>
      </c>
      <c r="R38" s="28" t="s">
        <v>86</v>
      </c>
      <c r="S38" s="16">
        <f t="shared" ref="S38:AF38" si="30">SUM(S13:S18)</f>
        <v>3355.2857142857138</v>
      </c>
      <c r="T38" s="16">
        <f t="shared" si="30"/>
        <v>1015.2857142857144</v>
      </c>
      <c r="U38" s="16">
        <f t="shared" si="30"/>
        <v>757.85714285714278</v>
      </c>
      <c r="V38" s="16">
        <f t="shared" si="30"/>
        <v>1158.4285714285713</v>
      </c>
      <c r="W38" s="16">
        <f t="shared" si="30"/>
        <v>16.142857142857142</v>
      </c>
      <c r="X38" s="16">
        <f t="shared" si="30"/>
        <v>5.5714285714285703</v>
      </c>
      <c r="Y38" s="16">
        <f t="shared" si="30"/>
        <v>131.28571428571428</v>
      </c>
      <c r="Z38" s="16">
        <f t="shared" si="30"/>
        <v>64.285714285714278</v>
      </c>
      <c r="AA38" s="16">
        <f t="shared" si="30"/>
        <v>9.8571428571428559</v>
      </c>
      <c r="AB38" s="16">
        <f t="shared" si="30"/>
        <v>9.4285714285714288</v>
      </c>
      <c r="AC38" s="16">
        <f t="shared" si="30"/>
        <v>3957.1428571428573</v>
      </c>
      <c r="AD38" s="16">
        <f t="shared" si="30"/>
        <v>0.42857142857142855</v>
      </c>
      <c r="AE38" s="32">
        <f t="shared" si="30"/>
        <v>6523.857142857144</v>
      </c>
      <c r="AF38" s="32">
        <f t="shared" si="30"/>
        <v>10481</v>
      </c>
    </row>
    <row r="39" spans="2:32" ht="23.1" customHeight="1" x14ac:dyDescent="0.25">
      <c r="B39" s="24" t="s">
        <v>66</v>
      </c>
      <c r="C39" s="49">
        <f>'Avg Week Bugolobi-Nakawa'!C39+'Avg Week Nakawa-Bugolobi'!C39</f>
        <v>146</v>
      </c>
      <c r="D39" s="49">
        <f>'Avg Week Bugolobi-Nakawa'!D39+'Avg Week Nakawa-Bugolobi'!D39</f>
        <v>30.857142857142858</v>
      </c>
      <c r="E39" s="49">
        <f>'Avg Week Bugolobi-Nakawa'!E39+'Avg Week Nakawa-Bugolobi'!E39</f>
        <v>31</v>
      </c>
      <c r="F39" s="49">
        <f>'Avg Week Bugolobi-Nakawa'!F39+'Avg Week Nakawa-Bugolobi'!F39</f>
        <v>47.142857142857139</v>
      </c>
      <c r="G39" s="49">
        <f>'Avg Week Bugolobi-Nakawa'!G39+'Avg Week Nakawa-Bugolobi'!G39</f>
        <v>1</v>
      </c>
      <c r="H39" s="49">
        <f>'Avg Week Bugolobi-Nakawa'!H39+'Avg Week Nakawa-Bugolobi'!H39</f>
        <v>0.42857142857142855</v>
      </c>
      <c r="I39" s="49">
        <f>'Avg Week Bugolobi-Nakawa'!I39+'Avg Week Nakawa-Bugolobi'!I39</f>
        <v>5.5714285714285712</v>
      </c>
      <c r="J39" s="49">
        <f>'Avg Week Bugolobi-Nakawa'!J39+'Avg Week Nakawa-Bugolobi'!J39</f>
        <v>2</v>
      </c>
      <c r="K39" s="49">
        <f>'Avg Week Bugolobi-Nakawa'!K39+'Avg Week Nakawa-Bugolobi'!K39</f>
        <v>1</v>
      </c>
      <c r="L39" s="49">
        <f>'Avg Week Bugolobi-Nakawa'!L39+'Avg Week Nakawa-Bugolobi'!L39</f>
        <v>0.2857142857142857</v>
      </c>
      <c r="M39" s="49">
        <f>'Avg Week Bugolobi-Nakawa'!M39+'Avg Week Nakawa-Bugolobi'!M39</f>
        <v>153.71428571428572</v>
      </c>
      <c r="N39" s="49">
        <f>'Avg Week Bugolobi-Nakawa'!N39+'Avg Week Nakawa-Bugolobi'!N39</f>
        <v>0</v>
      </c>
      <c r="O39" s="15">
        <f t="shared" si="0"/>
        <v>265.28571428571428</v>
      </c>
      <c r="P39" s="15">
        <f t="shared" si="1"/>
        <v>419</v>
      </c>
      <c r="R39" s="29" t="s">
        <v>87</v>
      </c>
      <c r="S39" s="16">
        <f t="shared" ref="S39:AF39" si="31">SUM(S19:S21)</f>
        <v>2461.2857142857142</v>
      </c>
      <c r="T39" s="16">
        <f t="shared" si="31"/>
        <v>770</v>
      </c>
      <c r="U39" s="16">
        <f t="shared" si="31"/>
        <v>508.85714285714283</v>
      </c>
      <c r="V39" s="16">
        <f t="shared" si="31"/>
        <v>587.57142857142867</v>
      </c>
      <c r="W39" s="16">
        <f t="shared" si="31"/>
        <v>11.857142857142856</v>
      </c>
      <c r="X39" s="16">
        <f t="shared" si="31"/>
        <v>3</v>
      </c>
      <c r="Y39" s="16">
        <f t="shared" si="31"/>
        <v>65</v>
      </c>
      <c r="Z39" s="16">
        <f t="shared" si="31"/>
        <v>32.428571428571431</v>
      </c>
      <c r="AA39" s="16">
        <f t="shared" si="31"/>
        <v>3.7142857142857144</v>
      </c>
      <c r="AB39" s="16">
        <f t="shared" si="31"/>
        <v>3.2857142857142856</v>
      </c>
      <c r="AC39" s="16">
        <f t="shared" si="31"/>
        <v>2302.7142857142853</v>
      </c>
      <c r="AD39" s="16">
        <f t="shared" si="31"/>
        <v>0.14285714285714285</v>
      </c>
      <c r="AE39" s="32">
        <f t="shared" si="31"/>
        <v>4447.1428571428569</v>
      </c>
      <c r="AF39" s="32">
        <f t="shared" si="31"/>
        <v>6749.8571428571431</v>
      </c>
    </row>
    <row r="40" spans="2:32" ht="23.1" customHeight="1" x14ac:dyDescent="0.25">
      <c r="B40" s="24" t="s">
        <v>67</v>
      </c>
      <c r="C40" s="49">
        <f>'Avg Week Bugolobi-Nakawa'!C40+'Avg Week Nakawa-Bugolobi'!C40</f>
        <v>149.57142857142856</v>
      </c>
      <c r="D40" s="49">
        <f>'Avg Week Bugolobi-Nakawa'!D40+'Avg Week Nakawa-Bugolobi'!D40</f>
        <v>36</v>
      </c>
      <c r="E40" s="49">
        <f>'Avg Week Bugolobi-Nakawa'!E40+'Avg Week Nakawa-Bugolobi'!E40</f>
        <v>23</v>
      </c>
      <c r="F40" s="49">
        <f>'Avg Week Bugolobi-Nakawa'!F40+'Avg Week Nakawa-Bugolobi'!F40</f>
        <v>46.285714285714292</v>
      </c>
      <c r="G40" s="49">
        <f>'Avg Week Bugolobi-Nakawa'!G40+'Avg Week Nakawa-Bugolobi'!G40</f>
        <v>0.5714285714285714</v>
      </c>
      <c r="H40" s="49">
        <f>'Avg Week Bugolobi-Nakawa'!H40+'Avg Week Nakawa-Bugolobi'!H40</f>
        <v>0</v>
      </c>
      <c r="I40" s="49">
        <f>'Avg Week Bugolobi-Nakawa'!I40+'Avg Week Nakawa-Bugolobi'!I40</f>
        <v>5</v>
      </c>
      <c r="J40" s="49">
        <f>'Avg Week Bugolobi-Nakawa'!J40+'Avg Week Nakawa-Bugolobi'!J40</f>
        <v>2.1428571428571428</v>
      </c>
      <c r="K40" s="49">
        <f>'Avg Week Bugolobi-Nakawa'!K40+'Avg Week Nakawa-Bugolobi'!K40</f>
        <v>1.1428571428571428</v>
      </c>
      <c r="L40" s="49">
        <f>'Avg Week Bugolobi-Nakawa'!L40+'Avg Week Nakawa-Bugolobi'!L40</f>
        <v>0.71428571428571419</v>
      </c>
      <c r="M40" s="49">
        <f>'Avg Week Bugolobi-Nakawa'!M40+'Avg Week Nakawa-Bugolobi'!M40</f>
        <v>180.85714285714286</v>
      </c>
      <c r="N40" s="49">
        <f>'Avg Week Bugolobi-Nakawa'!N40+'Avg Week Nakawa-Bugolobi'!N40</f>
        <v>0</v>
      </c>
      <c r="O40" s="15">
        <f t="shared" si="0"/>
        <v>264.4285714285715</v>
      </c>
      <c r="P40" s="15">
        <f t="shared" si="1"/>
        <v>445.28571428571433</v>
      </c>
      <c r="R40" s="5" t="s">
        <v>17</v>
      </c>
      <c r="S40" s="16">
        <f t="shared" ref="S40:AF40" si="32">SUM(S10:S21)</f>
        <v>7576.2857142857138</v>
      </c>
      <c r="T40" s="16">
        <f t="shared" si="32"/>
        <v>2373.1428571428569</v>
      </c>
      <c r="U40" s="16">
        <f t="shared" si="32"/>
        <v>1679</v>
      </c>
      <c r="V40" s="16">
        <f t="shared" si="32"/>
        <v>2487.4285714285716</v>
      </c>
      <c r="W40" s="16">
        <f t="shared" si="32"/>
        <v>37.857142857142854</v>
      </c>
      <c r="X40" s="16">
        <f t="shared" si="32"/>
        <v>13.428571428571425</v>
      </c>
      <c r="Y40" s="16">
        <f t="shared" si="32"/>
        <v>249.28571428571428</v>
      </c>
      <c r="Z40" s="16">
        <f t="shared" si="32"/>
        <v>116.57142857142857</v>
      </c>
      <c r="AA40" s="16">
        <f t="shared" si="32"/>
        <v>18</v>
      </c>
      <c r="AB40" s="16">
        <f t="shared" si="32"/>
        <v>16.428571428571427</v>
      </c>
      <c r="AC40" s="16">
        <f t="shared" si="32"/>
        <v>8420.8571428571431</v>
      </c>
      <c r="AD40" s="16">
        <f t="shared" si="32"/>
        <v>0.71428571428571419</v>
      </c>
      <c r="AE40" s="32">
        <f t="shared" si="32"/>
        <v>14568.142857142859</v>
      </c>
      <c r="AF40" s="32">
        <f t="shared" si="32"/>
        <v>22988.999999999996</v>
      </c>
    </row>
    <row r="41" spans="2:32" ht="23.1" customHeight="1" x14ac:dyDescent="0.25">
      <c r="B41" s="23" t="s">
        <v>68</v>
      </c>
      <c r="C41" s="49">
        <f>'Avg Week Bugolobi-Nakawa'!C41+'Avg Week Nakawa-Bugolobi'!C41</f>
        <v>166.42857142857144</v>
      </c>
      <c r="D41" s="49">
        <f>'Avg Week Bugolobi-Nakawa'!D41+'Avg Week Nakawa-Bugolobi'!D41</f>
        <v>42.428571428571431</v>
      </c>
      <c r="E41" s="49">
        <f>'Avg Week Bugolobi-Nakawa'!E41+'Avg Week Nakawa-Bugolobi'!E41</f>
        <v>30.571428571428573</v>
      </c>
      <c r="F41" s="49">
        <f>'Avg Week Bugolobi-Nakawa'!F41+'Avg Week Nakawa-Bugolobi'!F41</f>
        <v>43.571428571428569</v>
      </c>
      <c r="G41" s="49">
        <f>'Avg Week Bugolobi-Nakawa'!G41+'Avg Week Nakawa-Bugolobi'!G41</f>
        <v>0.2857142857142857</v>
      </c>
      <c r="H41" s="49">
        <f>'Avg Week Bugolobi-Nakawa'!H41+'Avg Week Nakawa-Bugolobi'!H41</f>
        <v>0.14285714285714285</v>
      </c>
      <c r="I41" s="49">
        <f>'Avg Week Bugolobi-Nakawa'!I41+'Avg Week Nakawa-Bugolobi'!I41</f>
        <v>6</v>
      </c>
      <c r="J41" s="49">
        <f>'Avg Week Bugolobi-Nakawa'!J41+'Avg Week Nakawa-Bugolobi'!J41</f>
        <v>3.8571428571428572</v>
      </c>
      <c r="K41" s="49">
        <f>'Avg Week Bugolobi-Nakawa'!K41+'Avg Week Nakawa-Bugolobi'!K41</f>
        <v>0.42857142857142855</v>
      </c>
      <c r="L41" s="49">
        <f>'Avg Week Bugolobi-Nakawa'!L41+'Avg Week Nakawa-Bugolobi'!L41</f>
        <v>0.5714285714285714</v>
      </c>
      <c r="M41" s="49">
        <f>'Avg Week Bugolobi-Nakawa'!M41+'Avg Week Nakawa-Bugolobi'!M41</f>
        <v>186</v>
      </c>
      <c r="N41" s="49">
        <f>'Avg Week Bugolobi-Nakawa'!N41+'Avg Week Nakawa-Bugolobi'!N41</f>
        <v>0</v>
      </c>
      <c r="O41" s="15">
        <f t="shared" si="0"/>
        <v>294.28571428571433</v>
      </c>
      <c r="P41" s="15">
        <f t="shared" si="1"/>
        <v>480.28571428571433</v>
      </c>
      <c r="R41" s="5" t="s">
        <v>176</v>
      </c>
      <c r="S41" s="51">
        <f>SUM(S10:S33)</f>
        <v>10126.785714285714</v>
      </c>
      <c r="T41" s="51">
        <f t="shared" ref="T41:AD41" si="33">SUM(T10:T33)</f>
        <v>3026.1428571428569</v>
      </c>
      <c r="U41" s="51">
        <f t="shared" si="33"/>
        <v>2100.5</v>
      </c>
      <c r="V41" s="51">
        <f t="shared" si="33"/>
        <v>3187.9285714285716</v>
      </c>
      <c r="W41" s="51">
        <f t="shared" si="33"/>
        <v>47.857142857142854</v>
      </c>
      <c r="X41" s="51">
        <f t="shared" si="33"/>
        <v>14.928571428571425</v>
      </c>
      <c r="Y41" s="51">
        <f t="shared" si="33"/>
        <v>326.28571428571428</v>
      </c>
      <c r="Z41" s="51">
        <f t="shared" si="33"/>
        <v>142.57142857142856</v>
      </c>
      <c r="AA41" s="51">
        <f t="shared" si="33"/>
        <v>27.5</v>
      </c>
      <c r="AB41" s="51">
        <f t="shared" si="33"/>
        <v>26.428571428571427</v>
      </c>
      <c r="AC41" s="51">
        <f t="shared" si="33"/>
        <v>11393.857142857143</v>
      </c>
      <c r="AD41" s="51">
        <f t="shared" si="33"/>
        <v>0.71428571428571419</v>
      </c>
      <c r="AE41" s="52">
        <f>SUM(AE10:AE33)</f>
        <v>19027.642857142859</v>
      </c>
      <c r="AF41" s="52">
        <f>SUM(AF10:AF33)</f>
        <v>30421.499999999996</v>
      </c>
    </row>
    <row r="42" spans="2:32" ht="23.1" customHeight="1" x14ac:dyDescent="0.25">
      <c r="B42" s="24" t="s">
        <v>69</v>
      </c>
      <c r="C42" s="49">
        <f>'Avg Week Bugolobi-Nakawa'!C42+'Avg Week Nakawa-Bugolobi'!C42</f>
        <v>140.42857142857144</v>
      </c>
      <c r="D42" s="49">
        <f>'Avg Week Bugolobi-Nakawa'!D42+'Avg Week Nakawa-Bugolobi'!D42</f>
        <v>29.857142857142858</v>
      </c>
      <c r="E42" s="49">
        <f>'Avg Week Bugolobi-Nakawa'!E42+'Avg Week Nakawa-Bugolobi'!E42</f>
        <v>26.142857142857142</v>
      </c>
      <c r="F42" s="49">
        <f>'Avg Week Bugolobi-Nakawa'!F42+'Avg Week Nakawa-Bugolobi'!F42</f>
        <v>46.428571428571431</v>
      </c>
      <c r="G42" s="49">
        <f>'Avg Week Bugolobi-Nakawa'!G42+'Avg Week Nakawa-Bugolobi'!G42</f>
        <v>0.2857142857142857</v>
      </c>
      <c r="H42" s="49">
        <f>'Avg Week Bugolobi-Nakawa'!H42+'Avg Week Nakawa-Bugolobi'!H42</f>
        <v>0.2857142857142857</v>
      </c>
      <c r="I42" s="49">
        <f>'Avg Week Bugolobi-Nakawa'!I42+'Avg Week Nakawa-Bugolobi'!I42</f>
        <v>5</v>
      </c>
      <c r="J42" s="49">
        <f>'Avg Week Bugolobi-Nakawa'!J42+'Avg Week Nakawa-Bugolobi'!J42</f>
        <v>1.7142857142857144</v>
      </c>
      <c r="K42" s="49">
        <f>'Avg Week Bugolobi-Nakawa'!K42+'Avg Week Nakawa-Bugolobi'!K42</f>
        <v>0.2857142857142857</v>
      </c>
      <c r="L42" s="49">
        <f>'Avg Week Bugolobi-Nakawa'!L42+'Avg Week Nakawa-Bugolobi'!L42</f>
        <v>0.14285714285714285</v>
      </c>
      <c r="M42" s="49">
        <f>'Avg Week Bugolobi-Nakawa'!M42+'Avg Week Nakawa-Bugolobi'!M42</f>
        <v>161.71428571428572</v>
      </c>
      <c r="N42" s="49">
        <f>'Avg Week Bugolobi-Nakawa'!N42+'Avg Week Nakawa-Bugolobi'!N42</f>
        <v>0</v>
      </c>
      <c r="O42" s="15">
        <f t="shared" si="0"/>
        <v>250.57142857142858</v>
      </c>
      <c r="P42" s="15">
        <f t="shared" si="1"/>
        <v>412.28571428571433</v>
      </c>
      <c r="R42" s="5" t="s">
        <v>160</v>
      </c>
      <c r="S42" s="48">
        <f>S41/S40</f>
        <v>1.3366425312063959</v>
      </c>
      <c r="T42" s="48">
        <f t="shared" ref="T42:AF42" si="34">T41/T40</f>
        <v>1.2751625331085963</v>
      </c>
      <c r="U42" s="48">
        <f t="shared" si="34"/>
        <v>1.2510422870756404</v>
      </c>
      <c r="V42" s="48">
        <f t="shared" si="34"/>
        <v>1.2816161268090971</v>
      </c>
      <c r="W42" s="48">
        <f t="shared" si="34"/>
        <v>1.2641509433962264</v>
      </c>
      <c r="X42" s="48">
        <f t="shared" si="34"/>
        <v>1.1117021276595744</v>
      </c>
      <c r="Y42" s="48">
        <f t="shared" si="34"/>
        <v>1.3088825214899713</v>
      </c>
      <c r="Z42" s="48">
        <f t="shared" si="34"/>
        <v>1.2230392156862744</v>
      </c>
      <c r="AA42" s="48">
        <f t="shared" si="34"/>
        <v>1.5277777777777777</v>
      </c>
      <c r="AB42" s="48">
        <f t="shared" si="34"/>
        <v>1.6086956521739131</v>
      </c>
      <c r="AC42" s="48">
        <f t="shared" si="34"/>
        <v>1.3530519458487429</v>
      </c>
      <c r="AD42" s="48">
        <f t="shared" si="34"/>
        <v>1</v>
      </c>
      <c r="AE42" s="53">
        <f t="shared" si="34"/>
        <v>1.3061131431597321</v>
      </c>
      <c r="AF42" s="53">
        <f t="shared" si="34"/>
        <v>1.3233067989038236</v>
      </c>
    </row>
    <row r="43" spans="2:32" ht="23.1" customHeight="1" x14ac:dyDescent="0.25">
      <c r="B43" s="23" t="s">
        <v>70</v>
      </c>
      <c r="C43" s="49">
        <f>'Avg Week Bugolobi-Nakawa'!C43+'Avg Week Nakawa-Bugolobi'!C43</f>
        <v>154.71428571428572</v>
      </c>
      <c r="D43" s="49">
        <f>'Avg Week Bugolobi-Nakawa'!D43+'Avg Week Nakawa-Bugolobi'!D43</f>
        <v>40.428571428571431</v>
      </c>
      <c r="E43" s="49">
        <f>'Avg Week Bugolobi-Nakawa'!E43+'Avg Week Nakawa-Bugolobi'!E43</f>
        <v>32.285714285714285</v>
      </c>
      <c r="F43" s="49">
        <f>'Avg Week Bugolobi-Nakawa'!F43+'Avg Week Nakawa-Bugolobi'!F43</f>
        <v>45.714285714285715</v>
      </c>
      <c r="G43" s="49">
        <f>'Avg Week Bugolobi-Nakawa'!G43+'Avg Week Nakawa-Bugolobi'!G43</f>
        <v>0.8571428571428571</v>
      </c>
      <c r="H43" s="49">
        <f>'Avg Week Bugolobi-Nakawa'!H43+'Avg Week Nakawa-Bugolobi'!H43</f>
        <v>0</v>
      </c>
      <c r="I43" s="49">
        <f>'Avg Week Bugolobi-Nakawa'!I43+'Avg Week Nakawa-Bugolobi'!I43</f>
        <v>4.5714285714285712</v>
      </c>
      <c r="J43" s="49">
        <f>'Avg Week Bugolobi-Nakawa'!J43+'Avg Week Nakawa-Bugolobi'!J43</f>
        <v>2.5714285714285712</v>
      </c>
      <c r="K43" s="49">
        <f>'Avg Week Bugolobi-Nakawa'!K43+'Avg Week Nakawa-Bugolobi'!K43</f>
        <v>0.2857142857142857</v>
      </c>
      <c r="L43" s="49">
        <f>'Avg Week Bugolobi-Nakawa'!L43+'Avg Week Nakawa-Bugolobi'!L43</f>
        <v>0.42857142857142855</v>
      </c>
      <c r="M43" s="49">
        <f>'Avg Week Bugolobi-Nakawa'!M43+'Avg Week Nakawa-Bugolobi'!M43</f>
        <v>161.28571428571428</v>
      </c>
      <c r="N43" s="49">
        <f>'Avg Week Bugolobi-Nakawa'!N43+'Avg Week Nakawa-Bugolobi'!N43</f>
        <v>0</v>
      </c>
      <c r="O43" s="15">
        <f t="shared" si="0"/>
        <v>281.85714285714283</v>
      </c>
      <c r="P43" s="15">
        <f t="shared" si="1"/>
        <v>443.14285714285711</v>
      </c>
    </row>
    <row r="44" spans="2:32" ht="23.1" customHeight="1" x14ac:dyDescent="0.25">
      <c r="B44" s="25" t="s">
        <v>71</v>
      </c>
      <c r="C44" s="49">
        <f>'Avg Week Bugolobi-Nakawa'!C44+'Avg Week Nakawa-Bugolobi'!C44</f>
        <v>162.71428571428572</v>
      </c>
      <c r="D44" s="49">
        <f>'Avg Week Bugolobi-Nakawa'!D44+'Avg Week Nakawa-Bugolobi'!D44</f>
        <v>42.428571428571431</v>
      </c>
      <c r="E44" s="49">
        <f>'Avg Week Bugolobi-Nakawa'!E44+'Avg Week Nakawa-Bugolobi'!E44</f>
        <v>29.428571428571431</v>
      </c>
      <c r="F44" s="49">
        <f>'Avg Week Bugolobi-Nakawa'!F44+'Avg Week Nakawa-Bugolobi'!F44</f>
        <v>43.142857142857146</v>
      </c>
      <c r="G44" s="49">
        <f>'Avg Week Bugolobi-Nakawa'!G44+'Avg Week Nakawa-Bugolobi'!G44</f>
        <v>0.14285714285714285</v>
      </c>
      <c r="H44" s="49">
        <f>'Avg Week Bugolobi-Nakawa'!H44+'Avg Week Nakawa-Bugolobi'!H44</f>
        <v>0.5714285714285714</v>
      </c>
      <c r="I44" s="49">
        <f>'Avg Week Bugolobi-Nakawa'!I44+'Avg Week Nakawa-Bugolobi'!I44</f>
        <v>5.5714285714285712</v>
      </c>
      <c r="J44" s="49">
        <f>'Avg Week Bugolobi-Nakawa'!J44+'Avg Week Nakawa-Bugolobi'!J44</f>
        <v>2.7142857142857144</v>
      </c>
      <c r="K44" s="49">
        <f>'Avg Week Bugolobi-Nakawa'!K44+'Avg Week Nakawa-Bugolobi'!K44</f>
        <v>0.71428571428571419</v>
      </c>
      <c r="L44" s="49">
        <f>'Avg Week Bugolobi-Nakawa'!L44+'Avg Week Nakawa-Bugolobi'!L44</f>
        <v>0.14285714285714285</v>
      </c>
      <c r="M44" s="49">
        <f>'Avg Week Bugolobi-Nakawa'!M44+'Avg Week Nakawa-Bugolobi'!M44</f>
        <v>160</v>
      </c>
      <c r="N44" s="49">
        <f>'Avg Week Bugolobi-Nakawa'!N44+'Avg Week Nakawa-Bugolobi'!N44</f>
        <v>0</v>
      </c>
      <c r="O44" s="15">
        <f t="shared" si="0"/>
        <v>287.57142857142867</v>
      </c>
      <c r="P44" s="15">
        <f t="shared" si="1"/>
        <v>447.57142857142867</v>
      </c>
    </row>
    <row r="45" spans="2:32" ht="23.1" customHeight="1" x14ac:dyDescent="0.25">
      <c r="B45" s="23" t="s">
        <v>72</v>
      </c>
      <c r="C45" s="49">
        <f>'Avg Week Bugolobi-Nakawa'!C45+'Avg Week Nakawa-Bugolobi'!C45</f>
        <v>173.14285714285714</v>
      </c>
      <c r="D45" s="49">
        <f>'Avg Week Bugolobi-Nakawa'!D45+'Avg Week Nakawa-Bugolobi'!D45</f>
        <v>41.285714285714285</v>
      </c>
      <c r="E45" s="49">
        <f>'Avg Week Bugolobi-Nakawa'!E45+'Avg Week Nakawa-Bugolobi'!E45</f>
        <v>31.714285714285715</v>
      </c>
      <c r="F45" s="49">
        <f>'Avg Week Bugolobi-Nakawa'!F45+'Avg Week Nakawa-Bugolobi'!F45</f>
        <v>42.142857142857146</v>
      </c>
      <c r="G45" s="49">
        <f>'Avg Week Bugolobi-Nakawa'!G45+'Avg Week Nakawa-Bugolobi'!G45</f>
        <v>0.5714285714285714</v>
      </c>
      <c r="H45" s="49">
        <f>'Avg Week Bugolobi-Nakawa'!H45+'Avg Week Nakawa-Bugolobi'!H45</f>
        <v>0</v>
      </c>
      <c r="I45" s="49">
        <f>'Avg Week Bugolobi-Nakawa'!I45+'Avg Week Nakawa-Bugolobi'!I45</f>
        <v>4</v>
      </c>
      <c r="J45" s="49">
        <f>'Avg Week Bugolobi-Nakawa'!J45+'Avg Week Nakawa-Bugolobi'!J45</f>
        <v>1.7142857142857144</v>
      </c>
      <c r="K45" s="49">
        <f>'Avg Week Bugolobi-Nakawa'!K45+'Avg Week Nakawa-Bugolobi'!K45</f>
        <v>0.5714285714285714</v>
      </c>
      <c r="L45" s="49">
        <f>'Avg Week Bugolobi-Nakawa'!L45+'Avg Week Nakawa-Bugolobi'!L45</f>
        <v>0.14285714285714285</v>
      </c>
      <c r="M45" s="49">
        <f>'Avg Week Bugolobi-Nakawa'!M45+'Avg Week Nakawa-Bugolobi'!M45</f>
        <v>152</v>
      </c>
      <c r="N45" s="49">
        <f>'Avg Week Bugolobi-Nakawa'!N45+'Avg Week Nakawa-Bugolobi'!N45</f>
        <v>0</v>
      </c>
      <c r="O45" s="15">
        <f t="shared" si="0"/>
        <v>295.28571428571428</v>
      </c>
      <c r="P45" s="15">
        <f t="shared" si="1"/>
        <v>447.28571428571428</v>
      </c>
    </row>
    <row r="46" spans="2:32" ht="23.1" customHeight="1" x14ac:dyDescent="0.25">
      <c r="B46" s="24" t="s">
        <v>73</v>
      </c>
      <c r="C46" s="49">
        <f>'Avg Week Bugolobi-Nakawa'!C46+'Avg Week Nakawa-Bugolobi'!C46</f>
        <v>164</v>
      </c>
      <c r="D46" s="49">
        <f>'Avg Week Bugolobi-Nakawa'!D46+'Avg Week Nakawa-Bugolobi'!D46</f>
        <v>39.285714285714285</v>
      </c>
      <c r="E46" s="49">
        <f>'Avg Week Bugolobi-Nakawa'!E46+'Avg Week Nakawa-Bugolobi'!E46</f>
        <v>34.571428571428569</v>
      </c>
      <c r="F46" s="49">
        <f>'Avg Week Bugolobi-Nakawa'!F46+'Avg Week Nakawa-Bugolobi'!F46</f>
        <v>48.857142857142861</v>
      </c>
      <c r="G46" s="49">
        <f>'Avg Week Bugolobi-Nakawa'!G46+'Avg Week Nakawa-Bugolobi'!G46</f>
        <v>0.71428571428571419</v>
      </c>
      <c r="H46" s="49">
        <f>'Avg Week Bugolobi-Nakawa'!H46+'Avg Week Nakawa-Bugolobi'!H46</f>
        <v>0.14285714285714285</v>
      </c>
      <c r="I46" s="49">
        <f>'Avg Week Bugolobi-Nakawa'!I46+'Avg Week Nakawa-Bugolobi'!I46</f>
        <v>5.5714285714285712</v>
      </c>
      <c r="J46" s="49">
        <f>'Avg Week Bugolobi-Nakawa'!J46+'Avg Week Nakawa-Bugolobi'!J46</f>
        <v>2.7142857142857144</v>
      </c>
      <c r="K46" s="49">
        <f>'Avg Week Bugolobi-Nakawa'!K46+'Avg Week Nakawa-Bugolobi'!K46</f>
        <v>0.5714285714285714</v>
      </c>
      <c r="L46" s="49">
        <f>'Avg Week Bugolobi-Nakawa'!L46+'Avg Week Nakawa-Bugolobi'!L46</f>
        <v>0.42857142857142855</v>
      </c>
      <c r="M46" s="49">
        <f>'Avg Week Bugolobi-Nakawa'!M46+'Avg Week Nakawa-Bugolobi'!M46</f>
        <v>151.28571428571428</v>
      </c>
      <c r="N46" s="49">
        <f>'Avg Week Bugolobi-Nakawa'!N46+'Avg Week Nakawa-Bugolobi'!N46</f>
        <v>0</v>
      </c>
      <c r="O46" s="15">
        <f t="shared" si="0"/>
        <v>296.85714285714283</v>
      </c>
      <c r="P46" s="15">
        <f t="shared" si="1"/>
        <v>448.14285714285711</v>
      </c>
    </row>
    <row r="47" spans="2:32" ht="23.1" customHeight="1" x14ac:dyDescent="0.25">
      <c r="B47" s="24" t="s">
        <v>74</v>
      </c>
      <c r="C47" s="49">
        <f>'Avg Week Bugolobi-Nakawa'!C47+'Avg Week Nakawa-Bugolobi'!C47</f>
        <v>162.28571428571428</v>
      </c>
      <c r="D47" s="49">
        <f>'Avg Week Bugolobi-Nakawa'!D47+'Avg Week Nakawa-Bugolobi'!D47</f>
        <v>56.285714285714292</v>
      </c>
      <c r="E47" s="49">
        <f>'Avg Week Bugolobi-Nakawa'!E47+'Avg Week Nakawa-Bugolobi'!E47</f>
        <v>32.714285714285715</v>
      </c>
      <c r="F47" s="49">
        <f>'Avg Week Bugolobi-Nakawa'!F47+'Avg Week Nakawa-Bugolobi'!F47</f>
        <v>51.428571428571431</v>
      </c>
      <c r="G47" s="49">
        <f>'Avg Week Bugolobi-Nakawa'!G47+'Avg Week Nakawa-Bugolobi'!G47</f>
        <v>0.85714285714285721</v>
      </c>
      <c r="H47" s="49">
        <f>'Avg Week Bugolobi-Nakawa'!H47+'Avg Week Nakawa-Bugolobi'!H47</f>
        <v>0.2857142857142857</v>
      </c>
      <c r="I47" s="49">
        <f>'Avg Week Bugolobi-Nakawa'!I47+'Avg Week Nakawa-Bugolobi'!I47</f>
        <v>4.7142857142857144</v>
      </c>
      <c r="J47" s="49">
        <f>'Avg Week Bugolobi-Nakawa'!J47+'Avg Week Nakawa-Bugolobi'!J47</f>
        <v>3.7142857142857144</v>
      </c>
      <c r="K47" s="49">
        <f>'Avg Week Bugolobi-Nakawa'!K47+'Avg Week Nakawa-Bugolobi'!K47</f>
        <v>0.2857142857142857</v>
      </c>
      <c r="L47" s="49">
        <f>'Avg Week Bugolobi-Nakawa'!L47+'Avg Week Nakawa-Bugolobi'!L47</f>
        <v>0.5714285714285714</v>
      </c>
      <c r="M47" s="49">
        <f>'Avg Week Bugolobi-Nakawa'!M47+'Avg Week Nakawa-Bugolobi'!M47</f>
        <v>168.71428571428572</v>
      </c>
      <c r="N47" s="49">
        <f>'Avg Week Bugolobi-Nakawa'!N47+'Avg Week Nakawa-Bugolobi'!N47</f>
        <v>0</v>
      </c>
      <c r="O47" s="15">
        <f t="shared" si="0"/>
        <v>313.14285714285711</v>
      </c>
      <c r="P47" s="15">
        <f t="shared" si="1"/>
        <v>481.85714285714283</v>
      </c>
    </row>
    <row r="48" spans="2:32" ht="23.1" customHeight="1" x14ac:dyDescent="0.25">
      <c r="B48" s="24" t="s">
        <v>75</v>
      </c>
      <c r="C48" s="49">
        <f>'Avg Week Bugolobi-Nakawa'!C48+'Avg Week Nakawa-Bugolobi'!C48</f>
        <v>173.28571428571428</v>
      </c>
      <c r="D48" s="49">
        <f>'Avg Week Bugolobi-Nakawa'!D48+'Avg Week Nakawa-Bugolobi'!D48</f>
        <v>46.857142857142861</v>
      </c>
      <c r="E48" s="49">
        <f>'Avg Week Bugolobi-Nakawa'!E48+'Avg Week Nakawa-Bugolobi'!E48</f>
        <v>36.857142857142861</v>
      </c>
      <c r="F48" s="49">
        <f>'Avg Week Bugolobi-Nakawa'!F48+'Avg Week Nakawa-Bugolobi'!F48</f>
        <v>51.714285714285715</v>
      </c>
      <c r="G48" s="49">
        <f>'Avg Week Bugolobi-Nakawa'!G48+'Avg Week Nakawa-Bugolobi'!G48</f>
        <v>0.7142857142857143</v>
      </c>
      <c r="H48" s="49">
        <f>'Avg Week Bugolobi-Nakawa'!H48+'Avg Week Nakawa-Bugolobi'!H48</f>
        <v>0.14285714285714285</v>
      </c>
      <c r="I48" s="49">
        <f>'Avg Week Bugolobi-Nakawa'!I48+'Avg Week Nakawa-Bugolobi'!I48</f>
        <v>4.7142857142857144</v>
      </c>
      <c r="J48" s="49">
        <f>'Avg Week Bugolobi-Nakawa'!J48+'Avg Week Nakawa-Bugolobi'!J48</f>
        <v>3.4285714285714288</v>
      </c>
      <c r="K48" s="49">
        <f>'Avg Week Bugolobi-Nakawa'!K48+'Avg Week Nakawa-Bugolobi'!K48</f>
        <v>0.42857142857142855</v>
      </c>
      <c r="L48" s="49">
        <f>'Avg Week Bugolobi-Nakawa'!L48+'Avg Week Nakawa-Bugolobi'!L48</f>
        <v>0</v>
      </c>
      <c r="M48" s="49">
        <f>'Avg Week Bugolobi-Nakawa'!M48+'Avg Week Nakawa-Bugolobi'!M48</f>
        <v>185.85714285714283</v>
      </c>
      <c r="N48" s="49">
        <f>'Avg Week Bugolobi-Nakawa'!N48+'Avg Week Nakawa-Bugolobi'!N48</f>
        <v>0.14285714285714285</v>
      </c>
      <c r="O48" s="15">
        <f t="shared" si="0"/>
        <v>318.28571428571439</v>
      </c>
      <c r="P48" s="15">
        <f t="shared" si="1"/>
        <v>504.14285714285722</v>
      </c>
    </row>
    <row r="49" spans="2:20" ht="23.1" customHeight="1" x14ac:dyDescent="0.25">
      <c r="B49" s="23" t="s">
        <v>76</v>
      </c>
      <c r="C49" s="49">
        <f>'Avg Week Bugolobi-Nakawa'!C49+'Avg Week Nakawa-Bugolobi'!C49</f>
        <v>199.14285714285714</v>
      </c>
      <c r="D49" s="49">
        <f>'Avg Week Bugolobi-Nakawa'!D49+'Avg Week Nakawa-Bugolobi'!D49</f>
        <v>65</v>
      </c>
      <c r="E49" s="49">
        <f>'Avg Week Bugolobi-Nakawa'!E49+'Avg Week Nakawa-Bugolobi'!E49</f>
        <v>36.714285714285708</v>
      </c>
      <c r="F49" s="49">
        <f>'Avg Week Bugolobi-Nakawa'!F49+'Avg Week Nakawa-Bugolobi'!F49</f>
        <v>49.428571428571431</v>
      </c>
      <c r="G49" s="49">
        <f>'Avg Week Bugolobi-Nakawa'!G49+'Avg Week Nakawa-Bugolobi'!G49</f>
        <v>1.1428571428571428</v>
      </c>
      <c r="H49" s="49">
        <f>'Avg Week Bugolobi-Nakawa'!H49+'Avg Week Nakawa-Bugolobi'!H49</f>
        <v>0.42857142857142855</v>
      </c>
      <c r="I49" s="49">
        <f>'Avg Week Bugolobi-Nakawa'!I49+'Avg Week Nakawa-Bugolobi'!I49</f>
        <v>5.8571428571428577</v>
      </c>
      <c r="J49" s="49">
        <f>'Avg Week Bugolobi-Nakawa'!J49+'Avg Week Nakawa-Bugolobi'!J49</f>
        <v>3.5714285714285712</v>
      </c>
      <c r="K49" s="49">
        <f>'Avg Week Bugolobi-Nakawa'!K49+'Avg Week Nakawa-Bugolobi'!K49</f>
        <v>0.42857142857142855</v>
      </c>
      <c r="L49" s="49">
        <f>'Avg Week Bugolobi-Nakawa'!L49+'Avg Week Nakawa-Bugolobi'!L49</f>
        <v>0.14285714285714285</v>
      </c>
      <c r="M49" s="49">
        <f>'Avg Week Bugolobi-Nakawa'!M49+'Avg Week Nakawa-Bugolobi'!M49</f>
        <v>186.71428571428572</v>
      </c>
      <c r="N49" s="49">
        <f>'Avg Week Bugolobi-Nakawa'!N49+'Avg Week Nakawa-Bugolobi'!N49</f>
        <v>0</v>
      </c>
      <c r="O49" s="15">
        <f t="shared" si="0"/>
        <v>361.85714285714289</v>
      </c>
      <c r="P49" s="15">
        <f t="shared" si="1"/>
        <v>548.57142857142867</v>
      </c>
    </row>
    <row r="50" spans="2:20" ht="23.1" customHeight="1" x14ac:dyDescent="0.25">
      <c r="B50" s="24" t="s">
        <v>77</v>
      </c>
      <c r="C50" s="49">
        <f>'Avg Week Bugolobi-Nakawa'!C50+'Avg Week Nakawa-Bugolobi'!C50</f>
        <v>215</v>
      </c>
      <c r="D50" s="49">
        <f>'Avg Week Bugolobi-Nakawa'!D50+'Avg Week Nakawa-Bugolobi'!D50</f>
        <v>68.428571428571431</v>
      </c>
      <c r="E50" s="49">
        <f>'Avg Week Bugolobi-Nakawa'!E50+'Avg Week Nakawa-Bugolobi'!E50</f>
        <v>42</v>
      </c>
      <c r="F50" s="49">
        <f>'Avg Week Bugolobi-Nakawa'!F50+'Avg Week Nakawa-Bugolobi'!F50</f>
        <v>56.285714285714292</v>
      </c>
      <c r="G50" s="49">
        <f>'Avg Week Bugolobi-Nakawa'!G50+'Avg Week Nakawa-Bugolobi'!G50</f>
        <v>0.85714285714285721</v>
      </c>
      <c r="H50" s="49">
        <f>'Avg Week Bugolobi-Nakawa'!H50+'Avg Week Nakawa-Bugolobi'!H50</f>
        <v>0</v>
      </c>
      <c r="I50" s="49">
        <f>'Avg Week Bugolobi-Nakawa'!I50+'Avg Week Nakawa-Bugolobi'!I50</f>
        <v>6.5714285714285712</v>
      </c>
      <c r="J50" s="49">
        <f>'Avg Week Bugolobi-Nakawa'!J50+'Avg Week Nakawa-Bugolobi'!J50</f>
        <v>2.4285714285714288</v>
      </c>
      <c r="K50" s="49">
        <f>'Avg Week Bugolobi-Nakawa'!K50+'Avg Week Nakawa-Bugolobi'!K50</f>
        <v>0.14285714285714285</v>
      </c>
      <c r="L50" s="49">
        <f>'Avg Week Bugolobi-Nakawa'!L50+'Avg Week Nakawa-Bugolobi'!L50</f>
        <v>0.2857142857142857</v>
      </c>
      <c r="M50" s="49">
        <f>'Avg Week Bugolobi-Nakawa'!M50+'Avg Week Nakawa-Bugolobi'!M50</f>
        <v>204.71428571428572</v>
      </c>
      <c r="N50" s="49">
        <f>'Avg Week Bugolobi-Nakawa'!N50+'Avg Week Nakawa-Bugolobi'!N50</f>
        <v>0</v>
      </c>
      <c r="O50" s="15">
        <f t="shared" si="0"/>
        <v>392</v>
      </c>
      <c r="P50" s="15">
        <f t="shared" si="1"/>
        <v>596.71428571428578</v>
      </c>
    </row>
    <row r="51" spans="2:20" ht="23.1" customHeight="1" x14ac:dyDescent="0.25">
      <c r="B51" s="24" t="s">
        <v>78</v>
      </c>
      <c r="C51" s="49">
        <f>'Avg Week Bugolobi-Nakawa'!C51+'Avg Week Nakawa-Bugolobi'!C51</f>
        <v>205.14285714285714</v>
      </c>
      <c r="D51" s="49">
        <f>'Avg Week Bugolobi-Nakawa'!D51+'Avg Week Nakawa-Bugolobi'!D51</f>
        <v>64.714285714285708</v>
      </c>
      <c r="E51" s="49">
        <f>'Avg Week Bugolobi-Nakawa'!E51+'Avg Week Nakawa-Bugolobi'!E51</f>
        <v>41.285714285714285</v>
      </c>
      <c r="F51" s="49">
        <f>'Avg Week Bugolobi-Nakawa'!F51+'Avg Week Nakawa-Bugolobi'!F51</f>
        <v>45.428571428571431</v>
      </c>
      <c r="G51" s="49">
        <f>'Avg Week Bugolobi-Nakawa'!G51+'Avg Week Nakawa-Bugolobi'!G51</f>
        <v>0.42857142857142855</v>
      </c>
      <c r="H51" s="49">
        <f>'Avg Week Bugolobi-Nakawa'!H51+'Avg Week Nakawa-Bugolobi'!H51</f>
        <v>0.8571428571428571</v>
      </c>
      <c r="I51" s="49">
        <f>'Avg Week Bugolobi-Nakawa'!I51+'Avg Week Nakawa-Bugolobi'!I51</f>
        <v>3.5714285714285712</v>
      </c>
      <c r="J51" s="49">
        <f>'Avg Week Bugolobi-Nakawa'!J51+'Avg Week Nakawa-Bugolobi'!J51</f>
        <v>2.5714285714285712</v>
      </c>
      <c r="K51" s="49">
        <f>'Avg Week Bugolobi-Nakawa'!K51+'Avg Week Nakawa-Bugolobi'!K51</f>
        <v>0.42857142857142855</v>
      </c>
      <c r="L51" s="49">
        <f>'Avg Week Bugolobi-Nakawa'!L51+'Avg Week Nakawa-Bugolobi'!L51</f>
        <v>0.2857142857142857</v>
      </c>
      <c r="M51" s="49">
        <f>'Avg Week Bugolobi-Nakawa'!M51+'Avg Week Nakawa-Bugolobi'!M51</f>
        <v>201.42857142857144</v>
      </c>
      <c r="N51" s="49">
        <f>'Avg Week Bugolobi-Nakawa'!N51+'Avg Week Nakawa-Bugolobi'!N51</f>
        <v>0</v>
      </c>
      <c r="O51" s="15">
        <f t="shared" si="0"/>
        <v>364.71428571428567</v>
      </c>
      <c r="P51" s="15">
        <f t="shared" si="1"/>
        <v>566.14285714285711</v>
      </c>
    </row>
    <row r="52" spans="2:20" ht="23.1" customHeight="1" x14ac:dyDescent="0.25">
      <c r="B52" s="24" t="s">
        <v>79</v>
      </c>
      <c r="C52" s="49">
        <f>'Avg Week Bugolobi-Nakawa'!C52+'Avg Week Nakawa-Bugolobi'!C52</f>
        <v>244.42857142857144</v>
      </c>
      <c r="D52" s="49">
        <f>'Avg Week Bugolobi-Nakawa'!D52+'Avg Week Nakawa-Bugolobi'!D52</f>
        <v>80.428571428571431</v>
      </c>
      <c r="E52" s="49">
        <f>'Avg Week Bugolobi-Nakawa'!E52+'Avg Week Nakawa-Bugolobi'!E52</f>
        <v>48.714285714285715</v>
      </c>
      <c r="F52" s="49">
        <f>'Avg Week Bugolobi-Nakawa'!F52+'Avg Week Nakawa-Bugolobi'!F52</f>
        <v>53.857142857142854</v>
      </c>
      <c r="G52" s="49">
        <f>'Avg Week Bugolobi-Nakawa'!G52+'Avg Week Nakawa-Bugolobi'!G52</f>
        <v>1.7142857142857142</v>
      </c>
      <c r="H52" s="49">
        <f>'Avg Week Bugolobi-Nakawa'!H52+'Avg Week Nakawa-Bugolobi'!H52</f>
        <v>0.2857142857142857</v>
      </c>
      <c r="I52" s="49">
        <f>'Avg Week Bugolobi-Nakawa'!I52+'Avg Week Nakawa-Bugolobi'!I52</f>
        <v>5.7142857142857135</v>
      </c>
      <c r="J52" s="49">
        <f>'Avg Week Bugolobi-Nakawa'!J52+'Avg Week Nakawa-Bugolobi'!J52</f>
        <v>2.7142857142857144</v>
      </c>
      <c r="K52" s="49">
        <f>'Avg Week Bugolobi-Nakawa'!K52+'Avg Week Nakawa-Bugolobi'!K52</f>
        <v>0.2857142857142857</v>
      </c>
      <c r="L52" s="49">
        <f>'Avg Week Bugolobi-Nakawa'!L52+'Avg Week Nakawa-Bugolobi'!L52</f>
        <v>0.42857142857142855</v>
      </c>
      <c r="M52" s="49">
        <f>'Avg Week Bugolobi-Nakawa'!M52+'Avg Week Nakawa-Bugolobi'!M52</f>
        <v>219.85714285714283</v>
      </c>
      <c r="N52" s="49">
        <f>'Avg Week Bugolobi-Nakawa'!N52+'Avg Week Nakawa-Bugolobi'!N52</f>
        <v>0</v>
      </c>
      <c r="O52" s="15">
        <f t="shared" si="0"/>
        <v>438.57142857142861</v>
      </c>
      <c r="P52" s="15">
        <f t="shared" si="1"/>
        <v>658.42857142857144</v>
      </c>
      <c r="R52" s="8"/>
      <c r="T52"/>
    </row>
    <row r="53" spans="2:20" ht="23.1" customHeight="1" x14ac:dyDescent="0.25">
      <c r="B53" s="23" t="s">
        <v>80</v>
      </c>
      <c r="C53" s="49">
        <f>'Avg Week Bugolobi-Nakawa'!C53+'Avg Week Nakawa-Bugolobi'!C53</f>
        <v>229</v>
      </c>
      <c r="D53" s="49">
        <f>'Avg Week Bugolobi-Nakawa'!D53+'Avg Week Nakawa-Bugolobi'!D53</f>
        <v>77.285714285714278</v>
      </c>
      <c r="E53" s="49">
        <f>'Avg Week Bugolobi-Nakawa'!E53+'Avg Week Nakawa-Bugolobi'!E53</f>
        <v>34.428571428571431</v>
      </c>
      <c r="F53" s="49">
        <f>'Avg Week Bugolobi-Nakawa'!F53+'Avg Week Nakawa-Bugolobi'!F53</f>
        <v>53.857142857142854</v>
      </c>
      <c r="G53" s="49">
        <f>'Avg Week Bugolobi-Nakawa'!G53+'Avg Week Nakawa-Bugolobi'!G53</f>
        <v>1.1428571428571428</v>
      </c>
      <c r="H53" s="49">
        <f>'Avg Week Bugolobi-Nakawa'!H53+'Avg Week Nakawa-Bugolobi'!H53</f>
        <v>0.14285714285714285</v>
      </c>
      <c r="I53" s="49">
        <f>'Avg Week Bugolobi-Nakawa'!I53+'Avg Week Nakawa-Bugolobi'!I53</f>
        <v>3.7142857142857144</v>
      </c>
      <c r="J53" s="49">
        <f>'Avg Week Bugolobi-Nakawa'!J53+'Avg Week Nakawa-Bugolobi'!J53</f>
        <v>1.8571428571428572</v>
      </c>
      <c r="K53" s="49">
        <f>'Avg Week Bugolobi-Nakawa'!K53+'Avg Week Nakawa-Bugolobi'!K53</f>
        <v>0.42857142857142855</v>
      </c>
      <c r="L53" s="49">
        <f>'Avg Week Bugolobi-Nakawa'!L53+'Avg Week Nakawa-Bugolobi'!L53</f>
        <v>0.14285714285714285</v>
      </c>
      <c r="M53" s="49">
        <f>'Avg Week Bugolobi-Nakawa'!M53+'Avg Week Nakawa-Bugolobi'!M53</f>
        <v>221.28571428571428</v>
      </c>
      <c r="N53" s="49">
        <f>'Avg Week Bugolobi-Nakawa'!N53+'Avg Week Nakawa-Bugolobi'!N53</f>
        <v>0</v>
      </c>
      <c r="O53" s="15">
        <f t="shared" si="0"/>
        <v>402.00000000000006</v>
      </c>
      <c r="P53" s="15">
        <f t="shared" si="1"/>
        <v>623.28571428571433</v>
      </c>
      <c r="R53" s="8"/>
      <c r="T53"/>
    </row>
    <row r="54" spans="2:20" ht="23.1" customHeight="1" x14ac:dyDescent="0.25">
      <c r="B54" s="23" t="s">
        <v>81</v>
      </c>
      <c r="C54" s="49">
        <f>'Avg Week Bugolobi-Nakawa'!C54+'Avg Week Nakawa-Bugolobi'!C54</f>
        <v>225</v>
      </c>
      <c r="D54" s="49">
        <f>'Avg Week Bugolobi-Nakawa'!D54+'Avg Week Nakawa-Bugolobi'!D54</f>
        <v>71.428571428571431</v>
      </c>
      <c r="E54" s="49">
        <f>'Avg Week Bugolobi-Nakawa'!E54+'Avg Week Nakawa-Bugolobi'!E54</f>
        <v>44.714285714285715</v>
      </c>
      <c r="F54" s="49">
        <f>'Avg Week Bugolobi-Nakawa'!F54+'Avg Week Nakawa-Bugolobi'!F54</f>
        <v>50.428571428571431</v>
      </c>
      <c r="G54" s="49">
        <f>'Avg Week Bugolobi-Nakawa'!G54+'Avg Week Nakawa-Bugolobi'!G54</f>
        <v>1.2857142857142856</v>
      </c>
      <c r="H54" s="49">
        <f>'Avg Week Bugolobi-Nakawa'!H54+'Avg Week Nakawa-Bugolobi'!H54</f>
        <v>0.14285714285714285</v>
      </c>
      <c r="I54" s="49">
        <f>'Avg Week Bugolobi-Nakawa'!I54+'Avg Week Nakawa-Bugolobi'!I54</f>
        <v>8</v>
      </c>
      <c r="J54" s="49">
        <f>'Avg Week Bugolobi-Nakawa'!J54+'Avg Week Nakawa-Bugolobi'!J54</f>
        <v>3.2857142857142856</v>
      </c>
      <c r="K54" s="49">
        <f>'Avg Week Bugolobi-Nakawa'!K54+'Avg Week Nakawa-Bugolobi'!K54</f>
        <v>0</v>
      </c>
      <c r="L54" s="49">
        <f>'Avg Week Bugolobi-Nakawa'!L54+'Avg Week Nakawa-Bugolobi'!L54</f>
        <v>0.42857142857142855</v>
      </c>
      <c r="M54" s="49">
        <f>'Avg Week Bugolobi-Nakawa'!M54+'Avg Week Nakawa-Bugolobi'!M54</f>
        <v>190.28571428571428</v>
      </c>
      <c r="N54" s="49">
        <f>'Avg Week Bugolobi-Nakawa'!N54+'Avg Week Nakawa-Bugolobi'!N54</f>
        <v>0</v>
      </c>
      <c r="O54" s="15">
        <f t="shared" si="0"/>
        <v>404.71428571428578</v>
      </c>
      <c r="P54" s="15">
        <f t="shared" si="1"/>
        <v>595</v>
      </c>
      <c r="R54" s="8"/>
      <c r="T54"/>
    </row>
    <row r="55" spans="2:20" ht="23.1" customHeight="1" x14ac:dyDescent="0.25">
      <c r="B55" s="23" t="s">
        <v>82</v>
      </c>
      <c r="C55" s="49">
        <f>'Avg Week Bugolobi-Nakawa'!C55+'Avg Week Nakawa-Bugolobi'!C55</f>
        <v>225.42857142857142</v>
      </c>
      <c r="D55" s="49">
        <f>'Avg Week Bugolobi-Nakawa'!D55+'Avg Week Nakawa-Bugolobi'!D55</f>
        <v>79.714285714285708</v>
      </c>
      <c r="E55" s="49">
        <f>'Avg Week Bugolobi-Nakawa'!E55+'Avg Week Nakawa-Bugolobi'!E55</f>
        <v>46.571428571428569</v>
      </c>
      <c r="F55" s="49">
        <f>'Avg Week Bugolobi-Nakawa'!F55+'Avg Week Nakawa-Bugolobi'!F55</f>
        <v>38.142857142857139</v>
      </c>
      <c r="G55" s="49">
        <f>'Avg Week Bugolobi-Nakawa'!G55+'Avg Week Nakawa-Bugolobi'!G55</f>
        <v>0.71428571428571419</v>
      </c>
      <c r="H55" s="49">
        <f>'Avg Week Bugolobi-Nakawa'!H55+'Avg Week Nakawa-Bugolobi'!H55</f>
        <v>0</v>
      </c>
      <c r="I55" s="49">
        <f>'Avg Week Bugolobi-Nakawa'!I55+'Avg Week Nakawa-Bugolobi'!I55</f>
        <v>9.1428571428571423</v>
      </c>
      <c r="J55" s="49">
        <f>'Avg Week Bugolobi-Nakawa'!J55+'Avg Week Nakawa-Bugolobi'!J55</f>
        <v>3</v>
      </c>
      <c r="K55" s="49">
        <f>'Avg Week Bugolobi-Nakawa'!K55+'Avg Week Nakawa-Bugolobi'!K55</f>
        <v>0</v>
      </c>
      <c r="L55" s="49">
        <f>'Avg Week Bugolobi-Nakawa'!L55+'Avg Week Nakawa-Bugolobi'!L55</f>
        <v>0.14285714285714285</v>
      </c>
      <c r="M55" s="49">
        <f>'Avg Week Bugolobi-Nakawa'!M55+'Avg Week Nakawa-Bugolobi'!M55</f>
        <v>203.42857142857144</v>
      </c>
      <c r="N55" s="49">
        <f>'Avg Week Bugolobi-Nakawa'!N55+'Avg Week Nakawa-Bugolobi'!N55</f>
        <v>0</v>
      </c>
      <c r="O55" s="15">
        <f t="shared" si="0"/>
        <v>402.85714285714283</v>
      </c>
      <c r="P55" s="15">
        <f t="shared" si="1"/>
        <v>606.28571428571422</v>
      </c>
      <c r="R55" s="8"/>
      <c r="T55"/>
    </row>
    <row r="56" spans="2:20" ht="23.1" customHeight="1" x14ac:dyDescent="0.25">
      <c r="B56" s="23" t="s">
        <v>83</v>
      </c>
      <c r="C56" s="49">
        <f>'Avg Week Bugolobi-Nakawa'!C56+'Avg Week Nakawa-Bugolobi'!C56</f>
        <v>215.42857142857144</v>
      </c>
      <c r="D56" s="49">
        <f>'Avg Week Bugolobi-Nakawa'!D56+'Avg Week Nakawa-Bugolobi'!D56</f>
        <v>68.142857142857139</v>
      </c>
      <c r="E56" s="49">
        <f>'Avg Week Bugolobi-Nakawa'!E56+'Avg Week Nakawa-Bugolobi'!E56</f>
        <v>62.142857142857146</v>
      </c>
      <c r="F56" s="49">
        <f>'Avg Week Bugolobi-Nakawa'!F56+'Avg Week Nakawa-Bugolobi'!F56</f>
        <v>41.428571428571431</v>
      </c>
      <c r="G56" s="49">
        <f>'Avg Week Bugolobi-Nakawa'!G56+'Avg Week Nakawa-Bugolobi'!G56</f>
        <v>0.85714285714285721</v>
      </c>
      <c r="H56" s="49">
        <f>'Avg Week Bugolobi-Nakawa'!H56+'Avg Week Nakawa-Bugolobi'!H56</f>
        <v>0</v>
      </c>
      <c r="I56" s="49">
        <f>'Avg Week Bugolobi-Nakawa'!I56+'Avg Week Nakawa-Bugolobi'!I56</f>
        <v>3</v>
      </c>
      <c r="J56" s="49">
        <f>'Avg Week Bugolobi-Nakawa'!J56+'Avg Week Nakawa-Bugolobi'!J56</f>
        <v>1.2857142857142856</v>
      </c>
      <c r="K56" s="49">
        <f>'Avg Week Bugolobi-Nakawa'!K56+'Avg Week Nakawa-Bugolobi'!K56</f>
        <v>0.2857142857142857</v>
      </c>
      <c r="L56" s="49">
        <f>'Avg Week Bugolobi-Nakawa'!L56+'Avg Week Nakawa-Bugolobi'!L56</f>
        <v>0.2857142857142857</v>
      </c>
      <c r="M56" s="49">
        <f>'Avg Week Bugolobi-Nakawa'!M56+'Avg Week Nakawa-Bugolobi'!M56</f>
        <v>185.71428571428572</v>
      </c>
      <c r="N56" s="49">
        <f>'Avg Week Bugolobi-Nakawa'!N56+'Avg Week Nakawa-Bugolobi'!N56</f>
        <v>0</v>
      </c>
      <c r="O56" s="15">
        <f t="shared" si="0"/>
        <v>392.85714285714283</v>
      </c>
      <c r="P56" s="15">
        <f t="shared" si="1"/>
        <v>578.57142857142856</v>
      </c>
      <c r="R56" s="8"/>
      <c r="T56"/>
    </row>
    <row r="57" spans="2:20" ht="23.1" customHeight="1" x14ac:dyDescent="0.25">
      <c r="B57" s="23" t="s">
        <v>84</v>
      </c>
      <c r="C57" s="49">
        <f>'Avg Week Bugolobi-Nakawa'!C57+'Avg Week Nakawa-Bugolobi'!C57</f>
        <v>203.14285714285711</v>
      </c>
      <c r="D57" s="49">
        <f>'Avg Week Bugolobi-Nakawa'!D57+'Avg Week Nakawa-Bugolobi'!D57</f>
        <v>52.428571428571431</v>
      </c>
      <c r="E57" s="49">
        <f>'Avg Week Bugolobi-Nakawa'!E57+'Avg Week Nakawa-Bugolobi'!E57</f>
        <v>48.142857142857146</v>
      </c>
      <c r="F57" s="49">
        <f>'Avg Week Bugolobi-Nakawa'!F57+'Avg Week Nakawa-Bugolobi'!F57</f>
        <v>46.714285714285708</v>
      </c>
      <c r="G57" s="49">
        <f>'Avg Week Bugolobi-Nakawa'!G57+'Avg Week Nakawa-Bugolobi'!G57</f>
        <v>1.4285714285714284</v>
      </c>
      <c r="H57" s="49">
        <f>'Avg Week Bugolobi-Nakawa'!H57+'Avg Week Nakawa-Bugolobi'!H57</f>
        <v>0.5714285714285714</v>
      </c>
      <c r="I57" s="49">
        <f>'Avg Week Bugolobi-Nakawa'!I57+'Avg Week Nakawa-Bugolobi'!I57</f>
        <v>4.4285714285714288</v>
      </c>
      <c r="J57" s="49">
        <f>'Avg Week Bugolobi-Nakawa'!J57+'Avg Week Nakawa-Bugolobi'!J57</f>
        <v>1.8571428571428572</v>
      </c>
      <c r="K57" s="49">
        <f>'Avg Week Bugolobi-Nakawa'!K57+'Avg Week Nakawa-Bugolobi'!K57</f>
        <v>0.42857142857142855</v>
      </c>
      <c r="L57" s="49">
        <f>'Avg Week Bugolobi-Nakawa'!L57+'Avg Week Nakawa-Bugolobi'!L57</f>
        <v>0.14285714285714285</v>
      </c>
      <c r="M57" s="49">
        <f>'Avg Week Bugolobi-Nakawa'!M57+'Avg Week Nakawa-Bugolobi'!M57</f>
        <v>183.42857142857144</v>
      </c>
      <c r="N57" s="49">
        <f>'Avg Week Bugolobi-Nakawa'!N57+'Avg Week Nakawa-Bugolobi'!N57</f>
        <v>0</v>
      </c>
      <c r="O57" s="15">
        <f t="shared" si="0"/>
        <v>359.28571428571433</v>
      </c>
      <c r="P57" s="15">
        <f t="shared" si="1"/>
        <v>542.71428571428578</v>
      </c>
      <c r="R57" s="8"/>
      <c r="T57"/>
    </row>
    <row r="58" spans="2:20" ht="23.1" customHeight="1" x14ac:dyDescent="0.25">
      <c r="B58" s="23" t="s">
        <v>99</v>
      </c>
      <c r="C58" s="49">
        <f>'Avg Week Bugolobi-Nakawa'!C58+'Avg Week Nakawa-Bugolobi'!C58</f>
        <v>114.5</v>
      </c>
      <c r="D58" s="49">
        <f>'Avg Week Bugolobi-Nakawa'!D58+'Avg Week Nakawa-Bugolobi'!D58</f>
        <v>46.5</v>
      </c>
      <c r="E58" s="49">
        <f>'Avg Week Bugolobi-Nakawa'!E58+'Avg Week Nakawa-Bugolobi'!E58</f>
        <v>22.5</v>
      </c>
      <c r="F58" s="49">
        <f>'Avg Week Bugolobi-Nakawa'!F58+'Avg Week Nakawa-Bugolobi'!F58</f>
        <v>39</v>
      </c>
      <c r="G58" s="49">
        <f>'Avg Week Bugolobi-Nakawa'!G58+'Avg Week Nakawa-Bugolobi'!G58</f>
        <v>1</v>
      </c>
      <c r="H58" s="49">
        <f>'Avg Week Bugolobi-Nakawa'!H58+'Avg Week Nakawa-Bugolobi'!H58</f>
        <v>0</v>
      </c>
      <c r="I58" s="49">
        <f>'Avg Week Bugolobi-Nakawa'!I58+'Avg Week Nakawa-Bugolobi'!I58</f>
        <v>4.5</v>
      </c>
      <c r="J58" s="49">
        <f>'Avg Week Bugolobi-Nakawa'!J58+'Avg Week Nakawa-Bugolobi'!J58</f>
        <v>2</v>
      </c>
      <c r="K58" s="49">
        <f>'Avg Week Bugolobi-Nakawa'!K58+'Avg Week Nakawa-Bugolobi'!K58</f>
        <v>0.5</v>
      </c>
      <c r="L58" s="49">
        <f>'Avg Week Bugolobi-Nakawa'!L58+'Avg Week Nakawa-Bugolobi'!L58</f>
        <v>0.5</v>
      </c>
      <c r="M58" s="49">
        <f>'Avg Week Bugolobi-Nakawa'!M58+'Avg Week Nakawa-Bugolobi'!M58</f>
        <v>140.5</v>
      </c>
      <c r="N58" s="49">
        <f>'Avg Week Bugolobi-Nakawa'!N58+'Avg Week Nakawa-Bugolobi'!N58</f>
        <v>0</v>
      </c>
      <c r="O58" s="15">
        <f t="shared" si="0"/>
        <v>231</v>
      </c>
      <c r="P58" s="15">
        <f t="shared" si="1"/>
        <v>371.5</v>
      </c>
      <c r="R58" s="8"/>
      <c r="T58"/>
    </row>
    <row r="59" spans="2:20" ht="23.1" customHeight="1" x14ac:dyDescent="0.25">
      <c r="B59" s="23" t="s">
        <v>100</v>
      </c>
      <c r="C59" s="49">
        <f>'Avg Week Bugolobi-Nakawa'!C59+'Avg Week Nakawa-Bugolobi'!C59</f>
        <v>125</v>
      </c>
      <c r="D59" s="49">
        <f>'Avg Week Bugolobi-Nakawa'!D59+'Avg Week Nakawa-Bugolobi'!D59</f>
        <v>46.5</v>
      </c>
      <c r="E59" s="49">
        <f>'Avg Week Bugolobi-Nakawa'!E59+'Avg Week Nakawa-Bugolobi'!E59</f>
        <v>30.5</v>
      </c>
      <c r="F59" s="49">
        <f>'Avg Week Bugolobi-Nakawa'!F59+'Avg Week Nakawa-Bugolobi'!F59</f>
        <v>36</v>
      </c>
      <c r="G59" s="49">
        <f>'Avg Week Bugolobi-Nakawa'!G59+'Avg Week Nakawa-Bugolobi'!G59</f>
        <v>1</v>
      </c>
      <c r="H59" s="49">
        <f>'Avg Week Bugolobi-Nakawa'!H59+'Avg Week Nakawa-Bugolobi'!H59</f>
        <v>0</v>
      </c>
      <c r="I59" s="49">
        <f>'Avg Week Bugolobi-Nakawa'!I59+'Avg Week Nakawa-Bugolobi'!I59</f>
        <v>9</v>
      </c>
      <c r="J59" s="49">
        <f>'Avg Week Bugolobi-Nakawa'!J59+'Avg Week Nakawa-Bugolobi'!J59</f>
        <v>2</v>
      </c>
      <c r="K59" s="49">
        <f>'Avg Week Bugolobi-Nakawa'!K59+'Avg Week Nakawa-Bugolobi'!K59</f>
        <v>0</v>
      </c>
      <c r="L59" s="49">
        <f>'Avg Week Bugolobi-Nakawa'!L59+'Avg Week Nakawa-Bugolobi'!L59</f>
        <v>0.5</v>
      </c>
      <c r="M59" s="49">
        <f>'Avg Week Bugolobi-Nakawa'!M59+'Avg Week Nakawa-Bugolobi'!M59</f>
        <v>136.5</v>
      </c>
      <c r="N59" s="49">
        <f>'Avg Week Bugolobi-Nakawa'!N59+'Avg Week Nakawa-Bugolobi'!N59</f>
        <v>0</v>
      </c>
      <c r="O59" s="15">
        <f t="shared" si="0"/>
        <v>250.5</v>
      </c>
      <c r="P59" s="15">
        <f t="shared" si="1"/>
        <v>387</v>
      </c>
      <c r="R59" s="8"/>
      <c r="T59"/>
    </row>
    <row r="60" spans="2:20" ht="23.1" customHeight="1" x14ac:dyDescent="0.25">
      <c r="B60" s="23" t="s">
        <v>101</v>
      </c>
      <c r="C60" s="49">
        <f>'Avg Week Bugolobi-Nakawa'!C60+'Avg Week Nakawa-Bugolobi'!C60</f>
        <v>93.5</v>
      </c>
      <c r="D60" s="49">
        <f>'Avg Week Bugolobi-Nakawa'!D60+'Avg Week Nakawa-Bugolobi'!D60</f>
        <v>41.5</v>
      </c>
      <c r="E60" s="49">
        <f>'Avg Week Bugolobi-Nakawa'!E60+'Avg Week Nakawa-Bugolobi'!E60</f>
        <v>30.5</v>
      </c>
      <c r="F60" s="49">
        <f>'Avg Week Bugolobi-Nakawa'!F60+'Avg Week Nakawa-Bugolobi'!F60</f>
        <v>35</v>
      </c>
      <c r="G60" s="49">
        <f>'Avg Week Bugolobi-Nakawa'!G60+'Avg Week Nakawa-Bugolobi'!G60</f>
        <v>0.5</v>
      </c>
      <c r="H60" s="49">
        <f>'Avg Week Bugolobi-Nakawa'!H60+'Avg Week Nakawa-Bugolobi'!H60</f>
        <v>0</v>
      </c>
      <c r="I60" s="49">
        <f>'Avg Week Bugolobi-Nakawa'!I60+'Avg Week Nakawa-Bugolobi'!I60</f>
        <v>10.5</v>
      </c>
      <c r="J60" s="49">
        <f>'Avg Week Bugolobi-Nakawa'!J60+'Avg Week Nakawa-Bugolobi'!J60</f>
        <v>3.5</v>
      </c>
      <c r="K60" s="49">
        <f>'Avg Week Bugolobi-Nakawa'!K60+'Avg Week Nakawa-Bugolobi'!K60</f>
        <v>1</v>
      </c>
      <c r="L60" s="49">
        <f>'Avg Week Bugolobi-Nakawa'!L60+'Avg Week Nakawa-Bugolobi'!L60</f>
        <v>0</v>
      </c>
      <c r="M60" s="49">
        <f>'Avg Week Bugolobi-Nakawa'!M60+'Avg Week Nakawa-Bugolobi'!M60</f>
        <v>145.5</v>
      </c>
      <c r="N60" s="49">
        <f>'Avg Week Bugolobi-Nakawa'!N60+'Avg Week Nakawa-Bugolobi'!N60</f>
        <v>0</v>
      </c>
      <c r="O60" s="15">
        <f t="shared" si="0"/>
        <v>216</v>
      </c>
      <c r="P60" s="15">
        <f t="shared" si="1"/>
        <v>361.5</v>
      </c>
      <c r="R60" s="8"/>
      <c r="T60"/>
    </row>
    <row r="61" spans="2:20" ht="23.1" customHeight="1" x14ac:dyDescent="0.25">
      <c r="B61" s="23" t="s">
        <v>102</v>
      </c>
      <c r="C61" s="49">
        <f>'Avg Week Bugolobi-Nakawa'!C61+'Avg Week Nakawa-Bugolobi'!C61</f>
        <v>106.5</v>
      </c>
      <c r="D61" s="49">
        <f>'Avg Week Bugolobi-Nakawa'!D61+'Avg Week Nakawa-Bugolobi'!D61</f>
        <v>25</v>
      </c>
      <c r="E61" s="49">
        <f>'Avg Week Bugolobi-Nakawa'!E61+'Avg Week Nakawa-Bugolobi'!E61</f>
        <v>31.5</v>
      </c>
      <c r="F61" s="49">
        <f>'Avg Week Bugolobi-Nakawa'!F61+'Avg Week Nakawa-Bugolobi'!F61</f>
        <v>36.5</v>
      </c>
      <c r="G61" s="49">
        <f>'Avg Week Bugolobi-Nakawa'!G61+'Avg Week Nakawa-Bugolobi'!G61</f>
        <v>1</v>
      </c>
      <c r="H61" s="49">
        <f>'Avg Week Bugolobi-Nakawa'!H61+'Avg Week Nakawa-Bugolobi'!H61</f>
        <v>0</v>
      </c>
      <c r="I61" s="49">
        <f>'Avg Week Bugolobi-Nakawa'!I61+'Avg Week Nakawa-Bugolobi'!I61</f>
        <v>10.5</v>
      </c>
      <c r="J61" s="49">
        <f>'Avg Week Bugolobi-Nakawa'!J61+'Avg Week Nakawa-Bugolobi'!J61</f>
        <v>1</v>
      </c>
      <c r="K61" s="49">
        <f>'Avg Week Bugolobi-Nakawa'!K61+'Avg Week Nakawa-Bugolobi'!K61</f>
        <v>0.5</v>
      </c>
      <c r="L61" s="49">
        <f>'Avg Week Bugolobi-Nakawa'!L61+'Avg Week Nakawa-Bugolobi'!L61</f>
        <v>0</v>
      </c>
      <c r="M61" s="49">
        <f>'Avg Week Bugolobi-Nakawa'!M61+'Avg Week Nakawa-Bugolobi'!M61</f>
        <v>138.5</v>
      </c>
      <c r="N61" s="49">
        <f>'Avg Week Bugolobi-Nakawa'!N61+'Avg Week Nakawa-Bugolobi'!N61</f>
        <v>0</v>
      </c>
      <c r="O61" s="15">
        <f t="shared" si="0"/>
        <v>212.5</v>
      </c>
      <c r="P61" s="15">
        <f t="shared" si="1"/>
        <v>351</v>
      </c>
      <c r="R61" s="8"/>
      <c r="T61"/>
    </row>
    <row r="62" spans="2:20" ht="23.1" customHeight="1" x14ac:dyDescent="0.25">
      <c r="B62" s="23" t="s">
        <v>107</v>
      </c>
      <c r="C62" s="49">
        <f>'Avg Week Bugolobi-Nakawa'!C62+'Avg Week Nakawa-Bugolobi'!C62</f>
        <v>93.5</v>
      </c>
      <c r="D62" s="49">
        <f>'Avg Week Bugolobi-Nakawa'!D62+'Avg Week Nakawa-Bugolobi'!D62</f>
        <v>33</v>
      </c>
      <c r="E62" s="49">
        <f>'Avg Week Bugolobi-Nakawa'!E62+'Avg Week Nakawa-Bugolobi'!E62</f>
        <v>18</v>
      </c>
      <c r="F62" s="49">
        <f>'Avg Week Bugolobi-Nakawa'!F62+'Avg Week Nakawa-Bugolobi'!F62</f>
        <v>28.5</v>
      </c>
      <c r="G62" s="49">
        <f>'Avg Week Bugolobi-Nakawa'!G62+'Avg Week Nakawa-Bugolobi'!G62</f>
        <v>0.5</v>
      </c>
      <c r="H62" s="49">
        <f>'Avg Week Bugolobi-Nakawa'!H62+'Avg Week Nakawa-Bugolobi'!H62</f>
        <v>0</v>
      </c>
      <c r="I62" s="49">
        <f>'Avg Week Bugolobi-Nakawa'!I62+'Avg Week Nakawa-Bugolobi'!I62</f>
        <v>7</v>
      </c>
      <c r="J62" s="49">
        <f>'Avg Week Bugolobi-Nakawa'!J62+'Avg Week Nakawa-Bugolobi'!J62</f>
        <v>1.5</v>
      </c>
      <c r="K62" s="49">
        <f>'Avg Week Bugolobi-Nakawa'!K62+'Avg Week Nakawa-Bugolobi'!K62</f>
        <v>0</v>
      </c>
      <c r="L62" s="49">
        <f>'Avg Week Bugolobi-Nakawa'!L62+'Avg Week Nakawa-Bugolobi'!L62</f>
        <v>1</v>
      </c>
      <c r="M62" s="49">
        <f>'Avg Week Bugolobi-Nakawa'!M62+'Avg Week Nakawa-Bugolobi'!M62</f>
        <v>117</v>
      </c>
      <c r="N62" s="49">
        <f>'Avg Week Bugolobi-Nakawa'!N62+'Avg Week Nakawa-Bugolobi'!N62</f>
        <v>0</v>
      </c>
      <c r="O62" s="15">
        <f t="shared" si="0"/>
        <v>183</v>
      </c>
      <c r="P62" s="15">
        <f t="shared" si="1"/>
        <v>300</v>
      </c>
      <c r="R62" s="8"/>
      <c r="T62"/>
    </row>
    <row r="63" spans="2:20" ht="23.1" customHeight="1" x14ac:dyDescent="0.25">
      <c r="B63" s="23" t="s">
        <v>108</v>
      </c>
      <c r="C63" s="49">
        <f>'Avg Week Bugolobi-Nakawa'!C63+'Avg Week Nakawa-Bugolobi'!C63</f>
        <v>88.5</v>
      </c>
      <c r="D63" s="49">
        <f>'Avg Week Bugolobi-Nakawa'!D63+'Avg Week Nakawa-Bugolobi'!D63</f>
        <v>24</v>
      </c>
      <c r="E63" s="49">
        <f>'Avg Week Bugolobi-Nakawa'!E63+'Avg Week Nakawa-Bugolobi'!E63</f>
        <v>20.5</v>
      </c>
      <c r="F63" s="49">
        <f>'Avg Week Bugolobi-Nakawa'!F63+'Avg Week Nakawa-Bugolobi'!F63</f>
        <v>40</v>
      </c>
      <c r="G63" s="49">
        <f>'Avg Week Bugolobi-Nakawa'!G63+'Avg Week Nakawa-Bugolobi'!G63</f>
        <v>0</v>
      </c>
      <c r="H63" s="49">
        <f>'Avg Week Bugolobi-Nakawa'!H63+'Avg Week Nakawa-Bugolobi'!H63</f>
        <v>0</v>
      </c>
      <c r="I63" s="49">
        <f>'Avg Week Bugolobi-Nakawa'!I63+'Avg Week Nakawa-Bugolobi'!I63</f>
        <v>1</v>
      </c>
      <c r="J63" s="49">
        <f>'Avg Week Bugolobi-Nakawa'!J63+'Avg Week Nakawa-Bugolobi'!J63</f>
        <v>0</v>
      </c>
      <c r="K63" s="49">
        <f>'Avg Week Bugolobi-Nakawa'!K63+'Avg Week Nakawa-Bugolobi'!K63</f>
        <v>1</v>
      </c>
      <c r="L63" s="49">
        <f>'Avg Week Bugolobi-Nakawa'!L63+'Avg Week Nakawa-Bugolobi'!L63</f>
        <v>0.5</v>
      </c>
      <c r="M63" s="49">
        <f>'Avg Week Bugolobi-Nakawa'!M63+'Avg Week Nakawa-Bugolobi'!M63</f>
        <v>115</v>
      </c>
      <c r="N63" s="49">
        <f>'Avg Week Bugolobi-Nakawa'!N63+'Avg Week Nakawa-Bugolobi'!N63</f>
        <v>0</v>
      </c>
      <c r="O63" s="15">
        <f t="shared" si="0"/>
        <v>175.5</v>
      </c>
      <c r="P63" s="15">
        <f t="shared" si="1"/>
        <v>290.5</v>
      </c>
      <c r="R63" s="8"/>
      <c r="T63"/>
    </row>
    <row r="64" spans="2:20" ht="23.1" customHeight="1" x14ac:dyDescent="0.25">
      <c r="B64" s="23" t="s">
        <v>109</v>
      </c>
      <c r="C64" s="49">
        <f>'Avg Week Bugolobi-Nakawa'!C64+'Avg Week Nakawa-Bugolobi'!C64</f>
        <v>83.5</v>
      </c>
      <c r="D64" s="49">
        <f>'Avg Week Bugolobi-Nakawa'!D64+'Avg Week Nakawa-Bugolobi'!D64</f>
        <v>23.5</v>
      </c>
      <c r="E64" s="49">
        <f>'Avg Week Bugolobi-Nakawa'!E64+'Avg Week Nakawa-Bugolobi'!E64</f>
        <v>21.5</v>
      </c>
      <c r="F64" s="49">
        <f>'Avg Week Bugolobi-Nakawa'!F64+'Avg Week Nakawa-Bugolobi'!F64</f>
        <v>29</v>
      </c>
      <c r="G64" s="49">
        <f>'Avg Week Bugolobi-Nakawa'!G64+'Avg Week Nakawa-Bugolobi'!G64</f>
        <v>0.5</v>
      </c>
      <c r="H64" s="49">
        <f>'Avg Week Bugolobi-Nakawa'!H64+'Avg Week Nakawa-Bugolobi'!H64</f>
        <v>0</v>
      </c>
      <c r="I64" s="49">
        <f>'Avg Week Bugolobi-Nakawa'!I64+'Avg Week Nakawa-Bugolobi'!I64</f>
        <v>4</v>
      </c>
      <c r="J64" s="49">
        <f>'Avg Week Bugolobi-Nakawa'!J64+'Avg Week Nakawa-Bugolobi'!J64</f>
        <v>1</v>
      </c>
      <c r="K64" s="49">
        <f>'Avg Week Bugolobi-Nakawa'!K64+'Avg Week Nakawa-Bugolobi'!K64</f>
        <v>0</v>
      </c>
      <c r="L64" s="49">
        <f>'Avg Week Bugolobi-Nakawa'!L64+'Avg Week Nakawa-Bugolobi'!L64</f>
        <v>0</v>
      </c>
      <c r="M64" s="49">
        <f>'Avg Week Bugolobi-Nakawa'!M64+'Avg Week Nakawa-Bugolobi'!M64</f>
        <v>112</v>
      </c>
      <c r="N64" s="49">
        <f>'Avg Week Bugolobi-Nakawa'!N64+'Avg Week Nakawa-Bugolobi'!N64</f>
        <v>0</v>
      </c>
      <c r="O64" s="15">
        <f t="shared" si="0"/>
        <v>163</v>
      </c>
      <c r="P64" s="15">
        <f t="shared" si="1"/>
        <v>275</v>
      </c>
      <c r="R64" s="8"/>
      <c r="T64"/>
    </row>
    <row r="65" spans="2:20" ht="23.1" customHeight="1" x14ac:dyDescent="0.25">
      <c r="B65" s="23" t="s">
        <v>158</v>
      </c>
      <c r="C65" s="49">
        <f>'Avg Week Bugolobi-Nakawa'!C65+'Avg Week Nakawa-Bugolobi'!C65</f>
        <v>118.5</v>
      </c>
      <c r="D65" s="49">
        <f>'Avg Week Bugolobi-Nakawa'!D65+'Avg Week Nakawa-Bugolobi'!D65</f>
        <v>30</v>
      </c>
      <c r="E65" s="49">
        <f>'Avg Week Bugolobi-Nakawa'!E65+'Avg Week Nakawa-Bugolobi'!E65</f>
        <v>21.5</v>
      </c>
      <c r="F65" s="49">
        <f>'Avg Week Bugolobi-Nakawa'!F65+'Avg Week Nakawa-Bugolobi'!F65</f>
        <v>25</v>
      </c>
      <c r="G65" s="49">
        <f>'Avg Week Bugolobi-Nakawa'!G65+'Avg Week Nakawa-Bugolobi'!G65</f>
        <v>1.5</v>
      </c>
      <c r="H65" s="49">
        <f>'Avg Week Bugolobi-Nakawa'!H65+'Avg Week Nakawa-Bugolobi'!H65</f>
        <v>0</v>
      </c>
      <c r="I65" s="49">
        <f>'Avg Week Bugolobi-Nakawa'!I65+'Avg Week Nakawa-Bugolobi'!I65</f>
        <v>2</v>
      </c>
      <c r="J65" s="49">
        <f>'Avg Week Bugolobi-Nakawa'!J65+'Avg Week Nakawa-Bugolobi'!J65</f>
        <v>1.5</v>
      </c>
      <c r="K65" s="49">
        <f>'Avg Week Bugolobi-Nakawa'!K65+'Avg Week Nakawa-Bugolobi'!K65</f>
        <v>0</v>
      </c>
      <c r="L65" s="49">
        <f>'Avg Week Bugolobi-Nakawa'!L65+'Avg Week Nakawa-Bugolobi'!L65</f>
        <v>0</v>
      </c>
      <c r="M65" s="49">
        <f>'Avg Week Bugolobi-Nakawa'!M65+'Avg Week Nakawa-Bugolobi'!M65</f>
        <v>120.5</v>
      </c>
      <c r="N65" s="49">
        <f>'Avg Week Bugolobi-Nakawa'!N65+'Avg Week Nakawa-Bugolobi'!N65</f>
        <v>0</v>
      </c>
      <c r="O65" s="15">
        <f t="shared" si="0"/>
        <v>200</v>
      </c>
      <c r="P65" s="15">
        <f t="shared" si="1"/>
        <v>320.5</v>
      </c>
      <c r="R65" s="8"/>
      <c r="T65"/>
    </row>
    <row r="66" spans="2:20" ht="23.1" customHeight="1" x14ac:dyDescent="0.25">
      <c r="B66" s="23" t="s">
        <v>103</v>
      </c>
      <c r="C66" s="49">
        <f>'Avg Week Bugolobi-Nakawa'!C66+'Avg Week Nakawa-Bugolobi'!C66</f>
        <v>82.5</v>
      </c>
      <c r="D66" s="49">
        <f>'Avg Week Bugolobi-Nakawa'!D66+'Avg Week Nakawa-Bugolobi'!D66</f>
        <v>32.5</v>
      </c>
      <c r="E66" s="49">
        <f>'Avg Week Bugolobi-Nakawa'!E66+'Avg Week Nakawa-Bugolobi'!E66</f>
        <v>19</v>
      </c>
      <c r="F66" s="49">
        <f>'Avg Week Bugolobi-Nakawa'!F66+'Avg Week Nakawa-Bugolobi'!F66</f>
        <v>41</v>
      </c>
      <c r="G66" s="49">
        <f>'Avg Week Bugolobi-Nakawa'!G66+'Avg Week Nakawa-Bugolobi'!G66</f>
        <v>0</v>
      </c>
      <c r="H66" s="49">
        <f>'Avg Week Bugolobi-Nakawa'!H66+'Avg Week Nakawa-Bugolobi'!H66</f>
        <v>0</v>
      </c>
      <c r="I66" s="49">
        <f>'Avg Week Bugolobi-Nakawa'!I66+'Avg Week Nakawa-Bugolobi'!I66</f>
        <v>3</v>
      </c>
      <c r="J66" s="49">
        <f>'Avg Week Bugolobi-Nakawa'!J66+'Avg Week Nakawa-Bugolobi'!J66</f>
        <v>0.5</v>
      </c>
      <c r="K66" s="49">
        <f>'Avg Week Bugolobi-Nakawa'!K66+'Avg Week Nakawa-Bugolobi'!K66</f>
        <v>0</v>
      </c>
      <c r="L66" s="49">
        <f>'Avg Week Bugolobi-Nakawa'!L66+'Avg Week Nakawa-Bugolobi'!L66</f>
        <v>0</v>
      </c>
      <c r="M66" s="49">
        <f>'Avg Week Bugolobi-Nakawa'!M66+'Avg Week Nakawa-Bugolobi'!M66</f>
        <v>105</v>
      </c>
      <c r="N66" s="49">
        <f>'Avg Week Bugolobi-Nakawa'!N66+'Avg Week Nakawa-Bugolobi'!N66</f>
        <v>0</v>
      </c>
      <c r="O66" s="15">
        <f t="shared" si="0"/>
        <v>178.5</v>
      </c>
      <c r="P66" s="15">
        <f t="shared" si="1"/>
        <v>283.5</v>
      </c>
      <c r="R66" s="8"/>
      <c r="T66"/>
    </row>
    <row r="67" spans="2:20" ht="23.1" customHeight="1" x14ac:dyDescent="0.25">
      <c r="B67" s="23" t="s">
        <v>104</v>
      </c>
      <c r="C67" s="49">
        <f>'Avg Week Bugolobi-Nakawa'!C67+'Avg Week Nakawa-Bugolobi'!C67</f>
        <v>83.5</v>
      </c>
      <c r="D67" s="49">
        <f>'Avg Week Bugolobi-Nakawa'!D67+'Avg Week Nakawa-Bugolobi'!D67</f>
        <v>20.5</v>
      </c>
      <c r="E67" s="49">
        <f>'Avg Week Bugolobi-Nakawa'!E67+'Avg Week Nakawa-Bugolobi'!E67</f>
        <v>20</v>
      </c>
      <c r="F67" s="49">
        <f>'Avg Week Bugolobi-Nakawa'!F67+'Avg Week Nakawa-Bugolobi'!F67</f>
        <v>31</v>
      </c>
      <c r="G67" s="49">
        <f>'Avg Week Bugolobi-Nakawa'!G67+'Avg Week Nakawa-Bugolobi'!G67</f>
        <v>0</v>
      </c>
      <c r="H67" s="49">
        <f>'Avg Week Bugolobi-Nakawa'!H67+'Avg Week Nakawa-Bugolobi'!H67</f>
        <v>0</v>
      </c>
      <c r="I67" s="49">
        <f>'Avg Week Bugolobi-Nakawa'!I67+'Avg Week Nakawa-Bugolobi'!I67</f>
        <v>1.5</v>
      </c>
      <c r="J67" s="49">
        <f>'Avg Week Bugolobi-Nakawa'!J67+'Avg Week Nakawa-Bugolobi'!J67</f>
        <v>0</v>
      </c>
      <c r="K67" s="49">
        <f>'Avg Week Bugolobi-Nakawa'!K67+'Avg Week Nakawa-Bugolobi'!K67</f>
        <v>0</v>
      </c>
      <c r="L67" s="49">
        <f>'Avg Week Bugolobi-Nakawa'!L67+'Avg Week Nakawa-Bugolobi'!L67</f>
        <v>0</v>
      </c>
      <c r="M67" s="49">
        <f>'Avg Week Bugolobi-Nakawa'!M67+'Avg Week Nakawa-Bugolobi'!M67</f>
        <v>88</v>
      </c>
      <c r="N67" s="49">
        <f>'Avg Week Bugolobi-Nakawa'!N67+'Avg Week Nakawa-Bugolobi'!N67</f>
        <v>0</v>
      </c>
      <c r="O67" s="15">
        <f t="shared" si="0"/>
        <v>156.5</v>
      </c>
      <c r="P67" s="15">
        <f t="shared" si="1"/>
        <v>244.5</v>
      </c>
      <c r="R67" s="8"/>
      <c r="T67"/>
    </row>
    <row r="68" spans="2:20" ht="23.1" customHeight="1" x14ac:dyDescent="0.25">
      <c r="B68" s="23" t="s">
        <v>105</v>
      </c>
      <c r="C68" s="49">
        <f>'Avg Week Bugolobi-Nakawa'!C68+'Avg Week Nakawa-Bugolobi'!C68</f>
        <v>104</v>
      </c>
      <c r="D68" s="49">
        <f>'Avg Week Bugolobi-Nakawa'!D68+'Avg Week Nakawa-Bugolobi'!D68</f>
        <v>33.5</v>
      </c>
      <c r="E68" s="49">
        <f>'Avg Week Bugolobi-Nakawa'!E68+'Avg Week Nakawa-Bugolobi'!E68</f>
        <v>14</v>
      </c>
      <c r="F68" s="49">
        <f>'Avg Week Bugolobi-Nakawa'!F68+'Avg Week Nakawa-Bugolobi'!F68</f>
        <v>31.5</v>
      </c>
      <c r="G68" s="49">
        <f>'Avg Week Bugolobi-Nakawa'!G68+'Avg Week Nakawa-Bugolobi'!G68</f>
        <v>0</v>
      </c>
      <c r="H68" s="49">
        <f>'Avg Week Bugolobi-Nakawa'!H68+'Avg Week Nakawa-Bugolobi'!H68</f>
        <v>0.5</v>
      </c>
      <c r="I68" s="49">
        <f>'Avg Week Bugolobi-Nakawa'!I68+'Avg Week Nakawa-Bugolobi'!I68</f>
        <v>1</v>
      </c>
      <c r="J68" s="49">
        <f>'Avg Week Bugolobi-Nakawa'!J68+'Avg Week Nakawa-Bugolobi'!J68</f>
        <v>0.5</v>
      </c>
      <c r="K68" s="49">
        <f>'Avg Week Bugolobi-Nakawa'!K68+'Avg Week Nakawa-Bugolobi'!K68</f>
        <v>0.5</v>
      </c>
      <c r="L68" s="49">
        <f>'Avg Week Bugolobi-Nakawa'!L68+'Avg Week Nakawa-Bugolobi'!L68</f>
        <v>0</v>
      </c>
      <c r="M68" s="49">
        <f>'Avg Week Bugolobi-Nakawa'!M68+'Avg Week Nakawa-Bugolobi'!M68</f>
        <v>99</v>
      </c>
      <c r="N68" s="49">
        <f>'Avg Week Bugolobi-Nakawa'!N68+'Avg Week Nakawa-Bugolobi'!N68</f>
        <v>0</v>
      </c>
      <c r="O68" s="15">
        <f t="shared" si="0"/>
        <v>185.5</v>
      </c>
      <c r="P68" s="15">
        <f t="shared" si="1"/>
        <v>284.5</v>
      </c>
      <c r="R68" s="8"/>
      <c r="T68"/>
    </row>
    <row r="69" spans="2:20" ht="23.1" customHeight="1" x14ac:dyDescent="0.25">
      <c r="B69" s="23" t="s">
        <v>106</v>
      </c>
      <c r="C69" s="49">
        <f>'Avg Week Bugolobi-Nakawa'!C69+'Avg Week Nakawa-Bugolobi'!C69</f>
        <v>87</v>
      </c>
      <c r="D69" s="49">
        <f>'Avg Week Bugolobi-Nakawa'!D69+'Avg Week Nakawa-Bugolobi'!D69</f>
        <v>21.5</v>
      </c>
      <c r="E69" s="49">
        <f>'Avg Week Bugolobi-Nakawa'!E69+'Avg Week Nakawa-Bugolobi'!E69</f>
        <v>9</v>
      </c>
      <c r="F69" s="49">
        <f>'Avg Week Bugolobi-Nakawa'!F69+'Avg Week Nakawa-Bugolobi'!F69</f>
        <v>27.5</v>
      </c>
      <c r="G69" s="49">
        <f>'Avg Week Bugolobi-Nakawa'!G69+'Avg Week Nakawa-Bugolobi'!G69</f>
        <v>0</v>
      </c>
      <c r="H69" s="49">
        <f>'Avg Week Bugolobi-Nakawa'!H69+'Avg Week Nakawa-Bugolobi'!H69</f>
        <v>0.5</v>
      </c>
      <c r="I69" s="49">
        <f>'Avg Week Bugolobi-Nakawa'!I69+'Avg Week Nakawa-Bugolobi'!I69</f>
        <v>1</v>
      </c>
      <c r="J69" s="49">
        <f>'Avg Week Bugolobi-Nakawa'!J69+'Avg Week Nakawa-Bugolobi'!J69</f>
        <v>0</v>
      </c>
      <c r="K69" s="49">
        <f>'Avg Week Bugolobi-Nakawa'!K69+'Avg Week Nakawa-Bugolobi'!K69</f>
        <v>0.5</v>
      </c>
      <c r="L69" s="49">
        <f>'Avg Week Bugolobi-Nakawa'!L69+'Avg Week Nakawa-Bugolobi'!L69</f>
        <v>0</v>
      </c>
      <c r="M69" s="49">
        <f>'Avg Week Bugolobi-Nakawa'!M69+'Avg Week Nakawa-Bugolobi'!M69</f>
        <v>81.5</v>
      </c>
      <c r="N69" s="49">
        <f>'Avg Week Bugolobi-Nakawa'!N69+'Avg Week Nakawa-Bugolobi'!N69</f>
        <v>0</v>
      </c>
      <c r="O69" s="15">
        <f t="shared" si="0"/>
        <v>147</v>
      </c>
      <c r="P69" s="15">
        <f t="shared" si="1"/>
        <v>228.5</v>
      </c>
      <c r="R69" s="8"/>
      <c r="T69"/>
    </row>
    <row r="70" spans="2:20" ht="23.1" customHeight="1" x14ac:dyDescent="0.25">
      <c r="B70" s="23" t="s">
        <v>110</v>
      </c>
      <c r="C70" s="49">
        <f>'Avg Week Bugolobi-Nakawa'!C70+'Avg Week Nakawa-Bugolobi'!C70</f>
        <v>85</v>
      </c>
      <c r="D70" s="49">
        <f>'Avg Week Bugolobi-Nakawa'!D70+'Avg Week Nakawa-Bugolobi'!D70</f>
        <v>22.5</v>
      </c>
      <c r="E70" s="49">
        <f>'Avg Week Bugolobi-Nakawa'!E70+'Avg Week Nakawa-Bugolobi'!E70</f>
        <v>13</v>
      </c>
      <c r="F70" s="49">
        <f>'Avg Week Bugolobi-Nakawa'!F70+'Avg Week Nakawa-Bugolobi'!F70</f>
        <v>27</v>
      </c>
      <c r="G70" s="49">
        <f>'Avg Week Bugolobi-Nakawa'!G70+'Avg Week Nakawa-Bugolobi'!G70</f>
        <v>0</v>
      </c>
      <c r="H70" s="49">
        <f>'Avg Week Bugolobi-Nakawa'!H70+'Avg Week Nakawa-Bugolobi'!H70</f>
        <v>0</v>
      </c>
      <c r="I70" s="49">
        <f>'Avg Week Bugolobi-Nakawa'!I70+'Avg Week Nakawa-Bugolobi'!I70</f>
        <v>1</v>
      </c>
      <c r="J70" s="49">
        <f>'Avg Week Bugolobi-Nakawa'!J70+'Avg Week Nakawa-Bugolobi'!J70</f>
        <v>0.5</v>
      </c>
      <c r="K70" s="49">
        <f>'Avg Week Bugolobi-Nakawa'!K70+'Avg Week Nakawa-Bugolobi'!K70</f>
        <v>0</v>
      </c>
      <c r="L70" s="49">
        <f>'Avg Week Bugolobi-Nakawa'!L70+'Avg Week Nakawa-Bugolobi'!L70</f>
        <v>0</v>
      </c>
      <c r="M70" s="49">
        <f>'Avg Week Bugolobi-Nakawa'!M70+'Avg Week Nakawa-Bugolobi'!M70</f>
        <v>84.5</v>
      </c>
      <c r="N70" s="49">
        <f>'Avg Week Bugolobi-Nakawa'!N70+'Avg Week Nakawa-Bugolobi'!N70</f>
        <v>0</v>
      </c>
      <c r="O70" s="15">
        <f t="shared" si="0"/>
        <v>149</v>
      </c>
      <c r="P70" s="15">
        <f t="shared" si="1"/>
        <v>233.5</v>
      </c>
      <c r="R70" s="8"/>
      <c r="T70"/>
    </row>
    <row r="71" spans="2:20" ht="23.1" customHeight="1" x14ac:dyDescent="0.25">
      <c r="B71" s="23" t="s">
        <v>111</v>
      </c>
      <c r="C71" s="49">
        <f>'Avg Week Bugolobi-Nakawa'!C71+'Avg Week Nakawa-Bugolobi'!C71</f>
        <v>65</v>
      </c>
      <c r="D71" s="49">
        <f>'Avg Week Bugolobi-Nakawa'!D71+'Avg Week Nakawa-Bugolobi'!D71</f>
        <v>17</v>
      </c>
      <c r="E71" s="49">
        <f>'Avg Week Bugolobi-Nakawa'!E71+'Avg Week Nakawa-Bugolobi'!E71</f>
        <v>15.5</v>
      </c>
      <c r="F71" s="49">
        <f>'Avg Week Bugolobi-Nakawa'!F71+'Avg Week Nakawa-Bugolobi'!F71</f>
        <v>28.5</v>
      </c>
      <c r="G71" s="49">
        <f>'Avg Week Bugolobi-Nakawa'!G71+'Avg Week Nakawa-Bugolobi'!G71</f>
        <v>0.5</v>
      </c>
      <c r="H71" s="49">
        <f>'Avg Week Bugolobi-Nakawa'!H71+'Avg Week Nakawa-Bugolobi'!H71</f>
        <v>0</v>
      </c>
      <c r="I71" s="49">
        <f>'Avg Week Bugolobi-Nakawa'!I71+'Avg Week Nakawa-Bugolobi'!I71</f>
        <v>1</v>
      </c>
      <c r="J71" s="49">
        <f>'Avg Week Bugolobi-Nakawa'!J71+'Avg Week Nakawa-Bugolobi'!J71</f>
        <v>0.5</v>
      </c>
      <c r="K71" s="49">
        <f>'Avg Week Bugolobi-Nakawa'!K71+'Avg Week Nakawa-Bugolobi'!K71</f>
        <v>0</v>
      </c>
      <c r="L71" s="49">
        <f>'Avg Week Bugolobi-Nakawa'!L71+'Avg Week Nakawa-Bugolobi'!L71</f>
        <v>0.5</v>
      </c>
      <c r="M71" s="49">
        <f>'Avg Week Bugolobi-Nakawa'!M71+'Avg Week Nakawa-Bugolobi'!M71</f>
        <v>71.5</v>
      </c>
      <c r="N71" s="49">
        <f>'Avg Week Bugolobi-Nakawa'!N71+'Avg Week Nakawa-Bugolobi'!N71</f>
        <v>0</v>
      </c>
      <c r="O71" s="15">
        <f t="shared" si="0"/>
        <v>128.5</v>
      </c>
      <c r="P71" s="15">
        <f t="shared" si="1"/>
        <v>200</v>
      </c>
      <c r="R71" s="8"/>
      <c r="T71"/>
    </row>
    <row r="72" spans="2:20" ht="23.1" customHeight="1" x14ac:dyDescent="0.25">
      <c r="B72" s="23" t="s">
        <v>112</v>
      </c>
      <c r="C72" s="49">
        <f>'Avg Week Bugolobi-Nakawa'!C72+'Avg Week Nakawa-Bugolobi'!C72</f>
        <v>65</v>
      </c>
      <c r="D72" s="49">
        <f>'Avg Week Bugolobi-Nakawa'!D72+'Avg Week Nakawa-Bugolobi'!D72</f>
        <v>27.5</v>
      </c>
      <c r="E72" s="49">
        <f>'Avg Week Bugolobi-Nakawa'!E72+'Avg Week Nakawa-Bugolobi'!E72</f>
        <v>7.5</v>
      </c>
      <c r="F72" s="49">
        <f>'Avg Week Bugolobi-Nakawa'!F72+'Avg Week Nakawa-Bugolobi'!F72</f>
        <v>20</v>
      </c>
      <c r="G72" s="49">
        <f>'Avg Week Bugolobi-Nakawa'!G72+'Avg Week Nakawa-Bugolobi'!G72</f>
        <v>0</v>
      </c>
      <c r="H72" s="49">
        <f>'Avg Week Bugolobi-Nakawa'!H72+'Avg Week Nakawa-Bugolobi'!H72</f>
        <v>0.5</v>
      </c>
      <c r="I72" s="49">
        <f>'Avg Week Bugolobi-Nakawa'!I72+'Avg Week Nakawa-Bugolobi'!I72</f>
        <v>0</v>
      </c>
      <c r="J72" s="49">
        <f>'Avg Week Bugolobi-Nakawa'!J72+'Avg Week Nakawa-Bugolobi'!J72</f>
        <v>1.5</v>
      </c>
      <c r="K72" s="49">
        <f>'Avg Week Bugolobi-Nakawa'!K72+'Avg Week Nakawa-Bugolobi'!K72</f>
        <v>0.5</v>
      </c>
      <c r="L72" s="49">
        <f>'Avg Week Bugolobi-Nakawa'!L72+'Avg Week Nakawa-Bugolobi'!L72</f>
        <v>0.5</v>
      </c>
      <c r="M72" s="49">
        <f>'Avg Week Bugolobi-Nakawa'!M72+'Avg Week Nakawa-Bugolobi'!M72</f>
        <v>74</v>
      </c>
      <c r="N72" s="49">
        <f>'Avg Week Bugolobi-Nakawa'!N72+'Avg Week Nakawa-Bugolobi'!N72</f>
        <v>0</v>
      </c>
      <c r="O72" s="15">
        <f t="shared" si="0"/>
        <v>123</v>
      </c>
      <c r="P72" s="15">
        <f t="shared" si="1"/>
        <v>197</v>
      </c>
      <c r="R72" s="8"/>
      <c r="T72"/>
    </row>
    <row r="73" spans="2:20" ht="23.1" customHeight="1" x14ac:dyDescent="0.25">
      <c r="B73" s="23" t="s">
        <v>113</v>
      </c>
      <c r="C73" s="49">
        <f>'Avg Week Bugolobi-Nakawa'!C73+'Avg Week Nakawa-Bugolobi'!C73</f>
        <v>67.5</v>
      </c>
      <c r="D73" s="49">
        <f>'Avg Week Bugolobi-Nakawa'!D73+'Avg Week Nakawa-Bugolobi'!D73</f>
        <v>13.5</v>
      </c>
      <c r="E73" s="49">
        <f>'Avg Week Bugolobi-Nakawa'!E73+'Avg Week Nakawa-Bugolobi'!E73</f>
        <v>13</v>
      </c>
      <c r="F73" s="49">
        <f>'Avg Week Bugolobi-Nakawa'!F73+'Avg Week Nakawa-Bugolobi'!F73</f>
        <v>23</v>
      </c>
      <c r="G73" s="49">
        <f>'Avg Week Bugolobi-Nakawa'!G73+'Avg Week Nakawa-Bugolobi'!G73</f>
        <v>0</v>
      </c>
      <c r="H73" s="49">
        <f>'Avg Week Bugolobi-Nakawa'!H73+'Avg Week Nakawa-Bugolobi'!H73</f>
        <v>0</v>
      </c>
      <c r="I73" s="49">
        <f>'Avg Week Bugolobi-Nakawa'!I73+'Avg Week Nakawa-Bugolobi'!I73</f>
        <v>2.5</v>
      </c>
      <c r="J73" s="49">
        <f>'Avg Week Bugolobi-Nakawa'!J73+'Avg Week Nakawa-Bugolobi'!J73</f>
        <v>0</v>
      </c>
      <c r="K73" s="49">
        <f>'Avg Week Bugolobi-Nakawa'!K73+'Avg Week Nakawa-Bugolobi'!K73</f>
        <v>1</v>
      </c>
      <c r="L73" s="49">
        <f>'Avg Week Bugolobi-Nakawa'!L73+'Avg Week Nakawa-Bugolobi'!L73</f>
        <v>0</v>
      </c>
      <c r="M73" s="49">
        <f>'Avg Week Bugolobi-Nakawa'!M73+'Avg Week Nakawa-Bugolobi'!M73</f>
        <v>71</v>
      </c>
      <c r="N73" s="49">
        <f>'Avg Week Bugolobi-Nakawa'!N73+'Avg Week Nakawa-Bugolobi'!N73</f>
        <v>0</v>
      </c>
      <c r="O73" s="15">
        <f t="shared" si="0"/>
        <v>120.5</v>
      </c>
      <c r="P73" s="15">
        <f t="shared" si="1"/>
        <v>191.5</v>
      </c>
      <c r="R73" s="8"/>
      <c r="T73"/>
    </row>
    <row r="74" spans="2:20" ht="23.1" customHeight="1" x14ac:dyDescent="0.25">
      <c r="B74" s="23" t="s">
        <v>114</v>
      </c>
      <c r="C74" s="49">
        <f>'Avg Week Bugolobi-Nakawa'!C74+'Avg Week Nakawa-Bugolobi'!C74</f>
        <v>81.5</v>
      </c>
      <c r="D74" s="49">
        <f>'Avg Week Bugolobi-Nakawa'!D74+'Avg Week Nakawa-Bugolobi'!D74</f>
        <v>17.5</v>
      </c>
      <c r="E74" s="49">
        <f>'Avg Week Bugolobi-Nakawa'!E74+'Avg Week Nakawa-Bugolobi'!E74</f>
        <v>9</v>
      </c>
      <c r="F74" s="49">
        <f>'Avg Week Bugolobi-Nakawa'!F74+'Avg Week Nakawa-Bugolobi'!F74</f>
        <v>16</v>
      </c>
      <c r="G74" s="49">
        <f>'Avg Week Bugolobi-Nakawa'!G74+'Avg Week Nakawa-Bugolobi'!G74</f>
        <v>0.5</v>
      </c>
      <c r="H74" s="49">
        <f>'Avg Week Bugolobi-Nakawa'!H74+'Avg Week Nakawa-Bugolobi'!H74</f>
        <v>0</v>
      </c>
      <c r="I74" s="49">
        <f>'Avg Week Bugolobi-Nakawa'!I74+'Avg Week Nakawa-Bugolobi'!I74</f>
        <v>1</v>
      </c>
      <c r="J74" s="49">
        <f>'Avg Week Bugolobi-Nakawa'!J74+'Avg Week Nakawa-Bugolobi'!J74</f>
        <v>0</v>
      </c>
      <c r="K74" s="49">
        <f>'Avg Week Bugolobi-Nakawa'!K74+'Avg Week Nakawa-Bugolobi'!K74</f>
        <v>0</v>
      </c>
      <c r="L74" s="49">
        <f>'Avg Week Bugolobi-Nakawa'!L74+'Avg Week Nakawa-Bugolobi'!L74</f>
        <v>0.5</v>
      </c>
      <c r="M74" s="49">
        <f>'Avg Week Bugolobi-Nakawa'!M74+'Avg Week Nakawa-Bugolobi'!M74</f>
        <v>82</v>
      </c>
      <c r="N74" s="49">
        <f>'Avg Week Bugolobi-Nakawa'!N74+'Avg Week Nakawa-Bugolobi'!N74</f>
        <v>0</v>
      </c>
      <c r="O74" s="15">
        <f t="shared" ref="O74:O105" si="35">SUM(C74:L74,N74)</f>
        <v>126</v>
      </c>
      <c r="P74" s="15">
        <f t="shared" ref="P74:P105" si="36">SUM(C74:N74)</f>
        <v>208</v>
      </c>
      <c r="R74" s="8"/>
      <c r="T74"/>
    </row>
    <row r="75" spans="2:20" ht="23.1" customHeight="1" x14ac:dyDescent="0.25">
      <c r="B75" s="23" t="s">
        <v>115</v>
      </c>
      <c r="C75" s="49">
        <f>'Avg Week Bugolobi-Nakawa'!C75+'Avg Week Nakawa-Bugolobi'!C75</f>
        <v>58</v>
      </c>
      <c r="D75" s="49">
        <f>'Avg Week Bugolobi-Nakawa'!D75+'Avg Week Nakawa-Bugolobi'!D75</f>
        <v>12.5</v>
      </c>
      <c r="E75" s="49">
        <f>'Avg Week Bugolobi-Nakawa'!E75+'Avg Week Nakawa-Bugolobi'!E75</f>
        <v>9</v>
      </c>
      <c r="F75" s="49">
        <f>'Avg Week Bugolobi-Nakawa'!F75+'Avg Week Nakawa-Bugolobi'!F75</f>
        <v>13</v>
      </c>
      <c r="G75" s="49">
        <f>'Avg Week Bugolobi-Nakawa'!G75+'Avg Week Nakawa-Bugolobi'!G75</f>
        <v>0</v>
      </c>
      <c r="H75" s="49">
        <f>'Avg Week Bugolobi-Nakawa'!H75+'Avg Week Nakawa-Bugolobi'!H75</f>
        <v>0</v>
      </c>
      <c r="I75" s="49">
        <f>'Avg Week Bugolobi-Nakawa'!I75+'Avg Week Nakawa-Bugolobi'!I75</f>
        <v>0.5</v>
      </c>
      <c r="J75" s="49">
        <f>'Avg Week Bugolobi-Nakawa'!J75+'Avg Week Nakawa-Bugolobi'!J75</f>
        <v>1.5</v>
      </c>
      <c r="K75" s="49">
        <f>'Avg Week Bugolobi-Nakawa'!K75+'Avg Week Nakawa-Bugolobi'!K75</f>
        <v>0.5</v>
      </c>
      <c r="L75" s="49">
        <f>'Avg Week Bugolobi-Nakawa'!L75+'Avg Week Nakawa-Bugolobi'!L75</f>
        <v>0</v>
      </c>
      <c r="M75" s="49">
        <f>'Avg Week Bugolobi-Nakawa'!M75+'Avg Week Nakawa-Bugolobi'!M75</f>
        <v>68</v>
      </c>
      <c r="N75" s="49">
        <f>'Avg Week Bugolobi-Nakawa'!N75+'Avg Week Nakawa-Bugolobi'!N75</f>
        <v>0</v>
      </c>
      <c r="O75" s="15">
        <f t="shared" si="35"/>
        <v>95</v>
      </c>
      <c r="P75" s="15">
        <f t="shared" si="36"/>
        <v>163</v>
      </c>
      <c r="R75" s="8"/>
      <c r="T75"/>
    </row>
    <row r="76" spans="2:20" ht="23.1" customHeight="1" x14ac:dyDescent="0.25">
      <c r="B76" s="23" t="s">
        <v>116</v>
      </c>
      <c r="C76" s="49">
        <f>'Avg Week Bugolobi-Nakawa'!C76+'Avg Week Nakawa-Bugolobi'!C76</f>
        <v>62</v>
      </c>
      <c r="D76" s="49">
        <f>'Avg Week Bugolobi-Nakawa'!D76+'Avg Week Nakawa-Bugolobi'!D76</f>
        <v>8.5</v>
      </c>
      <c r="E76" s="49">
        <f>'Avg Week Bugolobi-Nakawa'!E76+'Avg Week Nakawa-Bugolobi'!E76</f>
        <v>12.5</v>
      </c>
      <c r="F76" s="49">
        <f>'Avg Week Bugolobi-Nakawa'!F76+'Avg Week Nakawa-Bugolobi'!F76</f>
        <v>11</v>
      </c>
      <c r="G76" s="49">
        <f>'Avg Week Bugolobi-Nakawa'!G76+'Avg Week Nakawa-Bugolobi'!G76</f>
        <v>0</v>
      </c>
      <c r="H76" s="49">
        <f>'Avg Week Bugolobi-Nakawa'!H76+'Avg Week Nakawa-Bugolobi'!H76</f>
        <v>0</v>
      </c>
      <c r="I76" s="49">
        <f>'Avg Week Bugolobi-Nakawa'!I76+'Avg Week Nakawa-Bugolobi'!I76</f>
        <v>2.5</v>
      </c>
      <c r="J76" s="49">
        <f>'Avg Week Bugolobi-Nakawa'!J76+'Avg Week Nakawa-Bugolobi'!J76</f>
        <v>1</v>
      </c>
      <c r="K76" s="49">
        <f>'Avg Week Bugolobi-Nakawa'!K76+'Avg Week Nakawa-Bugolobi'!K76</f>
        <v>0</v>
      </c>
      <c r="L76" s="49">
        <f>'Avg Week Bugolobi-Nakawa'!L76+'Avg Week Nakawa-Bugolobi'!L76</f>
        <v>0</v>
      </c>
      <c r="M76" s="49">
        <f>'Avg Week Bugolobi-Nakawa'!M76+'Avg Week Nakawa-Bugolobi'!M76</f>
        <v>69</v>
      </c>
      <c r="N76" s="49">
        <f>'Avg Week Bugolobi-Nakawa'!N76+'Avg Week Nakawa-Bugolobi'!N76</f>
        <v>0</v>
      </c>
      <c r="O76" s="15">
        <f t="shared" si="35"/>
        <v>97.5</v>
      </c>
      <c r="P76" s="15">
        <f t="shared" si="36"/>
        <v>166.5</v>
      </c>
      <c r="R76" s="8"/>
      <c r="T76"/>
    </row>
    <row r="77" spans="2:20" ht="23.1" customHeight="1" x14ac:dyDescent="0.25">
      <c r="B77" s="23" t="s">
        <v>117</v>
      </c>
      <c r="C77" s="49">
        <f>'Avg Week Bugolobi-Nakawa'!C77+'Avg Week Nakawa-Bugolobi'!C77</f>
        <v>66</v>
      </c>
      <c r="D77" s="49">
        <f>'Avg Week Bugolobi-Nakawa'!D77+'Avg Week Nakawa-Bugolobi'!D77</f>
        <v>8.5</v>
      </c>
      <c r="E77" s="49">
        <f>'Avg Week Bugolobi-Nakawa'!E77+'Avg Week Nakawa-Bugolobi'!E77</f>
        <v>11</v>
      </c>
      <c r="F77" s="49">
        <f>'Avg Week Bugolobi-Nakawa'!F77+'Avg Week Nakawa-Bugolobi'!F77</f>
        <v>11</v>
      </c>
      <c r="G77" s="49">
        <f>'Avg Week Bugolobi-Nakawa'!G77+'Avg Week Nakawa-Bugolobi'!G77</f>
        <v>0</v>
      </c>
      <c r="H77" s="49">
        <f>'Avg Week Bugolobi-Nakawa'!H77+'Avg Week Nakawa-Bugolobi'!H77</f>
        <v>0</v>
      </c>
      <c r="I77" s="49">
        <f>'Avg Week Bugolobi-Nakawa'!I77+'Avg Week Nakawa-Bugolobi'!I77</f>
        <v>0.5</v>
      </c>
      <c r="J77" s="49">
        <f>'Avg Week Bugolobi-Nakawa'!J77+'Avg Week Nakawa-Bugolobi'!J77</f>
        <v>0.5</v>
      </c>
      <c r="K77" s="49">
        <f>'Avg Week Bugolobi-Nakawa'!K77+'Avg Week Nakawa-Bugolobi'!K77</f>
        <v>0.5</v>
      </c>
      <c r="L77" s="49">
        <f>'Avg Week Bugolobi-Nakawa'!L77+'Avg Week Nakawa-Bugolobi'!L77</f>
        <v>0</v>
      </c>
      <c r="M77" s="49">
        <f>'Avg Week Bugolobi-Nakawa'!M77+'Avg Week Nakawa-Bugolobi'!M77</f>
        <v>74.5</v>
      </c>
      <c r="N77" s="49">
        <f>'Avg Week Bugolobi-Nakawa'!N77+'Avg Week Nakawa-Bugolobi'!N77</f>
        <v>0</v>
      </c>
      <c r="O77" s="15">
        <f t="shared" si="35"/>
        <v>98</v>
      </c>
      <c r="P77" s="15">
        <f t="shared" si="36"/>
        <v>172.5</v>
      </c>
      <c r="R77" s="8"/>
      <c r="T77"/>
    </row>
    <row r="78" spans="2:20" ht="23.1" customHeight="1" x14ac:dyDescent="0.25">
      <c r="B78" s="24" t="s">
        <v>118</v>
      </c>
      <c r="C78" s="49">
        <f>'Avg Week Bugolobi-Nakawa'!C78+'Avg Week Nakawa-Bugolobi'!C78</f>
        <v>41.5</v>
      </c>
      <c r="D78" s="49">
        <f>'Avg Week Bugolobi-Nakawa'!D78+'Avg Week Nakawa-Bugolobi'!D78</f>
        <v>11</v>
      </c>
      <c r="E78" s="49">
        <f>'Avg Week Bugolobi-Nakawa'!E78+'Avg Week Nakawa-Bugolobi'!E78</f>
        <v>4</v>
      </c>
      <c r="F78" s="49">
        <f>'Avg Week Bugolobi-Nakawa'!F78+'Avg Week Nakawa-Bugolobi'!F78</f>
        <v>4</v>
      </c>
      <c r="G78" s="49">
        <f>'Avg Week Bugolobi-Nakawa'!G78+'Avg Week Nakawa-Bugolobi'!G78</f>
        <v>0</v>
      </c>
      <c r="H78" s="49">
        <f>'Avg Week Bugolobi-Nakawa'!H78+'Avg Week Nakawa-Bugolobi'!H78</f>
        <v>0</v>
      </c>
      <c r="I78" s="49">
        <f>'Avg Week Bugolobi-Nakawa'!I78+'Avg Week Nakawa-Bugolobi'!I78</f>
        <v>0.5</v>
      </c>
      <c r="J78" s="49">
        <f>'Avg Week Bugolobi-Nakawa'!J78+'Avg Week Nakawa-Bugolobi'!J78</f>
        <v>0</v>
      </c>
      <c r="K78" s="49">
        <f>'Avg Week Bugolobi-Nakawa'!K78+'Avg Week Nakawa-Bugolobi'!K78</f>
        <v>0.5</v>
      </c>
      <c r="L78" s="49">
        <f>'Avg Week Bugolobi-Nakawa'!L78+'Avg Week Nakawa-Bugolobi'!L78</f>
        <v>0</v>
      </c>
      <c r="M78" s="49">
        <f>'Avg Week Bugolobi-Nakawa'!M78+'Avg Week Nakawa-Bugolobi'!M78</f>
        <v>55</v>
      </c>
      <c r="N78" s="49">
        <f>'Avg Week Bugolobi-Nakawa'!N78+'Avg Week Nakawa-Bugolobi'!N78</f>
        <v>0</v>
      </c>
      <c r="O78" s="15">
        <f t="shared" si="35"/>
        <v>61.5</v>
      </c>
      <c r="P78" s="15">
        <f t="shared" si="36"/>
        <v>116.5</v>
      </c>
      <c r="R78" s="8"/>
      <c r="T78"/>
    </row>
    <row r="79" spans="2:20" ht="23.1" customHeight="1" x14ac:dyDescent="0.25">
      <c r="B79" s="23" t="s">
        <v>119</v>
      </c>
      <c r="C79" s="49">
        <f>'Avg Week Bugolobi-Nakawa'!C79+'Avg Week Nakawa-Bugolobi'!C79</f>
        <v>48.5</v>
      </c>
      <c r="D79" s="49">
        <f>'Avg Week Bugolobi-Nakawa'!D79+'Avg Week Nakawa-Bugolobi'!D79</f>
        <v>8</v>
      </c>
      <c r="E79" s="49">
        <f>'Avg Week Bugolobi-Nakawa'!E79+'Avg Week Nakawa-Bugolobi'!E79</f>
        <v>6</v>
      </c>
      <c r="F79" s="49">
        <f>'Avg Week Bugolobi-Nakawa'!F79+'Avg Week Nakawa-Bugolobi'!F79</f>
        <v>3.5</v>
      </c>
      <c r="G79" s="49">
        <f>'Avg Week Bugolobi-Nakawa'!G79+'Avg Week Nakawa-Bugolobi'!G79</f>
        <v>0</v>
      </c>
      <c r="H79" s="49">
        <f>'Avg Week Bugolobi-Nakawa'!H79+'Avg Week Nakawa-Bugolobi'!H79</f>
        <v>0</v>
      </c>
      <c r="I79" s="49">
        <f>'Avg Week Bugolobi-Nakawa'!I79+'Avg Week Nakawa-Bugolobi'!I79</f>
        <v>1</v>
      </c>
      <c r="J79" s="49">
        <f>'Avg Week Bugolobi-Nakawa'!J79+'Avg Week Nakawa-Bugolobi'!J79</f>
        <v>0</v>
      </c>
      <c r="K79" s="49">
        <f>'Avg Week Bugolobi-Nakawa'!K79+'Avg Week Nakawa-Bugolobi'!K79</f>
        <v>0</v>
      </c>
      <c r="L79" s="49">
        <f>'Avg Week Bugolobi-Nakawa'!L79+'Avg Week Nakawa-Bugolobi'!L79</f>
        <v>0</v>
      </c>
      <c r="M79" s="49">
        <f>'Avg Week Bugolobi-Nakawa'!M79+'Avg Week Nakawa-Bugolobi'!M79</f>
        <v>50.5</v>
      </c>
      <c r="N79" s="49">
        <f>'Avg Week Bugolobi-Nakawa'!N79+'Avg Week Nakawa-Bugolobi'!N79</f>
        <v>0</v>
      </c>
      <c r="O79" s="15">
        <f t="shared" si="35"/>
        <v>67</v>
      </c>
      <c r="P79" s="15">
        <f t="shared" si="36"/>
        <v>117.5</v>
      </c>
      <c r="R79" s="8"/>
      <c r="T79"/>
    </row>
    <row r="80" spans="2:20" ht="23.1" customHeight="1" x14ac:dyDescent="0.25">
      <c r="B80" s="25" t="s">
        <v>120</v>
      </c>
      <c r="C80" s="49">
        <f>'Avg Week Bugolobi-Nakawa'!C80+'Avg Week Nakawa-Bugolobi'!C80</f>
        <v>51</v>
      </c>
      <c r="D80" s="49">
        <f>'Avg Week Bugolobi-Nakawa'!D80+'Avg Week Nakawa-Bugolobi'!D80</f>
        <v>4.5</v>
      </c>
      <c r="E80" s="49">
        <f>'Avg Week Bugolobi-Nakawa'!E80+'Avg Week Nakawa-Bugolobi'!E80</f>
        <v>2.5</v>
      </c>
      <c r="F80" s="49">
        <f>'Avg Week Bugolobi-Nakawa'!F80+'Avg Week Nakawa-Bugolobi'!F80</f>
        <v>5.5</v>
      </c>
      <c r="G80" s="49">
        <f>'Avg Week Bugolobi-Nakawa'!G80+'Avg Week Nakawa-Bugolobi'!G80</f>
        <v>0</v>
      </c>
      <c r="H80" s="49">
        <f>'Avg Week Bugolobi-Nakawa'!H80+'Avg Week Nakawa-Bugolobi'!H80</f>
        <v>0</v>
      </c>
      <c r="I80" s="49">
        <f>'Avg Week Bugolobi-Nakawa'!I80+'Avg Week Nakawa-Bugolobi'!I80</f>
        <v>0</v>
      </c>
      <c r="J80" s="49">
        <f>'Avg Week Bugolobi-Nakawa'!J80+'Avg Week Nakawa-Bugolobi'!J80</f>
        <v>0.5</v>
      </c>
      <c r="K80" s="49">
        <f>'Avg Week Bugolobi-Nakawa'!K80+'Avg Week Nakawa-Bugolobi'!K80</f>
        <v>0</v>
      </c>
      <c r="L80" s="49">
        <f>'Avg Week Bugolobi-Nakawa'!L80+'Avg Week Nakawa-Bugolobi'!L80</f>
        <v>0.5</v>
      </c>
      <c r="M80" s="49">
        <f>'Avg Week Bugolobi-Nakawa'!M80+'Avg Week Nakawa-Bugolobi'!M80</f>
        <v>34</v>
      </c>
      <c r="N80" s="49">
        <f>'Avg Week Bugolobi-Nakawa'!N80+'Avg Week Nakawa-Bugolobi'!N80</f>
        <v>0</v>
      </c>
      <c r="O80" s="15">
        <f t="shared" si="35"/>
        <v>64.5</v>
      </c>
      <c r="P80" s="15">
        <f t="shared" si="36"/>
        <v>98.5</v>
      </c>
      <c r="R80" s="8"/>
      <c r="T80"/>
    </row>
    <row r="81" spans="2:20" ht="23.1" customHeight="1" x14ac:dyDescent="0.25">
      <c r="B81" s="23" t="s">
        <v>121</v>
      </c>
      <c r="C81" s="49">
        <f>'Avg Week Bugolobi-Nakawa'!C81+'Avg Week Nakawa-Bugolobi'!C81</f>
        <v>25</v>
      </c>
      <c r="D81" s="49">
        <f>'Avg Week Bugolobi-Nakawa'!D81+'Avg Week Nakawa-Bugolobi'!D81</f>
        <v>9.5</v>
      </c>
      <c r="E81" s="49">
        <f>'Avg Week Bugolobi-Nakawa'!E81+'Avg Week Nakawa-Bugolobi'!E81</f>
        <v>4.5</v>
      </c>
      <c r="F81" s="49">
        <f>'Avg Week Bugolobi-Nakawa'!F81+'Avg Week Nakawa-Bugolobi'!F81</f>
        <v>9</v>
      </c>
      <c r="G81" s="49">
        <f>'Avg Week Bugolobi-Nakawa'!G81+'Avg Week Nakawa-Bugolobi'!G81</f>
        <v>0</v>
      </c>
      <c r="H81" s="49">
        <f>'Avg Week Bugolobi-Nakawa'!H81+'Avg Week Nakawa-Bugolobi'!H81</f>
        <v>0</v>
      </c>
      <c r="I81" s="49">
        <f>'Avg Week Bugolobi-Nakawa'!I81+'Avg Week Nakawa-Bugolobi'!I81</f>
        <v>0.5</v>
      </c>
      <c r="J81" s="49">
        <f>'Avg Week Bugolobi-Nakawa'!J81+'Avg Week Nakawa-Bugolobi'!J81</f>
        <v>1</v>
      </c>
      <c r="K81" s="49">
        <f>'Avg Week Bugolobi-Nakawa'!K81+'Avg Week Nakawa-Bugolobi'!K81</f>
        <v>0</v>
      </c>
      <c r="L81" s="49">
        <f>'Avg Week Bugolobi-Nakawa'!L81+'Avg Week Nakawa-Bugolobi'!L81</f>
        <v>0</v>
      </c>
      <c r="M81" s="49">
        <f>'Avg Week Bugolobi-Nakawa'!M81+'Avg Week Nakawa-Bugolobi'!M81</f>
        <v>38</v>
      </c>
      <c r="N81" s="49">
        <f>'Avg Week Bugolobi-Nakawa'!N81+'Avg Week Nakawa-Bugolobi'!N81</f>
        <v>0</v>
      </c>
      <c r="O81" s="15">
        <f t="shared" si="35"/>
        <v>49.5</v>
      </c>
      <c r="P81" s="15">
        <f t="shared" si="36"/>
        <v>87.5</v>
      </c>
      <c r="R81" s="8"/>
      <c r="T81"/>
    </row>
    <row r="82" spans="2:20" ht="23.1" customHeight="1" x14ac:dyDescent="0.25">
      <c r="B82" s="24" t="s">
        <v>122</v>
      </c>
      <c r="C82" s="49">
        <f>'Avg Week Bugolobi-Nakawa'!C82+'Avg Week Nakawa-Bugolobi'!C82</f>
        <v>32</v>
      </c>
      <c r="D82" s="49">
        <f>'Avg Week Bugolobi-Nakawa'!D82+'Avg Week Nakawa-Bugolobi'!D82</f>
        <v>5</v>
      </c>
      <c r="E82" s="49">
        <f>'Avg Week Bugolobi-Nakawa'!E82+'Avg Week Nakawa-Bugolobi'!E82</f>
        <v>1.5</v>
      </c>
      <c r="F82" s="49">
        <f>'Avg Week Bugolobi-Nakawa'!F82+'Avg Week Nakawa-Bugolobi'!F82</f>
        <v>2.5</v>
      </c>
      <c r="G82" s="49">
        <f>'Avg Week Bugolobi-Nakawa'!G82+'Avg Week Nakawa-Bugolobi'!G82</f>
        <v>0.5</v>
      </c>
      <c r="H82" s="49">
        <f>'Avg Week Bugolobi-Nakawa'!H82+'Avg Week Nakawa-Bugolobi'!H82</f>
        <v>0</v>
      </c>
      <c r="I82" s="49">
        <f>'Avg Week Bugolobi-Nakawa'!I82+'Avg Week Nakawa-Bugolobi'!I82</f>
        <v>0.5</v>
      </c>
      <c r="J82" s="49">
        <f>'Avg Week Bugolobi-Nakawa'!J82+'Avg Week Nakawa-Bugolobi'!J82</f>
        <v>0.5</v>
      </c>
      <c r="K82" s="49">
        <f>'Avg Week Bugolobi-Nakawa'!K82+'Avg Week Nakawa-Bugolobi'!K82</f>
        <v>0</v>
      </c>
      <c r="L82" s="49">
        <f>'Avg Week Bugolobi-Nakawa'!L82+'Avg Week Nakawa-Bugolobi'!L82</f>
        <v>0.5</v>
      </c>
      <c r="M82" s="49">
        <f>'Avg Week Bugolobi-Nakawa'!M82+'Avg Week Nakawa-Bugolobi'!M82</f>
        <v>30.5</v>
      </c>
      <c r="N82" s="49">
        <f>'Avg Week Bugolobi-Nakawa'!N82+'Avg Week Nakawa-Bugolobi'!N82</f>
        <v>0</v>
      </c>
      <c r="O82" s="15">
        <f t="shared" si="35"/>
        <v>43</v>
      </c>
      <c r="P82" s="15">
        <f t="shared" si="36"/>
        <v>73.5</v>
      </c>
      <c r="R82" s="8"/>
      <c r="T82"/>
    </row>
    <row r="83" spans="2:20" ht="23.1" customHeight="1" x14ac:dyDescent="0.25">
      <c r="B83" s="23" t="s">
        <v>123</v>
      </c>
      <c r="C83" s="49">
        <f>'Avg Week Bugolobi-Nakawa'!C83+'Avg Week Nakawa-Bugolobi'!C83</f>
        <v>30</v>
      </c>
      <c r="D83" s="49">
        <f>'Avg Week Bugolobi-Nakawa'!D83+'Avg Week Nakawa-Bugolobi'!D83</f>
        <v>6</v>
      </c>
      <c r="E83" s="49">
        <f>'Avg Week Bugolobi-Nakawa'!E83+'Avg Week Nakawa-Bugolobi'!E83</f>
        <v>1</v>
      </c>
      <c r="F83" s="49">
        <f>'Avg Week Bugolobi-Nakawa'!F83+'Avg Week Nakawa-Bugolobi'!F83</f>
        <v>3</v>
      </c>
      <c r="G83" s="49">
        <f>'Avg Week Bugolobi-Nakawa'!G83+'Avg Week Nakawa-Bugolobi'!G83</f>
        <v>0</v>
      </c>
      <c r="H83" s="49">
        <f>'Avg Week Bugolobi-Nakawa'!H83+'Avg Week Nakawa-Bugolobi'!H83</f>
        <v>0</v>
      </c>
      <c r="I83" s="49">
        <f>'Avg Week Bugolobi-Nakawa'!I83+'Avg Week Nakawa-Bugolobi'!I83</f>
        <v>0</v>
      </c>
      <c r="J83" s="49">
        <f>'Avg Week Bugolobi-Nakawa'!J83+'Avg Week Nakawa-Bugolobi'!J83</f>
        <v>0</v>
      </c>
      <c r="K83" s="49">
        <f>'Avg Week Bugolobi-Nakawa'!K83+'Avg Week Nakawa-Bugolobi'!K83</f>
        <v>0</v>
      </c>
      <c r="L83" s="49">
        <f>'Avg Week Bugolobi-Nakawa'!L83+'Avg Week Nakawa-Bugolobi'!L83</f>
        <v>0</v>
      </c>
      <c r="M83" s="49">
        <f>'Avg Week Bugolobi-Nakawa'!M83+'Avg Week Nakawa-Bugolobi'!M83</f>
        <v>30</v>
      </c>
      <c r="N83" s="49">
        <f>'Avg Week Bugolobi-Nakawa'!N83+'Avg Week Nakawa-Bugolobi'!N83</f>
        <v>0</v>
      </c>
      <c r="O83" s="15">
        <f t="shared" si="35"/>
        <v>40</v>
      </c>
      <c r="P83" s="15">
        <f t="shared" si="36"/>
        <v>70</v>
      </c>
      <c r="R83" s="8"/>
      <c r="T83"/>
    </row>
    <row r="84" spans="2:20" ht="23.1" customHeight="1" x14ac:dyDescent="0.25">
      <c r="B84" s="25" t="s">
        <v>124</v>
      </c>
      <c r="C84" s="49">
        <f>'Avg Week Bugolobi-Nakawa'!C84+'Avg Week Nakawa-Bugolobi'!C84</f>
        <v>25</v>
      </c>
      <c r="D84" s="49">
        <f>'Avg Week Bugolobi-Nakawa'!D84+'Avg Week Nakawa-Bugolobi'!D84</f>
        <v>3</v>
      </c>
      <c r="E84" s="49">
        <f>'Avg Week Bugolobi-Nakawa'!E84+'Avg Week Nakawa-Bugolobi'!E84</f>
        <v>2.5</v>
      </c>
      <c r="F84" s="49">
        <f>'Avg Week Bugolobi-Nakawa'!F84+'Avg Week Nakawa-Bugolobi'!F84</f>
        <v>1</v>
      </c>
      <c r="G84" s="49">
        <f>'Avg Week Bugolobi-Nakawa'!G84+'Avg Week Nakawa-Bugolobi'!G84</f>
        <v>0</v>
      </c>
      <c r="H84" s="49">
        <f>'Avg Week Bugolobi-Nakawa'!H84+'Avg Week Nakawa-Bugolobi'!H84</f>
        <v>0</v>
      </c>
      <c r="I84" s="49">
        <f>'Avg Week Bugolobi-Nakawa'!I84+'Avg Week Nakawa-Bugolobi'!I84</f>
        <v>1</v>
      </c>
      <c r="J84" s="49">
        <f>'Avg Week Bugolobi-Nakawa'!J84+'Avg Week Nakawa-Bugolobi'!J84</f>
        <v>0</v>
      </c>
      <c r="K84" s="49">
        <f>'Avg Week Bugolobi-Nakawa'!K84+'Avg Week Nakawa-Bugolobi'!K84</f>
        <v>0.5</v>
      </c>
      <c r="L84" s="49">
        <f>'Avg Week Bugolobi-Nakawa'!L84+'Avg Week Nakawa-Bugolobi'!L84</f>
        <v>0</v>
      </c>
      <c r="M84" s="49">
        <f>'Avg Week Bugolobi-Nakawa'!M84+'Avg Week Nakawa-Bugolobi'!M84</f>
        <v>28.5</v>
      </c>
      <c r="N84" s="49">
        <f>'Avg Week Bugolobi-Nakawa'!N84+'Avg Week Nakawa-Bugolobi'!N84</f>
        <v>0</v>
      </c>
      <c r="O84" s="15">
        <f t="shared" si="35"/>
        <v>33</v>
      </c>
      <c r="P84" s="15">
        <f t="shared" si="36"/>
        <v>61.5</v>
      </c>
      <c r="R84" s="8"/>
      <c r="T84"/>
    </row>
    <row r="85" spans="2:20" ht="23.1" customHeight="1" x14ac:dyDescent="0.25">
      <c r="B85" s="23" t="s">
        <v>125</v>
      </c>
      <c r="C85" s="49">
        <f>'Avg Week Bugolobi-Nakawa'!C85+'Avg Week Nakawa-Bugolobi'!C85</f>
        <v>22</v>
      </c>
      <c r="D85" s="49">
        <f>'Avg Week Bugolobi-Nakawa'!D85+'Avg Week Nakawa-Bugolobi'!D85</f>
        <v>5</v>
      </c>
      <c r="E85" s="49">
        <f>'Avg Week Bugolobi-Nakawa'!E85+'Avg Week Nakawa-Bugolobi'!E85</f>
        <v>2</v>
      </c>
      <c r="F85" s="49">
        <f>'Avg Week Bugolobi-Nakawa'!F85+'Avg Week Nakawa-Bugolobi'!F85</f>
        <v>0.5</v>
      </c>
      <c r="G85" s="49">
        <f>'Avg Week Bugolobi-Nakawa'!G85+'Avg Week Nakawa-Bugolobi'!G85</f>
        <v>0</v>
      </c>
      <c r="H85" s="49">
        <f>'Avg Week Bugolobi-Nakawa'!H85+'Avg Week Nakawa-Bugolobi'!H85</f>
        <v>0</v>
      </c>
      <c r="I85" s="49">
        <f>'Avg Week Bugolobi-Nakawa'!I85+'Avg Week Nakawa-Bugolobi'!I85</f>
        <v>0.5</v>
      </c>
      <c r="J85" s="49">
        <f>'Avg Week Bugolobi-Nakawa'!J85+'Avg Week Nakawa-Bugolobi'!J85</f>
        <v>0</v>
      </c>
      <c r="K85" s="49">
        <f>'Avg Week Bugolobi-Nakawa'!K85+'Avg Week Nakawa-Bugolobi'!K85</f>
        <v>0</v>
      </c>
      <c r="L85" s="49">
        <f>'Avg Week Bugolobi-Nakawa'!L85+'Avg Week Nakawa-Bugolobi'!L85</f>
        <v>0</v>
      </c>
      <c r="M85" s="49">
        <f>'Avg Week Bugolobi-Nakawa'!M85+'Avg Week Nakawa-Bugolobi'!M85</f>
        <v>20</v>
      </c>
      <c r="N85" s="49">
        <f>'Avg Week Bugolobi-Nakawa'!N85+'Avg Week Nakawa-Bugolobi'!N85</f>
        <v>0</v>
      </c>
      <c r="O85" s="15">
        <f t="shared" si="35"/>
        <v>30</v>
      </c>
      <c r="P85" s="15">
        <f t="shared" si="36"/>
        <v>50</v>
      </c>
      <c r="R85" s="8"/>
      <c r="T85"/>
    </row>
    <row r="86" spans="2:20" ht="23.1" customHeight="1" x14ac:dyDescent="0.25">
      <c r="B86" s="24" t="s">
        <v>126</v>
      </c>
      <c r="C86" s="49">
        <f>'Avg Week Bugolobi-Nakawa'!C86+'Avg Week Nakawa-Bugolobi'!C86</f>
        <v>22.5</v>
      </c>
      <c r="D86" s="49">
        <f>'Avg Week Bugolobi-Nakawa'!D86+'Avg Week Nakawa-Bugolobi'!D86</f>
        <v>1</v>
      </c>
      <c r="E86" s="49">
        <f>'Avg Week Bugolobi-Nakawa'!E86+'Avg Week Nakawa-Bugolobi'!E86</f>
        <v>3</v>
      </c>
      <c r="F86" s="49">
        <f>'Avg Week Bugolobi-Nakawa'!F86+'Avg Week Nakawa-Bugolobi'!F86</f>
        <v>2</v>
      </c>
      <c r="G86" s="49">
        <f>'Avg Week Bugolobi-Nakawa'!G86+'Avg Week Nakawa-Bugolobi'!G86</f>
        <v>0</v>
      </c>
      <c r="H86" s="49">
        <f>'Avg Week Bugolobi-Nakawa'!H86+'Avg Week Nakawa-Bugolobi'!H86</f>
        <v>0</v>
      </c>
      <c r="I86" s="49">
        <f>'Avg Week Bugolobi-Nakawa'!I86+'Avg Week Nakawa-Bugolobi'!I86</f>
        <v>0</v>
      </c>
      <c r="J86" s="49">
        <f>'Avg Week Bugolobi-Nakawa'!J86+'Avg Week Nakawa-Bugolobi'!J86</f>
        <v>0</v>
      </c>
      <c r="K86" s="49">
        <f>'Avg Week Bugolobi-Nakawa'!K86+'Avg Week Nakawa-Bugolobi'!K86</f>
        <v>0</v>
      </c>
      <c r="L86" s="49">
        <f>'Avg Week Bugolobi-Nakawa'!L86+'Avg Week Nakawa-Bugolobi'!L86</f>
        <v>0.5</v>
      </c>
      <c r="M86" s="49">
        <f>'Avg Week Bugolobi-Nakawa'!M86+'Avg Week Nakawa-Bugolobi'!M86</f>
        <v>27</v>
      </c>
      <c r="N86" s="49">
        <f>'Avg Week Bugolobi-Nakawa'!N86+'Avg Week Nakawa-Bugolobi'!N86</f>
        <v>0</v>
      </c>
      <c r="O86" s="15">
        <f t="shared" si="35"/>
        <v>29</v>
      </c>
      <c r="P86" s="15">
        <f t="shared" si="36"/>
        <v>56</v>
      </c>
      <c r="R86" s="8"/>
      <c r="T86"/>
    </row>
    <row r="87" spans="2:20" ht="23.1" customHeight="1" x14ac:dyDescent="0.25">
      <c r="B87" s="23" t="s">
        <v>127</v>
      </c>
      <c r="C87" s="49">
        <f>'Avg Week Bugolobi-Nakawa'!C87+'Avg Week Nakawa-Bugolobi'!C87</f>
        <v>19.5</v>
      </c>
      <c r="D87" s="49">
        <f>'Avg Week Bugolobi-Nakawa'!D87+'Avg Week Nakawa-Bugolobi'!D87</f>
        <v>4</v>
      </c>
      <c r="E87" s="49">
        <f>'Avg Week Bugolobi-Nakawa'!E87+'Avg Week Nakawa-Bugolobi'!E87</f>
        <v>0.5</v>
      </c>
      <c r="F87" s="49">
        <f>'Avg Week Bugolobi-Nakawa'!F87+'Avg Week Nakawa-Bugolobi'!F87</f>
        <v>1</v>
      </c>
      <c r="G87" s="49">
        <f>'Avg Week Bugolobi-Nakawa'!G87+'Avg Week Nakawa-Bugolobi'!G87</f>
        <v>0</v>
      </c>
      <c r="H87" s="49">
        <f>'Avg Week Bugolobi-Nakawa'!H87+'Avg Week Nakawa-Bugolobi'!H87</f>
        <v>0</v>
      </c>
      <c r="I87" s="49">
        <f>'Avg Week Bugolobi-Nakawa'!I87+'Avg Week Nakawa-Bugolobi'!I87</f>
        <v>0</v>
      </c>
      <c r="J87" s="49">
        <f>'Avg Week Bugolobi-Nakawa'!J87+'Avg Week Nakawa-Bugolobi'!J87</f>
        <v>0</v>
      </c>
      <c r="K87" s="49">
        <f>'Avg Week Bugolobi-Nakawa'!K87+'Avg Week Nakawa-Bugolobi'!K87</f>
        <v>0.5</v>
      </c>
      <c r="L87" s="49">
        <f>'Avg Week Bugolobi-Nakawa'!L87+'Avg Week Nakawa-Bugolobi'!L87</f>
        <v>0</v>
      </c>
      <c r="M87" s="49">
        <f>'Avg Week Bugolobi-Nakawa'!M87+'Avg Week Nakawa-Bugolobi'!M87</f>
        <v>21</v>
      </c>
      <c r="N87" s="49">
        <f>'Avg Week Bugolobi-Nakawa'!N87+'Avg Week Nakawa-Bugolobi'!N87</f>
        <v>0</v>
      </c>
      <c r="O87" s="15">
        <f t="shared" si="35"/>
        <v>25.5</v>
      </c>
      <c r="P87" s="15">
        <f t="shared" si="36"/>
        <v>46.5</v>
      </c>
      <c r="R87" s="8"/>
      <c r="T87"/>
    </row>
    <row r="88" spans="2:20" ht="23.1" customHeight="1" x14ac:dyDescent="0.25">
      <c r="B88" s="25" t="s">
        <v>128</v>
      </c>
      <c r="C88" s="49">
        <f>'Avg Week Bugolobi-Nakawa'!C88+'Avg Week Nakawa-Bugolobi'!C88</f>
        <v>17.5</v>
      </c>
      <c r="D88" s="49">
        <f>'Avg Week Bugolobi-Nakawa'!D88+'Avg Week Nakawa-Bugolobi'!D88</f>
        <v>3</v>
      </c>
      <c r="E88" s="49">
        <f>'Avg Week Bugolobi-Nakawa'!E88+'Avg Week Nakawa-Bugolobi'!E88</f>
        <v>0.5</v>
      </c>
      <c r="F88" s="49">
        <f>'Avg Week Bugolobi-Nakawa'!F88+'Avg Week Nakawa-Bugolobi'!F88</f>
        <v>1</v>
      </c>
      <c r="G88" s="49">
        <f>'Avg Week Bugolobi-Nakawa'!G88+'Avg Week Nakawa-Bugolobi'!G88</f>
        <v>0</v>
      </c>
      <c r="H88" s="49">
        <f>'Avg Week Bugolobi-Nakawa'!H88+'Avg Week Nakawa-Bugolobi'!H88</f>
        <v>0</v>
      </c>
      <c r="I88" s="49">
        <f>'Avg Week Bugolobi-Nakawa'!I88+'Avg Week Nakawa-Bugolobi'!I88</f>
        <v>0</v>
      </c>
      <c r="J88" s="49">
        <f>'Avg Week Bugolobi-Nakawa'!J88+'Avg Week Nakawa-Bugolobi'!J88</f>
        <v>0.5</v>
      </c>
      <c r="K88" s="49">
        <f>'Avg Week Bugolobi-Nakawa'!K88+'Avg Week Nakawa-Bugolobi'!K88</f>
        <v>0</v>
      </c>
      <c r="L88" s="49">
        <f>'Avg Week Bugolobi-Nakawa'!L88+'Avg Week Nakawa-Bugolobi'!L88</f>
        <v>0</v>
      </c>
      <c r="M88" s="49">
        <f>'Avg Week Bugolobi-Nakawa'!M88+'Avg Week Nakawa-Bugolobi'!M88</f>
        <v>29</v>
      </c>
      <c r="N88" s="49">
        <f>'Avg Week Bugolobi-Nakawa'!N88+'Avg Week Nakawa-Bugolobi'!N88</f>
        <v>0</v>
      </c>
      <c r="O88" s="15">
        <f t="shared" si="35"/>
        <v>22.5</v>
      </c>
      <c r="P88" s="15">
        <f t="shared" si="36"/>
        <v>51.5</v>
      </c>
      <c r="R88" s="8"/>
      <c r="T88"/>
    </row>
    <row r="89" spans="2:20" ht="23.1" customHeight="1" x14ac:dyDescent="0.25">
      <c r="B89" s="23" t="s">
        <v>129</v>
      </c>
      <c r="C89" s="49">
        <f>'Avg Week Bugolobi-Nakawa'!C89+'Avg Week Nakawa-Bugolobi'!C89</f>
        <v>19</v>
      </c>
      <c r="D89" s="49">
        <f>'Avg Week Bugolobi-Nakawa'!D89+'Avg Week Nakawa-Bugolobi'!D89</f>
        <v>1</v>
      </c>
      <c r="E89" s="49">
        <f>'Avg Week Bugolobi-Nakawa'!E89+'Avg Week Nakawa-Bugolobi'!E89</f>
        <v>0.5</v>
      </c>
      <c r="F89" s="49">
        <f>'Avg Week Bugolobi-Nakawa'!F89+'Avg Week Nakawa-Bugolobi'!F89</f>
        <v>0.5</v>
      </c>
      <c r="G89" s="49">
        <f>'Avg Week Bugolobi-Nakawa'!G89+'Avg Week Nakawa-Bugolobi'!G89</f>
        <v>0</v>
      </c>
      <c r="H89" s="49">
        <f>'Avg Week Bugolobi-Nakawa'!H89+'Avg Week Nakawa-Bugolobi'!H89</f>
        <v>0</v>
      </c>
      <c r="I89" s="49">
        <f>'Avg Week Bugolobi-Nakawa'!I89+'Avg Week Nakawa-Bugolobi'!I89</f>
        <v>0</v>
      </c>
      <c r="J89" s="49">
        <f>'Avg Week Bugolobi-Nakawa'!J89+'Avg Week Nakawa-Bugolobi'!J89</f>
        <v>0</v>
      </c>
      <c r="K89" s="49">
        <f>'Avg Week Bugolobi-Nakawa'!K89+'Avg Week Nakawa-Bugolobi'!K89</f>
        <v>0</v>
      </c>
      <c r="L89" s="49">
        <f>'Avg Week Bugolobi-Nakawa'!L89+'Avg Week Nakawa-Bugolobi'!L89</f>
        <v>0</v>
      </c>
      <c r="M89" s="49">
        <f>'Avg Week Bugolobi-Nakawa'!M89+'Avg Week Nakawa-Bugolobi'!M89</f>
        <v>19</v>
      </c>
      <c r="N89" s="49">
        <f>'Avg Week Bugolobi-Nakawa'!N89+'Avg Week Nakawa-Bugolobi'!N89</f>
        <v>0</v>
      </c>
      <c r="O89" s="15">
        <f t="shared" si="35"/>
        <v>21</v>
      </c>
      <c r="P89" s="15">
        <f t="shared" si="36"/>
        <v>40</v>
      </c>
      <c r="R89" s="8"/>
      <c r="T89"/>
    </row>
    <row r="90" spans="2:20" ht="23.1" customHeight="1" x14ac:dyDescent="0.25">
      <c r="B90" s="24" t="s">
        <v>130</v>
      </c>
      <c r="C90" s="49">
        <f>'Avg Week Bugolobi-Nakawa'!C90+'Avg Week Nakawa-Bugolobi'!C90</f>
        <v>16</v>
      </c>
      <c r="D90" s="49">
        <f>'Avg Week Bugolobi-Nakawa'!D90+'Avg Week Nakawa-Bugolobi'!D90</f>
        <v>1.5</v>
      </c>
      <c r="E90" s="49">
        <f>'Avg Week Bugolobi-Nakawa'!E90+'Avg Week Nakawa-Bugolobi'!E90</f>
        <v>0</v>
      </c>
      <c r="F90" s="49">
        <f>'Avg Week Bugolobi-Nakawa'!F90+'Avg Week Nakawa-Bugolobi'!F90</f>
        <v>0.5</v>
      </c>
      <c r="G90" s="49">
        <f>'Avg Week Bugolobi-Nakawa'!G90+'Avg Week Nakawa-Bugolobi'!G90</f>
        <v>0</v>
      </c>
      <c r="H90" s="49">
        <f>'Avg Week Bugolobi-Nakawa'!H90+'Avg Week Nakawa-Bugolobi'!H90</f>
        <v>0</v>
      </c>
      <c r="I90" s="49">
        <f>'Avg Week Bugolobi-Nakawa'!I90+'Avg Week Nakawa-Bugolobi'!I90</f>
        <v>0.5</v>
      </c>
      <c r="J90" s="49">
        <f>'Avg Week Bugolobi-Nakawa'!J90+'Avg Week Nakawa-Bugolobi'!J90</f>
        <v>0</v>
      </c>
      <c r="K90" s="49">
        <f>'Avg Week Bugolobi-Nakawa'!K90+'Avg Week Nakawa-Bugolobi'!K90</f>
        <v>0.5</v>
      </c>
      <c r="L90" s="49">
        <f>'Avg Week Bugolobi-Nakawa'!L90+'Avg Week Nakawa-Bugolobi'!L90</f>
        <v>1</v>
      </c>
      <c r="M90" s="49">
        <f>'Avg Week Bugolobi-Nakawa'!M90+'Avg Week Nakawa-Bugolobi'!M90</f>
        <v>20</v>
      </c>
      <c r="N90" s="49">
        <f>'Avg Week Bugolobi-Nakawa'!N90+'Avg Week Nakawa-Bugolobi'!N90</f>
        <v>0</v>
      </c>
      <c r="O90" s="15">
        <f t="shared" si="35"/>
        <v>20</v>
      </c>
      <c r="P90" s="15">
        <f t="shared" si="36"/>
        <v>40</v>
      </c>
      <c r="R90" s="8"/>
      <c r="T90"/>
    </row>
    <row r="91" spans="2:20" ht="23.1" customHeight="1" x14ac:dyDescent="0.25">
      <c r="B91" s="23" t="s">
        <v>131</v>
      </c>
      <c r="C91" s="49">
        <f>'Avg Week Bugolobi-Nakawa'!C91+'Avg Week Nakawa-Bugolobi'!C91</f>
        <v>12</v>
      </c>
      <c r="D91" s="49">
        <f>'Avg Week Bugolobi-Nakawa'!D91+'Avg Week Nakawa-Bugolobi'!D91</f>
        <v>1.5</v>
      </c>
      <c r="E91" s="49">
        <f>'Avg Week Bugolobi-Nakawa'!E91+'Avg Week Nakawa-Bugolobi'!E91</f>
        <v>1.5</v>
      </c>
      <c r="F91" s="49">
        <f>'Avg Week Bugolobi-Nakawa'!F91+'Avg Week Nakawa-Bugolobi'!F91</f>
        <v>0.5</v>
      </c>
      <c r="G91" s="49">
        <f>'Avg Week Bugolobi-Nakawa'!G91+'Avg Week Nakawa-Bugolobi'!G91</f>
        <v>0</v>
      </c>
      <c r="H91" s="49">
        <f>'Avg Week Bugolobi-Nakawa'!H91+'Avg Week Nakawa-Bugolobi'!H91</f>
        <v>0</v>
      </c>
      <c r="I91" s="49">
        <f>'Avg Week Bugolobi-Nakawa'!I91+'Avg Week Nakawa-Bugolobi'!I91</f>
        <v>0</v>
      </c>
      <c r="J91" s="49">
        <f>'Avg Week Bugolobi-Nakawa'!J91+'Avg Week Nakawa-Bugolobi'!J91</f>
        <v>0</v>
      </c>
      <c r="K91" s="49">
        <f>'Avg Week Bugolobi-Nakawa'!K91+'Avg Week Nakawa-Bugolobi'!K91</f>
        <v>0</v>
      </c>
      <c r="L91" s="49">
        <f>'Avg Week Bugolobi-Nakawa'!L91+'Avg Week Nakawa-Bugolobi'!L91</f>
        <v>0</v>
      </c>
      <c r="M91" s="49">
        <f>'Avg Week Bugolobi-Nakawa'!M91+'Avg Week Nakawa-Bugolobi'!M91</f>
        <v>9</v>
      </c>
      <c r="N91" s="49">
        <f>'Avg Week Bugolobi-Nakawa'!N91+'Avg Week Nakawa-Bugolobi'!N91</f>
        <v>0</v>
      </c>
      <c r="O91" s="15">
        <f t="shared" si="35"/>
        <v>15.5</v>
      </c>
      <c r="P91" s="15">
        <f t="shared" si="36"/>
        <v>24.5</v>
      </c>
      <c r="R91" s="8"/>
      <c r="T91"/>
    </row>
    <row r="92" spans="2:20" ht="23.1" customHeight="1" x14ac:dyDescent="0.25">
      <c r="B92" s="25" t="s">
        <v>132</v>
      </c>
      <c r="C92" s="49">
        <f>'Avg Week Bugolobi-Nakawa'!C92+'Avg Week Nakawa-Bugolobi'!C92</f>
        <v>23.5</v>
      </c>
      <c r="D92" s="49">
        <f>'Avg Week Bugolobi-Nakawa'!D92+'Avg Week Nakawa-Bugolobi'!D92</f>
        <v>1</v>
      </c>
      <c r="E92" s="49">
        <f>'Avg Week Bugolobi-Nakawa'!E92+'Avg Week Nakawa-Bugolobi'!E92</f>
        <v>0.5</v>
      </c>
      <c r="F92" s="49">
        <f>'Avg Week Bugolobi-Nakawa'!F92+'Avg Week Nakawa-Bugolobi'!F92</f>
        <v>0</v>
      </c>
      <c r="G92" s="49">
        <f>'Avg Week Bugolobi-Nakawa'!G92+'Avg Week Nakawa-Bugolobi'!G92</f>
        <v>0</v>
      </c>
      <c r="H92" s="49">
        <f>'Avg Week Bugolobi-Nakawa'!H92+'Avg Week Nakawa-Bugolobi'!H92</f>
        <v>0</v>
      </c>
      <c r="I92" s="49">
        <f>'Avg Week Bugolobi-Nakawa'!I92+'Avg Week Nakawa-Bugolobi'!I92</f>
        <v>0</v>
      </c>
      <c r="J92" s="49">
        <f>'Avg Week Bugolobi-Nakawa'!J92+'Avg Week Nakawa-Bugolobi'!J92</f>
        <v>0</v>
      </c>
      <c r="K92" s="49">
        <f>'Avg Week Bugolobi-Nakawa'!K92+'Avg Week Nakawa-Bugolobi'!K92</f>
        <v>0</v>
      </c>
      <c r="L92" s="49">
        <f>'Avg Week Bugolobi-Nakawa'!L92+'Avg Week Nakawa-Bugolobi'!L92</f>
        <v>0</v>
      </c>
      <c r="M92" s="49">
        <f>'Avg Week Bugolobi-Nakawa'!M92+'Avg Week Nakawa-Bugolobi'!M92</f>
        <v>20.5</v>
      </c>
      <c r="N92" s="49">
        <f>'Avg Week Bugolobi-Nakawa'!N92+'Avg Week Nakawa-Bugolobi'!N92</f>
        <v>0</v>
      </c>
      <c r="O92" s="15">
        <f t="shared" si="35"/>
        <v>25</v>
      </c>
      <c r="P92" s="15">
        <f t="shared" si="36"/>
        <v>45.5</v>
      </c>
      <c r="R92" s="8"/>
      <c r="T92"/>
    </row>
    <row r="93" spans="2:20" ht="23.1" customHeight="1" x14ac:dyDescent="0.25">
      <c r="B93" s="23" t="s">
        <v>133</v>
      </c>
      <c r="C93" s="49">
        <f>'Avg Week Bugolobi-Nakawa'!C93+'Avg Week Nakawa-Bugolobi'!C93</f>
        <v>40</v>
      </c>
      <c r="D93" s="49">
        <f>'Avg Week Bugolobi-Nakawa'!D93+'Avg Week Nakawa-Bugolobi'!D93</f>
        <v>4.5</v>
      </c>
      <c r="E93" s="49">
        <f>'Avg Week Bugolobi-Nakawa'!E93+'Avg Week Nakawa-Bugolobi'!E93</f>
        <v>5.5</v>
      </c>
      <c r="F93" s="49">
        <f>'Avg Week Bugolobi-Nakawa'!F93+'Avg Week Nakawa-Bugolobi'!F93</f>
        <v>5</v>
      </c>
      <c r="G93" s="49">
        <f>'Avg Week Bugolobi-Nakawa'!G93+'Avg Week Nakawa-Bugolobi'!G93</f>
        <v>0</v>
      </c>
      <c r="H93" s="49">
        <f>'Avg Week Bugolobi-Nakawa'!H93+'Avg Week Nakawa-Bugolobi'!H93</f>
        <v>0</v>
      </c>
      <c r="I93" s="49">
        <f>'Avg Week Bugolobi-Nakawa'!I93+'Avg Week Nakawa-Bugolobi'!I93</f>
        <v>0</v>
      </c>
      <c r="J93" s="49">
        <f>'Avg Week Bugolobi-Nakawa'!J93+'Avg Week Nakawa-Bugolobi'!J93</f>
        <v>0.5</v>
      </c>
      <c r="K93" s="49">
        <f>'Avg Week Bugolobi-Nakawa'!K93+'Avg Week Nakawa-Bugolobi'!K93</f>
        <v>0</v>
      </c>
      <c r="L93" s="49">
        <f>'Avg Week Bugolobi-Nakawa'!L93+'Avg Week Nakawa-Bugolobi'!L93</f>
        <v>0.5</v>
      </c>
      <c r="M93" s="49">
        <f>'Avg Week Bugolobi-Nakawa'!M93+'Avg Week Nakawa-Bugolobi'!M93</f>
        <v>41.5</v>
      </c>
      <c r="N93" s="49">
        <f>'Avg Week Bugolobi-Nakawa'!N93+'Avg Week Nakawa-Bugolobi'!N93</f>
        <v>0</v>
      </c>
      <c r="O93" s="15">
        <f t="shared" si="35"/>
        <v>56</v>
      </c>
      <c r="P93" s="15">
        <f t="shared" si="36"/>
        <v>97.5</v>
      </c>
      <c r="R93" s="8"/>
      <c r="T93"/>
    </row>
    <row r="94" spans="2:20" ht="23.1" customHeight="1" x14ac:dyDescent="0.25">
      <c r="B94" s="24" t="s">
        <v>134</v>
      </c>
      <c r="C94" s="49">
        <f>'Avg Week Bugolobi-Nakawa'!C94+'Avg Week Nakawa-Bugolobi'!C94</f>
        <v>11</v>
      </c>
      <c r="D94" s="49">
        <f>'Avg Week Bugolobi-Nakawa'!D94+'Avg Week Nakawa-Bugolobi'!D94</f>
        <v>1.5</v>
      </c>
      <c r="E94" s="49">
        <f>'Avg Week Bugolobi-Nakawa'!E94+'Avg Week Nakawa-Bugolobi'!E94</f>
        <v>3</v>
      </c>
      <c r="F94" s="49">
        <f>'Avg Week Bugolobi-Nakawa'!F94+'Avg Week Nakawa-Bugolobi'!F94</f>
        <v>0</v>
      </c>
      <c r="G94" s="49">
        <f>'Avg Week Bugolobi-Nakawa'!G94+'Avg Week Nakawa-Bugolobi'!G94</f>
        <v>0</v>
      </c>
      <c r="H94" s="49">
        <f>'Avg Week Bugolobi-Nakawa'!H94+'Avg Week Nakawa-Bugolobi'!H94</f>
        <v>0</v>
      </c>
      <c r="I94" s="49">
        <f>'Avg Week Bugolobi-Nakawa'!I94+'Avg Week Nakawa-Bugolobi'!I94</f>
        <v>0</v>
      </c>
      <c r="J94" s="49">
        <f>'Avg Week Bugolobi-Nakawa'!J94+'Avg Week Nakawa-Bugolobi'!J94</f>
        <v>0</v>
      </c>
      <c r="K94" s="49">
        <f>'Avg Week Bugolobi-Nakawa'!K94+'Avg Week Nakawa-Bugolobi'!K94</f>
        <v>0</v>
      </c>
      <c r="L94" s="49">
        <f>'Avg Week Bugolobi-Nakawa'!L94+'Avg Week Nakawa-Bugolobi'!L94</f>
        <v>0.5</v>
      </c>
      <c r="M94" s="49">
        <f>'Avg Week Bugolobi-Nakawa'!M94+'Avg Week Nakawa-Bugolobi'!M94</f>
        <v>23</v>
      </c>
      <c r="N94" s="49">
        <f>'Avg Week Bugolobi-Nakawa'!N94+'Avg Week Nakawa-Bugolobi'!N94</f>
        <v>0</v>
      </c>
      <c r="O94" s="15">
        <f t="shared" si="35"/>
        <v>16</v>
      </c>
      <c r="P94" s="15">
        <f t="shared" si="36"/>
        <v>39</v>
      </c>
      <c r="R94" s="8"/>
      <c r="T94"/>
    </row>
    <row r="95" spans="2:20" ht="23.1" customHeight="1" x14ac:dyDescent="0.25">
      <c r="B95" s="23" t="s">
        <v>135</v>
      </c>
      <c r="C95" s="49">
        <f>'Avg Week Bugolobi-Nakawa'!C95+'Avg Week Nakawa-Bugolobi'!C95</f>
        <v>14</v>
      </c>
      <c r="D95" s="49">
        <f>'Avg Week Bugolobi-Nakawa'!D95+'Avg Week Nakawa-Bugolobi'!D95</f>
        <v>1</v>
      </c>
      <c r="E95" s="49">
        <f>'Avg Week Bugolobi-Nakawa'!E95+'Avg Week Nakawa-Bugolobi'!E95</f>
        <v>1</v>
      </c>
      <c r="F95" s="49">
        <f>'Avg Week Bugolobi-Nakawa'!F95+'Avg Week Nakawa-Bugolobi'!F95</f>
        <v>0</v>
      </c>
      <c r="G95" s="49">
        <f>'Avg Week Bugolobi-Nakawa'!G95+'Avg Week Nakawa-Bugolobi'!G95</f>
        <v>0</v>
      </c>
      <c r="H95" s="49">
        <f>'Avg Week Bugolobi-Nakawa'!H95+'Avg Week Nakawa-Bugolobi'!H95</f>
        <v>0</v>
      </c>
      <c r="I95" s="49">
        <f>'Avg Week Bugolobi-Nakawa'!I95+'Avg Week Nakawa-Bugolobi'!I95</f>
        <v>0</v>
      </c>
      <c r="J95" s="49">
        <f>'Avg Week Bugolobi-Nakawa'!J95+'Avg Week Nakawa-Bugolobi'!J95</f>
        <v>0.5</v>
      </c>
      <c r="K95" s="49">
        <f>'Avg Week Bugolobi-Nakawa'!K95+'Avg Week Nakawa-Bugolobi'!K95</f>
        <v>0.5</v>
      </c>
      <c r="L95" s="49">
        <f>'Avg Week Bugolobi-Nakawa'!L95+'Avg Week Nakawa-Bugolobi'!L95</f>
        <v>0</v>
      </c>
      <c r="M95" s="49">
        <f>'Avg Week Bugolobi-Nakawa'!M95+'Avg Week Nakawa-Bugolobi'!M95</f>
        <v>25.5</v>
      </c>
      <c r="N95" s="49">
        <f>'Avg Week Bugolobi-Nakawa'!N95+'Avg Week Nakawa-Bugolobi'!N95</f>
        <v>0</v>
      </c>
      <c r="O95" s="15">
        <f t="shared" si="35"/>
        <v>17</v>
      </c>
      <c r="P95" s="15">
        <f t="shared" si="36"/>
        <v>42.5</v>
      </c>
      <c r="R95" s="8"/>
      <c r="T95"/>
    </row>
    <row r="96" spans="2:20" ht="23.1" customHeight="1" x14ac:dyDescent="0.25">
      <c r="B96" s="25" t="s">
        <v>136</v>
      </c>
      <c r="C96" s="49">
        <f>'Avg Week Bugolobi-Nakawa'!C96+'Avg Week Nakawa-Bugolobi'!C96</f>
        <v>13</v>
      </c>
      <c r="D96" s="49">
        <f>'Avg Week Bugolobi-Nakawa'!D96+'Avg Week Nakawa-Bugolobi'!D96</f>
        <v>4.5</v>
      </c>
      <c r="E96" s="49">
        <f>'Avg Week Bugolobi-Nakawa'!E96+'Avg Week Nakawa-Bugolobi'!E96</f>
        <v>0.5</v>
      </c>
      <c r="F96" s="49">
        <f>'Avg Week Bugolobi-Nakawa'!F96+'Avg Week Nakawa-Bugolobi'!F96</f>
        <v>0.5</v>
      </c>
      <c r="G96" s="49">
        <f>'Avg Week Bugolobi-Nakawa'!G96+'Avg Week Nakawa-Bugolobi'!G96</f>
        <v>0</v>
      </c>
      <c r="H96" s="49">
        <f>'Avg Week Bugolobi-Nakawa'!H96+'Avg Week Nakawa-Bugolobi'!H96</f>
        <v>0</v>
      </c>
      <c r="I96" s="49">
        <f>'Avg Week Bugolobi-Nakawa'!I96+'Avg Week Nakawa-Bugolobi'!I96</f>
        <v>1.5</v>
      </c>
      <c r="J96" s="49">
        <f>'Avg Week Bugolobi-Nakawa'!J96+'Avg Week Nakawa-Bugolobi'!J96</f>
        <v>0.5</v>
      </c>
      <c r="K96" s="49">
        <f>'Avg Week Bugolobi-Nakawa'!K96+'Avg Week Nakawa-Bugolobi'!K96</f>
        <v>0</v>
      </c>
      <c r="L96" s="49">
        <f>'Avg Week Bugolobi-Nakawa'!L96+'Avg Week Nakawa-Bugolobi'!L96</f>
        <v>0</v>
      </c>
      <c r="M96" s="49">
        <f>'Avg Week Bugolobi-Nakawa'!M96+'Avg Week Nakawa-Bugolobi'!M96</f>
        <v>18.5</v>
      </c>
      <c r="N96" s="49">
        <f>'Avg Week Bugolobi-Nakawa'!N96+'Avg Week Nakawa-Bugolobi'!N96</f>
        <v>0</v>
      </c>
      <c r="O96" s="15">
        <f t="shared" si="35"/>
        <v>20.5</v>
      </c>
      <c r="P96" s="15">
        <f t="shared" si="36"/>
        <v>39</v>
      </c>
      <c r="R96" s="8"/>
      <c r="T96"/>
    </row>
    <row r="97" spans="2:20" ht="23.1" customHeight="1" x14ac:dyDescent="0.25">
      <c r="B97" s="23" t="s">
        <v>137</v>
      </c>
      <c r="C97" s="49">
        <f>'Avg Week Bugolobi-Nakawa'!C97+'Avg Week Nakawa-Bugolobi'!C97</f>
        <v>11.5</v>
      </c>
      <c r="D97" s="49">
        <f>'Avg Week Bugolobi-Nakawa'!D97+'Avg Week Nakawa-Bugolobi'!D97</f>
        <v>5</v>
      </c>
      <c r="E97" s="49">
        <f>'Avg Week Bugolobi-Nakawa'!E97+'Avg Week Nakawa-Bugolobi'!E97</f>
        <v>3.5</v>
      </c>
      <c r="F97" s="49">
        <f>'Avg Week Bugolobi-Nakawa'!F97+'Avg Week Nakawa-Bugolobi'!F97</f>
        <v>1.5</v>
      </c>
      <c r="G97" s="49">
        <f>'Avg Week Bugolobi-Nakawa'!G97+'Avg Week Nakawa-Bugolobi'!G97</f>
        <v>0</v>
      </c>
      <c r="H97" s="49">
        <f>'Avg Week Bugolobi-Nakawa'!H97+'Avg Week Nakawa-Bugolobi'!H97</f>
        <v>0</v>
      </c>
      <c r="I97" s="49">
        <f>'Avg Week Bugolobi-Nakawa'!I97+'Avg Week Nakawa-Bugolobi'!I97</f>
        <v>0</v>
      </c>
      <c r="J97" s="49">
        <f>'Avg Week Bugolobi-Nakawa'!J97+'Avg Week Nakawa-Bugolobi'!J97</f>
        <v>0.5</v>
      </c>
      <c r="K97" s="49">
        <f>'Avg Week Bugolobi-Nakawa'!K97+'Avg Week Nakawa-Bugolobi'!K97</f>
        <v>0</v>
      </c>
      <c r="L97" s="49">
        <f>'Avg Week Bugolobi-Nakawa'!L97+'Avg Week Nakawa-Bugolobi'!L97</f>
        <v>0.5</v>
      </c>
      <c r="M97" s="49">
        <f>'Avg Week Bugolobi-Nakawa'!M97+'Avg Week Nakawa-Bugolobi'!M97</f>
        <v>21.5</v>
      </c>
      <c r="N97" s="49">
        <f>'Avg Week Bugolobi-Nakawa'!N97+'Avg Week Nakawa-Bugolobi'!N97</f>
        <v>0</v>
      </c>
      <c r="O97" s="15">
        <f t="shared" si="35"/>
        <v>22.5</v>
      </c>
      <c r="P97" s="15">
        <f t="shared" si="36"/>
        <v>44</v>
      </c>
      <c r="R97" s="8"/>
      <c r="T97"/>
    </row>
    <row r="98" spans="2:20" ht="23.1" customHeight="1" x14ac:dyDescent="0.25">
      <c r="B98" s="24" t="s">
        <v>138</v>
      </c>
      <c r="C98" s="49">
        <f>'Avg Week Bugolobi-Nakawa'!C98+'Avg Week Nakawa-Bugolobi'!C98</f>
        <v>5</v>
      </c>
      <c r="D98" s="49">
        <f>'Avg Week Bugolobi-Nakawa'!D98+'Avg Week Nakawa-Bugolobi'!D98</f>
        <v>2</v>
      </c>
      <c r="E98" s="49">
        <f>'Avg Week Bugolobi-Nakawa'!E98+'Avg Week Nakawa-Bugolobi'!E98</f>
        <v>0.5</v>
      </c>
      <c r="F98" s="49">
        <f>'Avg Week Bugolobi-Nakawa'!F98+'Avg Week Nakawa-Bugolobi'!F98</f>
        <v>2</v>
      </c>
      <c r="G98" s="49">
        <f>'Avg Week Bugolobi-Nakawa'!G98+'Avg Week Nakawa-Bugolobi'!G98</f>
        <v>0</v>
      </c>
      <c r="H98" s="49">
        <f>'Avg Week Bugolobi-Nakawa'!H98+'Avg Week Nakawa-Bugolobi'!H98</f>
        <v>0</v>
      </c>
      <c r="I98" s="49">
        <f>'Avg Week Bugolobi-Nakawa'!I98+'Avg Week Nakawa-Bugolobi'!I98</f>
        <v>0</v>
      </c>
      <c r="J98" s="49">
        <f>'Avg Week Bugolobi-Nakawa'!J98+'Avg Week Nakawa-Bugolobi'!J98</f>
        <v>0.5</v>
      </c>
      <c r="K98" s="49">
        <f>'Avg Week Bugolobi-Nakawa'!K98+'Avg Week Nakawa-Bugolobi'!K98</f>
        <v>0</v>
      </c>
      <c r="L98" s="49">
        <f>'Avg Week Bugolobi-Nakawa'!L98+'Avg Week Nakawa-Bugolobi'!L98</f>
        <v>0</v>
      </c>
      <c r="M98" s="49">
        <f>'Avg Week Bugolobi-Nakawa'!M98+'Avg Week Nakawa-Bugolobi'!M98</f>
        <v>30.5</v>
      </c>
      <c r="N98" s="49">
        <f>'Avg Week Bugolobi-Nakawa'!N98+'Avg Week Nakawa-Bugolobi'!N98</f>
        <v>0</v>
      </c>
      <c r="O98" s="15">
        <f t="shared" si="35"/>
        <v>10</v>
      </c>
      <c r="P98" s="15">
        <f t="shared" si="36"/>
        <v>40.5</v>
      </c>
      <c r="R98" s="8"/>
      <c r="T98"/>
    </row>
    <row r="99" spans="2:20" ht="23.1" customHeight="1" x14ac:dyDescent="0.25">
      <c r="B99" s="23" t="s">
        <v>139</v>
      </c>
      <c r="C99" s="49">
        <f>'Avg Week Bugolobi-Nakawa'!C99+'Avg Week Nakawa-Bugolobi'!C99</f>
        <v>15</v>
      </c>
      <c r="D99" s="49">
        <f>'Avg Week Bugolobi-Nakawa'!D99+'Avg Week Nakawa-Bugolobi'!D99</f>
        <v>1.5</v>
      </c>
      <c r="E99" s="49">
        <f>'Avg Week Bugolobi-Nakawa'!E99+'Avg Week Nakawa-Bugolobi'!E99</f>
        <v>2.5</v>
      </c>
      <c r="F99" s="49">
        <f>'Avg Week Bugolobi-Nakawa'!F99+'Avg Week Nakawa-Bugolobi'!F99</f>
        <v>3.5</v>
      </c>
      <c r="G99" s="49">
        <f>'Avg Week Bugolobi-Nakawa'!G99+'Avg Week Nakawa-Bugolobi'!G99</f>
        <v>0</v>
      </c>
      <c r="H99" s="49">
        <f>'Avg Week Bugolobi-Nakawa'!H99+'Avg Week Nakawa-Bugolobi'!H99</f>
        <v>0</v>
      </c>
      <c r="I99" s="49">
        <f>'Avg Week Bugolobi-Nakawa'!I99+'Avg Week Nakawa-Bugolobi'!I99</f>
        <v>0</v>
      </c>
      <c r="J99" s="49">
        <f>'Avg Week Bugolobi-Nakawa'!J99+'Avg Week Nakawa-Bugolobi'!J99</f>
        <v>0</v>
      </c>
      <c r="K99" s="49">
        <f>'Avg Week Bugolobi-Nakawa'!K99+'Avg Week Nakawa-Bugolobi'!K99</f>
        <v>0</v>
      </c>
      <c r="L99" s="49">
        <f>'Avg Week Bugolobi-Nakawa'!L99+'Avg Week Nakawa-Bugolobi'!L99</f>
        <v>0.5</v>
      </c>
      <c r="M99" s="49">
        <f>'Avg Week Bugolobi-Nakawa'!M99+'Avg Week Nakawa-Bugolobi'!M99</f>
        <v>27.5</v>
      </c>
      <c r="N99" s="49">
        <f>'Avg Week Bugolobi-Nakawa'!N99+'Avg Week Nakawa-Bugolobi'!N99</f>
        <v>0</v>
      </c>
      <c r="O99" s="15">
        <f t="shared" si="35"/>
        <v>23</v>
      </c>
      <c r="P99" s="15">
        <f t="shared" si="36"/>
        <v>50.5</v>
      </c>
      <c r="R99" s="8"/>
      <c r="T99"/>
    </row>
    <row r="100" spans="2:20" ht="23.1" customHeight="1" x14ac:dyDescent="0.25">
      <c r="B100" s="25" t="s">
        <v>140</v>
      </c>
      <c r="C100" s="49">
        <f>'Avg Week Bugolobi-Nakawa'!C100+'Avg Week Nakawa-Bugolobi'!C100</f>
        <v>17.5</v>
      </c>
      <c r="D100" s="49">
        <f>'Avg Week Bugolobi-Nakawa'!D100+'Avg Week Nakawa-Bugolobi'!D100</f>
        <v>4</v>
      </c>
      <c r="E100" s="49">
        <f>'Avg Week Bugolobi-Nakawa'!E100+'Avg Week Nakawa-Bugolobi'!E100</f>
        <v>1.5</v>
      </c>
      <c r="F100" s="49">
        <f>'Avg Week Bugolobi-Nakawa'!F100+'Avg Week Nakawa-Bugolobi'!F100</f>
        <v>4</v>
      </c>
      <c r="G100" s="49">
        <f>'Avg Week Bugolobi-Nakawa'!G100+'Avg Week Nakawa-Bugolobi'!G100</f>
        <v>1.5</v>
      </c>
      <c r="H100" s="49">
        <f>'Avg Week Bugolobi-Nakawa'!H100+'Avg Week Nakawa-Bugolobi'!H100</f>
        <v>0</v>
      </c>
      <c r="I100" s="49">
        <f>'Avg Week Bugolobi-Nakawa'!I100+'Avg Week Nakawa-Bugolobi'!I100</f>
        <v>0.5</v>
      </c>
      <c r="J100" s="49">
        <f>'Avg Week Bugolobi-Nakawa'!J100+'Avg Week Nakawa-Bugolobi'!J100</f>
        <v>0.5</v>
      </c>
      <c r="K100" s="49">
        <f>'Avg Week Bugolobi-Nakawa'!K100+'Avg Week Nakawa-Bugolobi'!K100</f>
        <v>0</v>
      </c>
      <c r="L100" s="49">
        <f>'Avg Week Bugolobi-Nakawa'!L100+'Avg Week Nakawa-Bugolobi'!L100</f>
        <v>0</v>
      </c>
      <c r="M100" s="49">
        <f>'Avg Week Bugolobi-Nakawa'!M100+'Avg Week Nakawa-Bugolobi'!M100</f>
        <v>34.5</v>
      </c>
      <c r="N100" s="49">
        <f>'Avg Week Bugolobi-Nakawa'!N100+'Avg Week Nakawa-Bugolobi'!N100</f>
        <v>0</v>
      </c>
      <c r="O100" s="15">
        <f t="shared" si="35"/>
        <v>29.5</v>
      </c>
      <c r="P100" s="15">
        <f t="shared" si="36"/>
        <v>64</v>
      </c>
      <c r="R100" s="8"/>
      <c r="T100"/>
    </row>
    <row r="101" spans="2:20" ht="23.1" customHeight="1" x14ac:dyDescent="0.25">
      <c r="B101" s="23" t="s">
        <v>141</v>
      </c>
      <c r="C101" s="49">
        <f>'Avg Week Bugolobi-Nakawa'!C101+'Avg Week Nakawa-Bugolobi'!C101</f>
        <v>30</v>
      </c>
      <c r="D101" s="49">
        <f>'Avg Week Bugolobi-Nakawa'!D101+'Avg Week Nakawa-Bugolobi'!D101</f>
        <v>3.5</v>
      </c>
      <c r="E101" s="49">
        <f>'Avg Week Bugolobi-Nakawa'!E101+'Avg Week Nakawa-Bugolobi'!E101</f>
        <v>2</v>
      </c>
      <c r="F101" s="49">
        <f>'Avg Week Bugolobi-Nakawa'!F101+'Avg Week Nakawa-Bugolobi'!F101</f>
        <v>6.5</v>
      </c>
      <c r="G101" s="49">
        <f>'Avg Week Bugolobi-Nakawa'!G101+'Avg Week Nakawa-Bugolobi'!G101</f>
        <v>1</v>
      </c>
      <c r="H101" s="49">
        <f>'Avg Week Bugolobi-Nakawa'!H101+'Avg Week Nakawa-Bugolobi'!H101</f>
        <v>0</v>
      </c>
      <c r="I101" s="49">
        <f>'Avg Week Bugolobi-Nakawa'!I101+'Avg Week Nakawa-Bugolobi'!I101</f>
        <v>0.5</v>
      </c>
      <c r="J101" s="49">
        <f>'Avg Week Bugolobi-Nakawa'!J101+'Avg Week Nakawa-Bugolobi'!J101</f>
        <v>0</v>
      </c>
      <c r="K101" s="49">
        <f>'Avg Week Bugolobi-Nakawa'!K101+'Avg Week Nakawa-Bugolobi'!K101</f>
        <v>0</v>
      </c>
      <c r="L101" s="49">
        <f>'Avg Week Bugolobi-Nakawa'!L101+'Avg Week Nakawa-Bugolobi'!L101</f>
        <v>0</v>
      </c>
      <c r="M101" s="49">
        <f>'Avg Week Bugolobi-Nakawa'!M101+'Avg Week Nakawa-Bugolobi'!M101</f>
        <v>47</v>
      </c>
      <c r="N101" s="49">
        <f>'Avg Week Bugolobi-Nakawa'!N101+'Avg Week Nakawa-Bugolobi'!N101</f>
        <v>0</v>
      </c>
      <c r="O101" s="15">
        <f t="shared" si="35"/>
        <v>43.5</v>
      </c>
      <c r="P101" s="15">
        <f t="shared" si="36"/>
        <v>90.5</v>
      </c>
      <c r="R101" s="8"/>
      <c r="T101"/>
    </row>
    <row r="102" spans="2:20" ht="23.1" customHeight="1" x14ac:dyDescent="0.25">
      <c r="B102" s="24" t="s">
        <v>142</v>
      </c>
      <c r="C102" s="49">
        <f>'Avg Week Bugolobi-Nakawa'!C102+'Avg Week Nakawa-Bugolobi'!C102</f>
        <v>44.5</v>
      </c>
      <c r="D102" s="49">
        <f>'Avg Week Bugolobi-Nakawa'!D102+'Avg Week Nakawa-Bugolobi'!D102</f>
        <v>5</v>
      </c>
      <c r="E102" s="49">
        <f>'Avg Week Bugolobi-Nakawa'!E102+'Avg Week Nakawa-Bugolobi'!E102</f>
        <v>3</v>
      </c>
      <c r="F102" s="49">
        <f>'Avg Week Bugolobi-Nakawa'!F102+'Avg Week Nakawa-Bugolobi'!F102</f>
        <v>13</v>
      </c>
      <c r="G102" s="49">
        <f>'Avg Week Bugolobi-Nakawa'!G102+'Avg Week Nakawa-Bugolobi'!G102</f>
        <v>0</v>
      </c>
      <c r="H102" s="49">
        <f>'Avg Week Bugolobi-Nakawa'!H102+'Avg Week Nakawa-Bugolobi'!H102</f>
        <v>0</v>
      </c>
      <c r="I102" s="49">
        <f>'Avg Week Bugolobi-Nakawa'!I102+'Avg Week Nakawa-Bugolobi'!I102</f>
        <v>0</v>
      </c>
      <c r="J102" s="49">
        <f>'Avg Week Bugolobi-Nakawa'!J102+'Avg Week Nakawa-Bugolobi'!J102</f>
        <v>0</v>
      </c>
      <c r="K102" s="49">
        <f>'Avg Week Bugolobi-Nakawa'!K102+'Avg Week Nakawa-Bugolobi'!K102</f>
        <v>0</v>
      </c>
      <c r="L102" s="49">
        <f>'Avg Week Bugolobi-Nakawa'!L102+'Avg Week Nakawa-Bugolobi'!L102</f>
        <v>0</v>
      </c>
      <c r="M102" s="49">
        <f>'Avg Week Bugolobi-Nakawa'!M102+'Avg Week Nakawa-Bugolobi'!M102</f>
        <v>57</v>
      </c>
      <c r="N102" s="49">
        <f>'Avg Week Bugolobi-Nakawa'!N102+'Avg Week Nakawa-Bugolobi'!N102</f>
        <v>0</v>
      </c>
      <c r="O102" s="15">
        <f t="shared" si="35"/>
        <v>65.5</v>
      </c>
      <c r="P102" s="15">
        <f t="shared" si="36"/>
        <v>122.5</v>
      </c>
      <c r="R102" s="8"/>
      <c r="T102"/>
    </row>
    <row r="103" spans="2:20" ht="23.1" customHeight="1" x14ac:dyDescent="0.25">
      <c r="B103" s="23" t="s">
        <v>143</v>
      </c>
      <c r="C103" s="49">
        <f>'Avg Week Bugolobi-Nakawa'!C103+'Avg Week Nakawa-Bugolobi'!C103</f>
        <v>62.5</v>
      </c>
      <c r="D103" s="49">
        <f>'Avg Week Bugolobi-Nakawa'!D103+'Avg Week Nakawa-Bugolobi'!D103</f>
        <v>12</v>
      </c>
      <c r="E103" s="49">
        <f>'Avg Week Bugolobi-Nakawa'!E103+'Avg Week Nakawa-Bugolobi'!E103</f>
        <v>6</v>
      </c>
      <c r="F103" s="49">
        <f>'Avg Week Bugolobi-Nakawa'!F103+'Avg Week Nakawa-Bugolobi'!F103</f>
        <v>21</v>
      </c>
      <c r="G103" s="49">
        <f>'Avg Week Bugolobi-Nakawa'!G103+'Avg Week Nakawa-Bugolobi'!G103</f>
        <v>0</v>
      </c>
      <c r="H103" s="49">
        <f>'Avg Week Bugolobi-Nakawa'!H103+'Avg Week Nakawa-Bugolobi'!H103</f>
        <v>0</v>
      </c>
      <c r="I103" s="49">
        <f>'Avg Week Bugolobi-Nakawa'!I103+'Avg Week Nakawa-Bugolobi'!I103</f>
        <v>3</v>
      </c>
      <c r="J103" s="49">
        <f>'Avg Week Bugolobi-Nakawa'!J103+'Avg Week Nakawa-Bugolobi'!J103</f>
        <v>0</v>
      </c>
      <c r="K103" s="49">
        <f>'Avg Week Bugolobi-Nakawa'!K103+'Avg Week Nakawa-Bugolobi'!K103</f>
        <v>0</v>
      </c>
      <c r="L103" s="49">
        <f>'Avg Week Bugolobi-Nakawa'!L103+'Avg Week Nakawa-Bugolobi'!L103</f>
        <v>1</v>
      </c>
      <c r="M103" s="49">
        <f>'Avg Week Bugolobi-Nakawa'!M103+'Avg Week Nakawa-Bugolobi'!M103</f>
        <v>50</v>
      </c>
      <c r="N103" s="49">
        <f>'Avg Week Bugolobi-Nakawa'!N103+'Avg Week Nakawa-Bugolobi'!N103</f>
        <v>0</v>
      </c>
      <c r="O103" s="15">
        <f t="shared" si="35"/>
        <v>105.5</v>
      </c>
      <c r="P103" s="15">
        <f t="shared" si="36"/>
        <v>155.5</v>
      </c>
      <c r="R103" s="8"/>
      <c r="T103"/>
    </row>
    <row r="104" spans="2:20" ht="23.1" customHeight="1" x14ac:dyDescent="0.25">
      <c r="B104" s="25" t="s">
        <v>144</v>
      </c>
      <c r="C104" s="49">
        <f>'Avg Week Bugolobi-Nakawa'!C104+'Avg Week Nakawa-Bugolobi'!C104</f>
        <v>68</v>
      </c>
      <c r="D104" s="49">
        <f>'Avg Week Bugolobi-Nakawa'!D104+'Avg Week Nakawa-Bugolobi'!D104</f>
        <v>17</v>
      </c>
      <c r="E104" s="49">
        <f>'Avg Week Bugolobi-Nakawa'!E104+'Avg Week Nakawa-Bugolobi'!E104</f>
        <v>5.5</v>
      </c>
      <c r="F104" s="49">
        <f>'Avg Week Bugolobi-Nakawa'!F104+'Avg Week Nakawa-Bugolobi'!F104</f>
        <v>28</v>
      </c>
      <c r="G104" s="49">
        <f>'Avg Week Bugolobi-Nakawa'!G104+'Avg Week Nakawa-Bugolobi'!G104</f>
        <v>0</v>
      </c>
      <c r="H104" s="49">
        <f>'Avg Week Bugolobi-Nakawa'!H104+'Avg Week Nakawa-Bugolobi'!H104</f>
        <v>0</v>
      </c>
      <c r="I104" s="49">
        <f>'Avg Week Bugolobi-Nakawa'!I104+'Avg Week Nakawa-Bugolobi'!I104</f>
        <v>1</v>
      </c>
      <c r="J104" s="49">
        <f>'Avg Week Bugolobi-Nakawa'!J104+'Avg Week Nakawa-Bugolobi'!J104</f>
        <v>1</v>
      </c>
      <c r="K104" s="49">
        <f>'Avg Week Bugolobi-Nakawa'!K104+'Avg Week Nakawa-Bugolobi'!K104</f>
        <v>0.5</v>
      </c>
      <c r="L104" s="49">
        <f>'Avg Week Bugolobi-Nakawa'!L104+'Avg Week Nakawa-Bugolobi'!L104</f>
        <v>0</v>
      </c>
      <c r="M104" s="49">
        <f>'Avg Week Bugolobi-Nakawa'!M104+'Avg Week Nakawa-Bugolobi'!M104</f>
        <v>81</v>
      </c>
      <c r="N104" s="49">
        <f>'Avg Week Bugolobi-Nakawa'!N104+'Avg Week Nakawa-Bugolobi'!N104</f>
        <v>0</v>
      </c>
      <c r="O104" s="15">
        <f t="shared" si="35"/>
        <v>121</v>
      </c>
      <c r="P104" s="15">
        <f t="shared" si="36"/>
        <v>202</v>
      </c>
      <c r="R104" s="8"/>
      <c r="T104"/>
    </row>
    <row r="105" spans="2:20" ht="23.1" customHeight="1" x14ac:dyDescent="0.25">
      <c r="B105" s="23" t="s">
        <v>145</v>
      </c>
      <c r="C105" s="49">
        <f>'Avg Week Bugolobi-Nakawa'!C105+'Avg Week Nakawa-Bugolobi'!C105</f>
        <v>83</v>
      </c>
      <c r="D105" s="49">
        <f>'Avg Week Bugolobi-Nakawa'!D105+'Avg Week Nakawa-Bugolobi'!D105</f>
        <v>21</v>
      </c>
      <c r="E105" s="49">
        <f>'Avg Week Bugolobi-Nakawa'!E105+'Avg Week Nakawa-Bugolobi'!E105</f>
        <v>7.5</v>
      </c>
      <c r="F105" s="49">
        <f>'Avg Week Bugolobi-Nakawa'!F105+'Avg Week Nakawa-Bugolobi'!F105</f>
        <v>31.5</v>
      </c>
      <c r="G105" s="49">
        <f>'Avg Week Bugolobi-Nakawa'!G105+'Avg Week Nakawa-Bugolobi'!G105</f>
        <v>0</v>
      </c>
      <c r="H105" s="49">
        <f>'Avg Week Bugolobi-Nakawa'!H105+'Avg Week Nakawa-Bugolobi'!H105</f>
        <v>0</v>
      </c>
      <c r="I105" s="49">
        <f>'Avg Week Bugolobi-Nakawa'!I105+'Avg Week Nakawa-Bugolobi'!I105</f>
        <v>2</v>
      </c>
      <c r="J105" s="49">
        <f>'Avg Week Bugolobi-Nakawa'!J105+'Avg Week Nakawa-Bugolobi'!J105</f>
        <v>0.5</v>
      </c>
      <c r="K105" s="49">
        <f>'Avg Week Bugolobi-Nakawa'!K105+'Avg Week Nakawa-Bugolobi'!K105</f>
        <v>0</v>
      </c>
      <c r="L105" s="49">
        <f>'Avg Week Bugolobi-Nakawa'!L105+'Avg Week Nakawa-Bugolobi'!L105</f>
        <v>0.5</v>
      </c>
      <c r="M105" s="49">
        <f>'Avg Week Bugolobi-Nakawa'!M105+'Avg Week Nakawa-Bugolobi'!M105</f>
        <v>90</v>
      </c>
      <c r="N105" s="49">
        <f>'Avg Week Bugolobi-Nakawa'!N105+'Avg Week Nakawa-Bugolobi'!N105</f>
        <v>0</v>
      </c>
      <c r="O105" s="15">
        <f t="shared" si="35"/>
        <v>146</v>
      </c>
      <c r="P105" s="15">
        <f t="shared" si="36"/>
        <v>236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10126.785714285714</v>
      </c>
      <c r="D106" s="16">
        <f t="shared" ref="D106:P106" si="37">SUM(D10:D105)</f>
        <v>3026.1428571428573</v>
      </c>
      <c r="E106" s="16">
        <f t="shared" si="37"/>
        <v>2100.5</v>
      </c>
      <c r="F106" s="16">
        <f t="shared" si="37"/>
        <v>3187.9285714285711</v>
      </c>
      <c r="G106" s="16">
        <f t="shared" si="37"/>
        <v>47.857142857142861</v>
      </c>
      <c r="H106" s="16">
        <f t="shared" si="37"/>
        <v>14.928571428571429</v>
      </c>
      <c r="I106" s="16">
        <f t="shared" si="37"/>
        <v>326.28571428571433</v>
      </c>
      <c r="J106" s="16">
        <f t="shared" si="37"/>
        <v>142.57142857142856</v>
      </c>
      <c r="K106" s="16">
        <f t="shared" si="37"/>
        <v>27.499999999999993</v>
      </c>
      <c r="L106" s="16">
        <f t="shared" si="37"/>
        <v>26.428571428571427</v>
      </c>
      <c r="M106" s="16">
        <f t="shared" si="37"/>
        <v>11393.857142857141</v>
      </c>
      <c r="N106" s="16">
        <f t="shared" si="37"/>
        <v>0.71428571428571419</v>
      </c>
      <c r="O106" s="16">
        <f t="shared" si="37"/>
        <v>19027.642857142859</v>
      </c>
      <c r="P106" s="16">
        <f t="shared" si="37"/>
        <v>30421.5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0.33288252434251153</v>
      </c>
      <c r="D107" s="43">
        <f t="shared" si="38"/>
        <v>9.9473821381025174E-2</v>
      </c>
      <c r="E107" s="43">
        <f t="shared" si="38"/>
        <v>6.9046562464046807E-2</v>
      </c>
      <c r="F107" s="43">
        <f t="shared" si="38"/>
        <v>0.10479195869462621</v>
      </c>
      <c r="G107" s="43">
        <f t="shared" si="38"/>
        <v>1.5731355408886104E-3</v>
      </c>
      <c r="H107" s="43">
        <f t="shared" si="38"/>
        <v>4.9072437021749186E-4</v>
      </c>
      <c r="I107" s="43">
        <f t="shared" si="38"/>
        <v>1.0725497239968915E-2</v>
      </c>
      <c r="J107" s="43">
        <f t="shared" si="38"/>
        <v>4.6865351337517401E-3</v>
      </c>
      <c r="K107" s="43">
        <f t="shared" si="38"/>
        <v>9.0396594513748472E-4</v>
      </c>
      <c r="L107" s="43">
        <f t="shared" si="38"/>
        <v>8.68746492729531E-4</v>
      </c>
      <c r="M107" s="43">
        <f t="shared" si="38"/>
        <v>0.37453304876015781</v>
      </c>
      <c r="N107" s="43">
        <f t="shared" si="38"/>
        <v>2.347963493863597E-5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0.53221440986234303</v>
      </c>
      <c r="D108" s="44">
        <f t="shared" ref="D108:N108" si="39">D106/$O$106</f>
        <v>0.15903929245796528</v>
      </c>
      <c r="E108" s="44">
        <f t="shared" si="39"/>
        <v>0.11039202363478698</v>
      </c>
      <c r="F108" s="44">
        <f t="shared" si="39"/>
        <v>0.16754195963016211</v>
      </c>
      <c r="G108" s="44">
        <f t="shared" si="39"/>
        <v>2.5151377507160633E-3</v>
      </c>
      <c r="H108" s="44">
        <f t="shared" si="39"/>
        <v>7.8457282074575704E-4</v>
      </c>
      <c r="I108" s="44">
        <f t="shared" si="39"/>
        <v>1.7147983948165638E-2</v>
      </c>
      <c r="J108" s="44">
        <f t="shared" si="39"/>
        <v>7.492858134969047E-3</v>
      </c>
      <c r="K108" s="44">
        <f t="shared" si="39"/>
        <v>1.4452657224263941E-3</v>
      </c>
      <c r="L108" s="44">
        <f t="shared" si="39"/>
        <v>1.3889566683058857E-3</v>
      </c>
      <c r="M108" s="44"/>
      <c r="N108" s="44">
        <f t="shared" si="39"/>
        <v>3.7539369413672579E-5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Bugolobi-Nakawa</vt:lpstr>
      <vt:lpstr>29.07 Nakawa-Bugolobi</vt:lpstr>
      <vt:lpstr>30.07 Bugolobi-Nakawa</vt:lpstr>
      <vt:lpstr>30.07 Nakawa-Bugolobi</vt:lpstr>
      <vt:lpstr>31.07 Bugolobi-Nakawa</vt:lpstr>
      <vt:lpstr>31.07 Nakawa-Bugolobi</vt:lpstr>
      <vt:lpstr>01.08 Bugolobi-Nakawa-24h</vt:lpstr>
      <vt:lpstr>01.08 Nakawa-Bugolobi-24h</vt:lpstr>
      <vt:lpstr>02.08 Bugolobi-Nakawa</vt:lpstr>
      <vt:lpstr>02.08 Nakawa-Bugolobi</vt:lpstr>
      <vt:lpstr>03.08 Bugolobi-Nakawa-24h</vt:lpstr>
      <vt:lpstr>03.08 Nakawa-Bugolobi-24h</vt:lpstr>
      <vt:lpstr>04.08 Bugolobi-Nakawa</vt:lpstr>
      <vt:lpstr>04.08 Nakawa-Bugolobi</vt:lpstr>
      <vt:lpstr>Avg Week Bugolobi-Nakawa</vt:lpstr>
      <vt:lpstr>Avg Week Nakawa-Bugolobi</vt:lpstr>
      <vt:lpstr>Avg Week Bugolobi-Nakawa-2Dir</vt:lpstr>
      <vt:lpstr>'01.08 Bugolobi-Nakawa-24h'!Print_Area</vt:lpstr>
      <vt:lpstr>'01.08 Nakawa-Bugolobi-24h'!Print_Area</vt:lpstr>
      <vt:lpstr>'02.08 Bugolobi-Nakawa'!Print_Area</vt:lpstr>
      <vt:lpstr>'02.08 Nakawa-Bugolobi'!Print_Area</vt:lpstr>
      <vt:lpstr>'03.08 Bugolobi-Nakawa-24h'!Print_Area</vt:lpstr>
      <vt:lpstr>'03.08 Nakawa-Bugolobi-24h'!Print_Area</vt:lpstr>
      <vt:lpstr>'04.08 Bugolobi-Nakawa'!Print_Area</vt:lpstr>
      <vt:lpstr>'04.08 Nakawa-Bugolobi'!Print_Area</vt:lpstr>
      <vt:lpstr>'29.07 Bugolobi-Nakawa'!Print_Area</vt:lpstr>
      <vt:lpstr>'29.07 Nakawa-Bugolobi'!Print_Area</vt:lpstr>
      <vt:lpstr>'30.07 Bugolobi-Nakawa'!Print_Area</vt:lpstr>
      <vt:lpstr>'30.07 Nakawa-Bugolobi'!Print_Area</vt:lpstr>
      <vt:lpstr>'31.07 Bugolobi-Nakawa'!Print_Area</vt:lpstr>
      <vt:lpstr>'31.07 Nakawa-Bugolobi'!Print_Area</vt:lpstr>
      <vt:lpstr>'Avg Week Bugolobi-Nakawa'!Print_Area</vt:lpstr>
      <vt:lpstr>'Avg Week Bugolobi-Nakawa-2Dir'!Print_Area</vt:lpstr>
      <vt:lpstr>'Avg Week Nakawa-Bugolobi'!Print_Area</vt:lpstr>
      <vt:lpstr>'01.08 Bugolobi-Nakawa-24h'!Print_Titles</vt:lpstr>
      <vt:lpstr>'01.08 Nakawa-Bugolobi-24h'!Print_Titles</vt:lpstr>
      <vt:lpstr>'02.08 Bugolobi-Nakawa'!Print_Titles</vt:lpstr>
      <vt:lpstr>'02.08 Nakawa-Bugolobi'!Print_Titles</vt:lpstr>
      <vt:lpstr>'03.08 Bugolobi-Nakawa-24h'!Print_Titles</vt:lpstr>
      <vt:lpstr>'03.08 Nakawa-Bugolobi-24h'!Print_Titles</vt:lpstr>
      <vt:lpstr>'04.08 Bugolobi-Nakawa'!Print_Titles</vt:lpstr>
      <vt:lpstr>'04.08 Nakawa-Bugolobi'!Print_Titles</vt:lpstr>
      <vt:lpstr>'29.07 Bugolobi-Nakawa'!Print_Titles</vt:lpstr>
      <vt:lpstr>'29.07 Nakawa-Bugolobi'!Print_Titles</vt:lpstr>
      <vt:lpstr>'30.07 Bugolobi-Nakawa'!Print_Titles</vt:lpstr>
      <vt:lpstr>'30.07 Nakawa-Bugolobi'!Print_Titles</vt:lpstr>
      <vt:lpstr>'31.07 Bugolobi-Nakawa'!Print_Titles</vt:lpstr>
      <vt:lpstr>'31.07 Nakawa-Bugolobi'!Print_Titles</vt:lpstr>
      <vt:lpstr>'Avg Week Bugolobi-Nakawa'!Print_Titles</vt:lpstr>
      <vt:lpstr>'Avg Week Bugolobi-Nakawa-2Dir'!Print_Titles</vt:lpstr>
      <vt:lpstr>'Avg Week Nakawa-Bugolobi'!Print_Titles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2020-01-15T18:21:12Z</dcterms:modified>
</cp:coreProperties>
</file>